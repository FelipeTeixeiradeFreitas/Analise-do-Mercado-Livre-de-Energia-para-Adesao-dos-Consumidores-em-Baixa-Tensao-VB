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120" yWindow="90" windowWidth="12435" windowHeight="9030" activeTab="6"/>
  </bookViews>
  <sheets>
    <sheet name="Plan1" sheetId="7" r:id="rId1"/>
    <sheet name="ANÁLISE PLD" sheetId="1" r:id="rId2"/>
    <sheet name="ANÁLISE ACR" sheetId="2" r:id="rId3"/>
    <sheet name="MLP - ACL" sheetId="3" r:id="rId4"/>
    <sheet name="MCP - ACL" sheetId="4" r:id="rId5"/>
    <sheet name="ANÁLISE ACL" sheetId="5" r:id="rId6"/>
    <sheet name="VIABILIDADE ECONÔMICA" sheetId="6" r:id="rId7"/>
  </sheets>
  <functionGroups builtInGroupCount="17"/>
  <calcPr calcId="145621"/>
</workbook>
</file>

<file path=xl/calcChain.xml><?xml version="1.0" encoding="utf-8"?>
<calcChain xmlns="http://schemas.openxmlformats.org/spreadsheetml/2006/main">
  <c r="G3" i="2" l="1"/>
  <c r="H3" i="2"/>
  <c r="I3" i="2"/>
  <c r="G4" i="2"/>
  <c r="H4" i="2"/>
  <c r="I4" i="2"/>
  <c r="G5" i="2"/>
  <c r="H5" i="2"/>
  <c r="I5" i="2"/>
  <c r="G6" i="2"/>
  <c r="H6" i="2"/>
  <c r="I6" i="2"/>
  <c r="G7" i="2"/>
  <c r="H7" i="2"/>
  <c r="I7" i="2"/>
  <c r="G8" i="2"/>
  <c r="H8" i="2"/>
  <c r="I8" i="2"/>
  <c r="G9" i="2"/>
  <c r="H9" i="2"/>
  <c r="I9" i="2"/>
  <c r="G10" i="2"/>
  <c r="H10" i="2"/>
  <c r="I10" i="2"/>
  <c r="G11" i="2"/>
  <c r="H11" i="2"/>
  <c r="I11" i="2"/>
  <c r="G12" i="2"/>
  <c r="H12" i="2"/>
  <c r="I12" i="2"/>
  <c r="G13" i="2"/>
  <c r="H13" i="2"/>
  <c r="I13" i="2"/>
  <c r="I2" i="2"/>
  <c r="H2" i="2"/>
  <c r="G2" i="2"/>
  <c r="B3" i="3"/>
  <c r="B4" i="3"/>
  <c r="B5" i="3"/>
  <c r="B6" i="3"/>
  <c r="B7" i="3"/>
  <c r="B8" i="3"/>
  <c r="B9" i="3"/>
  <c r="B10" i="3"/>
  <c r="B11" i="3"/>
  <c r="B12" i="3"/>
  <c r="B13" i="3"/>
  <c r="B2" i="3"/>
  <c r="J4" i="2" l="1"/>
  <c r="J8" i="2"/>
  <c r="J9" i="2"/>
  <c r="J12" i="2"/>
  <c r="J13" i="2" l="1"/>
  <c r="J11" i="2"/>
  <c r="J10" i="2"/>
  <c r="J7" i="2"/>
  <c r="J6" i="2"/>
  <c r="J5" i="2"/>
  <c r="J3" i="2"/>
  <c r="J2" i="2"/>
  <c r="P29" i="1"/>
  <c r="P30" i="1"/>
  <c r="P31" i="1"/>
  <c r="P32" i="1"/>
  <c r="P33" i="1"/>
  <c r="P34" i="1"/>
  <c r="P35" i="1"/>
  <c r="P36" i="1"/>
  <c r="P37" i="1"/>
  <c r="P38" i="1"/>
  <c r="P39" i="1"/>
  <c r="P40" i="1"/>
  <c r="C4" i="4"/>
  <c r="C5" i="4"/>
  <c r="C6" i="4"/>
  <c r="C7" i="4"/>
  <c r="C8" i="4"/>
  <c r="C9" i="4"/>
  <c r="C10" i="4"/>
  <c r="C11" i="4"/>
  <c r="C12" i="4"/>
  <c r="C13" i="4"/>
  <c r="C14" i="4"/>
  <c r="Q40" i="1" l="1"/>
  <c r="Q39" i="1"/>
  <c r="Q38" i="1"/>
  <c r="Q37" i="1"/>
  <c r="Q36" i="1"/>
  <c r="Q35" i="1"/>
  <c r="Q34" i="1"/>
  <c r="Q33" i="1"/>
  <c r="Q32" i="1"/>
  <c r="Q31" i="1"/>
  <c r="Q30" i="1"/>
  <c r="Q29" i="1"/>
  <c r="C3" i="4" s="1"/>
  <c r="AE9" i="1"/>
  <c r="AE8" i="1"/>
  <c r="AE7" i="1"/>
  <c r="AE6" i="1"/>
  <c r="AE5" i="1"/>
  <c r="AE4" i="1"/>
  <c r="AE3" i="1"/>
  <c r="AE2" i="1"/>
  <c r="P56" i="1"/>
  <c r="AE11" i="1" l="1"/>
  <c r="F3" i="3"/>
  <c r="C3" i="5" s="1"/>
  <c r="F4" i="3"/>
  <c r="C4" i="5" s="1"/>
  <c r="F5" i="3"/>
  <c r="C5" i="5" s="1"/>
  <c r="F6" i="3"/>
  <c r="C6" i="5" s="1"/>
  <c r="F7" i="3"/>
  <c r="C7" i="5" s="1"/>
  <c r="F8" i="3"/>
  <c r="C8" i="5" s="1"/>
  <c r="F9" i="3"/>
  <c r="C9" i="5" s="1"/>
  <c r="F10" i="3"/>
  <c r="C10" i="5" s="1"/>
  <c r="F11" i="3"/>
  <c r="C11" i="5" s="1"/>
  <c r="F12" i="3"/>
  <c r="C12" i="5" s="1"/>
  <c r="F13" i="3"/>
  <c r="C13" i="5" s="1"/>
  <c r="F2" i="3"/>
  <c r="C2" i="5" s="1"/>
  <c r="Y366" i="1" l="1"/>
  <c r="Y365" i="1"/>
  <c r="Y364" i="1"/>
  <c r="Y363" i="1"/>
  <c r="Y362" i="1"/>
  <c r="Y361" i="1"/>
  <c r="Y360" i="1"/>
  <c r="Y359" i="1"/>
  <c r="Y358" i="1"/>
  <c r="Y357" i="1"/>
  <c r="Y356" i="1"/>
  <c r="Y355" i="1"/>
  <c r="Y354" i="1"/>
  <c r="Y353" i="1"/>
  <c r="Y352" i="1"/>
  <c r="Y351" i="1"/>
  <c r="Y350" i="1"/>
  <c r="Y349" i="1"/>
  <c r="Y348" i="1"/>
  <c r="Y347" i="1"/>
  <c r="Y346" i="1"/>
  <c r="Y345" i="1"/>
  <c r="Y344" i="1"/>
  <c r="Y343" i="1"/>
  <c r="Y342" i="1"/>
  <c r="Y341" i="1"/>
  <c r="Y340" i="1"/>
  <c r="Y339" i="1"/>
  <c r="Y338" i="1"/>
  <c r="Y337" i="1"/>
  <c r="Y336" i="1"/>
  <c r="Y335" i="1"/>
  <c r="Y334" i="1"/>
  <c r="Y333" i="1"/>
  <c r="Y332" i="1"/>
  <c r="Y331" i="1"/>
  <c r="Y330" i="1"/>
  <c r="Y329" i="1"/>
  <c r="Y328" i="1"/>
  <c r="Y327" i="1"/>
  <c r="Y326" i="1"/>
  <c r="Y325" i="1"/>
  <c r="Y324" i="1"/>
  <c r="Y323" i="1"/>
  <c r="Y322" i="1"/>
  <c r="Y321" i="1"/>
  <c r="Y320" i="1"/>
  <c r="Y319" i="1"/>
  <c r="Y318" i="1"/>
  <c r="Y317" i="1"/>
  <c r="Y316" i="1"/>
  <c r="Y315" i="1"/>
  <c r="Y314" i="1"/>
  <c r="Y313" i="1"/>
  <c r="Y312" i="1"/>
  <c r="Y311" i="1"/>
  <c r="Y310" i="1"/>
  <c r="Y309" i="1"/>
  <c r="Y308" i="1"/>
  <c r="Y307" i="1"/>
  <c r="Y306" i="1"/>
  <c r="Y305" i="1"/>
  <c r="Y304" i="1"/>
  <c r="Y303" i="1"/>
  <c r="Y302" i="1"/>
  <c r="Y301" i="1"/>
  <c r="Y300" i="1"/>
  <c r="Y299" i="1"/>
  <c r="Y298" i="1"/>
  <c r="Y297" i="1"/>
  <c r="Y296" i="1"/>
  <c r="Y295" i="1"/>
  <c r="Y294" i="1"/>
  <c r="Y293" i="1"/>
  <c r="Y292" i="1"/>
  <c r="Y291" i="1"/>
  <c r="Y290" i="1"/>
  <c r="Y289" i="1"/>
  <c r="Y288" i="1"/>
  <c r="Y287" i="1"/>
  <c r="Y286" i="1"/>
  <c r="Y285" i="1"/>
  <c r="Y284" i="1"/>
  <c r="Y283" i="1"/>
  <c r="Y282" i="1"/>
  <c r="Y281" i="1"/>
  <c r="Y280" i="1"/>
  <c r="Y279" i="1"/>
  <c r="Y278" i="1"/>
  <c r="Y277" i="1"/>
  <c r="Y276" i="1"/>
  <c r="Y275" i="1"/>
  <c r="Y274" i="1"/>
  <c r="Y273" i="1"/>
  <c r="Y272" i="1"/>
  <c r="Y271" i="1"/>
  <c r="Y270" i="1"/>
  <c r="Y269" i="1"/>
  <c r="Y268" i="1"/>
  <c r="Y267" i="1"/>
  <c r="Y266" i="1"/>
  <c r="Y265" i="1"/>
  <c r="Y264" i="1"/>
  <c r="Y263" i="1"/>
  <c r="Y262" i="1"/>
  <c r="Y261" i="1"/>
  <c r="Y260" i="1"/>
  <c r="Y259" i="1"/>
  <c r="Y258" i="1"/>
  <c r="Y257" i="1"/>
  <c r="Y256" i="1"/>
  <c r="Y255" i="1"/>
  <c r="Y254" i="1"/>
  <c r="Y253" i="1"/>
  <c r="Y252" i="1"/>
  <c r="Y251" i="1"/>
  <c r="Y250" i="1"/>
  <c r="Y249" i="1"/>
  <c r="Y248" i="1"/>
  <c r="Y247" i="1"/>
  <c r="Y246" i="1"/>
  <c r="Y245" i="1"/>
  <c r="Y244" i="1"/>
  <c r="Y243" i="1"/>
  <c r="Y242" i="1"/>
  <c r="Y241" i="1"/>
  <c r="Y240" i="1"/>
  <c r="Y239" i="1"/>
  <c r="Y238" i="1"/>
  <c r="Y237" i="1"/>
  <c r="Y236" i="1"/>
  <c r="Y235" i="1"/>
  <c r="Y234" i="1"/>
  <c r="Y233" i="1"/>
  <c r="Y232" i="1"/>
  <c r="Y231" i="1"/>
  <c r="Y230" i="1"/>
  <c r="Y229" i="1"/>
  <c r="Y228" i="1"/>
  <c r="Y227" i="1"/>
  <c r="Y226" i="1"/>
  <c r="Y225" i="1"/>
  <c r="Y224" i="1"/>
  <c r="Y223" i="1"/>
  <c r="Y222" i="1"/>
  <c r="Y221" i="1"/>
  <c r="Y220" i="1"/>
  <c r="Y219" i="1"/>
  <c r="Y218" i="1"/>
  <c r="Y217" i="1"/>
  <c r="Y216" i="1"/>
  <c r="Y215" i="1"/>
  <c r="Y214" i="1"/>
  <c r="Y213" i="1"/>
  <c r="Y212" i="1"/>
  <c r="Y211" i="1"/>
  <c r="Y210" i="1"/>
  <c r="Y209" i="1"/>
  <c r="Y208" i="1"/>
  <c r="Y207" i="1"/>
  <c r="Y206" i="1"/>
  <c r="Y205" i="1"/>
  <c r="Y204" i="1"/>
  <c r="Y203" i="1"/>
  <c r="Y202" i="1"/>
  <c r="Y201" i="1"/>
  <c r="Y200" i="1"/>
  <c r="Y199" i="1"/>
  <c r="Y198" i="1"/>
  <c r="Y197" i="1"/>
  <c r="Y196" i="1"/>
  <c r="Y195" i="1"/>
  <c r="Y194" i="1"/>
  <c r="Y193" i="1"/>
  <c r="Y192" i="1"/>
  <c r="Y191" i="1"/>
  <c r="Y190" i="1"/>
  <c r="Y189" i="1"/>
  <c r="Y188" i="1"/>
  <c r="Y187" i="1"/>
  <c r="Y186" i="1"/>
  <c r="Y185" i="1"/>
  <c r="Y184" i="1"/>
  <c r="Y183" i="1"/>
  <c r="Y182" i="1"/>
  <c r="Y181" i="1"/>
  <c r="Y180" i="1"/>
  <c r="Y179" i="1"/>
  <c r="Y178" i="1"/>
  <c r="Y177" i="1"/>
  <c r="Y176" i="1"/>
  <c r="Y175" i="1"/>
  <c r="Y174" i="1"/>
  <c r="Y173" i="1"/>
  <c r="Y172" i="1"/>
  <c r="Y171" i="1"/>
  <c r="Y170" i="1"/>
  <c r="Y169" i="1"/>
  <c r="Y168" i="1"/>
  <c r="Y167" i="1"/>
  <c r="Y166" i="1"/>
  <c r="Y165" i="1"/>
  <c r="Y164" i="1"/>
  <c r="Y163" i="1"/>
  <c r="Y162" i="1"/>
  <c r="Y161" i="1"/>
  <c r="Y160" i="1"/>
  <c r="Y159" i="1"/>
  <c r="Y158" i="1"/>
  <c r="Y157" i="1"/>
  <c r="Y156" i="1"/>
  <c r="Y155" i="1"/>
  <c r="Y154" i="1"/>
  <c r="Y153" i="1"/>
  <c r="Y152" i="1"/>
  <c r="Y151" i="1"/>
  <c r="Y150" i="1"/>
  <c r="Y149" i="1"/>
  <c r="Y148" i="1"/>
  <c r="Y147" i="1"/>
  <c r="Y146" i="1"/>
  <c r="Y145" i="1"/>
  <c r="Y144" i="1"/>
  <c r="Y143" i="1"/>
  <c r="Y142" i="1"/>
  <c r="Y141" i="1"/>
  <c r="Y140" i="1"/>
  <c r="Y139" i="1"/>
  <c r="Y138" i="1"/>
  <c r="Y137" i="1"/>
  <c r="Y136" i="1"/>
  <c r="Y135" i="1"/>
  <c r="Y134" i="1"/>
  <c r="Y133" i="1"/>
  <c r="Y132" i="1"/>
  <c r="Y131" i="1"/>
  <c r="Y130" i="1"/>
  <c r="Y129" i="1"/>
  <c r="Y128" i="1"/>
  <c r="Y127" i="1"/>
  <c r="Y126" i="1"/>
  <c r="Y125" i="1"/>
  <c r="Y124" i="1"/>
  <c r="Y123" i="1"/>
  <c r="Y122" i="1"/>
  <c r="Y121" i="1"/>
  <c r="Y120" i="1"/>
  <c r="Y119" i="1"/>
  <c r="Y118" i="1"/>
  <c r="Y117" i="1"/>
  <c r="Y116" i="1"/>
  <c r="Y115" i="1"/>
  <c r="Y114" i="1"/>
  <c r="Y113" i="1"/>
  <c r="Y112" i="1"/>
  <c r="Y111" i="1"/>
  <c r="Y110" i="1"/>
  <c r="Y109" i="1"/>
  <c r="Y108" i="1"/>
  <c r="Y107" i="1"/>
  <c r="Y106" i="1"/>
  <c r="Y105" i="1"/>
  <c r="Y104" i="1"/>
  <c r="Y103" i="1"/>
  <c r="Y102" i="1"/>
  <c r="Y101" i="1"/>
  <c r="Y100" i="1"/>
  <c r="Y99" i="1"/>
  <c r="Y98" i="1"/>
  <c r="Y97" i="1"/>
  <c r="Y96" i="1"/>
  <c r="Y95" i="1"/>
  <c r="Y94" i="1"/>
  <c r="Y93" i="1"/>
  <c r="Y92" i="1"/>
  <c r="Y91" i="1"/>
  <c r="Y90" i="1"/>
  <c r="Y89" i="1"/>
  <c r="Y88" i="1"/>
  <c r="Y87" i="1"/>
  <c r="Y86" i="1"/>
  <c r="Y85" i="1"/>
  <c r="Y84" i="1"/>
  <c r="Y83" i="1"/>
  <c r="Y82" i="1"/>
  <c r="Y81" i="1"/>
  <c r="Y80" i="1"/>
  <c r="Y79" i="1"/>
  <c r="Y78" i="1"/>
  <c r="Y77" i="1"/>
  <c r="Y76" i="1"/>
  <c r="Y75" i="1"/>
  <c r="Y74" i="1"/>
  <c r="Y73" i="1"/>
  <c r="Y72" i="1"/>
  <c r="Y71" i="1"/>
  <c r="Y70" i="1"/>
  <c r="Y69" i="1"/>
  <c r="Y68" i="1"/>
  <c r="Y67" i="1"/>
  <c r="Y66" i="1"/>
  <c r="Y65" i="1"/>
  <c r="Y64" i="1"/>
  <c r="Y63" i="1"/>
  <c r="Y62" i="1"/>
  <c r="Y61" i="1"/>
  <c r="Y60" i="1"/>
  <c r="Y59" i="1"/>
  <c r="Y58" i="1"/>
  <c r="Y57" i="1"/>
  <c r="Y56" i="1"/>
  <c r="Y55" i="1"/>
  <c r="Y54" i="1"/>
  <c r="Y53" i="1"/>
  <c r="Y52" i="1"/>
  <c r="Y51" i="1"/>
  <c r="Y50" i="1"/>
  <c r="Y49" i="1"/>
  <c r="Y48" i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Y6" i="1"/>
  <c r="Y5" i="1"/>
  <c r="Y4" i="1"/>
  <c r="Y3" i="1"/>
  <c r="Y2" i="1"/>
  <c r="E8761" i="1"/>
  <c r="C8761" i="1"/>
  <c r="E8760" i="1"/>
  <c r="C8760" i="1"/>
  <c r="E8759" i="1"/>
  <c r="C8759" i="1"/>
  <c r="E8758" i="1"/>
  <c r="C8758" i="1"/>
  <c r="E8757" i="1"/>
  <c r="C8757" i="1"/>
  <c r="E8756" i="1"/>
  <c r="C8756" i="1"/>
  <c r="E8755" i="1"/>
  <c r="C8755" i="1"/>
  <c r="E8754" i="1"/>
  <c r="C8754" i="1"/>
  <c r="E8753" i="1"/>
  <c r="C8753" i="1"/>
  <c r="E8752" i="1"/>
  <c r="C8752" i="1"/>
  <c r="E8751" i="1"/>
  <c r="C8751" i="1"/>
  <c r="E8750" i="1"/>
  <c r="C8750" i="1"/>
  <c r="E8749" i="1"/>
  <c r="C8749" i="1"/>
  <c r="E8748" i="1"/>
  <c r="C8748" i="1"/>
  <c r="E8747" i="1"/>
  <c r="C8747" i="1"/>
  <c r="E8746" i="1"/>
  <c r="C8746" i="1"/>
  <c r="E8745" i="1"/>
  <c r="C8745" i="1"/>
  <c r="E8744" i="1"/>
  <c r="C8744" i="1"/>
  <c r="E8743" i="1"/>
  <c r="C8743" i="1"/>
  <c r="E8742" i="1"/>
  <c r="C8742" i="1"/>
  <c r="E8741" i="1"/>
  <c r="C8741" i="1"/>
  <c r="E8740" i="1"/>
  <c r="C8740" i="1"/>
  <c r="E8739" i="1"/>
  <c r="C8739" i="1"/>
  <c r="E8738" i="1"/>
  <c r="C8738" i="1"/>
  <c r="E8737" i="1"/>
  <c r="C8737" i="1"/>
  <c r="E8736" i="1"/>
  <c r="C8736" i="1"/>
  <c r="E8735" i="1"/>
  <c r="C8735" i="1"/>
  <c r="E8734" i="1"/>
  <c r="C8734" i="1"/>
  <c r="E8733" i="1"/>
  <c r="C8733" i="1"/>
  <c r="E8732" i="1"/>
  <c r="C8732" i="1"/>
  <c r="E8731" i="1"/>
  <c r="C8731" i="1"/>
  <c r="E8730" i="1"/>
  <c r="C8730" i="1"/>
  <c r="E8729" i="1"/>
  <c r="C8729" i="1"/>
  <c r="E8728" i="1"/>
  <c r="C8728" i="1"/>
  <c r="E8727" i="1"/>
  <c r="C8727" i="1"/>
  <c r="E8726" i="1"/>
  <c r="C8726" i="1"/>
  <c r="E8725" i="1"/>
  <c r="C8725" i="1"/>
  <c r="E8724" i="1"/>
  <c r="C8724" i="1"/>
  <c r="E8723" i="1"/>
  <c r="C8723" i="1"/>
  <c r="E8722" i="1"/>
  <c r="C8722" i="1"/>
  <c r="E8721" i="1"/>
  <c r="C8721" i="1"/>
  <c r="E8720" i="1"/>
  <c r="C8720" i="1"/>
  <c r="E8719" i="1"/>
  <c r="C8719" i="1"/>
  <c r="E8718" i="1"/>
  <c r="C8718" i="1"/>
  <c r="E8717" i="1"/>
  <c r="C8717" i="1"/>
  <c r="E8716" i="1"/>
  <c r="C8716" i="1"/>
  <c r="E8715" i="1"/>
  <c r="C8715" i="1"/>
  <c r="E8714" i="1"/>
  <c r="C8714" i="1"/>
  <c r="E8713" i="1"/>
  <c r="C8713" i="1"/>
  <c r="E8712" i="1"/>
  <c r="C8712" i="1"/>
  <c r="E8711" i="1"/>
  <c r="C8711" i="1"/>
  <c r="E8710" i="1"/>
  <c r="C8710" i="1"/>
  <c r="E8709" i="1"/>
  <c r="C8709" i="1"/>
  <c r="E8708" i="1"/>
  <c r="C8708" i="1"/>
  <c r="E8707" i="1"/>
  <c r="C8707" i="1"/>
  <c r="E8706" i="1"/>
  <c r="C8706" i="1"/>
  <c r="E8705" i="1"/>
  <c r="C8705" i="1"/>
  <c r="E8704" i="1"/>
  <c r="C8704" i="1"/>
  <c r="E8703" i="1"/>
  <c r="C8703" i="1"/>
  <c r="E8702" i="1"/>
  <c r="C8702" i="1"/>
  <c r="E8701" i="1"/>
  <c r="C8701" i="1"/>
  <c r="E8700" i="1"/>
  <c r="C8700" i="1"/>
  <c r="E8699" i="1"/>
  <c r="C8699" i="1"/>
  <c r="E8698" i="1"/>
  <c r="C8698" i="1"/>
  <c r="E8697" i="1"/>
  <c r="C8697" i="1"/>
  <c r="E8696" i="1"/>
  <c r="C8696" i="1"/>
  <c r="E8695" i="1"/>
  <c r="C8695" i="1"/>
  <c r="E8694" i="1"/>
  <c r="C8694" i="1"/>
  <c r="E8693" i="1"/>
  <c r="C8693" i="1"/>
  <c r="E8692" i="1"/>
  <c r="C8692" i="1"/>
  <c r="E8691" i="1"/>
  <c r="C8691" i="1"/>
  <c r="E8690" i="1"/>
  <c r="C8690" i="1"/>
  <c r="E8689" i="1"/>
  <c r="C8689" i="1"/>
  <c r="E8688" i="1"/>
  <c r="C8688" i="1"/>
  <c r="E8687" i="1"/>
  <c r="C8687" i="1"/>
  <c r="E8686" i="1"/>
  <c r="C8686" i="1"/>
  <c r="E8685" i="1"/>
  <c r="C8685" i="1"/>
  <c r="E8684" i="1"/>
  <c r="C8684" i="1"/>
  <c r="E8683" i="1"/>
  <c r="C8683" i="1"/>
  <c r="E8682" i="1"/>
  <c r="C8682" i="1"/>
  <c r="E8681" i="1"/>
  <c r="C8681" i="1"/>
  <c r="E8680" i="1"/>
  <c r="C8680" i="1"/>
  <c r="E8679" i="1"/>
  <c r="C8679" i="1"/>
  <c r="E8678" i="1"/>
  <c r="C8678" i="1"/>
  <c r="E8677" i="1"/>
  <c r="C8677" i="1"/>
  <c r="E8676" i="1"/>
  <c r="C8676" i="1"/>
  <c r="E8675" i="1"/>
  <c r="C8675" i="1"/>
  <c r="E8674" i="1"/>
  <c r="C8674" i="1"/>
  <c r="E8673" i="1"/>
  <c r="C8673" i="1"/>
  <c r="E8672" i="1"/>
  <c r="C8672" i="1"/>
  <c r="E8671" i="1"/>
  <c r="C8671" i="1"/>
  <c r="E8670" i="1"/>
  <c r="C8670" i="1"/>
  <c r="E8669" i="1"/>
  <c r="C8669" i="1"/>
  <c r="E8668" i="1"/>
  <c r="C8668" i="1"/>
  <c r="E8667" i="1"/>
  <c r="C8667" i="1"/>
  <c r="E8666" i="1"/>
  <c r="C8666" i="1"/>
  <c r="E8665" i="1"/>
  <c r="C8665" i="1"/>
  <c r="E8664" i="1"/>
  <c r="C8664" i="1"/>
  <c r="E8663" i="1"/>
  <c r="C8663" i="1"/>
  <c r="E8662" i="1"/>
  <c r="C8662" i="1"/>
  <c r="E8661" i="1"/>
  <c r="C8661" i="1"/>
  <c r="E8660" i="1"/>
  <c r="C8660" i="1"/>
  <c r="E8659" i="1"/>
  <c r="C8659" i="1"/>
  <c r="E8658" i="1"/>
  <c r="C8658" i="1"/>
  <c r="E8657" i="1"/>
  <c r="C8657" i="1"/>
  <c r="E8656" i="1"/>
  <c r="C8656" i="1"/>
  <c r="E8655" i="1"/>
  <c r="C8655" i="1"/>
  <c r="E8654" i="1"/>
  <c r="C8654" i="1"/>
  <c r="E8653" i="1"/>
  <c r="C8653" i="1"/>
  <c r="E8652" i="1"/>
  <c r="C8652" i="1"/>
  <c r="E8651" i="1"/>
  <c r="C8651" i="1"/>
  <c r="E8650" i="1"/>
  <c r="C8650" i="1"/>
  <c r="E8649" i="1"/>
  <c r="C8649" i="1"/>
  <c r="E8648" i="1"/>
  <c r="C8648" i="1"/>
  <c r="E8647" i="1"/>
  <c r="C8647" i="1"/>
  <c r="E8646" i="1"/>
  <c r="C8646" i="1"/>
  <c r="E8645" i="1"/>
  <c r="C8645" i="1"/>
  <c r="E8644" i="1"/>
  <c r="C8644" i="1"/>
  <c r="E8643" i="1"/>
  <c r="C8643" i="1"/>
  <c r="E8642" i="1"/>
  <c r="C8642" i="1"/>
  <c r="E8641" i="1"/>
  <c r="C8641" i="1"/>
  <c r="E8640" i="1"/>
  <c r="C8640" i="1"/>
  <c r="E8639" i="1"/>
  <c r="C8639" i="1"/>
  <c r="E8638" i="1"/>
  <c r="C8638" i="1"/>
  <c r="E8637" i="1"/>
  <c r="C8637" i="1"/>
  <c r="E8636" i="1"/>
  <c r="C8636" i="1"/>
  <c r="E8635" i="1"/>
  <c r="C8635" i="1"/>
  <c r="E8634" i="1"/>
  <c r="C8634" i="1"/>
  <c r="E8633" i="1"/>
  <c r="C8633" i="1"/>
  <c r="E8632" i="1"/>
  <c r="C8632" i="1"/>
  <c r="E8631" i="1"/>
  <c r="C8631" i="1"/>
  <c r="E8630" i="1"/>
  <c r="C8630" i="1"/>
  <c r="E8629" i="1"/>
  <c r="C8629" i="1"/>
  <c r="E8628" i="1"/>
  <c r="C8628" i="1"/>
  <c r="E8627" i="1"/>
  <c r="C8627" i="1"/>
  <c r="E8626" i="1"/>
  <c r="C8626" i="1"/>
  <c r="E8625" i="1"/>
  <c r="C8625" i="1"/>
  <c r="E8624" i="1"/>
  <c r="C8624" i="1"/>
  <c r="E8623" i="1"/>
  <c r="C8623" i="1"/>
  <c r="E8622" i="1"/>
  <c r="C8622" i="1"/>
  <c r="E8621" i="1"/>
  <c r="C8621" i="1"/>
  <c r="E8620" i="1"/>
  <c r="C8620" i="1"/>
  <c r="E8619" i="1"/>
  <c r="C8619" i="1"/>
  <c r="E8618" i="1"/>
  <c r="C8618" i="1"/>
  <c r="E8617" i="1"/>
  <c r="C8617" i="1"/>
  <c r="E8616" i="1"/>
  <c r="C8616" i="1"/>
  <c r="E8615" i="1"/>
  <c r="C8615" i="1"/>
  <c r="E8614" i="1"/>
  <c r="C8614" i="1"/>
  <c r="E8613" i="1"/>
  <c r="C8613" i="1"/>
  <c r="E8612" i="1"/>
  <c r="C8612" i="1"/>
  <c r="E8611" i="1"/>
  <c r="C8611" i="1"/>
  <c r="E8610" i="1"/>
  <c r="C8610" i="1"/>
  <c r="E8609" i="1"/>
  <c r="C8609" i="1"/>
  <c r="E8608" i="1"/>
  <c r="C8608" i="1"/>
  <c r="E8607" i="1"/>
  <c r="C8607" i="1"/>
  <c r="E8606" i="1"/>
  <c r="C8606" i="1"/>
  <c r="E8605" i="1"/>
  <c r="C8605" i="1"/>
  <c r="E8604" i="1"/>
  <c r="C8604" i="1"/>
  <c r="E8603" i="1"/>
  <c r="C8603" i="1"/>
  <c r="E8602" i="1"/>
  <c r="C8602" i="1"/>
  <c r="E8601" i="1"/>
  <c r="C8601" i="1"/>
  <c r="E8600" i="1"/>
  <c r="C8600" i="1"/>
  <c r="E8599" i="1"/>
  <c r="C8599" i="1"/>
  <c r="E8598" i="1"/>
  <c r="C8598" i="1"/>
  <c r="E8597" i="1"/>
  <c r="C8597" i="1"/>
  <c r="E8596" i="1"/>
  <c r="C8596" i="1"/>
  <c r="E8595" i="1"/>
  <c r="C8595" i="1"/>
  <c r="E8594" i="1"/>
  <c r="C8594" i="1"/>
  <c r="E8593" i="1"/>
  <c r="C8593" i="1"/>
  <c r="E8592" i="1"/>
  <c r="C8592" i="1"/>
  <c r="E8591" i="1"/>
  <c r="C8591" i="1"/>
  <c r="E8590" i="1"/>
  <c r="C8590" i="1"/>
  <c r="E8589" i="1"/>
  <c r="C8589" i="1"/>
  <c r="E8588" i="1"/>
  <c r="C8588" i="1"/>
  <c r="E8587" i="1"/>
  <c r="C8587" i="1"/>
  <c r="E8586" i="1"/>
  <c r="C8586" i="1"/>
  <c r="E8585" i="1"/>
  <c r="C8585" i="1"/>
  <c r="E8584" i="1"/>
  <c r="C8584" i="1"/>
  <c r="E8583" i="1"/>
  <c r="C8583" i="1"/>
  <c r="E8582" i="1"/>
  <c r="C8582" i="1"/>
  <c r="E8581" i="1"/>
  <c r="C8581" i="1"/>
  <c r="E8580" i="1"/>
  <c r="C8580" i="1"/>
  <c r="E8579" i="1"/>
  <c r="C8579" i="1"/>
  <c r="E8578" i="1"/>
  <c r="C8578" i="1"/>
  <c r="E8577" i="1"/>
  <c r="C8577" i="1"/>
  <c r="E8576" i="1"/>
  <c r="C8576" i="1"/>
  <c r="E8575" i="1"/>
  <c r="C8575" i="1"/>
  <c r="E8574" i="1"/>
  <c r="C8574" i="1"/>
  <c r="E8573" i="1"/>
  <c r="C8573" i="1"/>
  <c r="E8572" i="1"/>
  <c r="C8572" i="1"/>
  <c r="E8571" i="1"/>
  <c r="C8571" i="1"/>
  <c r="E8570" i="1"/>
  <c r="C8570" i="1"/>
  <c r="E8569" i="1"/>
  <c r="C8569" i="1"/>
  <c r="E8568" i="1"/>
  <c r="C8568" i="1"/>
  <c r="E8567" i="1"/>
  <c r="C8567" i="1"/>
  <c r="E8566" i="1"/>
  <c r="C8566" i="1"/>
  <c r="E8565" i="1"/>
  <c r="C8565" i="1"/>
  <c r="E8564" i="1"/>
  <c r="C8564" i="1"/>
  <c r="E8563" i="1"/>
  <c r="C8563" i="1"/>
  <c r="E8562" i="1"/>
  <c r="C8562" i="1"/>
  <c r="E8561" i="1"/>
  <c r="C8561" i="1"/>
  <c r="E8560" i="1"/>
  <c r="C8560" i="1"/>
  <c r="E8559" i="1"/>
  <c r="C8559" i="1"/>
  <c r="E8558" i="1"/>
  <c r="C8558" i="1"/>
  <c r="E8557" i="1"/>
  <c r="C8557" i="1"/>
  <c r="E8556" i="1"/>
  <c r="C8556" i="1"/>
  <c r="E8555" i="1"/>
  <c r="C8555" i="1"/>
  <c r="E8554" i="1"/>
  <c r="C8554" i="1"/>
  <c r="E8553" i="1"/>
  <c r="C8553" i="1"/>
  <c r="E8552" i="1"/>
  <c r="C8552" i="1"/>
  <c r="E8551" i="1"/>
  <c r="C8551" i="1"/>
  <c r="E8550" i="1"/>
  <c r="C8550" i="1"/>
  <c r="E8549" i="1"/>
  <c r="C8549" i="1"/>
  <c r="E8548" i="1"/>
  <c r="C8548" i="1"/>
  <c r="E8547" i="1"/>
  <c r="C8547" i="1"/>
  <c r="E8546" i="1"/>
  <c r="C8546" i="1"/>
  <c r="E8545" i="1"/>
  <c r="C8545" i="1"/>
  <c r="E8544" i="1"/>
  <c r="C8544" i="1"/>
  <c r="E8543" i="1"/>
  <c r="C8543" i="1"/>
  <c r="E8542" i="1"/>
  <c r="C8542" i="1"/>
  <c r="E8541" i="1"/>
  <c r="C8541" i="1"/>
  <c r="E8540" i="1"/>
  <c r="C8540" i="1"/>
  <c r="E8539" i="1"/>
  <c r="C8539" i="1"/>
  <c r="E8538" i="1"/>
  <c r="C8538" i="1"/>
  <c r="E8537" i="1"/>
  <c r="C8537" i="1"/>
  <c r="E8536" i="1"/>
  <c r="C8536" i="1"/>
  <c r="E8535" i="1"/>
  <c r="C8535" i="1"/>
  <c r="E8534" i="1"/>
  <c r="C8534" i="1"/>
  <c r="E8533" i="1"/>
  <c r="C8533" i="1"/>
  <c r="E8532" i="1"/>
  <c r="C8532" i="1"/>
  <c r="E8531" i="1"/>
  <c r="C8531" i="1"/>
  <c r="E8530" i="1"/>
  <c r="C8530" i="1"/>
  <c r="E8529" i="1"/>
  <c r="C8529" i="1"/>
  <c r="E8528" i="1"/>
  <c r="C8528" i="1"/>
  <c r="E8527" i="1"/>
  <c r="C8527" i="1"/>
  <c r="E8526" i="1"/>
  <c r="C8526" i="1"/>
  <c r="E8525" i="1"/>
  <c r="C8525" i="1"/>
  <c r="E8524" i="1"/>
  <c r="C8524" i="1"/>
  <c r="E8523" i="1"/>
  <c r="C8523" i="1"/>
  <c r="E8522" i="1"/>
  <c r="C8522" i="1"/>
  <c r="E8521" i="1"/>
  <c r="C8521" i="1"/>
  <c r="E8520" i="1"/>
  <c r="C8520" i="1"/>
  <c r="E8519" i="1"/>
  <c r="C8519" i="1"/>
  <c r="E8518" i="1"/>
  <c r="C8518" i="1"/>
  <c r="E8517" i="1"/>
  <c r="C8517" i="1"/>
  <c r="E8516" i="1"/>
  <c r="C8516" i="1"/>
  <c r="E8515" i="1"/>
  <c r="C8515" i="1"/>
  <c r="E8514" i="1"/>
  <c r="C8514" i="1"/>
  <c r="E8513" i="1"/>
  <c r="C8513" i="1"/>
  <c r="E8512" i="1"/>
  <c r="C8512" i="1"/>
  <c r="E8511" i="1"/>
  <c r="C8511" i="1"/>
  <c r="E8510" i="1"/>
  <c r="C8510" i="1"/>
  <c r="E8509" i="1"/>
  <c r="C8509" i="1"/>
  <c r="E8508" i="1"/>
  <c r="C8508" i="1"/>
  <c r="E8507" i="1"/>
  <c r="C8507" i="1"/>
  <c r="E8506" i="1"/>
  <c r="C8506" i="1"/>
  <c r="E8505" i="1"/>
  <c r="C8505" i="1"/>
  <c r="E8504" i="1"/>
  <c r="C8504" i="1"/>
  <c r="E8503" i="1"/>
  <c r="C8503" i="1"/>
  <c r="E8502" i="1"/>
  <c r="C8502" i="1"/>
  <c r="E8501" i="1"/>
  <c r="C8501" i="1"/>
  <c r="E8500" i="1"/>
  <c r="C8500" i="1"/>
  <c r="E8499" i="1"/>
  <c r="C8499" i="1"/>
  <c r="E8498" i="1"/>
  <c r="C8498" i="1"/>
  <c r="E8497" i="1"/>
  <c r="C8497" i="1"/>
  <c r="E8496" i="1"/>
  <c r="C8496" i="1"/>
  <c r="E8495" i="1"/>
  <c r="C8495" i="1"/>
  <c r="E8494" i="1"/>
  <c r="C8494" i="1"/>
  <c r="E8493" i="1"/>
  <c r="C8493" i="1"/>
  <c r="E8492" i="1"/>
  <c r="C8492" i="1"/>
  <c r="E8491" i="1"/>
  <c r="C8491" i="1"/>
  <c r="E8490" i="1"/>
  <c r="C8490" i="1"/>
  <c r="E8489" i="1"/>
  <c r="C8489" i="1"/>
  <c r="E8488" i="1"/>
  <c r="C8488" i="1"/>
  <c r="E8487" i="1"/>
  <c r="C8487" i="1"/>
  <c r="E8486" i="1"/>
  <c r="C8486" i="1"/>
  <c r="E8485" i="1"/>
  <c r="C8485" i="1"/>
  <c r="E8484" i="1"/>
  <c r="C8484" i="1"/>
  <c r="E8483" i="1"/>
  <c r="C8483" i="1"/>
  <c r="E8482" i="1"/>
  <c r="C8482" i="1"/>
  <c r="E8481" i="1"/>
  <c r="C8481" i="1"/>
  <c r="E8480" i="1"/>
  <c r="C8480" i="1"/>
  <c r="E8479" i="1"/>
  <c r="C8479" i="1"/>
  <c r="E8478" i="1"/>
  <c r="C8478" i="1"/>
  <c r="E8477" i="1"/>
  <c r="C8477" i="1"/>
  <c r="E8476" i="1"/>
  <c r="C8476" i="1"/>
  <c r="E8475" i="1"/>
  <c r="C8475" i="1"/>
  <c r="E8474" i="1"/>
  <c r="C8474" i="1"/>
  <c r="E8473" i="1"/>
  <c r="C8473" i="1"/>
  <c r="E8472" i="1"/>
  <c r="C8472" i="1"/>
  <c r="E8471" i="1"/>
  <c r="C8471" i="1"/>
  <c r="E8470" i="1"/>
  <c r="C8470" i="1"/>
  <c r="E8469" i="1"/>
  <c r="C8469" i="1"/>
  <c r="E8468" i="1"/>
  <c r="C8468" i="1"/>
  <c r="E8467" i="1"/>
  <c r="C8467" i="1"/>
  <c r="E8466" i="1"/>
  <c r="C8466" i="1"/>
  <c r="E8465" i="1"/>
  <c r="C8465" i="1"/>
  <c r="E8464" i="1"/>
  <c r="C8464" i="1"/>
  <c r="E8463" i="1"/>
  <c r="C8463" i="1"/>
  <c r="E8462" i="1"/>
  <c r="C8462" i="1"/>
  <c r="E8461" i="1"/>
  <c r="C8461" i="1"/>
  <c r="E8460" i="1"/>
  <c r="C8460" i="1"/>
  <c r="E8459" i="1"/>
  <c r="C8459" i="1"/>
  <c r="E8458" i="1"/>
  <c r="C8458" i="1"/>
  <c r="E8457" i="1"/>
  <c r="C8457" i="1"/>
  <c r="E8456" i="1"/>
  <c r="C8456" i="1"/>
  <c r="E8455" i="1"/>
  <c r="C8455" i="1"/>
  <c r="E8454" i="1"/>
  <c r="C8454" i="1"/>
  <c r="E8453" i="1"/>
  <c r="C8453" i="1"/>
  <c r="E8452" i="1"/>
  <c r="C8452" i="1"/>
  <c r="E8451" i="1"/>
  <c r="C8451" i="1"/>
  <c r="E8450" i="1"/>
  <c r="C8450" i="1"/>
  <c r="E8449" i="1"/>
  <c r="C8449" i="1"/>
  <c r="E8448" i="1"/>
  <c r="C8448" i="1"/>
  <c r="E8447" i="1"/>
  <c r="C8447" i="1"/>
  <c r="E8446" i="1"/>
  <c r="C8446" i="1"/>
  <c r="E8445" i="1"/>
  <c r="C8445" i="1"/>
  <c r="E8444" i="1"/>
  <c r="C8444" i="1"/>
  <c r="E8443" i="1"/>
  <c r="C8443" i="1"/>
  <c r="E8442" i="1"/>
  <c r="C8442" i="1"/>
  <c r="E8441" i="1"/>
  <c r="C8441" i="1"/>
  <c r="E8440" i="1"/>
  <c r="C8440" i="1"/>
  <c r="E8439" i="1"/>
  <c r="C8439" i="1"/>
  <c r="E8438" i="1"/>
  <c r="C8438" i="1"/>
  <c r="E8437" i="1"/>
  <c r="C8437" i="1"/>
  <c r="E8436" i="1"/>
  <c r="C8436" i="1"/>
  <c r="E8435" i="1"/>
  <c r="C8435" i="1"/>
  <c r="E8434" i="1"/>
  <c r="C8434" i="1"/>
  <c r="E8433" i="1"/>
  <c r="C8433" i="1"/>
  <c r="E8432" i="1"/>
  <c r="C8432" i="1"/>
  <c r="E8431" i="1"/>
  <c r="C8431" i="1"/>
  <c r="E8430" i="1"/>
  <c r="C8430" i="1"/>
  <c r="E8429" i="1"/>
  <c r="C8429" i="1"/>
  <c r="E8428" i="1"/>
  <c r="C8428" i="1"/>
  <c r="E8427" i="1"/>
  <c r="C8427" i="1"/>
  <c r="E8426" i="1"/>
  <c r="C8426" i="1"/>
  <c r="E8425" i="1"/>
  <c r="C8425" i="1"/>
  <c r="E8424" i="1"/>
  <c r="C8424" i="1"/>
  <c r="E8423" i="1"/>
  <c r="C8423" i="1"/>
  <c r="E8422" i="1"/>
  <c r="C8422" i="1"/>
  <c r="E8421" i="1"/>
  <c r="C8421" i="1"/>
  <c r="E8420" i="1"/>
  <c r="C8420" i="1"/>
  <c r="E8419" i="1"/>
  <c r="C8419" i="1"/>
  <c r="E8418" i="1"/>
  <c r="C8418" i="1"/>
  <c r="E8417" i="1"/>
  <c r="C8417" i="1"/>
  <c r="E8416" i="1"/>
  <c r="C8416" i="1"/>
  <c r="E8415" i="1"/>
  <c r="C8415" i="1"/>
  <c r="E8414" i="1"/>
  <c r="C8414" i="1"/>
  <c r="E8413" i="1"/>
  <c r="C8413" i="1"/>
  <c r="E8412" i="1"/>
  <c r="C8412" i="1"/>
  <c r="E8411" i="1"/>
  <c r="C8411" i="1"/>
  <c r="E8410" i="1"/>
  <c r="C8410" i="1"/>
  <c r="E8409" i="1"/>
  <c r="C8409" i="1"/>
  <c r="E8408" i="1"/>
  <c r="C8408" i="1"/>
  <c r="E8407" i="1"/>
  <c r="C8407" i="1"/>
  <c r="E8406" i="1"/>
  <c r="C8406" i="1"/>
  <c r="E8405" i="1"/>
  <c r="C8405" i="1"/>
  <c r="E8404" i="1"/>
  <c r="C8404" i="1"/>
  <c r="E8403" i="1"/>
  <c r="C8403" i="1"/>
  <c r="E8402" i="1"/>
  <c r="C8402" i="1"/>
  <c r="E8401" i="1"/>
  <c r="C8401" i="1"/>
  <c r="E8400" i="1"/>
  <c r="C8400" i="1"/>
  <c r="E8399" i="1"/>
  <c r="C8399" i="1"/>
  <c r="E8398" i="1"/>
  <c r="C8398" i="1"/>
  <c r="E8397" i="1"/>
  <c r="C8397" i="1"/>
  <c r="E8396" i="1"/>
  <c r="C8396" i="1"/>
  <c r="E8395" i="1"/>
  <c r="C8395" i="1"/>
  <c r="E8394" i="1"/>
  <c r="C8394" i="1"/>
  <c r="E8393" i="1"/>
  <c r="C8393" i="1"/>
  <c r="E8392" i="1"/>
  <c r="C8392" i="1"/>
  <c r="E8391" i="1"/>
  <c r="C8391" i="1"/>
  <c r="E8390" i="1"/>
  <c r="C8390" i="1"/>
  <c r="E8389" i="1"/>
  <c r="C8389" i="1"/>
  <c r="E8388" i="1"/>
  <c r="C8388" i="1"/>
  <c r="E8387" i="1"/>
  <c r="C8387" i="1"/>
  <c r="E8386" i="1"/>
  <c r="C8386" i="1"/>
  <c r="E8385" i="1"/>
  <c r="C8385" i="1"/>
  <c r="E8384" i="1"/>
  <c r="C8384" i="1"/>
  <c r="E8383" i="1"/>
  <c r="C8383" i="1"/>
  <c r="E8382" i="1"/>
  <c r="C8382" i="1"/>
  <c r="E8381" i="1"/>
  <c r="C8381" i="1"/>
  <c r="E8380" i="1"/>
  <c r="C8380" i="1"/>
  <c r="E8379" i="1"/>
  <c r="C8379" i="1"/>
  <c r="E8378" i="1"/>
  <c r="C8378" i="1"/>
  <c r="E8377" i="1"/>
  <c r="C8377" i="1"/>
  <c r="E8376" i="1"/>
  <c r="C8376" i="1"/>
  <c r="E8375" i="1"/>
  <c r="C8375" i="1"/>
  <c r="E8374" i="1"/>
  <c r="C8374" i="1"/>
  <c r="E8373" i="1"/>
  <c r="C8373" i="1"/>
  <c r="E8372" i="1"/>
  <c r="C8372" i="1"/>
  <c r="E8371" i="1"/>
  <c r="C8371" i="1"/>
  <c r="E8370" i="1"/>
  <c r="C8370" i="1"/>
  <c r="E8369" i="1"/>
  <c r="C8369" i="1"/>
  <c r="E8368" i="1"/>
  <c r="C8368" i="1"/>
  <c r="E8367" i="1"/>
  <c r="C8367" i="1"/>
  <c r="E8366" i="1"/>
  <c r="C8366" i="1"/>
  <c r="E8365" i="1"/>
  <c r="C8365" i="1"/>
  <c r="E8364" i="1"/>
  <c r="C8364" i="1"/>
  <c r="E8363" i="1"/>
  <c r="C8363" i="1"/>
  <c r="E8362" i="1"/>
  <c r="C8362" i="1"/>
  <c r="E8361" i="1"/>
  <c r="C8361" i="1"/>
  <c r="E8360" i="1"/>
  <c r="C8360" i="1"/>
  <c r="E8359" i="1"/>
  <c r="C8359" i="1"/>
  <c r="E8358" i="1"/>
  <c r="C8358" i="1"/>
  <c r="E8357" i="1"/>
  <c r="C8357" i="1"/>
  <c r="E8356" i="1"/>
  <c r="C8356" i="1"/>
  <c r="E8355" i="1"/>
  <c r="C8355" i="1"/>
  <c r="E8354" i="1"/>
  <c r="C8354" i="1"/>
  <c r="E8353" i="1"/>
  <c r="C8353" i="1"/>
  <c r="E8352" i="1"/>
  <c r="C8352" i="1"/>
  <c r="E8351" i="1"/>
  <c r="C8351" i="1"/>
  <c r="E8350" i="1"/>
  <c r="C8350" i="1"/>
  <c r="E8349" i="1"/>
  <c r="C8349" i="1"/>
  <c r="E8348" i="1"/>
  <c r="C8348" i="1"/>
  <c r="E8347" i="1"/>
  <c r="C8347" i="1"/>
  <c r="E8346" i="1"/>
  <c r="C8346" i="1"/>
  <c r="E8345" i="1"/>
  <c r="C8345" i="1"/>
  <c r="E8344" i="1"/>
  <c r="C8344" i="1"/>
  <c r="E8343" i="1"/>
  <c r="C8343" i="1"/>
  <c r="E8342" i="1"/>
  <c r="C8342" i="1"/>
  <c r="E8341" i="1"/>
  <c r="C8341" i="1"/>
  <c r="E8340" i="1"/>
  <c r="C8340" i="1"/>
  <c r="E8339" i="1"/>
  <c r="C8339" i="1"/>
  <c r="E8338" i="1"/>
  <c r="C8338" i="1"/>
  <c r="E8337" i="1"/>
  <c r="C8337" i="1"/>
  <c r="E8336" i="1"/>
  <c r="C8336" i="1"/>
  <c r="E8335" i="1"/>
  <c r="C8335" i="1"/>
  <c r="E8334" i="1"/>
  <c r="C8334" i="1"/>
  <c r="E8333" i="1"/>
  <c r="C8333" i="1"/>
  <c r="E8332" i="1"/>
  <c r="C8332" i="1"/>
  <c r="E8331" i="1"/>
  <c r="C8331" i="1"/>
  <c r="E8330" i="1"/>
  <c r="C8330" i="1"/>
  <c r="E8329" i="1"/>
  <c r="C8329" i="1"/>
  <c r="E8328" i="1"/>
  <c r="C8328" i="1"/>
  <c r="E8327" i="1"/>
  <c r="C8327" i="1"/>
  <c r="E8326" i="1"/>
  <c r="C8326" i="1"/>
  <c r="E8325" i="1"/>
  <c r="C8325" i="1"/>
  <c r="E8324" i="1"/>
  <c r="C8324" i="1"/>
  <c r="E8323" i="1"/>
  <c r="C8323" i="1"/>
  <c r="E8322" i="1"/>
  <c r="C8322" i="1"/>
  <c r="E8321" i="1"/>
  <c r="C8321" i="1"/>
  <c r="E8320" i="1"/>
  <c r="C8320" i="1"/>
  <c r="E8319" i="1"/>
  <c r="C8319" i="1"/>
  <c r="E8318" i="1"/>
  <c r="C8318" i="1"/>
  <c r="E8317" i="1"/>
  <c r="C8317" i="1"/>
  <c r="E8316" i="1"/>
  <c r="C8316" i="1"/>
  <c r="E8315" i="1"/>
  <c r="C8315" i="1"/>
  <c r="E8314" i="1"/>
  <c r="C8314" i="1"/>
  <c r="E8313" i="1"/>
  <c r="C8313" i="1"/>
  <c r="E8312" i="1"/>
  <c r="C8312" i="1"/>
  <c r="E8311" i="1"/>
  <c r="C8311" i="1"/>
  <c r="E8310" i="1"/>
  <c r="C8310" i="1"/>
  <c r="E8309" i="1"/>
  <c r="C8309" i="1"/>
  <c r="E8308" i="1"/>
  <c r="C8308" i="1"/>
  <c r="E8307" i="1"/>
  <c r="C8307" i="1"/>
  <c r="E8306" i="1"/>
  <c r="C8306" i="1"/>
  <c r="E8305" i="1"/>
  <c r="C8305" i="1"/>
  <c r="E8304" i="1"/>
  <c r="C8304" i="1"/>
  <c r="E8303" i="1"/>
  <c r="C8303" i="1"/>
  <c r="E8302" i="1"/>
  <c r="C8302" i="1"/>
  <c r="E8301" i="1"/>
  <c r="C8301" i="1"/>
  <c r="E8300" i="1"/>
  <c r="C8300" i="1"/>
  <c r="E8299" i="1"/>
  <c r="C8299" i="1"/>
  <c r="E8298" i="1"/>
  <c r="C8298" i="1"/>
  <c r="E8297" i="1"/>
  <c r="C8297" i="1"/>
  <c r="E8296" i="1"/>
  <c r="C8296" i="1"/>
  <c r="E8295" i="1"/>
  <c r="C8295" i="1"/>
  <c r="E8294" i="1"/>
  <c r="C8294" i="1"/>
  <c r="E8293" i="1"/>
  <c r="C8293" i="1"/>
  <c r="E8292" i="1"/>
  <c r="C8292" i="1"/>
  <c r="E8291" i="1"/>
  <c r="C8291" i="1"/>
  <c r="E8290" i="1"/>
  <c r="C8290" i="1"/>
  <c r="E8289" i="1"/>
  <c r="C8289" i="1"/>
  <c r="E8288" i="1"/>
  <c r="C8288" i="1"/>
  <c r="E8287" i="1"/>
  <c r="C8287" i="1"/>
  <c r="E8286" i="1"/>
  <c r="C8286" i="1"/>
  <c r="E8285" i="1"/>
  <c r="C8285" i="1"/>
  <c r="E8284" i="1"/>
  <c r="C8284" i="1"/>
  <c r="E8283" i="1"/>
  <c r="C8283" i="1"/>
  <c r="E8282" i="1"/>
  <c r="C8282" i="1"/>
  <c r="E8281" i="1"/>
  <c r="C8281" i="1"/>
  <c r="E8280" i="1"/>
  <c r="C8280" i="1"/>
  <c r="E8279" i="1"/>
  <c r="C8279" i="1"/>
  <c r="E8278" i="1"/>
  <c r="C8278" i="1"/>
  <c r="E8277" i="1"/>
  <c r="C8277" i="1"/>
  <c r="E8276" i="1"/>
  <c r="C8276" i="1"/>
  <c r="E8275" i="1"/>
  <c r="C8275" i="1"/>
  <c r="E8274" i="1"/>
  <c r="C8274" i="1"/>
  <c r="E8273" i="1"/>
  <c r="C8273" i="1"/>
  <c r="E8272" i="1"/>
  <c r="C8272" i="1"/>
  <c r="E8271" i="1"/>
  <c r="C8271" i="1"/>
  <c r="E8270" i="1"/>
  <c r="C8270" i="1"/>
  <c r="E8269" i="1"/>
  <c r="C8269" i="1"/>
  <c r="E8268" i="1"/>
  <c r="C8268" i="1"/>
  <c r="E8267" i="1"/>
  <c r="C8267" i="1"/>
  <c r="E8266" i="1"/>
  <c r="C8266" i="1"/>
  <c r="E8265" i="1"/>
  <c r="C8265" i="1"/>
  <c r="E8264" i="1"/>
  <c r="C8264" i="1"/>
  <c r="E8263" i="1"/>
  <c r="C8263" i="1"/>
  <c r="E8262" i="1"/>
  <c r="C8262" i="1"/>
  <c r="E8261" i="1"/>
  <c r="C8261" i="1"/>
  <c r="E8260" i="1"/>
  <c r="C8260" i="1"/>
  <c r="E8259" i="1"/>
  <c r="C8259" i="1"/>
  <c r="E8258" i="1"/>
  <c r="C8258" i="1"/>
  <c r="E8257" i="1"/>
  <c r="C8257" i="1"/>
  <c r="E8256" i="1"/>
  <c r="C8256" i="1"/>
  <c r="E8255" i="1"/>
  <c r="C8255" i="1"/>
  <c r="E8254" i="1"/>
  <c r="C8254" i="1"/>
  <c r="E8253" i="1"/>
  <c r="C8253" i="1"/>
  <c r="E8252" i="1"/>
  <c r="C8252" i="1"/>
  <c r="E8251" i="1"/>
  <c r="C8251" i="1"/>
  <c r="E8250" i="1"/>
  <c r="C8250" i="1"/>
  <c r="E8249" i="1"/>
  <c r="C8249" i="1"/>
  <c r="E8248" i="1"/>
  <c r="C8248" i="1"/>
  <c r="E8247" i="1"/>
  <c r="C8247" i="1"/>
  <c r="E8246" i="1"/>
  <c r="C8246" i="1"/>
  <c r="E8245" i="1"/>
  <c r="C8245" i="1"/>
  <c r="E8244" i="1"/>
  <c r="C8244" i="1"/>
  <c r="E8243" i="1"/>
  <c r="C8243" i="1"/>
  <c r="E8242" i="1"/>
  <c r="C8242" i="1"/>
  <c r="E8241" i="1"/>
  <c r="C8241" i="1"/>
  <c r="E8240" i="1"/>
  <c r="C8240" i="1"/>
  <c r="E8239" i="1"/>
  <c r="C8239" i="1"/>
  <c r="E8238" i="1"/>
  <c r="C8238" i="1"/>
  <c r="E8237" i="1"/>
  <c r="C8237" i="1"/>
  <c r="E8236" i="1"/>
  <c r="C8236" i="1"/>
  <c r="E8235" i="1"/>
  <c r="C8235" i="1"/>
  <c r="E8234" i="1"/>
  <c r="C8234" i="1"/>
  <c r="E8233" i="1"/>
  <c r="C8233" i="1"/>
  <c r="E8232" i="1"/>
  <c r="C8232" i="1"/>
  <c r="E8231" i="1"/>
  <c r="C8231" i="1"/>
  <c r="E8230" i="1"/>
  <c r="C8230" i="1"/>
  <c r="E8229" i="1"/>
  <c r="C8229" i="1"/>
  <c r="E8228" i="1"/>
  <c r="C8228" i="1"/>
  <c r="E8227" i="1"/>
  <c r="C8227" i="1"/>
  <c r="E8226" i="1"/>
  <c r="C8226" i="1"/>
  <c r="E8225" i="1"/>
  <c r="C8225" i="1"/>
  <c r="E8224" i="1"/>
  <c r="C8224" i="1"/>
  <c r="E8223" i="1"/>
  <c r="C8223" i="1"/>
  <c r="E8222" i="1"/>
  <c r="C8222" i="1"/>
  <c r="E8221" i="1"/>
  <c r="C8221" i="1"/>
  <c r="E8220" i="1"/>
  <c r="C8220" i="1"/>
  <c r="E8219" i="1"/>
  <c r="C8219" i="1"/>
  <c r="E8218" i="1"/>
  <c r="C8218" i="1"/>
  <c r="E8217" i="1"/>
  <c r="C8217" i="1"/>
  <c r="E8216" i="1"/>
  <c r="C8216" i="1"/>
  <c r="E8215" i="1"/>
  <c r="C8215" i="1"/>
  <c r="E8214" i="1"/>
  <c r="C8214" i="1"/>
  <c r="E8213" i="1"/>
  <c r="C8213" i="1"/>
  <c r="E8212" i="1"/>
  <c r="C8212" i="1"/>
  <c r="E8211" i="1"/>
  <c r="C8211" i="1"/>
  <c r="E8210" i="1"/>
  <c r="C8210" i="1"/>
  <c r="E8209" i="1"/>
  <c r="C8209" i="1"/>
  <c r="E8208" i="1"/>
  <c r="C8208" i="1"/>
  <c r="E8207" i="1"/>
  <c r="C8207" i="1"/>
  <c r="E8206" i="1"/>
  <c r="C8206" i="1"/>
  <c r="E8205" i="1"/>
  <c r="C8205" i="1"/>
  <c r="E8204" i="1"/>
  <c r="C8204" i="1"/>
  <c r="E8203" i="1"/>
  <c r="C8203" i="1"/>
  <c r="E8202" i="1"/>
  <c r="C8202" i="1"/>
  <c r="E8201" i="1"/>
  <c r="C8201" i="1"/>
  <c r="E8200" i="1"/>
  <c r="C8200" i="1"/>
  <c r="E8199" i="1"/>
  <c r="C8199" i="1"/>
  <c r="E8198" i="1"/>
  <c r="C8198" i="1"/>
  <c r="E8197" i="1"/>
  <c r="C8197" i="1"/>
  <c r="E8196" i="1"/>
  <c r="C8196" i="1"/>
  <c r="E8195" i="1"/>
  <c r="C8195" i="1"/>
  <c r="E8194" i="1"/>
  <c r="C8194" i="1"/>
  <c r="E8193" i="1"/>
  <c r="C8193" i="1"/>
  <c r="E8192" i="1"/>
  <c r="C8192" i="1"/>
  <c r="E8191" i="1"/>
  <c r="C8191" i="1"/>
  <c r="E8190" i="1"/>
  <c r="C8190" i="1"/>
  <c r="E8189" i="1"/>
  <c r="C8189" i="1"/>
  <c r="E8188" i="1"/>
  <c r="C8188" i="1"/>
  <c r="E8187" i="1"/>
  <c r="C8187" i="1"/>
  <c r="E8186" i="1"/>
  <c r="C8186" i="1"/>
  <c r="E8185" i="1"/>
  <c r="C8185" i="1"/>
  <c r="E8184" i="1"/>
  <c r="C8184" i="1"/>
  <c r="E8183" i="1"/>
  <c r="C8183" i="1"/>
  <c r="E8182" i="1"/>
  <c r="C8182" i="1"/>
  <c r="E8181" i="1"/>
  <c r="C8181" i="1"/>
  <c r="E8180" i="1"/>
  <c r="C8180" i="1"/>
  <c r="E8179" i="1"/>
  <c r="C8179" i="1"/>
  <c r="E8178" i="1"/>
  <c r="C8178" i="1"/>
  <c r="E8177" i="1"/>
  <c r="C8177" i="1"/>
  <c r="E8176" i="1"/>
  <c r="C8176" i="1"/>
  <c r="E8175" i="1"/>
  <c r="C8175" i="1"/>
  <c r="E8174" i="1"/>
  <c r="C8174" i="1"/>
  <c r="E8173" i="1"/>
  <c r="C8173" i="1"/>
  <c r="E8172" i="1"/>
  <c r="C8172" i="1"/>
  <c r="E8171" i="1"/>
  <c r="C8171" i="1"/>
  <c r="E8170" i="1"/>
  <c r="C8170" i="1"/>
  <c r="E8169" i="1"/>
  <c r="C8169" i="1"/>
  <c r="E8168" i="1"/>
  <c r="C8168" i="1"/>
  <c r="E8167" i="1"/>
  <c r="C8167" i="1"/>
  <c r="E8166" i="1"/>
  <c r="C8166" i="1"/>
  <c r="E8165" i="1"/>
  <c r="C8165" i="1"/>
  <c r="E8164" i="1"/>
  <c r="C8164" i="1"/>
  <c r="E8163" i="1"/>
  <c r="C8163" i="1"/>
  <c r="E8162" i="1"/>
  <c r="C8162" i="1"/>
  <c r="E8161" i="1"/>
  <c r="C8161" i="1"/>
  <c r="E8160" i="1"/>
  <c r="C8160" i="1"/>
  <c r="E8159" i="1"/>
  <c r="C8159" i="1"/>
  <c r="E8158" i="1"/>
  <c r="C8158" i="1"/>
  <c r="E8157" i="1"/>
  <c r="C8157" i="1"/>
  <c r="E8156" i="1"/>
  <c r="C8156" i="1"/>
  <c r="E8155" i="1"/>
  <c r="C8155" i="1"/>
  <c r="E8154" i="1"/>
  <c r="C8154" i="1"/>
  <c r="E8153" i="1"/>
  <c r="C8153" i="1"/>
  <c r="E8152" i="1"/>
  <c r="C8152" i="1"/>
  <c r="E8151" i="1"/>
  <c r="C8151" i="1"/>
  <c r="E8150" i="1"/>
  <c r="C8150" i="1"/>
  <c r="E8149" i="1"/>
  <c r="C8149" i="1"/>
  <c r="E8148" i="1"/>
  <c r="C8148" i="1"/>
  <c r="E8147" i="1"/>
  <c r="C8147" i="1"/>
  <c r="E8146" i="1"/>
  <c r="C8146" i="1"/>
  <c r="E8145" i="1"/>
  <c r="C8145" i="1"/>
  <c r="E8144" i="1"/>
  <c r="C8144" i="1"/>
  <c r="E8143" i="1"/>
  <c r="C8143" i="1"/>
  <c r="E8142" i="1"/>
  <c r="C8142" i="1"/>
  <c r="E8141" i="1"/>
  <c r="C8141" i="1"/>
  <c r="E8140" i="1"/>
  <c r="C8140" i="1"/>
  <c r="E8139" i="1"/>
  <c r="C8139" i="1"/>
  <c r="E8138" i="1"/>
  <c r="C8138" i="1"/>
  <c r="E8137" i="1"/>
  <c r="C8137" i="1"/>
  <c r="E8136" i="1"/>
  <c r="C8136" i="1"/>
  <c r="E8135" i="1"/>
  <c r="C8135" i="1"/>
  <c r="E8134" i="1"/>
  <c r="C8134" i="1"/>
  <c r="E8133" i="1"/>
  <c r="C8133" i="1"/>
  <c r="E8132" i="1"/>
  <c r="C8132" i="1"/>
  <c r="E8131" i="1"/>
  <c r="C8131" i="1"/>
  <c r="E8130" i="1"/>
  <c r="C8130" i="1"/>
  <c r="E8129" i="1"/>
  <c r="C8129" i="1"/>
  <c r="E8128" i="1"/>
  <c r="C8128" i="1"/>
  <c r="E8127" i="1"/>
  <c r="C8127" i="1"/>
  <c r="E8126" i="1"/>
  <c r="C8126" i="1"/>
  <c r="E8125" i="1"/>
  <c r="C8125" i="1"/>
  <c r="E8124" i="1"/>
  <c r="C8124" i="1"/>
  <c r="E8123" i="1"/>
  <c r="C8123" i="1"/>
  <c r="E8122" i="1"/>
  <c r="C8122" i="1"/>
  <c r="E8121" i="1"/>
  <c r="C8121" i="1"/>
  <c r="E8120" i="1"/>
  <c r="C8120" i="1"/>
  <c r="E8119" i="1"/>
  <c r="C8119" i="1"/>
  <c r="E8118" i="1"/>
  <c r="C8118" i="1"/>
  <c r="E8117" i="1"/>
  <c r="C8117" i="1"/>
  <c r="E8116" i="1"/>
  <c r="C8116" i="1"/>
  <c r="E8115" i="1"/>
  <c r="C8115" i="1"/>
  <c r="E8114" i="1"/>
  <c r="C8114" i="1"/>
  <c r="E8113" i="1"/>
  <c r="C8113" i="1"/>
  <c r="E8112" i="1"/>
  <c r="C8112" i="1"/>
  <c r="E8111" i="1"/>
  <c r="C8111" i="1"/>
  <c r="E8110" i="1"/>
  <c r="C8110" i="1"/>
  <c r="E8109" i="1"/>
  <c r="C8109" i="1"/>
  <c r="E8108" i="1"/>
  <c r="C8108" i="1"/>
  <c r="E8107" i="1"/>
  <c r="C8107" i="1"/>
  <c r="E8106" i="1"/>
  <c r="C8106" i="1"/>
  <c r="E8105" i="1"/>
  <c r="C8105" i="1"/>
  <c r="E8104" i="1"/>
  <c r="C8104" i="1"/>
  <c r="E8103" i="1"/>
  <c r="C8103" i="1"/>
  <c r="E8102" i="1"/>
  <c r="C8102" i="1"/>
  <c r="E8101" i="1"/>
  <c r="C8101" i="1"/>
  <c r="E8100" i="1"/>
  <c r="C8100" i="1"/>
  <c r="E8099" i="1"/>
  <c r="C8099" i="1"/>
  <c r="E8098" i="1"/>
  <c r="C8098" i="1"/>
  <c r="E8097" i="1"/>
  <c r="C8097" i="1"/>
  <c r="E8096" i="1"/>
  <c r="C8096" i="1"/>
  <c r="E8095" i="1"/>
  <c r="C8095" i="1"/>
  <c r="E8094" i="1"/>
  <c r="C8094" i="1"/>
  <c r="E8093" i="1"/>
  <c r="C8093" i="1"/>
  <c r="E8092" i="1"/>
  <c r="C8092" i="1"/>
  <c r="E8091" i="1"/>
  <c r="C8091" i="1"/>
  <c r="E8090" i="1"/>
  <c r="C8090" i="1"/>
  <c r="E8089" i="1"/>
  <c r="C8089" i="1"/>
  <c r="E8088" i="1"/>
  <c r="C8088" i="1"/>
  <c r="E8087" i="1"/>
  <c r="C8087" i="1"/>
  <c r="E8086" i="1"/>
  <c r="C8086" i="1"/>
  <c r="E8085" i="1"/>
  <c r="C8085" i="1"/>
  <c r="E8084" i="1"/>
  <c r="C8084" i="1"/>
  <c r="E8083" i="1"/>
  <c r="C8083" i="1"/>
  <c r="E8082" i="1"/>
  <c r="C8082" i="1"/>
  <c r="E8081" i="1"/>
  <c r="C8081" i="1"/>
  <c r="E8080" i="1"/>
  <c r="C8080" i="1"/>
  <c r="E8079" i="1"/>
  <c r="C8079" i="1"/>
  <c r="E8078" i="1"/>
  <c r="C8078" i="1"/>
  <c r="E8077" i="1"/>
  <c r="C8077" i="1"/>
  <c r="E8076" i="1"/>
  <c r="C8076" i="1"/>
  <c r="E8075" i="1"/>
  <c r="C8075" i="1"/>
  <c r="E8074" i="1"/>
  <c r="C8074" i="1"/>
  <c r="E8073" i="1"/>
  <c r="C8073" i="1"/>
  <c r="E8072" i="1"/>
  <c r="C8072" i="1"/>
  <c r="E8071" i="1"/>
  <c r="C8071" i="1"/>
  <c r="E8070" i="1"/>
  <c r="C8070" i="1"/>
  <c r="E8069" i="1"/>
  <c r="C8069" i="1"/>
  <c r="E8068" i="1"/>
  <c r="C8068" i="1"/>
  <c r="E8067" i="1"/>
  <c r="C8067" i="1"/>
  <c r="E8066" i="1"/>
  <c r="C8066" i="1"/>
  <c r="E8065" i="1"/>
  <c r="C8065" i="1"/>
  <c r="E8064" i="1"/>
  <c r="C8064" i="1"/>
  <c r="E8063" i="1"/>
  <c r="C8063" i="1"/>
  <c r="E8062" i="1"/>
  <c r="C8062" i="1"/>
  <c r="E8061" i="1"/>
  <c r="C8061" i="1"/>
  <c r="E8060" i="1"/>
  <c r="C8060" i="1"/>
  <c r="E8059" i="1"/>
  <c r="C8059" i="1"/>
  <c r="E8058" i="1"/>
  <c r="C8058" i="1"/>
  <c r="E8057" i="1"/>
  <c r="C8057" i="1"/>
  <c r="E8056" i="1"/>
  <c r="C8056" i="1"/>
  <c r="E8055" i="1"/>
  <c r="C8055" i="1"/>
  <c r="E8054" i="1"/>
  <c r="C8054" i="1"/>
  <c r="E8053" i="1"/>
  <c r="C8053" i="1"/>
  <c r="E8052" i="1"/>
  <c r="C8052" i="1"/>
  <c r="E8051" i="1"/>
  <c r="C8051" i="1"/>
  <c r="E8050" i="1"/>
  <c r="C8050" i="1"/>
  <c r="E8049" i="1"/>
  <c r="C8049" i="1"/>
  <c r="E8048" i="1"/>
  <c r="C8048" i="1"/>
  <c r="E8047" i="1"/>
  <c r="C8047" i="1"/>
  <c r="E8046" i="1"/>
  <c r="C8046" i="1"/>
  <c r="E8045" i="1"/>
  <c r="C8045" i="1"/>
  <c r="E8044" i="1"/>
  <c r="C8044" i="1"/>
  <c r="E8043" i="1"/>
  <c r="C8043" i="1"/>
  <c r="E8042" i="1"/>
  <c r="C8042" i="1"/>
  <c r="E8041" i="1"/>
  <c r="C8041" i="1"/>
  <c r="E8040" i="1"/>
  <c r="C8040" i="1"/>
  <c r="E8039" i="1"/>
  <c r="C8039" i="1"/>
  <c r="E8038" i="1"/>
  <c r="C8038" i="1"/>
  <c r="E8037" i="1"/>
  <c r="C8037" i="1"/>
  <c r="E8036" i="1"/>
  <c r="C8036" i="1"/>
  <c r="E8035" i="1"/>
  <c r="C8035" i="1"/>
  <c r="E8034" i="1"/>
  <c r="C8034" i="1"/>
  <c r="E8033" i="1"/>
  <c r="C8033" i="1"/>
  <c r="E8032" i="1"/>
  <c r="C8032" i="1"/>
  <c r="E8031" i="1"/>
  <c r="C8031" i="1"/>
  <c r="E8030" i="1"/>
  <c r="C8030" i="1"/>
  <c r="E8029" i="1"/>
  <c r="C8029" i="1"/>
  <c r="E8028" i="1"/>
  <c r="C8028" i="1"/>
  <c r="E8027" i="1"/>
  <c r="C8027" i="1"/>
  <c r="E8026" i="1"/>
  <c r="C8026" i="1"/>
  <c r="E8025" i="1"/>
  <c r="C8025" i="1"/>
  <c r="E8024" i="1"/>
  <c r="C8024" i="1"/>
  <c r="E8023" i="1"/>
  <c r="C8023" i="1"/>
  <c r="E8022" i="1"/>
  <c r="C8022" i="1"/>
  <c r="E8021" i="1"/>
  <c r="C8021" i="1"/>
  <c r="E8020" i="1"/>
  <c r="C8020" i="1"/>
  <c r="E8019" i="1"/>
  <c r="C8019" i="1"/>
  <c r="E8018" i="1"/>
  <c r="C8018" i="1"/>
  <c r="E8017" i="1"/>
  <c r="C8017" i="1"/>
  <c r="E8016" i="1"/>
  <c r="C8016" i="1"/>
  <c r="E8015" i="1"/>
  <c r="C8015" i="1"/>
  <c r="E8014" i="1"/>
  <c r="C8014" i="1"/>
  <c r="E8013" i="1"/>
  <c r="C8013" i="1"/>
  <c r="E8012" i="1"/>
  <c r="C8012" i="1"/>
  <c r="E8011" i="1"/>
  <c r="C8011" i="1"/>
  <c r="E8010" i="1"/>
  <c r="C8010" i="1"/>
  <c r="E8009" i="1"/>
  <c r="C8009" i="1"/>
  <c r="E8008" i="1"/>
  <c r="C8008" i="1"/>
  <c r="E8007" i="1"/>
  <c r="C8007" i="1"/>
  <c r="E8006" i="1"/>
  <c r="C8006" i="1"/>
  <c r="E8005" i="1"/>
  <c r="C8005" i="1"/>
  <c r="E8004" i="1"/>
  <c r="C8004" i="1"/>
  <c r="E8003" i="1"/>
  <c r="C8003" i="1"/>
  <c r="E8002" i="1"/>
  <c r="C8002" i="1"/>
  <c r="E8001" i="1"/>
  <c r="C8001" i="1"/>
  <c r="E8000" i="1"/>
  <c r="C8000" i="1"/>
  <c r="E7999" i="1"/>
  <c r="C7999" i="1"/>
  <c r="E7998" i="1"/>
  <c r="C7998" i="1"/>
  <c r="E7997" i="1"/>
  <c r="C7997" i="1"/>
  <c r="E7996" i="1"/>
  <c r="C7996" i="1"/>
  <c r="E7995" i="1"/>
  <c r="C7995" i="1"/>
  <c r="E7994" i="1"/>
  <c r="C7994" i="1"/>
  <c r="E7993" i="1"/>
  <c r="C7993" i="1"/>
  <c r="E7992" i="1"/>
  <c r="C7992" i="1"/>
  <c r="E7991" i="1"/>
  <c r="C7991" i="1"/>
  <c r="E7990" i="1"/>
  <c r="C7990" i="1"/>
  <c r="E7989" i="1"/>
  <c r="C7989" i="1"/>
  <c r="E7988" i="1"/>
  <c r="C7988" i="1"/>
  <c r="E7987" i="1"/>
  <c r="C7987" i="1"/>
  <c r="E7986" i="1"/>
  <c r="C7986" i="1"/>
  <c r="E7985" i="1"/>
  <c r="C7985" i="1"/>
  <c r="E7984" i="1"/>
  <c r="C7984" i="1"/>
  <c r="E7983" i="1"/>
  <c r="C7983" i="1"/>
  <c r="E7982" i="1"/>
  <c r="C7982" i="1"/>
  <c r="E7981" i="1"/>
  <c r="C7981" i="1"/>
  <c r="E7980" i="1"/>
  <c r="C7980" i="1"/>
  <c r="E7979" i="1"/>
  <c r="C7979" i="1"/>
  <c r="E7978" i="1"/>
  <c r="C7978" i="1"/>
  <c r="E7977" i="1"/>
  <c r="C7977" i="1"/>
  <c r="E7976" i="1"/>
  <c r="C7976" i="1"/>
  <c r="E7975" i="1"/>
  <c r="C7975" i="1"/>
  <c r="E7974" i="1"/>
  <c r="C7974" i="1"/>
  <c r="E7973" i="1"/>
  <c r="C7973" i="1"/>
  <c r="E7972" i="1"/>
  <c r="C7972" i="1"/>
  <c r="E7971" i="1"/>
  <c r="C7971" i="1"/>
  <c r="E7970" i="1"/>
  <c r="C7970" i="1"/>
  <c r="E7969" i="1"/>
  <c r="C7969" i="1"/>
  <c r="E7968" i="1"/>
  <c r="C7968" i="1"/>
  <c r="E7967" i="1"/>
  <c r="C7967" i="1"/>
  <c r="E7966" i="1"/>
  <c r="C7966" i="1"/>
  <c r="E7965" i="1"/>
  <c r="C7965" i="1"/>
  <c r="E7964" i="1"/>
  <c r="C7964" i="1"/>
  <c r="E7963" i="1"/>
  <c r="C7963" i="1"/>
  <c r="E7962" i="1"/>
  <c r="C7962" i="1"/>
  <c r="E7961" i="1"/>
  <c r="C7961" i="1"/>
  <c r="E7960" i="1"/>
  <c r="C7960" i="1"/>
  <c r="E7959" i="1"/>
  <c r="C7959" i="1"/>
  <c r="E7958" i="1"/>
  <c r="C7958" i="1"/>
  <c r="E7957" i="1"/>
  <c r="C7957" i="1"/>
  <c r="E7956" i="1"/>
  <c r="C7956" i="1"/>
  <c r="E7955" i="1"/>
  <c r="C7955" i="1"/>
  <c r="E7954" i="1"/>
  <c r="C7954" i="1"/>
  <c r="E7953" i="1"/>
  <c r="C7953" i="1"/>
  <c r="E7952" i="1"/>
  <c r="C7952" i="1"/>
  <c r="E7951" i="1"/>
  <c r="C7951" i="1"/>
  <c r="E7950" i="1"/>
  <c r="C7950" i="1"/>
  <c r="E7949" i="1"/>
  <c r="C7949" i="1"/>
  <c r="E7948" i="1"/>
  <c r="C7948" i="1"/>
  <c r="E7947" i="1"/>
  <c r="C7947" i="1"/>
  <c r="E7946" i="1"/>
  <c r="C7946" i="1"/>
  <c r="E7945" i="1"/>
  <c r="C7945" i="1"/>
  <c r="E7944" i="1"/>
  <c r="C7944" i="1"/>
  <c r="E7943" i="1"/>
  <c r="C7943" i="1"/>
  <c r="E7942" i="1"/>
  <c r="C7942" i="1"/>
  <c r="E7941" i="1"/>
  <c r="C7941" i="1"/>
  <c r="E7940" i="1"/>
  <c r="C7940" i="1"/>
  <c r="E7939" i="1"/>
  <c r="C7939" i="1"/>
  <c r="E7938" i="1"/>
  <c r="C7938" i="1"/>
  <c r="E7937" i="1"/>
  <c r="C7937" i="1"/>
  <c r="E7936" i="1"/>
  <c r="C7936" i="1"/>
  <c r="E7935" i="1"/>
  <c r="C7935" i="1"/>
  <c r="E7934" i="1"/>
  <c r="C7934" i="1"/>
  <c r="E7933" i="1"/>
  <c r="C7933" i="1"/>
  <c r="E7932" i="1"/>
  <c r="C7932" i="1"/>
  <c r="E7931" i="1"/>
  <c r="C7931" i="1"/>
  <c r="E7930" i="1"/>
  <c r="C7930" i="1"/>
  <c r="E7929" i="1"/>
  <c r="C7929" i="1"/>
  <c r="E7928" i="1"/>
  <c r="C7928" i="1"/>
  <c r="E7927" i="1"/>
  <c r="C7927" i="1"/>
  <c r="E7926" i="1"/>
  <c r="C7926" i="1"/>
  <c r="E7925" i="1"/>
  <c r="C7925" i="1"/>
  <c r="E7924" i="1"/>
  <c r="C7924" i="1"/>
  <c r="E7923" i="1"/>
  <c r="C7923" i="1"/>
  <c r="E7922" i="1"/>
  <c r="C7922" i="1"/>
  <c r="E7921" i="1"/>
  <c r="C7921" i="1"/>
  <c r="E7920" i="1"/>
  <c r="C7920" i="1"/>
  <c r="E7919" i="1"/>
  <c r="C7919" i="1"/>
  <c r="E7918" i="1"/>
  <c r="C7918" i="1"/>
  <c r="E7917" i="1"/>
  <c r="C7917" i="1"/>
  <c r="E7916" i="1"/>
  <c r="C7916" i="1"/>
  <c r="E7915" i="1"/>
  <c r="C7915" i="1"/>
  <c r="E7914" i="1"/>
  <c r="C7914" i="1"/>
  <c r="E7913" i="1"/>
  <c r="C7913" i="1"/>
  <c r="E7912" i="1"/>
  <c r="C7912" i="1"/>
  <c r="E7911" i="1"/>
  <c r="C7911" i="1"/>
  <c r="E7910" i="1"/>
  <c r="C7910" i="1"/>
  <c r="E7909" i="1"/>
  <c r="C7909" i="1"/>
  <c r="E7908" i="1"/>
  <c r="C7908" i="1"/>
  <c r="E7907" i="1"/>
  <c r="C7907" i="1"/>
  <c r="E7906" i="1"/>
  <c r="C7906" i="1"/>
  <c r="E7905" i="1"/>
  <c r="C7905" i="1"/>
  <c r="E7904" i="1"/>
  <c r="C7904" i="1"/>
  <c r="E7903" i="1"/>
  <c r="C7903" i="1"/>
  <c r="E7902" i="1"/>
  <c r="C7902" i="1"/>
  <c r="E7901" i="1"/>
  <c r="C7901" i="1"/>
  <c r="E7900" i="1"/>
  <c r="C7900" i="1"/>
  <c r="E7899" i="1"/>
  <c r="C7899" i="1"/>
  <c r="E7898" i="1"/>
  <c r="C7898" i="1"/>
  <c r="E7897" i="1"/>
  <c r="C7897" i="1"/>
  <c r="E7896" i="1"/>
  <c r="C7896" i="1"/>
  <c r="E7895" i="1"/>
  <c r="C7895" i="1"/>
  <c r="E7894" i="1"/>
  <c r="C7894" i="1"/>
  <c r="E7893" i="1"/>
  <c r="C7893" i="1"/>
  <c r="E7892" i="1"/>
  <c r="C7892" i="1"/>
  <c r="E7891" i="1"/>
  <c r="C7891" i="1"/>
  <c r="E7890" i="1"/>
  <c r="C7890" i="1"/>
  <c r="E7889" i="1"/>
  <c r="C7889" i="1"/>
  <c r="E7888" i="1"/>
  <c r="C7888" i="1"/>
  <c r="E7887" i="1"/>
  <c r="C7887" i="1"/>
  <c r="E7886" i="1"/>
  <c r="C7886" i="1"/>
  <c r="E7885" i="1"/>
  <c r="C7885" i="1"/>
  <c r="E7884" i="1"/>
  <c r="C7884" i="1"/>
  <c r="E7883" i="1"/>
  <c r="C7883" i="1"/>
  <c r="E7882" i="1"/>
  <c r="C7882" i="1"/>
  <c r="E7881" i="1"/>
  <c r="C7881" i="1"/>
  <c r="E7880" i="1"/>
  <c r="C7880" i="1"/>
  <c r="E7879" i="1"/>
  <c r="C7879" i="1"/>
  <c r="E7878" i="1"/>
  <c r="C7878" i="1"/>
  <c r="E7877" i="1"/>
  <c r="C7877" i="1"/>
  <c r="E7876" i="1"/>
  <c r="C7876" i="1"/>
  <c r="E7875" i="1"/>
  <c r="C7875" i="1"/>
  <c r="E7874" i="1"/>
  <c r="C7874" i="1"/>
  <c r="E7873" i="1"/>
  <c r="C7873" i="1"/>
  <c r="E7872" i="1"/>
  <c r="C7872" i="1"/>
  <c r="E7871" i="1"/>
  <c r="C7871" i="1"/>
  <c r="E7870" i="1"/>
  <c r="C7870" i="1"/>
  <c r="E7869" i="1"/>
  <c r="C7869" i="1"/>
  <c r="E7868" i="1"/>
  <c r="C7868" i="1"/>
  <c r="E7867" i="1"/>
  <c r="C7867" i="1"/>
  <c r="E7866" i="1"/>
  <c r="C7866" i="1"/>
  <c r="E7865" i="1"/>
  <c r="C7865" i="1"/>
  <c r="E7864" i="1"/>
  <c r="C7864" i="1"/>
  <c r="E7863" i="1"/>
  <c r="C7863" i="1"/>
  <c r="E7862" i="1"/>
  <c r="C7862" i="1"/>
  <c r="E7861" i="1"/>
  <c r="C7861" i="1"/>
  <c r="E7860" i="1"/>
  <c r="C7860" i="1"/>
  <c r="E7859" i="1"/>
  <c r="C7859" i="1"/>
  <c r="E7858" i="1"/>
  <c r="C7858" i="1"/>
  <c r="E7857" i="1"/>
  <c r="C7857" i="1"/>
  <c r="E7856" i="1"/>
  <c r="C7856" i="1"/>
  <c r="E7855" i="1"/>
  <c r="C7855" i="1"/>
  <c r="E7854" i="1"/>
  <c r="C7854" i="1"/>
  <c r="E7853" i="1"/>
  <c r="C7853" i="1"/>
  <c r="E7852" i="1"/>
  <c r="C7852" i="1"/>
  <c r="E7851" i="1"/>
  <c r="C7851" i="1"/>
  <c r="E7850" i="1"/>
  <c r="C7850" i="1"/>
  <c r="E7849" i="1"/>
  <c r="C7849" i="1"/>
  <c r="E7848" i="1"/>
  <c r="C7848" i="1"/>
  <c r="E7847" i="1"/>
  <c r="C7847" i="1"/>
  <c r="E7846" i="1"/>
  <c r="C7846" i="1"/>
  <c r="E7845" i="1"/>
  <c r="C7845" i="1"/>
  <c r="E7844" i="1"/>
  <c r="C7844" i="1"/>
  <c r="E7843" i="1"/>
  <c r="C7843" i="1"/>
  <c r="E7842" i="1"/>
  <c r="C7842" i="1"/>
  <c r="E7841" i="1"/>
  <c r="C7841" i="1"/>
  <c r="E7840" i="1"/>
  <c r="C7840" i="1"/>
  <c r="E7839" i="1"/>
  <c r="C7839" i="1"/>
  <c r="E7838" i="1"/>
  <c r="C7838" i="1"/>
  <c r="E7837" i="1"/>
  <c r="C7837" i="1"/>
  <c r="E7836" i="1"/>
  <c r="C7836" i="1"/>
  <c r="E7835" i="1"/>
  <c r="C7835" i="1"/>
  <c r="E7834" i="1"/>
  <c r="C7834" i="1"/>
  <c r="E7833" i="1"/>
  <c r="C7833" i="1"/>
  <c r="E7832" i="1"/>
  <c r="C7832" i="1"/>
  <c r="E7831" i="1"/>
  <c r="C7831" i="1"/>
  <c r="E7830" i="1"/>
  <c r="C7830" i="1"/>
  <c r="E7829" i="1"/>
  <c r="C7829" i="1"/>
  <c r="E7828" i="1"/>
  <c r="C7828" i="1"/>
  <c r="E7827" i="1"/>
  <c r="C7827" i="1"/>
  <c r="E7826" i="1"/>
  <c r="C7826" i="1"/>
  <c r="E7825" i="1"/>
  <c r="C7825" i="1"/>
  <c r="E7824" i="1"/>
  <c r="C7824" i="1"/>
  <c r="E7823" i="1"/>
  <c r="C7823" i="1"/>
  <c r="E7822" i="1"/>
  <c r="C7822" i="1"/>
  <c r="E7821" i="1"/>
  <c r="C7821" i="1"/>
  <c r="E7820" i="1"/>
  <c r="C7820" i="1"/>
  <c r="E7819" i="1"/>
  <c r="C7819" i="1"/>
  <c r="E7818" i="1"/>
  <c r="C7818" i="1"/>
  <c r="E7817" i="1"/>
  <c r="C7817" i="1"/>
  <c r="E7816" i="1"/>
  <c r="C7816" i="1"/>
  <c r="E7815" i="1"/>
  <c r="C7815" i="1"/>
  <c r="E7814" i="1"/>
  <c r="C7814" i="1"/>
  <c r="E7813" i="1"/>
  <c r="C7813" i="1"/>
  <c r="E7812" i="1"/>
  <c r="C7812" i="1"/>
  <c r="E7811" i="1"/>
  <c r="C7811" i="1"/>
  <c r="E7810" i="1"/>
  <c r="C7810" i="1"/>
  <c r="E7809" i="1"/>
  <c r="C7809" i="1"/>
  <c r="E7808" i="1"/>
  <c r="C7808" i="1"/>
  <c r="E7807" i="1"/>
  <c r="C7807" i="1"/>
  <c r="E7806" i="1"/>
  <c r="C7806" i="1"/>
  <c r="E7805" i="1"/>
  <c r="C7805" i="1"/>
  <c r="E7804" i="1"/>
  <c r="C7804" i="1"/>
  <c r="E7803" i="1"/>
  <c r="C7803" i="1"/>
  <c r="E7802" i="1"/>
  <c r="C7802" i="1"/>
  <c r="E7801" i="1"/>
  <c r="C7801" i="1"/>
  <c r="E7800" i="1"/>
  <c r="C7800" i="1"/>
  <c r="E7799" i="1"/>
  <c r="C7799" i="1"/>
  <c r="E7798" i="1"/>
  <c r="C7798" i="1"/>
  <c r="E7797" i="1"/>
  <c r="C7797" i="1"/>
  <c r="E7796" i="1"/>
  <c r="C7796" i="1"/>
  <c r="E7795" i="1"/>
  <c r="C7795" i="1"/>
  <c r="E7794" i="1"/>
  <c r="C7794" i="1"/>
  <c r="E7793" i="1"/>
  <c r="C7793" i="1"/>
  <c r="E7792" i="1"/>
  <c r="C7792" i="1"/>
  <c r="E7791" i="1"/>
  <c r="C7791" i="1"/>
  <c r="E7790" i="1"/>
  <c r="C7790" i="1"/>
  <c r="E7789" i="1"/>
  <c r="C7789" i="1"/>
  <c r="E7788" i="1"/>
  <c r="C7788" i="1"/>
  <c r="E7787" i="1"/>
  <c r="C7787" i="1"/>
  <c r="E7786" i="1"/>
  <c r="C7786" i="1"/>
  <c r="E7785" i="1"/>
  <c r="C7785" i="1"/>
  <c r="E7784" i="1"/>
  <c r="C7784" i="1"/>
  <c r="E7783" i="1"/>
  <c r="C7783" i="1"/>
  <c r="E7782" i="1"/>
  <c r="C7782" i="1"/>
  <c r="E7781" i="1"/>
  <c r="C7781" i="1"/>
  <c r="E7780" i="1"/>
  <c r="C7780" i="1"/>
  <c r="E7779" i="1"/>
  <c r="C7779" i="1"/>
  <c r="E7778" i="1"/>
  <c r="C7778" i="1"/>
  <c r="E7777" i="1"/>
  <c r="C7777" i="1"/>
  <c r="E7776" i="1"/>
  <c r="C7776" i="1"/>
  <c r="E7775" i="1"/>
  <c r="C7775" i="1"/>
  <c r="E7774" i="1"/>
  <c r="C7774" i="1"/>
  <c r="E7773" i="1"/>
  <c r="C7773" i="1"/>
  <c r="E7772" i="1"/>
  <c r="C7772" i="1"/>
  <c r="E7771" i="1"/>
  <c r="C7771" i="1"/>
  <c r="E7770" i="1"/>
  <c r="C7770" i="1"/>
  <c r="E7769" i="1"/>
  <c r="C7769" i="1"/>
  <c r="E7768" i="1"/>
  <c r="C7768" i="1"/>
  <c r="E7767" i="1"/>
  <c r="C7767" i="1"/>
  <c r="E7766" i="1"/>
  <c r="C7766" i="1"/>
  <c r="E7765" i="1"/>
  <c r="C7765" i="1"/>
  <c r="E7764" i="1"/>
  <c r="C7764" i="1"/>
  <c r="E7763" i="1"/>
  <c r="C7763" i="1"/>
  <c r="E7762" i="1"/>
  <c r="C7762" i="1"/>
  <c r="E7761" i="1"/>
  <c r="C7761" i="1"/>
  <c r="E7760" i="1"/>
  <c r="C7760" i="1"/>
  <c r="E7759" i="1"/>
  <c r="C7759" i="1"/>
  <c r="E7758" i="1"/>
  <c r="C7758" i="1"/>
  <c r="E7757" i="1"/>
  <c r="C7757" i="1"/>
  <c r="E7756" i="1"/>
  <c r="C7756" i="1"/>
  <c r="E7755" i="1"/>
  <c r="C7755" i="1"/>
  <c r="E7754" i="1"/>
  <c r="C7754" i="1"/>
  <c r="E7753" i="1"/>
  <c r="C7753" i="1"/>
  <c r="E7752" i="1"/>
  <c r="C7752" i="1"/>
  <c r="E7751" i="1"/>
  <c r="C7751" i="1"/>
  <c r="E7750" i="1"/>
  <c r="C7750" i="1"/>
  <c r="E7749" i="1"/>
  <c r="C7749" i="1"/>
  <c r="E7748" i="1"/>
  <c r="C7748" i="1"/>
  <c r="E7747" i="1"/>
  <c r="C7747" i="1"/>
  <c r="E7746" i="1"/>
  <c r="C7746" i="1"/>
  <c r="E7745" i="1"/>
  <c r="C7745" i="1"/>
  <c r="E7744" i="1"/>
  <c r="C7744" i="1"/>
  <c r="E7743" i="1"/>
  <c r="C7743" i="1"/>
  <c r="E7742" i="1"/>
  <c r="C7742" i="1"/>
  <c r="E7741" i="1"/>
  <c r="C7741" i="1"/>
  <c r="E7740" i="1"/>
  <c r="C7740" i="1"/>
  <c r="E7739" i="1"/>
  <c r="C7739" i="1"/>
  <c r="E7738" i="1"/>
  <c r="C7738" i="1"/>
  <c r="E7737" i="1"/>
  <c r="C7737" i="1"/>
  <c r="E7736" i="1"/>
  <c r="C7736" i="1"/>
  <c r="E7735" i="1"/>
  <c r="C7735" i="1"/>
  <c r="E7734" i="1"/>
  <c r="C7734" i="1"/>
  <c r="E7733" i="1"/>
  <c r="C7733" i="1"/>
  <c r="E7732" i="1"/>
  <c r="C7732" i="1"/>
  <c r="E7731" i="1"/>
  <c r="C7731" i="1"/>
  <c r="E7730" i="1"/>
  <c r="C7730" i="1"/>
  <c r="E7729" i="1"/>
  <c r="C7729" i="1"/>
  <c r="E7728" i="1"/>
  <c r="C7728" i="1"/>
  <c r="E7727" i="1"/>
  <c r="C7727" i="1"/>
  <c r="E7726" i="1"/>
  <c r="C7726" i="1"/>
  <c r="E7725" i="1"/>
  <c r="C7725" i="1"/>
  <c r="E7724" i="1"/>
  <c r="C7724" i="1"/>
  <c r="E7723" i="1"/>
  <c r="C7723" i="1"/>
  <c r="E7722" i="1"/>
  <c r="C7722" i="1"/>
  <c r="E7721" i="1"/>
  <c r="C7721" i="1"/>
  <c r="E7720" i="1"/>
  <c r="C7720" i="1"/>
  <c r="E7719" i="1"/>
  <c r="C7719" i="1"/>
  <c r="E7718" i="1"/>
  <c r="C7718" i="1"/>
  <c r="E7717" i="1"/>
  <c r="C7717" i="1"/>
  <c r="E7716" i="1"/>
  <c r="C7716" i="1"/>
  <c r="E7715" i="1"/>
  <c r="C7715" i="1"/>
  <c r="E7714" i="1"/>
  <c r="C7714" i="1"/>
  <c r="E7713" i="1"/>
  <c r="C7713" i="1"/>
  <c r="E7712" i="1"/>
  <c r="C7712" i="1"/>
  <c r="E7711" i="1"/>
  <c r="C7711" i="1"/>
  <c r="E7710" i="1"/>
  <c r="C7710" i="1"/>
  <c r="E7709" i="1"/>
  <c r="C7709" i="1"/>
  <c r="E7708" i="1"/>
  <c r="C7708" i="1"/>
  <c r="E7707" i="1"/>
  <c r="C7707" i="1"/>
  <c r="E7706" i="1"/>
  <c r="C7706" i="1"/>
  <c r="E7705" i="1"/>
  <c r="C7705" i="1"/>
  <c r="E7704" i="1"/>
  <c r="C7704" i="1"/>
  <c r="E7703" i="1"/>
  <c r="C7703" i="1"/>
  <c r="E7702" i="1"/>
  <c r="C7702" i="1"/>
  <c r="E7701" i="1"/>
  <c r="C7701" i="1"/>
  <c r="E7700" i="1"/>
  <c r="C7700" i="1"/>
  <c r="E7699" i="1"/>
  <c r="C7699" i="1"/>
  <c r="E7698" i="1"/>
  <c r="C7698" i="1"/>
  <c r="E7697" i="1"/>
  <c r="C7697" i="1"/>
  <c r="E7696" i="1"/>
  <c r="C7696" i="1"/>
  <c r="E7695" i="1"/>
  <c r="C7695" i="1"/>
  <c r="E7694" i="1"/>
  <c r="C7694" i="1"/>
  <c r="E7693" i="1"/>
  <c r="C7693" i="1"/>
  <c r="E7692" i="1"/>
  <c r="C7692" i="1"/>
  <c r="E7691" i="1"/>
  <c r="C7691" i="1"/>
  <c r="E7690" i="1"/>
  <c r="C7690" i="1"/>
  <c r="E7689" i="1"/>
  <c r="C7689" i="1"/>
  <c r="E7688" i="1"/>
  <c r="C7688" i="1"/>
  <c r="E7687" i="1"/>
  <c r="C7687" i="1"/>
  <c r="E7686" i="1"/>
  <c r="C7686" i="1"/>
  <c r="E7685" i="1"/>
  <c r="C7685" i="1"/>
  <c r="E7684" i="1"/>
  <c r="C7684" i="1"/>
  <c r="E7683" i="1"/>
  <c r="C7683" i="1"/>
  <c r="E7682" i="1"/>
  <c r="C7682" i="1"/>
  <c r="E7681" i="1"/>
  <c r="C7681" i="1"/>
  <c r="E7680" i="1"/>
  <c r="C7680" i="1"/>
  <c r="E7679" i="1"/>
  <c r="C7679" i="1"/>
  <c r="E7678" i="1"/>
  <c r="C7678" i="1"/>
  <c r="E7677" i="1"/>
  <c r="C7677" i="1"/>
  <c r="E7676" i="1"/>
  <c r="C7676" i="1"/>
  <c r="E7675" i="1"/>
  <c r="C7675" i="1"/>
  <c r="E7674" i="1"/>
  <c r="C7674" i="1"/>
  <c r="E7673" i="1"/>
  <c r="C7673" i="1"/>
  <c r="E7672" i="1"/>
  <c r="C7672" i="1"/>
  <c r="E7671" i="1"/>
  <c r="C7671" i="1"/>
  <c r="E7670" i="1"/>
  <c r="C7670" i="1"/>
  <c r="E7669" i="1"/>
  <c r="C7669" i="1"/>
  <c r="E7668" i="1"/>
  <c r="C7668" i="1"/>
  <c r="E7667" i="1"/>
  <c r="C7667" i="1"/>
  <c r="E7666" i="1"/>
  <c r="C7666" i="1"/>
  <c r="E7665" i="1"/>
  <c r="C7665" i="1"/>
  <c r="E7664" i="1"/>
  <c r="C7664" i="1"/>
  <c r="E7663" i="1"/>
  <c r="C7663" i="1"/>
  <c r="E7662" i="1"/>
  <c r="C7662" i="1"/>
  <c r="E7661" i="1"/>
  <c r="C7661" i="1"/>
  <c r="E7660" i="1"/>
  <c r="C7660" i="1"/>
  <c r="E7659" i="1"/>
  <c r="C7659" i="1"/>
  <c r="E7658" i="1"/>
  <c r="C7658" i="1"/>
  <c r="E7657" i="1"/>
  <c r="C7657" i="1"/>
  <c r="E7656" i="1"/>
  <c r="C7656" i="1"/>
  <c r="E7655" i="1"/>
  <c r="C7655" i="1"/>
  <c r="E7654" i="1"/>
  <c r="C7654" i="1"/>
  <c r="E7653" i="1"/>
  <c r="C7653" i="1"/>
  <c r="E7652" i="1"/>
  <c r="C7652" i="1"/>
  <c r="E7651" i="1"/>
  <c r="C7651" i="1"/>
  <c r="E7650" i="1"/>
  <c r="C7650" i="1"/>
  <c r="E7649" i="1"/>
  <c r="C7649" i="1"/>
  <c r="E7648" i="1"/>
  <c r="C7648" i="1"/>
  <c r="E7647" i="1"/>
  <c r="C7647" i="1"/>
  <c r="E7646" i="1"/>
  <c r="C7646" i="1"/>
  <c r="E7645" i="1"/>
  <c r="C7645" i="1"/>
  <c r="E7644" i="1"/>
  <c r="C7644" i="1"/>
  <c r="E7643" i="1"/>
  <c r="C7643" i="1"/>
  <c r="E7642" i="1"/>
  <c r="C7642" i="1"/>
  <c r="E7641" i="1"/>
  <c r="C7641" i="1"/>
  <c r="E7640" i="1"/>
  <c r="C7640" i="1"/>
  <c r="E7639" i="1"/>
  <c r="C7639" i="1"/>
  <c r="E7638" i="1"/>
  <c r="C7638" i="1"/>
  <c r="E7637" i="1"/>
  <c r="C7637" i="1"/>
  <c r="E7636" i="1"/>
  <c r="C7636" i="1"/>
  <c r="E7635" i="1"/>
  <c r="C7635" i="1"/>
  <c r="E7634" i="1"/>
  <c r="C7634" i="1"/>
  <c r="E7633" i="1"/>
  <c r="C7633" i="1"/>
  <c r="E7632" i="1"/>
  <c r="C7632" i="1"/>
  <c r="E7631" i="1"/>
  <c r="C7631" i="1"/>
  <c r="E7630" i="1"/>
  <c r="C7630" i="1"/>
  <c r="E7629" i="1"/>
  <c r="C7629" i="1"/>
  <c r="E7628" i="1"/>
  <c r="C7628" i="1"/>
  <c r="E7627" i="1"/>
  <c r="C7627" i="1"/>
  <c r="E7626" i="1"/>
  <c r="C7626" i="1"/>
  <c r="E7625" i="1"/>
  <c r="C7625" i="1"/>
  <c r="E7624" i="1"/>
  <c r="C7624" i="1"/>
  <c r="E7623" i="1"/>
  <c r="C7623" i="1"/>
  <c r="E7622" i="1"/>
  <c r="C7622" i="1"/>
  <c r="E7621" i="1"/>
  <c r="C7621" i="1"/>
  <c r="E7620" i="1"/>
  <c r="C7620" i="1"/>
  <c r="E7619" i="1"/>
  <c r="C7619" i="1"/>
  <c r="E7618" i="1"/>
  <c r="C7618" i="1"/>
  <c r="E7617" i="1"/>
  <c r="C7617" i="1"/>
  <c r="E7616" i="1"/>
  <c r="C7616" i="1"/>
  <c r="E7615" i="1"/>
  <c r="C7615" i="1"/>
  <c r="E7614" i="1"/>
  <c r="C7614" i="1"/>
  <c r="E7613" i="1"/>
  <c r="C7613" i="1"/>
  <c r="E7612" i="1"/>
  <c r="C7612" i="1"/>
  <c r="E7611" i="1"/>
  <c r="C7611" i="1"/>
  <c r="E7610" i="1"/>
  <c r="C7610" i="1"/>
  <c r="E7609" i="1"/>
  <c r="C7609" i="1"/>
  <c r="E7608" i="1"/>
  <c r="C7608" i="1"/>
  <c r="E7607" i="1"/>
  <c r="C7607" i="1"/>
  <c r="E7606" i="1"/>
  <c r="C7606" i="1"/>
  <c r="E7605" i="1"/>
  <c r="C7605" i="1"/>
  <c r="E7604" i="1"/>
  <c r="C7604" i="1"/>
  <c r="E7603" i="1"/>
  <c r="C7603" i="1"/>
  <c r="E7602" i="1"/>
  <c r="C7602" i="1"/>
  <c r="E7601" i="1"/>
  <c r="C7601" i="1"/>
  <c r="E7600" i="1"/>
  <c r="C7600" i="1"/>
  <c r="E7599" i="1"/>
  <c r="C7599" i="1"/>
  <c r="E7598" i="1"/>
  <c r="C7598" i="1"/>
  <c r="E7597" i="1"/>
  <c r="C7597" i="1"/>
  <c r="E7596" i="1"/>
  <c r="C7596" i="1"/>
  <c r="E7595" i="1"/>
  <c r="C7595" i="1"/>
  <c r="E7594" i="1"/>
  <c r="C7594" i="1"/>
  <c r="E7593" i="1"/>
  <c r="C7593" i="1"/>
  <c r="E7592" i="1"/>
  <c r="C7592" i="1"/>
  <c r="E7591" i="1"/>
  <c r="C7591" i="1"/>
  <c r="E7590" i="1"/>
  <c r="C7590" i="1"/>
  <c r="E7589" i="1"/>
  <c r="C7589" i="1"/>
  <c r="E7588" i="1"/>
  <c r="C7588" i="1"/>
  <c r="E7587" i="1"/>
  <c r="C7587" i="1"/>
  <c r="E7586" i="1"/>
  <c r="C7586" i="1"/>
  <c r="E7585" i="1"/>
  <c r="C7585" i="1"/>
  <c r="E7584" i="1"/>
  <c r="C7584" i="1"/>
  <c r="E7583" i="1"/>
  <c r="C7583" i="1"/>
  <c r="E7582" i="1"/>
  <c r="C7582" i="1"/>
  <c r="E7581" i="1"/>
  <c r="C7581" i="1"/>
  <c r="E7580" i="1"/>
  <c r="C7580" i="1"/>
  <c r="E7579" i="1"/>
  <c r="C7579" i="1"/>
  <c r="E7578" i="1"/>
  <c r="C7578" i="1"/>
  <c r="E7577" i="1"/>
  <c r="C7577" i="1"/>
  <c r="E7576" i="1"/>
  <c r="C7576" i="1"/>
  <c r="E7575" i="1"/>
  <c r="C7575" i="1"/>
  <c r="E7574" i="1"/>
  <c r="C7574" i="1"/>
  <c r="E7573" i="1"/>
  <c r="C7573" i="1"/>
  <c r="E7572" i="1"/>
  <c r="C7572" i="1"/>
  <c r="E7571" i="1"/>
  <c r="C7571" i="1"/>
  <c r="E7570" i="1"/>
  <c r="C7570" i="1"/>
  <c r="E7569" i="1"/>
  <c r="C7569" i="1"/>
  <c r="E7568" i="1"/>
  <c r="C7568" i="1"/>
  <c r="E7567" i="1"/>
  <c r="C7567" i="1"/>
  <c r="E7566" i="1"/>
  <c r="C7566" i="1"/>
  <c r="E7565" i="1"/>
  <c r="C7565" i="1"/>
  <c r="E7564" i="1"/>
  <c r="C7564" i="1"/>
  <c r="E7563" i="1"/>
  <c r="C7563" i="1"/>
  <c r="E7562" i="1"/>
  <c r="C7562" i="1"/>
  <c r="E7561" i="1"/>
  <c r="C7561" i="1"/>
  <c r="E7560" i="1"/>
  <c r="C7560" i="1"/>
  <c r="E7559" i="1"/>
  <c r="C7559" i="1"/>
  <c r="E7558" i="1"/>
  <c r="C7558" i="1"/>
  <c r="E7557" i="1"/>
  <c r="C7557" i="1"/>
  <c r="E7556" i="1"/>
  <c r="C7556" i="1"/>
  <c r="E7555" i="1"/>
  <c r="C7555" i="1"/>
  <c r="E7554" i="1"/>
  <c r="C7554" i="1"/>
  <c r="E7553" i="1"/>
  <c r="C7553" i="1"/>
  <c r="E7552" i="1"/>
  <c r="C7552" i="1"/>
  <c r="E7551" i="1"/>
  <c r="C7551" i="1"/>
  <c r="E7550" i="1"/>
  <c r="C7550" i="1"/>
  <c r="E7549" i="1"/>
  <c r="C7549" i="1"/>
  <c r="E7548" i="1"/>
  <c r="C7548" i="1"/>
  <c r="E7547" i="1"/>
  <c r="C7547" i="1"/>
  <c r="E7546" i="1"/>
  <c r="C7546" i="1"/>
  <c r="E7545" i="1"/>
  <c r="C7545" i="1"/>
  <c r="E7544" i="1"/>
  <c r="C7544" i="1"/>
  <c r="E7543" i="1"/>
  <c r="C7543" i="1"/>
  <c r="E7542" i="1"/>
  <c r="C7542" i="1"/>
  <c r="E7541" i="1"/>
  <c r="C7541" i="1"/>
  <c r="E7540" i="1"/>
  <c r="C7540" i="1"/>
  <c r="E7539" i="1"/>
  <c r="C7539" i="1"/>
  <c r="E7538" i="1"/>
  <c r="C7538" i="1"/>
  <c r="E7537" i="1"/>
  <c r="C7537" i="1"/>
  <c r="E7536" i="1"/>
  <c r="C7536" i="1"/>
  <c r="E7535" i="1"/>
  <c r="C7535" i="1"/>
  <c r="E7534" i="1"/>
  <c r="C7534" i="1"/>
  <c r="E7533" i="1"/>
  <c r="C7533" i="1"/>
  <c r="E7532" i="1"/>
  <c r="C7532" i="1"/>
  <c r="E7531" i="1"/>
  <c r="C7531" i="1"/>
  <c r="E7530" i="1"/>
  <c r="C7530" i="1"/>
  <c r="E7529" i="1"/>
  <c r="C7529" i="1"/>
  <c r="E7528" i="1"/>
  <c r="C7528" i="1"/>
  <c r="E7527" i="1"/>
  <c r="C7527" i="1"/>
  <c r="E7526" i="1"/>
  <c r="C7526" i="1"/>
  <c r="E7525" i="1"/>
  <c r="C7525" i="1"/>
  <c r="E7524" i="1"/>
  <c r="C7524" i="1"/>
  <c r="E7523" i="1"/>
  <c r="C7523" i="1"/>
  <c r="E7522" i="1"/>
  <c r="C7522" i="1"/>
  <c r="E7521" i="1"/>
  <c r="C7521" i="1"/>
  <c r="E7520" i="1"/>
  <c r="C7520" i="1"/>
  <c r="E7519" i="1"/>
  <c r="C7519" i="1"/>
  <c r="E7518" i="1"/>
  <c r="C7518" i="1"/>
  <c r="E7517" i="1"/>
  <c r="C7517" i="1"/>
  <c r="E7516" i="1"/>
  <c r="C7516" i="1"/>
  <c r="E7515" i="1"/>
  <c r="C7515" i="1"/>
  <c r="E7514" i="1"/>
  <c r="C7514" i="1"/>
  <c r="E7513" i="1"/>
  <c r="C7513" i="1"/>
  <c r="E7512" i="1"/>
  <c r="C7512" i="1"/>
  <c r="E7511" i="1"/>
  <c r="C7511" i="1"/>
  <c r="E7510" i="1"/>
  <c r="C7510" i="1"/>
  <c r="E7509" i="1"/>
  <c r="C7509" i="1"/>
  <c r="E7508" i="1"/>
  <c r="C7508" i="1"/>
  <c r="E7507" i="1"/>
  <c r="C7507" i="1"/>
  <c r="E7506" i="1"/>
  <c r="C7506" i="1"/>
  <c r="E7505" i="1"/>
  <c r="C7505" i="1"/>
  <c r="E7504" i="1"/>
  <c r="C7504" i="1"/>
  <c r="E7503" i="1"/>
  <c r="C7503" i="1"/>
  <c r="E7502" i="1"/>
  <c r="C7502" i="1"/>
  <c r="E7501" i="1"/>
  <c r="C7501" i="1"/>
  <c r="E7500" i="1"/>
  <c r="C7500" i="1"/>
  <c r="E7499" i="1"/>
  <c r="C7499" i="1"/>
  <c r="E7498" i="1"/>
  <c r="C7498" i="1"/>
  <c r="E7497" i="1"/>
  <c r="C7497" i="1"/>
  <c r="E7496" i="1"/>
  <c r="C7496" i="1"/>
  <c r="E7495" i="1"/>
  <c r="C7495" i="1"/>
  <c r="E7494" i="1"/>
  <c r="C7494" i="1"/>
  <c r="E7493" i="1"/>
  <c r="C7493" i="1"/>
  <c r="E7492" i="1"/>
  <c r="C7492" i="1"/>
  <c r="E7491" i="1"/>
  <c r="C7491" i="1"/>
  <c r="E7490" i="1"/>
  <c r="C7490" i="1"/>
  <c r="E7489" i="1"/>
  <c r="C7489" i="1"/>
  <c r="E7488" i="1"/>
  <c r="C7488" i="1"/>
  <c r="E7487" i="1"/>
  <c r="C7487" i="1"/>
  <c r="E7486" i="1"/>
  <c r="C7486" i="1"/>
  <c r="E7485" i="1"/>
  <c r="C7485" i="1"/>
  <c r="E7484" i="1"/>
  <c r="C7484" i="1"/>
  <c r="E7483" i="1"/>
  <c r="C7483" i="1"/>
  <c r="E7482" i="1"/>
  <c r="C7482" i="1"/>
  <c r="E7481" i="1"/>
  <c r="C7481" i="1"/>
  <c r="E7480" i="1"/>
  <c r="C7480" i="1"/>
  <c r="E7479" i="1"/>
  <c r="C7479" i="1"/>
  <c r="E7478" i="1"/>
  <c r="C7478" i="1"/>
  <c r="E7477" i="1"/>
  <c r="C7477" i="1"/>
  <c r="E7476" i="1"/>
  <c r="C7476" i="1"/>
  <c r="E7475" i="1"/>
  <c r="C7475" i="1"/>
  <c r="E7474" i="1"/>
  <c r="C7474" i="1"/>
  <c r="E7473" i="1"/>
  <c r="C7473" i="1"/>
  <c r="E7472" i="1"/>
  <c r="C7472" i="1"/>
  <c r="E7471" i="1"/>
  <c r="C7471" i="1"/>
  <c r="E7470" i="1"/>
  <c r="C7470" i="1"/>
  <c r="E7469" i="1"/>
  <c r="C7469" i="1"/>
  <c r="E7468" i="1"/>
  <c r="C7468" i="1"/>
  <c r="E7467" i="1"/>
  <c r="C7467" i="1"/>
  <c r="E7466" i="1"/>
  <c r="C7466" i="1"/>
  <c r="E7465" i="1"/>
  <c r="C7465" i="1"/>
  <c r="E7464" i="1"/>
  <c r="C7464" i="1"/>
  <c r="E7463" i="1"/>
  <c r="C7463" i="1"/>
  <c r="E7462" i="1"/>
  <c r="C7462" i="1"/>
  <c r="E7461" i="1"/>
  <c r="C7461" i="1"/>
  <c r="E7460" i="1"/>
  <c r="C7460" i="1"/>
  <c r="E7459" i="1"/>
  <c r="C7459" i="1"/>
  <c r="E7458" i="1"/>
  <c r="C7458" i="1"/>
  <c r="E7457" i="1"/>
  <c r="C7457" i="1"/>
  <c r="E7456" i="1"/>
  <c r="C7456" i="1"/>
  <c r="E7455" i="1"/>
  <c r="C7455" i="1"/>
  <c r="E7454" i="1"/>
  <c r="C7454" i="1"/>
  <c r="E7453" i="1"/>
  <c r="C7453" i="1"/>
  <c r="E7452" i="1"/>
  <c r="C7452" i="1"/>
  <c r="E7451" i="1"/>
  <c r="C7451" i="1"/>
  <c r="E7450" i="1"/>
  <c r="C7450" i="1"/>
  <c r="E7449" i="1"/>
  <c r="C7449" i="1"/>
  <c r="E7448" i="1"/>
  <c r="C7448" i="1"/>
  <c r="E7447" i="1"/>
  <c r="C7447" i="1"/>
  <c r="E7446" i="1"/>
  <c r="C7446" i="1"/>
  <c r="E7445" i="1"/>
  <c r="C7445" i="1"/>
  <c r="E7444" i="1"/>
  <c r="C7444" i="1"/>
  <c r="E7443" i="1"/>
  <c r="C7443" i="1"/>
  <c r="E7442" i="1"/>
  <c r="C7442" i="1"/>
  <c r="E7441" i="1"/>
  <c r="C7441" i="1"/>
  <c r="E7440" i="1"/>
  <c r="C7440" i="1"/>
  <c r="E7439" i="1"/>
  <c r="C7439" i="1"/>
  <c r="E7438" i="1"/>
  <c r="C7438" i="1"/>
  <c r="E7437" i="1"/>
  <c r="C7437" i="1"/>
  <c r="E7436" i="1"/>
  <c r="C7436" i="1"/>
  <c r="E7435" i="1"/>
  <c r="C7435" i="1"/>
  <c r="E7434" i="1"/>
  <c r="C7434" i="1"/>
  <c r="E7433" i="1"/>
  <c r="C7433" i="1"/>
  <c r="E7432" i="1"/>
  <c r="C7432" i="1"/>
  <c r="E7431" i="1"/>
  <c r="C7431" i="1"/>
  <c r="E7430" i="1"/>
  <c r="C7430" i="1"/>
  <c r="E7429" i="1"/>
  <c r="C7429" i="1"/>
  <c r="E7428" i="1"/>
  <c r="C7428" i="1"/>
  <c r="E7427" i="1"/>
  <c r="C7427" i="1"/>
  <c r="E7426" i="1"/>
  <c r="C7426" i="1"/>
  <c r="E7425" i="1"/>
  <c r="C7425" i="1"/>
  <c r="E7424" i="1"/>
  <c r="C7424" i="1"/>
  <c r="E7423" i="1"/>
  <c r="C7423" i="1"/>
  <c r="E7422" i="1"/>
  <c r="C7422" i="1"/>
  <c r="E7421" i="1"/>
  <c r="C7421" i="1"/>
  <c r="E7420" i="1"/>
  <c r="C7420" i="1"/>
  <c r="E7419" i="1"/>
  <c r="C7419" i="1"/>
  <c r="E7418" i="1"/>
  <c r="C7418" i="1"/>
  <c r="E7417" i="1"/>
  <c r="C7417" i="1"/>
  <c r="E7416" i="1"/>
  <c r="C7416" i="1"/>
  <c r="E7415" i="1"/>
  <c r="C7415" i="1"/>
  <c r="E7414" i="1"/>
  <c r="C7414" i="1"/>
  <c r="E7413" i="1"/>
  <c r="C7413" i="1"/>
  <c r="E7412" i="1"/>
  <c r="C7412" i="1"/>
  <c r="E7411" i="1"/>
  <c r="C7411" i="1"/>
  <c r="E7410" i="1"/>
  <c r="C7410" i="1"/>
  <c r="E7409" i="1"/>
  <c r="C7409" i="1"/>
  <c r="E7408" i="1"/>
  <c r="C7408" i="1"/>
  <c r="E7407" i="1"/>
  <c r="C7407" i="1"/>
  <c r="E7406" i="1"/>
  <c r="C7406" i="1"/>
  <c r="E7405" i="1"/>
  <c r="C7405" i="1"/>
  <c r="E7404" i="1"/>
  <c r="C7404" i="1"/>
  <c r="E7403" i="1"/>
  <c r="C7403" i="1"/>
  <c r="E7402" i="1"/>
  <c r="C7402" i="1"/>
  <c r="E7401" i="1"/>
  <c r="C7401" i="1"/>
  <c r="E7400" i="1"/>
  <c r="C7400" i="1"/>
  <c r="E7399" i="1"/>
  <c r="C7399" i="1"/>
  <c r="E7398" i="1"/>
  <c r="C7398" i="1"/>
  <c r="E7397" i="1"/>
  <c r="C7397" i="1"/>
  <c r="E7396" i="1"/>
  <c r="C7396" i="1"/>
  <c r="E7395" i="1"/>
  <c r="C7395" i="1"/>
  <c r="E7394" i="1"/>
  <c r="C7394" i="1"/>
  <c r="E7393" i="1"/>
  <c r="C7393" i="1"/>
  <c r="E7392" i="1"/>
  <c r="C7392" i="1"/>
  <c r="E7391" i="1"/>
  <c r="C7391" i="1"/>
  <c r="E7390" i="1"/>
  <c r="C7390" i="1"/>
  <c r="E7389" i="1"/>
  <c r="C7389" i="1"/>
  <c r="E7388" i="1"/>
  <c r="C7388" i="1"/>
  <c r="E7387" i="1"/>
  <c r="C7387" i="1"/>
  <c r="E7386" i="1"/>
  <c r="C7386" i="1"/>
  <c r="E7385" i="1"/>
  <c r="C7385" i="1"/>
  <c r="E7384" i="1"/>
  <c r="C7384" i="1"/>
  <c r="E7383" i="1"/>
  <c r="C7383" i="1"/>
  <c r="E7382" i="1"/>
  <c r="C7382" i="1"/>
  <c r="E7381" i="1"/>
  <c r="C7381" i="1"/>
  <c r="E7380" i="1"/>
  <c r="C7380" i="1"/>
  <c r="E7379" i="1"/>
  <c r="C7379" i="1"/>
  <c r="E7378" i="1"/>
  <c r="C7378" i="1"/>
  <c r="E7377" i="1"/>
  <c r="C7377" i="1"/>
  <c r="E7376" i="1"/>
  <c r="C7376" i="1"/>
  <c r="E7375" i="1"/>
  <c r="C7375" i="1"/>
  <c r="E7374" i="1"/>
  <c r="C7374" i="1"/>
  <c r="E7373" i="1"/>
  <c r="C7373" i="1"/>
  <c r="E7372" i="1"/>
  <c r="C7372" i="1"/>
  <c r="E7371" i="1"/>
  <c r="C7371" i="1"/>
  <c r="E7370" i="1"/>
  <c r="C7370" i="1"/>
  <c r="E7369" i="1"/>
  <c r="C7369" i="1"/>
  <c r="E7368" i="1"/>
  <c r="C7368" i="1"/>
  <c r="E7367" i="1"/>
  <c r="C7367" i="1"/>
  <c r="E7366" i="1"/>
  <c r="C7366" i="1"/>
  <c r="E7365" i="1"/>
  <c r="C7365" i="1"/>
  <c r="E7364" i="1"/>
  <c r="C7364" i="1"/>
  <c r="E7363" i="1"/>
  <c r="C7363" i="1"/>
  <c r="E7362" i="1"/>
  <c r="C7362" i="1"/>
  <c r="E7361" i="1"/>
  <c r="C7361" i="1"/>
  <c r="E7360" i="1"/>
  <c r="C7360" i="1"/>
  <c r="E7359" i="1"/>
  <c r="C7359" i="1"/>
  <c r="E7358" i="1"/>
  <c r="C7358" i="1"/>
  <c r="E7357" i="1"/>
  <c r="C7357" i="1"/>
  <c r="E7356" i="1"/>
  <c r="C7356" i="1"/>
  <c r="E7355" i="1"/>
  <c r="C7355" i="1"/>
  <c r="E7354" i="1"/>
  <c r="C7354" i="1"/>
  <c r="E7353" i="1"/>
  <c r="C7353" i="1"/>
  <c r="E7352" i="1"/>
  <c r="C7352" i="1"/>
  <c r="E7351" i="1"/>
  <c r="C7351" i="1"/>
  <c r="E7350" i="1"/>
  <c r="C7350" i="1"/>
  <c r="E7349" i="1"/>
  <c r="C7349" i="1"/>
  <c r="E7348" i="1"/>
  <c r="C7348" i="1"/>
  <c r="E7347" i="1"/>
  <c r="C7347" i="1"/>
  <c r="E7346" i="1"/>
  <c r="C7346" i="1"/>
  <c r="E7345" i="1"/>
  <c r="C7345" i="1"/>
  <c r="E7344" i="1"/>
  <c r="C7344" i="1"/>
  <c r="E7343" i="1"/>
  <c r="C7343" i="1"/>
  <c r="E7342" i="1"/>
  <c r="C7342" i="1"/>
  <c r="E7341" i="1"/>
  <c r="C7341" i="1"/>
  <c r="E7340" i="1"/>
  <c r="C7340" i="1"/>
  <c r="E7339" i="1"/>
  <c r="C7339" i="1"/>
  <c r="E7338" i="1"/>
  <c r="C7338" i="1"/>
  <c r="E7337" i="1"/>
  <c r="C7337" i="1"/>
  <c r="E7336" i="1"/>
  <c r="C7336" i="1"/>
  <c r="E7335" i="1"/>
  <c r="C7335" i="1"/>
  <c r="E7334" i="1"/>
  <c r="C7334" i="1"/>
  <c r="E7333" i="1"/>
  <c r="C7333" i="1"/>
  <c r="E7332" i="1"/>
  <c r="C7332" i="1"/>
  <c r="E7331" i="1"/>
  <c r="C7331" i="1"/>
  <c r="E7330" i="1"/>
  <c r="C7330" i="1"/>
  <c r="E7329" i="1"/>
  <c r="C7329" i="1"/>
  <c r="E7328" i="1"/>
  <c r="C7328" i="1"/>
  <c r="E7327" i="1"/>
  <c r="C7327" i="1"/>
  <c r="E7326" i="1"/>
  <c r="C7326" i="1"/>
  <c r="E7325" i="1"/>
  <c r="C7325" i="1"/>
  <c r="E7324" i="1"/>
  <c r="C7324" i="1"/>
  <c r="E7323" i="1"/>
  <c r="C7323" i="1"/>
  <c r="E7322" i="1"/>
  <c r="C7322" i="1"/>
  <c r="E7321" i="1"/>
  <c r="C7321" i="1"/>
  <c r="E7320" i="1"/>
  <c r="C7320" i="1"/>
  <c r="E7319" i="1"/>
  <c r="C7319" i="1"/>
  <c r="E7318" i="1"/>
  <c r="C7318" i="1"/>
  <c r="E7317" i="1"/>
  <c r="C7317" i="1"/>
  <c r="E7316" i="1"/>
  <c r="C7316" i="1"/>
  <c r="E7315" i="1"/>
  <c r="C7315" i="1"/>
  <c r="E7314" i="1"/>
  <c r="C7314" i="1"/>
  <c r="E7313" i="1"/>
  <c r="C7313" i="1"/>
  <c r="E7312" i="1"/>
  <c r="C7312" i="1"/>
  <c r="E7311" i="1"/>
  <c r="C7311" i="1"/>
  <c r="E7310" i="1"/>
  <c r="C7310" i="1"/>
  <c r="E7309" i="1"/>
  <c r="C7309" i="1"/>
  <c r="E7308" i="1"/>
  <c r="C7308" i="1"/>
  <c r="E7307" i="1"/>
  <c r="C7307" i="1"/>
  <c r="E7306" i="1"/>
  <c r="C7306" i="1"/>
  <c r="E7305" i="1"/>
  <c r="C7305" i="1"/>
  <c r="E7304" i="1"/>
  <c r="C7304" i="1"/>
  <c r="E7303" i="1"/>
  <c r="C7303" i="1"/>
  <c r="E7302" i="1"/>
  <c r="C7302" i="1"/>
  <c r="E7301" i="1"/>
  <c r="C7301" i="1"/>
  <c r="E7300" i="1"/>
  <c r="C7300" i="1"/>
  <c r="E7299" i="1"/>
  <c r="C7299" i="1"/>
  <c r="E7298" i="1"/>
  <c r="C7298" i="1"/>
  <c r="E7297" i="1"/>
  <c r="C7297" i="1"/>
  <c r="E7296" i="1"/>
  <c r="C7296" i="1"/>
  <c r="E7295" i="1"/>
  <c r="C7295" i="1"/>
  <c r="E7294" i="1"/>
  <c r="C7294" i="1"/>
  <c r="E7293" i="1"/>
  <c r="C7293" i="1"/>
  <c r="E7292" i="1"/>
  <c r="C7292" i="1"/>
  <c r="E7291" i="1"/>
  <c r="C7291" i="1"/>
  <c r="E7290" i="1"/>
  <c r="C7290" i="1"/>
  <c r="E7289" i="1"/>
  <c r="C7289" i="1"/>
  <c r="E7288" i="1"/>
  <c r="C7288" i="1"/>
  <c r="E7287" i="1"/>
  <c r="C7287" i="1"/>
  <c r="E7286" i="1"/>
  <c r="C7286" i="1"/>
  <c r="E7285" i="1"/>
  <c r="C7285" i="1"/>
  <c r="E7284" i="1"/>
  <c r="C7284" i="1"/>
  <c r="E7283" i="1"/>
  <c r="C7283" i="1"/>
  <c r="E7282" i="1"/>
  <c r="C7282" i="1"/>
  <c r="E7281" i="1"/>
  <c r="C7281" i="1"/>
  <c r="E7280" i="1"/>
  <c r="C7280" i="1"/>
  <c r="E7279" i="1"/>
  <c r="C7279" i="1"/>
  <c r="E7278" i="1"/>
  <c r="C7278" i="1"/>
  <c r="E7277" i="1"/>
  <c r="C7277" i="1"/>
  <c r="E7276" i="1"/>
  <c r="C7276" i="1"/>
  <c r="E7275" i="1"/>
  <c r="C7275" i="1"/>
  <c r="E7274" i="1"/>
  <c r="C7274" i="1"/>
  <c r="E7273" i="1"/>
  <c r="C7273" i="1"/>
  <c r="E7272" i="1"/>
  <c r="C7272" i="1"/>
  <c r="E7271" i="1"/>
  <c r="C7271" i="1"/>
  <c r="E7270" i="1"/>
  <c r="C7270" i="1"/>
  <c r="E7269" i="1"/>
  <c r="C7269" i="1"/>
  <c r="E7268" i="1"/>
  <c r="C7268" i="1"/>
  <c r="E7267" i="1"/>
  <c r="C7267" i="1"/>
  <c r="E7266" i="1"/>
  <c r="C7266" i="1"/>
  <c r="E7265" i="1"/>
  <c r="C7265" i="1"/>
  <c r="E7264" i="1"/>
  <c r="C7264" i="1"/>
  <c r="E7263" i="1"/>
  <c r="C7263" i="1"/>
  <c r="E7262" i="1"/>
  <c r="C7262" i="1"/>
  <c r="E7261" i="1"/>
  <c r="C7261" i="1"/>
  <c r="E7260" i="1"/>
  <c r="C7260" i="1"/>
  <c r="E7259" i="1"/>
  <c r="C7259" i="1"/>
  <c r="E7258" i="1"/>
  <c r="C7258" i="1"/>
  <c r="E7257" i="1"/>
  <c r="C7257" i="1"/>
  <c r="E7256" i="1"/>
  <c r="C7256" i="1"/>
  <c r="E7255" i="1"/>
  <c r="C7255" i="1"/>
  <c r="E7254" i="1"/>
  <c r="C7254" i="1"/>
  <c r="E7253" i="1"/>
  <c r="C7253" i="1"/>
  <c r="E7252" i="1"/>
  <c r="C7252" i="1"/>
  <c r="E7251" i="1"/>
  <c r="C7251" i="1"/>
  <c r="E7250" i="1"/>
  <c r="C7250" i="1"/>
  <c r="E7249" i="1"/>
  <c r="C7249" i="1"/>
  <c r="E7248" i="1"/>
  <c r="C7248" i="1"/>
  <c r="E7247" i="1"/>
  <c r="C7247" i="1"/>
  <c r="E7246" i="1"/>
  <c r="C7246" i="1"/>
  <c r="E7245" i="1"/>
  <c r="C7245" i="1"/>
  <c r="E7244" i="1"/>
  <c r="C7244" i="1"/>
  <c r="E7243" i="1"/>
  <c r="C7243" i="1"/>
  <c r="E7242" i="1"/>
  <c r="C7242" i="1"/>
  <c r="E7241" i="1"/>
  <c r="C7241" i="1"/>
  <c r="E7240" i="1"/>
  <c r="C7240" i="1"/>
  <c r="E7239" i="1"/>
  <c r="C7239" i="1"/>
  <c r="E7238" i="1"/>
  <c r="C7238" i="1"/>
  <c r="E7237" i="1"/>
  <c r="C7237" i="1"/>
  <c r="E7236" i="1"/>
  <c r="C7236" i="1"/>
  <c r="E7235" i="1"/>
  <c r="C7235" i="1"/>
  <c r="E7234" i="1"/>
  <c r="C7234" i="1"/>
  <c r="E7233" i="1"/>
  <c r="C7233" i="1"/>
  <c r="E7232" i="1"/>
  <c r="C7232" i="1"/>
  <c r="E7231" i="1"/>
  <c r="C7231" i="1"/>
  <c r="E7230" i="1"/>
  <c r="C7230" i="1"/>
  <c r="E7229" i="1"/>
  <c r="C7229" i="1"/>
  <c r="E7228" i="1"/>
  <c r="C7228" i="1"/>
  <c r="E7227" i="1"/>
  <c r="C7227" i="1"/>
  <c r="E7226" i="1"/>
  <c r="C7226" i="1"/>
  <c r="E7225" i="1"/>
  <c r="C7225" i="1"/>
  <c r="E7224" i="1"/>
  <c r="C7224" i="1"/>
  <c r="E7223" i="1"/>
  <c r="C7223" i="1"/>
  <c r="E7222" i="1"/>
  <c r="C7222" i="1"/>
  <c r="E7221" i="1"/>
  <c r="C7221" i="1"/>
  <c r="E7220" i="1"/>
  <c r="C7220" i="1"/>
  <c r="E7219" i="1"/>
  <c r="C7219" i="1"/>
  <c r="E7218" i="1"/>
  <c r="C7218" i="1"/>
  <c r="E7217" i="1"/>
  <c r="C7217" i="1"/>
  <c r="E7216" i="1"/>
  <c r="C7216" i="1"/>
  <c r="E7215" i="1"/>
  <c r="C7215" i="1"/>
  <c r="E7214" i="1"/>
  <c r="C7214" i="1"/>
  <c r="E7213" i="1"/>
  <c r="C7213" i="1"/>
  <c r="E7212" i="1"/>
  <c r="C7212" i="1"/>
  <c r="E7211" i="1"/>
  <c r="C7211" i="1"/>
  <c r="E7210" i="1"/>
  <c r="C7210" i="1"/>
  <c r="E7209" i="1"/>
  <c r="C7209" i="1"/>
  <c r="E7208" i="1"/>
  <c r="C7208" i="1"/>
  <c r="E7207" i="1"/>
  <c r="C7207" i="1"/>
  <c r="E7206" i="1"/>
  <c r="C7206" i="1"/>
  <c r="E7205" i="1"/>
  <c r="C7205" i="1"/>
  <c r="E7204" i="1"/>
  <c r="C7204" i="1"/>
  <c r="E7203" i="1"/>
  <c r="C7203" i="1"/>
  <c r="E7202" i="1"/>
  <c r="C7202" i="1"/>
  <c r="E7201" i="1"/>
  <c r="C7201" i="1"/>
  <c r="E7200" i="1"/>
  <c r="C7200" i="1"/>
  <c r="E7199" i="1"/>
  <c r="C7199" i="1"/>
  <c r="E7198" i="1"/>
  <c r="C7198" i="1"/>
  <c r="E7197" i="1"/>
  <c r="C7197" i="1"/>
  <c r="E7196" i="1"/>
  <c r="C7196" i="1"/>
  <c r="E7195" i="1"/>
  <c r="C7195" i="1"/>
  <c r="E7194" i="1"/>
  <c r="C7194" i="1"/>
  <c r="E7193" i="1"/>
  <c r="C7193" i="1"/>
  <c r="E7192" i="1"/>
  <c r="C7192" i="1"/>
  <c r="E7191" i="1"/>
  <c r="C7191" i="1"/>
  <c r="E7190" i="1"/>
  <c r="C7190" i="1"/>
  <c r="E7189" i="1"/>
  <c r="C7189" i="1"/>
  <c r="E7188" i="1"/>
  <c r="C7188" i="1"/>
  <c r="E7187" i="1"/>
  <c r="C7187" i="1"/>
  <c r="E7186" i="1"/>
  <c r="C7186" i="1"/>
  <c r="E7185" i="1"/>
  <c r="C7185" i="1"/>
  <c r="E7184" i="1"/>
  <c r="C7184" i="1"/>
  <c r="E7183" i="1"/>
  <c r="C7183" i="1"/>
  <c r="E7182" i="1"/>
  <c r="C7182" i="1"/>
  <c r="E7181" i="1"/>
  <c r="C7181" i="1"/>
  <c r="E7180" i="1"/>
  <c r="C7180" i="1"/>
  <c r="E7179" i="1"/>
  <c r="C7179" i="1"/>
  <c r="E7178" i="1"/>
  <c r="C7178" i="1"/>
  <c r="E7177" i="1"/>
  <c r="C7177" i="1"/>
  <c r="E7176" i="1"/>
  <c r="C7176" i="1"/>
  <c r="E7175" i="1"/>
  <c r="C7175" i="1"/>
  <c r="E7174" i="1"/>
  <c r="C7174" i="1"/>
  <c r="E7173" i="1"/>
  <c r="C7173" i="1"/>
  <c r="E7172" i="1"/>
  <c r="C7172" i="1"/>
  <c r="E7171" i="1"/>
  <c r="C7171" i="1"/>
  <c r="E7170" i="1"/>
  <c r="C7170" i="1"/>
  <c r="E7169" i="1"/>
  <c r="C7169" i="1"/>
  <c r="E7168" i="1"/>
  <c r="C7168" i="1"/>
  <c r="E7167" i="1"/>
  <c r="C7167" i="1"/>
  <c r="E7166" i="1"/>
  <c r="C7166" i="1"/>
  <c r="E7165" i="1"/>
  <c r="C7165" i="1"/>
  <c r="E7164" i="1"/>
  <c r="C7164" i="1"/>
  <c r="E7163" i="1"/>
  <c r="C7163" i="1"/>
  <c r="E7162" i="1"/>
  <c r="C7162" i="1"/>
  <c r="E7161" i="1"/>
  <c r="C7161" i="1"/>
  <c r="E7160" i="1"/>
  <c r="C7160" i="1"/>
  <c r="E7159" i="1"/>
  <c r="C7159" i="1"/>
  <c r="E7158" i="1"/>
  <c r="C7158" i="1"/>
  <c r="E7157" i="1"/>
  <c r="C7157" i="1"/>
  <c r="E7156" i="1"/>
  <c r="C7156" i="1"/>
  <c r="E7155" i="1"/>
  <c r="C7155" i="1"/>
  <c r="E7154" i="1"/>
  <c r="C7154" i="1"/>
  <c r="E7153" i="1"/>
  <c r="C7153" i="1"/>
  <c r="E7152" i="1"/>
  <c r="C7152" i="1"/>
  <c r="E7151" i="1"/>
  <c r="C7151" i="1"/>
  <c r="E7150" i="1"/>
  <c r="C7150" i="1"/>
  <c r="E7149" i="1"/>
  <c r="C7149" i="1"/>
  <c r="E7148" i="1"/>
  <c r="C7148" i="1"/>
  <c r="E7147" i="1"/>
  <c r="C7147" i="1"/>
  <c r="E7146" i="1"/>
  <c r="C7146" i="1"/>
  <c r="E7145" i="1"/>
  <c r="C7145" i="1"/>
  <c r="E7144" i="1"/>
  <c r="C7144" i="1"/>
  <c r="E7143" i="1"/>
  <c r="C7143" i="1"/>
  <c r="E7142" i="1"/>
  <c r="C7142" i="1"/>
  <c r="E7141" i="1"/>
  <c r="C7141" i="1"/>
  <c r="E7140" i="1"/>
  <c r="C7140" i="1"/>
  <c r="E7139" i="1"/>
  <c r="C7139" i="1"/>
  <c r="E7138" i="1"/>
  <c r="C7138" i="1"/>
  <c r="E7137" i="1"/>
  <c r="C7137" i="1"/>
  <c r="E7136" i="1"/>
  <c r="C7136" i="1"/>
  <c r="E7135" i="1"/>
  <c r="C7135" i="1"/>
  <c r="E7134" i="1"/>
  <c r="C7134" i="1"/>
  <c r="E7133" i="1"/>
  <c r="C7133" i="1"/>
  <c r="E7132" i="1"/>
  <c r="C7132" i="1"/>
  <c r="E7131" i="1"/>
  <c r="C7131" i="1"/>
  <c r="E7130" i="1"/>
  <c r="C7130" i="1"/>
  <c r="E7129" i="1"/>
  <c r="C7129" i="1"/>
  <c r="E7128" i="1"/>
  <c r="C7128" i="1"/>
  <c r="E7127" i="1"/>
  <c r="C7127" i="1"/>
  <c r="E7126" i="1"/>
  <c r="C7126" i="1"/>
  <c r="E7125" i="1"/>
  <c r="C7125" i="1"/>
  <c r="E7124" i="1"/>
  <c r="C7124" i="1"/>
  <c r="E7123" i="1"/>
  <c r="C7123" i="1"/>
  <c r="E7122" i="1"/>
  <c r="C7122" i="1"/>
  <c r="E7121" i="1"/>
  <c r="C7121" i="1"/>
  <c r="E7120" i="1"/>
  <c r="C7120" i="1"/>
  <c r="E7119" i="1"/>
  <c r="C7119" i="1"/>
  <c r="E7118" i="1"/>
  <c r="C7118" i="1"/>
  <c r="E7117" i="1"/>
  <c r="C7117" i="1"/>
  <c r="E7116" i="1"/>
  <c r="C7116" i="1"/>
  <c r="E7115" i="1"/>
  <c r="C7115" i="1"/>
  <c r="E7114" i="1"/>
  <c r="C7114" i="1"/>
  <c r="E7113" i="1"/>
  <c r="C7113" i="1"/>
  <c r="E7112" i="1"/>
  <c r="C7112" i="1"/>
  <c r="E7111" i="1"/>
  <c r="C7111" i="1"/>
  <c r="E7110" i="1"/>
  <c r="C7110" i="1"/>
  <c r="E7109" i="1"/>
  <c r="C7109" i="1"/>
  <c r="E7108" i="1"/>
  <c r="C7108" i="1"/>
  <c r="E7107" i="1"/>
  <c r="C7107" i="1"/>
  <c r="E7106" i="1"/>
  <c r="C7106" i="1"/>
  <c r="E7105" i="1"/>
  <c r="C7105" i="1"/>
  <c r="E7104" i="1"/>
  <c r="C7104" i="1"/>
  <c r="E7103" i="1"/>
  <c r="C7103" i="1"/>
  <c r="E7102" i="1"/>
  <c r="C7102" i="1"/>
  <c r="E7101" i="1"/>
  <c r="C7101" i="1"/>
  <c r="E7100" i="1"/>
  <c r="C7100" i="1"/>
  <c r="E7099" i="1"/>
  <c r="C7099" i="1"/>
  <c r="E7098" i="1"/>
  <c r="C7098" i="1"/>
  <c r="E7097" i="1"/>
  <c r="C7097" i="1"/>
  <c r="E7096" i="1"/>
  <c r="C7096" i="1"/>
  <c r="E7095" i="1"/>
  <c r="C7095" i="1"/>
  <c r="E7094" i="1"/>
  <c r="C7094" i="1"/>
  <c r="E7093" i="1"/>
  <c r="C7093" i="1"/>
  <c r="E7092" i="1"/>
  <c r="C7092" i="1"/>
  <c r="E7091" i="1"/>
  <c r="C7091" i="1"/>
  <c r="E7090" i="1"/>
  <c r="C7090" i="1"/>
  <c r="E7089" i="1"/>
  <c r="C7089" i="1"/>
  <c r="E7088" i="1"/>
  <c r="C7088" i="1"/>
  <c r="E7087" i="1"/>
  <c r="C7087" i="1"/>
  <c r="E7086" i="1"/>
  <c r="C7086" i="1"/>
  <c r="E7085" i="1"/>
  <c r="C7085" i="1"/>
  <c r="E7084" i="1"/>
  <c r="C7084" i="1"/>
  <c r="E7083" i="1"/>
  <c r="C7083" i="1"/>
  <c r="E7082" i="1"/>
  <c r="C7082" i="1"/>
  <c r="E7081" i="1"/>
  <c r="C7081" i="1"/>
  <c r="E7080" i="1"/>
  <c r="C7080" i="1"/>
  <c r="E7079" i="1"/>
  <c r="C7079" i="1"/>
  <c r="E7078" i="1"/>
  <c r="C7078" i="1"/>
  <c r="E7077" i="1"/>
  <c r="C7077" i="1"/>
  <c r="E7076" i="1"/>
  <c r="C7076" i="1"/>
  <c r="E7075" i="1"/>
  <c r="C7075" i="1"/>
  <c r="E7074" i="1"/>
  <c r="C7074" i="1"/>
  <c r="E7073" i="1"/>
  <c r="C7073" i="1"/>
  <c r="E7072" i="1"/>
  <c r="C7072" i="1"/>
  <c r="E7071" i="1"/>
  <c r="C7071" i="1"/>
  <c r="E7070" i="1"/>
  <c r="C7070" i="1"/>
  <c r="E7069" i="1"/>
  <c r="C7069" i="1"/>
  <c r="E7068" i="1"/>
  <c r="C7068" i="1"/>
  <c r="E7067" i="1"/>
  <c r="C7067" i="1"/>
  <c r="E7066" i="1"/>
  <c r="C7066" i="1"/>
  <c r="E7065" i="1"/>
  <c r="C7065" i="1"/>
  <c r="E7064" i="1"/>
  <c r="C7064" i="1"/>
  <c r="E7063" i="1"/>
  <c r="C7063" i="1"/>
  <c r="E7062" i="1"/>
  <c r="C7062" i="1"/>
  <c r="E7061" i="1"/>
  <c r="C7061" i="1"/>
  <c r="E7060" i="1"/>
  <c r="C7060" i="1"/>
  <c r="E7059" i="1"/>
  <c r="C7059" i="1"/>
  <c r="E7058" i="1"/>
  <c r="C7058" i="1"/>
  <c r="E7057" i="1"/>
  <c r="C7057" i="1"/>
  <c r="E7056" i="1"/>
  <c r="C7056" i="1"/>
  <c r="E7055" i="1"/>
  <c r="C7055" i="1"/>
  <c r="E7054" i="1"/>
  <c r="C7054" i="1"/>
  <c r="E7053" i="1"/>
  <c r="C7053" i="1"/>
  <c r="E7052" i="1"/>
  <c r="C7052" i="1"/>
  <c r="E7051" i="1"/>
  <c r="C7051" i="1"/>
  <c r="E7050" i="1"/>
  <c r="C7050" i="1"/>
  <c r="E7049" i="1"/>
  <c r="C7049" i="1"/>
  <c r="E7048" i="1"/>
  <c r="C7048" i="1"/>
  <c r="E7047" i="1"/>
  <c r="C7047" i="1"/>
  <c r="E7046" i="1"/>
  <c r="C7046" i="1"/>
  <c r="E7045" i="1"/>
  <c r="C7045" i="1"/>
  <c r="E7044" i="1"/>
  <c r="C7044" i="1"/>
  <c r="E7043" i="1"/>
  <c r="C7043" i="1"/>
  <c r="E7042" i="1"/>
  <c r="C7042" i="1"/>
  <c r="E7041" i="1"/>
  <c r="C7041" i="1"/>
  <c r="E7040" i="1"/>
  <c r="C7040" i="1"/>
  <c r="E7039" i="1"/>
  <c r="C7039" i="1"/>
  <c r="E7038" i="1"/>
  <c r="C7038" i="1"/>
  <c r="E7037" i="1"/>
  <c r="C7037" i="1"/>
  <c r="E7036" i="1"/>
  <c r="C7036" i="1"/>
  <c r="E7035" i="1"/>
  <c r="C7035" i="1"/>
  <c r="E7034" i="1"/>
  <c r="C7034" i="1"/>
  <c r="E7033" i="1"/>
  <c r="C7033" i="1"/>
  <c r="E7032" i="1"/>
  <c r="C7032" i="1"/>
  <c r="E7031" i="1"/>
  <c r="C7031" i="1"/>
  <c r="E7030" i="1"/>
  <c r="C7030" i="1"/>
  <c r="E7029" i="1"/>
  <c r="C7029" i="1"/>
  <c r="E7028" i="1"/>
  <c r="C7028" i="1"/>
  <c r="E7027" i="1"/>
  <c r="C7027" i="1"/>
  <c r="E7026" i="1"/>
  <c r="C7026" i="1"/>
  <c r="E7025" i="1"/>
  <c r="C7025" i="1"/>
  <c r="E7024" i="1"/>
  <c r="C7024" i="1"/>
  <c r="E7023" i="1"/>
  <c r="C7023" i="1"/>
  <c r="E7022" i="1"/>
  <c r="C7022" i="1"/>
  <c r="E7021" i="1"/>
  <c r="C7021" i="1"/>
  <c r="E7020" i="1"/>
  <c r="C7020" i="1"/>
  <c r="E7019" i="1"/>
  <c r="C7019" i="1"/>
  <c r="E7018" i="1"/>
  <c r="C7018" i="1"/>
  <c r="E7017" i="1"/>
  <c r="C7017" i="1"/>
  <c r="E7016" i="1"/>
  <c r="C7016" i="1"/>
  <c r="E7015" i="1"/>
  <c r="C7015" i="1"/>
  <c r="E7014" i="1"/>
  <c r="C7014" i="1"/>
  <c r="E7013" i="1"/>
  <c r="C7013" i="1"/>
  <c r="E7012" i="1"/>
  <c r="C7012" i="1"/>
  <c r="E7011" i="1"/>
  <c r="C7011" i="1"/>
  <c r="E7010" i="1"/>
  <c r="C7010" i="1"/>
  <c r="E7009" i="1"/>
  <c r="C7009" i="1"/>
  <c r="E7008" i="1"/>
  <c r="C7008" i="1"/>
  <c r="E7007" i="1"/>
  <c r="C7007" i="1"/>
  <c r="E7006" i="1"/>
  <c r="C7006" i="1"/>
  <c r="E7005" i="1"/>
  <c r="C7005" i="1"/>
  <c r="E7004" i="1"/>
  <c r="C7004" i="1"/>
  <c r="E7003" i="1"/>
  <c r="C7003" i="1"/>
  <c r="E7002" i="1"/>
  <c r="C7002" i="1"/>
  <c r="E7001" i="1"/>
  <c r="C7001" i="1"/>
  <c r="E7000" i="1"/>
  <c r="C7000" i="1"/>
  <c r="E6999" i="1"/>
  <c r="C6999" i="1"/>
  <c r="E6998" i="1"/>
  <c r="C6998" i="1"/>
  <c r="E6997" i="1"/>
  <c r="C6997" i="1"/>
  <c r="E6996" i="1"/>
  <c r="C6996" i="1"/>
  <c r="E6995" i="1"/>
  <c r="C6995" i="1"/>
  <c r="E6994" i="1"/>
  <c r="C6994" i="1"/>
  <c r="E6993" i="1"/>
  <c r="C6993" i="1"/>
  <c r="E6992" i="1"/>
  <c r="C6992" i="1"/>
  <c r="E6991" i="1"/>
  <c r="C6991" i="1"/>
  <c r="E6990" i="1"/>
  <c r="C6990" i="1"/>
  <c r="E6989" i="1"/>
  <c r="C6989" i="1"/>
  <c r="E6988" i="1"/>
  <c r="C6988" i="1"/>
  <c r="E6987" i="1"/>
  <c r="C6987" i="1"/>
  <c r="E6986" i="1"/>
  <c r="C6986" i="1"/>
  <c r="E6985" i="1"/>
  <c r="C6985" i="1"/>
  <c r="E6984" i="1"/>
  <c r="C6984" i="1"/>
  <c r="E6983" i="1"/>
  <c r="C6983" i="1"/>
  <c r="E6982" i="1"/>
  <c r="C6982" i="1"/>
  <c r="E6981" i="1"/>
  <c r="C6981" i="1"/>
  <c r="E6980" i="1"/>
  <c r="C6980" i="1"/>
  <c r="E6979" i="1"/>
  <c r="C6979" i="1"/>
  <c r="E6978" i="1"/>
  <c r="C6978" i="1"/>
  <c r="E6977" i="1"/>
  <c r="C6977" i="1"/>
  <c r="E6976" i="1"/>
  <c r="C6976" i="1"/>
  <c r="E6975" i="1"/>
  <c r="C6975" i="1"/>
  <c r="E6974" i="1"/>
  <c r="C6974" i="1"/>
  <c r="E6973" i="1"/>
  <c r="C6973" i="1"/>
  <c r="E6972" i="1"/>
  <c r="C6972" i="1"/>
  <c r="E6971" i="1"/>
  <c r="C6971" i="1"/>
  <c r="E6970" i="1"/>
  <c r="C6970" i="1"/>
  <c r="E6969" i="1"/>
  <c r="C6969" i="1"/>
  <c r="E6968" i="1"/>
  <c r="C6968" i="1"/>
  <c r="E6967" i="1"/>
  <c r="C6967" i="1"/>
  <c r="E6966" i="1"/>
  <c r="C6966" i="1"/>
  <c r="E6965" i="1"/>
  <c r="C6965" i="1"/>
  <c r="E6964" i="1"/>
  <c r="C6964" i="1"/>
  <c r="E6963" i="1"/>
  <c r="C6963" i="1"/>
  <c r="E6962" i="1"/>
  <c r="C6962" i="1"/>
  <c r="E6961" i="1"/>
  <c r="C6961" i="1"/>
  <c r="E6960" i="1"/>
  <c r="C6960" i="1"/>
  <c r="E6959" i="1"/>
  <c r="C6959" i="1"/>
  <c r="E6958" i="1"/>
  <c r="C6958" i="1"/>
  <c r="E6957" i="1"/>
  <c r="C6957" i="1"/>
  <c r="E6956" i="1"/>
  <c r="C6956" i="1"/>
  <c r="E6955" i="1"/>
  <c r="C6955" i="1"/>
  <c r="E6954" i="1"/>
  <c r="C6954" i="1"/>
  <c r="E6953" i="1"/>
  <c r="C6953" i="1"/>
  <c r="E6952" i="1"/>
  <c r="C6952" i="1"/>
  <c r="E6951" i="1"/>
  <c r="C6951" i="1"/>
  <c r="E6950" i="1"/>
  <c r="C6950" i="1"/>
  <c r="E6949" i="1"/>
  <c r="C6949" i="1"/>
  <c r="E6948" i="1"/>
  <c r="C6948" i="1"/>
  <c r="E6947" i="1"/>
  <c r="C6947" i="1"/>
  <c r="E6946" i="1"/>
  <c r="C6946" i="1"/>
  <c r="E6945" i="1"/>
  <c r="C6945" i="1"/>
  <c r="E6944" i="1"/>
  <c r="C6944" i="1"/>
  <c r="E6943" i="1"/>
  <c r="C6943" i="1"/>
  <c r="E6942" i="1"/>
  <c r="C6942" i="1"/>
  <c r="E6941" i="1"/>
  <c r="C6941" i="1"/>
  <c r="E6940" i="1"/>
  <c r="C6940" i="1"/>
  <c r="E6939" i="1"/>
  <c r="C6939" i="1"/>
  <c r="E6938" i="1"/>
  <c r="C6938" i="1"/>
  <c r="E6937" i="1"/>
  <c r="C6937" i="1"/>
  <c r="E6936" i="1"/>
  <c r="C6936" i="1"/>
  <c r="E6935" i="1"/>
  <c r="C6935" i="1"/>
  <c r="E6934" i="1"/>
  <c r="C6934" i="1"/>
  <c r="E6933" i="1"/>
  <c r="C6933" i="1"/>
  <c r="E6932" i="1"/>
  <c r="C6932" i="1"/>
  <c r="E6931" i="1"/>
  <c r="C6931" i="1"/>
  <c r="E6930" i="1"/>
  <c r="C6930" i="1"/>
  <c r="E6929" i="1"/>
  <c r="C6929" i="1"/>
  <c r="E6928" i="1"/>
  <c r="C6928" i="1"/>
  <c r="E6927" i="1"/>
  <c r="C6927" i="1"/>
  <c r="E6926" i="1"/>
  <c r="C6926" i="1"/>
  <c r="E6925" i="1"/>
  <c r="C6925" i="1"/>
  <c r="E6924" i="1"/>
  <c r="C6924" i="1"/>
  <c r="E6923" i="1"/>
  <c r="C6923" i="1"/>
  <c r="E6922" i="1"/>
  <c r="C6922" i="1"/>
  <c r="E6921" i="1"/>
  <c r="C6921" i="1"/>
  <c r="E6920" i="1"/>
  <c r="C6920" i="1"/>
  <c r="E6919" i="1"/>
  <c r="C6919" i="1"/>
  <c r="E6918" i="1"/>
  <c r="C6918" i="1"/>
  <c r="E6917" i="1"/>
  <c r="C6917" i="1"/>
  <c r="E6916" i="1"/>
  <c r="C6916" i="1"/>
  <c r="E6915" i="1"/>
  <c r="C6915" i="1"/>
  <c r="E6914" i="1"/>
  <c r="C6914" i="1"/>
  <c r="E6913" i="1"/>
  <c r="C6913" i="1"/>
  <c r="E6912" i="1"/>
  <c r="C6912" i="1"/>
  <c r="E6911" i="1"/>
  <c r="C6911" i="1"/>
  <c r="E6910" i="1"/>
  <c r="C6910" i="1"/>
  <c r="E6909" i="1"/>
  <c r="C6909" i="1"/>
  <c r="E6908" i="1"/>
  <c r="C6908" i="1"/>
  <c r="E6907" i="1"/>
  <c r="C6907" i="1"/>
  <c r="E6906" i="1"/>
  <c r="C6906" i="1"/>
  <c r="E6905" i="1"/>
  <c r="C6905" i="1"/>
  <c r="E6904" i="1"/>
  <c r="C6904" i="1"/>
  <c r="E6903" i="1"/>
  <c r="C6903" i="1"/>
  <c r="E6902" i="1"/>
  <c r="C6902" i="1"/>
  <c r="E6901" i="1"/>
  <c r="C6901" i="1"/>
  <c r="E6900" i="1"/>
  <c r="C6900" i="1"/>
  <c r="E6899" i="1"/>
  <c r="C6899" i="1"/>
  <c r="E6898" i="1"/>
  <c r="C6898" i="1"/>
  <c r="E6897" i="1"/>
  <c r="C6897" i="1"/>
  <c r="E6896" i="1"/>
  <c r="C6896" i="1"/>
  <c r="E6895" i="1"/>
  <c r="C6895" i="1"/>
  <c r="E6894" i="1"/>
  <c r="C6894" i="1"/>
  <c r="E6893" i="1"/>
  <c r="C6893" i="1"/>
  <c r="E6892" i="1"/>
  <c r="C6892" i="1"/>
  <c r="E6891" i="1"/>
  <c r="C6891" i="1"/>
  <c r="E6890" i="1"/>
  <c r="C6890" i="1"/>
  <c r="E6889" i="1"/>
  <c r="C6889" i="1"/>
  <c r="E6888" i="1"/>
  <c r="C6888" i="1"/>
  <c r="E6887" i="1"/>
  <c r="C6887" i="1"/>
  <c r="E6886" i="1"/>
  <c r="C6886" i="1"/>
  <c r="E6885" i="1"/>
  <c r="C6885" i="1"/>
  <c r="E6884" i="1"/>
  <c r="C6884" i="1"/>
  <c r="E6883" i="1"/>
  <c r="C6883" i="1"/>
  <c r="E6882" i="1"/>
  <c r="C6882" i="1"/>
  <c r="E6881" i="1"/>
  <c r="C6881" i="1"/>
  <c r="E6880" i="1"/>
  <c r="C6880" i="1"/>
  <c r="E6879" i="1"/>
  <c r="C6879" i="1"/>
  <c r="E6878" i="1"/>
  <c r="C6878" i="1"/>
  <c r="E6877" i="1"/>
  <c r="C6877" i="1"/>
  <c r="E6876" i="1"/>
  <c r="C6876" i="1"/>
  <c r="E6875" i="1"/>
  <c r="C6875" i="1"/>
  <c r="E6874" i="1"/>
  <c r="C6874" i="1"/>
  <c r="E6873" i="1"/>
  <c r="C6873" i="1"/>
  <c r="E6872" i="1"/>
  <c r="C6872" i="1"/>
  <c r="E6871" i="1"/>
  <c r="C6871" i="1"/>
  <c r="E6870" i="1"/>
  <c r="C6870" i="1"/>
  <c r="E6869" i="1"/>
  <c r="C6869" i="1"/>
  <c r="E6868" i="1"/>
  <c r="C6868" i="1"/>
  <c r="E6867" i="1"/>
  <c r="C6867" i="1"/>
  <c r="E6866" i="1"/>
  <c r="C6866" i="1"/>
  <c r="E6865" i="1"/>
  <c r="C6865" i="1"/>
  <c r="E6864" i="1"/>
  <c r="C6864" i="1"/>
  <c r="E6863" i="1"/>
  <c r="C6863" i="1"/>
  <c r="E6862" i="1"/>
  <c r="C6862" i="1"/>
  <c r="E6861" i="1"/>
  <c r="C6861" i="1"/>
  <c r="E6860" i="1"/>
  <c r="C6860" i="1"/>
  <c r="E6859" i="1"/>
  <c r="C6859" i="1"/>
  <c r="E6858" i="1"/>
  <c r="C6858" i="1"/>
  <c r="E6857" i="1"/>
  <c r="C6857" i="1"/>
  <c r="E6856" i="1"/>
  <c r="C6856" i="1"/>
  <c r="E6855" i="1"/>
  <c r="C6855" i="1"/>
  <c r="E6854" i="1"/>
  <c r="C6854" i="1"/>
  <c r="E6853" i="1"/>
  <c r="C6853" i="1"/>
  <c r="E6852" i="1"/>
  <c r="C6852" i="1"/>
  <c r="E6851" i="1"/>
  <c r="C6851" i="1"/>
  <c r="E6850" i="1"/>
  <c r="C6850" i="1"/>
  <c r="E6849" i="1"/>
  <c r="C6849" i="1"/>
  <c r="E6848" i="1"/>
  <c r="C6848" i="1"/>
  <c r="E6847" i="1"/>
  <c r="C6847" i="1"/>
  <c r="E6846" i="1"/>
  <c r="C6846" i="1"/>
  <c r="E6845" i="1"/>
  <c r="C6845" i="1"/>
  <c r="E6844" i="1"/>
  <c r="C6844" i="1"/>
  <c r="E6843" i="1"/>
  <c r="C6843" i="1"/>
  <c r="E6842" i="1"/>
  <c r="C6842" i="1"/>
  <c r="E6841" i="1"/>
  <c r="C6841" i="1"/>
  <c r="E6840" i="1"/>
  <c r="C6840" i="1"/>
  <c r="E6839" i="1"/>
  <c r="C6839" i="1"/>
  <c r="E6838" i="1"/>
  <c r="C6838" i="1"/>
  <c r="E6837" i="1"/>
  <c r="C6837" i="1"/>
  <c r="E6836" i="1"/>
  <c r="C6836" i="1"/>
  <c r="E6835" i="1"/>
  <c r="C6835" i="1"/>
  <c r="E6834" i="1"/>
  <c r="C6834" i="1"/>
  <c r="E6833" i="1"/>
  <c r="C6833" i="1"/>
  <c r="E6832" i="1"/>
  <c r="C6832" i="1"/>
  <c r="E6831" i="1"/>
  <c r="C6831" i="1"/>
  <c r="E6830" i="1"/>
  <c r="C6830" i="1"/>
  <c r="E6829" i="1"/>
  <c r="C6829" i="1"/>
  <c r="E6828" i="1"/>
  <c r="C6828" i="1"/>
  <c r="E6827" i="1"/>
  <c r="C6827" i="1"/>
  <c r="E6826" i="1"/>
  <c r="C6826" i="1"/>
  <c r="E6825" i="1"/>
  <c r="C6825" i="1"/>
  <c r="E6824" i="1"/>
  <c r="C6824" i="1"/>
  <c r="E6823" i="1"/>
  <c r="C6823" i="1"/>
  <c r="E6822" i="1"/>
  <c r="C6822" i="1"/>
  <c r="E6821" i="1"/>
  <c r="C6821" i="1"/>
  <c r="E6820" i="1"/>
  <c r="C6820" i="1"/>
  <c r="E6819" i="1"/>
  <c r="C6819" i="1"/>
  <c r="E6818" i="1"/>
  <c r="C6818" i="1"/>
  <c r="E6817" i="1"/>
  <c r="C6817" i="1"/>
  <c r="E6816" i="1"/>
  <c r="C6816" i="1"/>
  <c r="E6815" i="1"/>
  <c r="C6815" i="1"/>
  <c r="E6814" i="1"/>
  <c r="C6814" i="1"/>
  <c r="E6813" i="1"/>
  <c r="C6813" i="1"/>
  <c r="E6812" i="1"/>
  <c r="C6812" i="1"/>
  <c r="E6811" i="1"/>
  <c r="C6811" i="1"/>
  <c r="E6810" i="1"/>
  <c r="C6810" i="1"/>
  <c r="E6809" i="1"/>
  <c r="C6809" i="1"/>
  <c r="E6808" i="1"/>
  <c r="C6808" i="1"/>
  <c r="E6807" i="1"/>
  <c r="C6807" i="1"/>
  <c r="E6806" i="1"/>
  <c r="C6806" i="1"/>
  <c r="E6805" i="1"/>
  <c r="C6805" i="1"/>
  <c r="E6804" i="1"/>
  <c r="C6804" i="1"/>
  <c r="E6803" i="1"/>
  <c r="C6803" i="1"/>
  <c r="E6802" i="1"/>
  <c r="C6802" i="1"/>
  <c r="E6801" i="1"/>
  <c r="C6801" i="1"/>
  <c r="E6800" i="1"/>
  <c r="C6800" i="1"/>
  <c r="E6799" i="1"/>
  <c r="C6799" i="1"/>
  <c r="E6798" i="1"/>
  <c r="C6798" i="1"/>
  <c r="E6797" i="1"/>
  <c r="C6797" i="1"/>
  <c r="E6796" i="1"/>
  <c r="C6796" i="1"/>
  <c r="E6795" i="1"/>
  <c r="C6795" i="1"/>
  <c r="E6794" i="1"/>
  <c r="C6794" i="1"/>
  <c r="E6793" i="1"/>
  <c r="C6793" i="1"/>
  <c r="E6792" i="1"/>
  <c r="C6792" i="1"/>
  <c r="E6791" i="1"/>
  <c r="C6791" i="1"/>
  <c r="E6790" i="1"/>
  <c r="C6790" i="1"/>
  <c r="E6789" i="1"/>
  <c r="C6789" i="1"/>
  <c r="E6788" i="1"/>
  <c r="C6788" i="1"/>
  <c r="E6787" i="1"/>
  <c r="C6787" i="1"/>
  <c r="E6786" i="1"/>
  <c r="C6786" i="1"/>
  <c r="E6785" i="1"/>
  <c r="C6785" i="1"/>
  <c r="E6784" i="1"/>
  <c r="C6784" i="1"/>
  <c r="E6783" i="1"/>
  <c r="C6783" i="1"/>
  <c r="E6782" i="1"/>
  <c r="C6782" i="1"/>
  <c r="E6781" i="1"/>
  <c r="C6781" i="1"/>
  <c r="E6780" i="1"/>
  <c r="C6780" i="1"/>
  <c r="E6779" i="1"/>
  <c r="C6779" i="1"/>
  <c r="E6778" i="1"/>
  <c r="C6778" i="1"/>
  <c r="E6777" i="1"/>
  <c r="C6777" i="1"/>
  <c r="E6776" i="1"/>
  <c r="C6776" i="1"/>
  <c r="E6775" i="1"/>
  <c r="C6775" i="1"/>
  <c r="E6774" i="1"/>
  <c r="C6774" i="1"/>
  <c r="E6773" i="1"/>
  <c r="C6773" i="1"/>
  <c r="E6772" i="1"/>
  <c r="C6772" i="1"/>
  <c r="E6771" i="1"/>
  <c r="C6771" i="1"/>
  <c r="E6770" i="1"/>
  <c r="C6770" i="1"/>
  <c r="E6769" i="1"/>
  <c r="C6769" i="1"/>
  <c r="E6768" i="1"/>
  <c r="C6768" i="1"/>
  <c r="E6767" i="1"/>
  <c r="C6767" i="1"/>
  <c r="E6766" i="1"/>
  <c r="C6766" i="1"/>
  <c r="E6765" i="1"/>
  <c r="C6765" i="1"/>
  <c r="E6764" i="1"/>
  <c r="C6764" i="1"/>
  <c r="E6763" i="1"/>
  <c r="C6763" i="1"/>
  <c r="E6762" i="1"/>
  <c r="C6762" i="1"/>
  <c r="E6761" i="1"/>
  <c r="C6761" i="1"/>
  <c r="E6760" i="1"/>
  <c r="C6760" i="1"/>
  <c r="E6759" i="1"/>
  <c r="C6759" i="1"/>
  <c r="E6758" i="1"/>
  <c r="C6758" i="1"/>
  <c r="E6757" i="1"/>
  <c r="C6757" i="1"/>
  <c r="E6756" i="1"/>
  <c r="C6756" i="1"/>
  <c r="E6755" i="1"/>
  <c r="C6755" i="1"/>
  <c r="E6754" i="1"/>
  <c r="C6754" i="1"/>
  <c r="E6753" i="1"/>
  <c r="C6753" i="1"/>
  <c r="E6752" i="1"/>
  <c r="C6752" i="1"/>
  <c r="E6751" i="1"/>
  <c r="C6751" i="1"/>
  <c r="E6750" i="1"/>
  <c r="C6750" i="1"/>
  <c r="E6749" i="1"/>
  <c r="C6749" i="1"/>
  <c r="E6748" i="1"/>
  <c r="C6748" i="1"/>
  <c r="E6747" i="1"/>
  <c r="C6747" i="1"/>
  <c r="E6746" i="1"/>
  <c r="C6746" i="1"/>
  <c r="E6745" i="1"/>
  <c r="C6745" i="1"/>
  <c r="E6744" i="1"/>
  <c r="C6744" i="1"/>
  <c r="E6743" i="1"/>
  <c r="C6743" i="1"/>
  <c r="E6742" i="1"/>
  <c r="C6742" i="1"/>
  <c r="E6741" i="1"/>
  <c r="C6741" i="1"/>
  <c r="E6740" i="1"/>
  <c r="C6740" i="1"/>
  <c r="E6739" i="1"/>
  <c r="C6739" i="1"/>
  <c r="E6738" i="1"/>
  <c r="C6738" i="1"/>
  <c r="E6737" i="1"/>
  <c r="C6737" i="1"/>
  <c r="E6736" i="1"/>
  <c r="C6736" i="1"/>
  <c r="E6735" i="1"/>
  <c r="C6735" i="1"/>
  <c r="E6734" i="1"/>
  <c r="C6734" i="1"/>
  <c r="E6733" i="1"/>
  <c r="C6733" i="1"/>
  <c r="E6732" i="1"/>
  <c r="C6732" i="1"/>
  <c r="E6731" i="1"/>
  <c r="C6731" i="1"/>
  <c r="E6730" i="1"/>
  <c r="C6730" i="1"/>
  <c r="E6729" i="1"/>
  <c r="C6729" i="1"/>
  <c r="E6728" i="1"/>
  <c r="C6728" i="1"/>
  <c r="E6727" i="1"/>
  <c r="C6727" i="1"/>
  <c r="E6726" i="1"/>
  <c r="C6726" i="1"/>
  <c r="E6725" i="1"/>
  <c r="C6725" i="1"/>
  <c r="E6724" i="1"/>
  <c r="C6724" i="1"/>
  <c r="E6723" i="1"/>
  <c r="C6723" i="1"/>
  <c r="E6722" i="1"/>
  <c r="C6722" i="1"/>
  <c r="E6721" i="1"/>
  <c r="C6721" i="1"/>
  <c r="E6720" i="1"/>
  <c r="C6720" i="1"/>
  <c r="E6719" i="1"/>
  <c r="C6719" i="1"/>
  <c r="E6718" i="1"/>
  <c r="C6718" i="1"/>
  <c r="E6717" i="1"/>
  <c r="C6717" i="1"/>
  <c r="E6716" i="1"/>
  <c r="C6716" i="1"/>
  <c r="E6715" i="1"/>
  <c r="C6715" i="1"/>
  <c r="E6714" i="1"/>
  <c r="C6714" i="1"/>
  <c r="E6713" i="1"/>
  <c r="C6713" i="1"/>
  <c r="E6712" i="1"/>
  <c r="C6712" i="1"/>
  <c r="E6711" i="1"/>
  <c r="C6711" i="1"/>
  <c r="E6710" i="1"/>
  <c r="C6710" i="1"/>
  <c r="E6709" i="1"/>
  <c r="C6709" i="1"/>
  <c r="E6708" i="1"/>
  <c r="C6708" i="1"/>
  <c r="E6707" i="1"/>
  <c r="C6707" i="1"/>
  <c r="E6706" i="1"/>
  <c r="C6706" i="1"/>
  <c r="E6705" i="1"/>
  <c r="C6705" i="1"/>
  <c r="E6704" i="1"/>
  <c r="C6704" i="1"/>
  <c r="E6703" i="1"/>
  <c r="C6703" i="1"/>
  <c r="E6702" i="1"/>
  <c r="C6702" i="1"/>
  <c r="E6701" i="1"/>
  <c r="C6701" i="1"/>
  <c r="E6700" i="1"/>
  <c r="C6700" i="1"/>
  <c r="E6699" i="1"/>
  <c r="C6699" i="1"/>
  <c r="E6698" i="1"/>
  <c r="C6698" i="1"/>
  <c r="E6697" i="1"/>
  <c r="C6697" i="1"/>
  <c r="E6696" i="1"/>
  <c r="C6696" i="1"/>
  <c r="E6695" i="1"/>
  <c r="C6695" i="1"/>
  <c r="E6694" i="1"/>
  <c r="C6694" i="1"/>
  <c r="E6693" i="1"/>
  <c r="C6693" i="1"/>
  <c r="E6692" i="1"/>
  <c r="C6692" i="1"/>
  <c r="E6691" i="1"/>
  <c r="C6691" i="1"/>
  <c r="E6690" i="1"/>
  <c r="C6690" i="1"/>
  <c r="E6689" i="1"/>
  <c r="C6689" i="1"/>
  <c r="E6688" i="1"/>
  <c r="C6688" i="1"/>
  <c r="E6687" i="1"/>
  <c r="C6687" i="1"/>
  <c r="E6686" i="1"/>
  <c r="C6686" i="1"/>
  <c r="E6685" i="1"/>
  <c r="C6685" i="1"/>
  <c r="E6684" i="1"/>
  <c r="C6684" i="1"/>
  <c r="E6683" i="1"/>
  <c r="C6683" i="1"/>
  <c r="E6682" i="1"/>
  <c r="C6682" i="1"/>
  <c r="E6681" i="1"/>
  <c r="C6681" i="1"/>
  <c r="E6680" i="1"/>
  <c r="C6680" i="1"/>
  <c r="E6679" i="1"/>
  <c r="C6679" i="1"/>
  <c r="E6678" i="1"/>
  <c r="C6678" i="1"/>
  <c r="E6677" i="1"/>
  <c r="C6677" i="1"/>
  <c r="E6676" i="1"/>
  <c r="C6676" i="1"/>
  <c r="E6675" i="1"/>
  <c r="C6675" i="1"/>
  <c r="E6674" i="1"/>
  <c r="C6674" i="1"/>
  <c r="E6673" i="1"/>
  <c r="C6673" i="1"/>
  <c r="E6672" i="1"/>
  <c r="C6672" i="1"/>
  <c r="E6671" i="1"/>
  <c r="C6671" i="1"/>
  <c r="E6670" i="1"/>
  <c r="C6670" i="1"/>
  <c r="E6669" i="1"/>
  <c r="C6669" i="1"/>
  <c r="E6668" i="1"/>
  <c r="C6668" i="1"/>
  <c r="E6667" i="1"/>
  <c r="C6667" i="1"/>
  <c r="E6666" i="1"/>
  <c r="C6666" i="1"/>
  <c r="E6665" i="1"/>
  <c r="C6665" i="1"/>
  <c r="E6664" i="1"/>
  <c r="C6664" i="1"/>
  <c r="E6663" i="1"/>
  <c r="C6663" i="1"/>
  <c r="E6662" i="1"/>
  <c r="C6662" i="1"/>
  <c r="E6661" i="1"/>
  <c r="C6661" i="1"/>
  <c r="E6660" i="1"/>
  <c r="C6660" i="1"/>
  <c r="E6659" i="1"/>
  <c r="C6659" i="1"/>
  <c r="E6658" i="1"/>
  <c r="C6658" i="1"/>
  <c r="E6657" i="1"/>
  <c r="C6657" i="1"/>
  <c r="E6656" i="1"/>
  <c r="C6656" i="1"/>
  <c r="E6655" i="1"/>
  <c r="C6655" i="1"/>
  <c r="E6654" i="1"/>
  <c r="C6654" i="1"/>
  <c r="E6653" i="1"/>
  <c r="C6653" i="1"/>
  <c r="E6652" i="1"/>
  <c r="C6652" i="1"/>
  <c r="E6651" i="1"/>
  <c r="C6651" i="1"/>
  <c r="E6650" i="1"/>
  <c r="C6650" i="1"/>
  <c r="E6649" i="1"/>
  <c r="C6649" i="1"/>
  <c r="E6648" i="1"/>
  <c r="C6648" i="1"/>
  <c r="E6647" i="1"/>
  <c r="C6647" i="1"/>
  <c r="E6646" i="1"/>
  <c r="C6646" i="1"/>
  <c r="E6645" i="1"/>
  <c r="C6645" i="1"/>
  <c r="E6644" i="1"/>
  <c r="C6644" i="1"/>
  <c r="E6643" i="1"/>
  <c r="C6643" i="1"/>
  <c r="E6642" i="1"/>
  <c r="C6642" i="1"/>
  <c r="E6641" i="1"/>
  <c r="C6641" i="1"/>
  <c r="E6640" i="1"/>
  <c r="C6640" i="1"/>
  <c r="E6639" i="1"/>
  <c r="C6639" i="1"/>
  <c r="E6638" i="1"/>
  <c r="C6638" i="1"/>
  <c r="E6637" i="1"/>
  <c r="C6637" i="1"/>
  <c r="E6636" i="1"/>
  <c r="C6636" i="1"/>
  <c r="E6635" i="1"/>
  <c r="C6635" i="1"/>
  <c r="E6634" i="1"/>
  <c r="C6634" i="1"/>
  <c r="E6633" i="1"/>
  <c r="C6633" i="1"/>
  <c r="E6632" i="1"/>
  <c r="C6632" i="1"/>
  <c r="E6631" i="1"/>
  <c r="C6631" i="1"/>
  <c r="E6630" i="1"/>
  <c r="C6630" i="1"/>
  <c r="E6629" i="1"/>
  <c r="C6629" i="1"/>
  <c r="E6628" i="1"/>
  <c r="C6628" i="1"/>
  <c r="E6627" i="1"/>
  <c r="C6627" i="1"/>
  <c r="E6626" i="1"/>
  <c r="C6626" i="1"/>
  <c r="E6625" i="1"/>
  <c r="C6625" i="1"/>
  <c r="E6624" i="1"/>
  <c r="C6624" i="1"/>
  <c r="E6623" i="1"/>
  <c r="C6623" i="1"/>
  <c r="E6622" i="1"/>
  <c r="C6622" i="1"/>
  <c r="E6621" i="1"/>
  <c r="C6621" i="1"/>
  <c r="E6620" i="1"/>
  <c r="C6620" i="1"/>
  <c r="E6619" i="1"/>
  <c r="C6619" i="1"/>
  <c r="E6618" i="1"/>
  <c r="C6618" i="1"/>
  <c r="E6617" i="1"/>
  <c r="C6617" i="1"/>
  <c r="E6616" i="1"/>
  <c r="C6616" i="1"/>
  <c r="E6615" i="1"/>
  <c r="C6615" i="1"/>
  <c r="E6614" i="1"/>
  <c r="C6614" i="1"/>
  <c r="E6613" i="1"/>
  <c r="C6613" i="1"/>
  <c r="E6612" i="1"/>
  <c r="C6612" i="1"/>
  <c r="E6611" i="1"/>
  <c r="C6611" i="1"/>
  <c r="E6610" i="1"/>
  <c r="C6610" i="1"/>
  <c r="E6609" i="1"/>
  <c r="C6609" i="1"/>
  <c r="E6608" i="1"/>
  <c r="C6608" i="1"/>
  <c r="E6607" i="1"/>
  <c r="C6607" i="1"/>
  <c r="E6606" i="1"/>
  <c r="C6606" i="1"/>
  <c r="E6605" i="1"/>
  <c r="C6605" i="1"/>
  <c r="E6604" i="1"/>
  <c r="C6604" i="1"/>
  <c r="E6603" i="1"/>
  <c r="C6603" i="1"/>
  <c r="E6602" i="1"/>
  <c r="C6602" i="1"/>
  <c r="E6601" i="1"/>
  <c r="C6601" i="1"/>
  <c r="E6600" i="1"/>
  <c r="C6600" i="1"/>
  <c r="E6599" i="1"/>
  <c r="C6599" i="1"/>
  <c r="E6598" i="1"/>
  <c r="C6598" i="1"/>
  <c r="E6597" i="1"/>
  <c r="C6597" i="1"/>
  <c r="E6596" i="1"/>
  <c r="C6596" i="1"/>
  <c r="E6595" i="1"/>
  <c r="C6595" i="1"/>
  <c r="E6594" i="1"/>
  <c r="C6594" i="1"/>
  <c r="E6593" i="1"/>
  <c r="C6593" i="1"/>
  <c r="E6592" i="1"/>
  <c r="C6592" i="1"/>
  <c r="E6591" i="1"/>
  <c r="C6591" i="1"/>
  <c r="E6590" i="1"/>
  <c r="C6590" i="1"/>
  <c r="E6589" i="1"/>
  <c r="C6589" i="1"/>
  <c r="E6588" i="1"/>
  <c r="C6588" i="1"/>
  <c r="E6587" i="1"/>
  <c r="C6587" i="1"/>
  <c r="E6586" i="1"/>
  <c r="C6586" i="1"/>
  <c r="E6585" i="1"/>
  <c r="C6585" i="1"/>
  <c r="E6584" i="1"/>
  <c r="C6584" i="1"/>
  <c r="E6583" i="1"/>
  <c r="C6583" i="1"/>
  <c r="E6582" i="1"/>
  <c r="C6582" i="1"/>
  <c r="E6581" i="1"/>
  <c r="C6581" i="1"/>
  <c r="E6580" i="1"/>
  <c r="C6580" i="1"/>
  <c r="E6579" i="1"/>
  <c r="C6579" i="1"/>
  <c r="E6578" i="1"/>
  <c r="C6578" i="1"/>
  <c r="E6577" i="1"/>
  <c r="C6577" i="1"/>
  <c r="E6576" i="1"/>
  <c r="C6576" i="1"/>
  <c r="E6575" i="1"/>
  <c r="C6575" i="1"/>
  <c r="E6574" i="1"/>
  <c r="C6574" i="1"/>
  <c r="E6573" i="1"/>
  <c r="C6573" i="1"/>
  <c r="E6572" i="1"/>
  <c r="C6572" i="1"/>
  <c r="E6571" i="1"/>
  <c r="C6571" i="1"/>
  <c r="E6570" i="1"/>
  <c r="C6570" i="1"/>
  <c r="E6569" i="1"/>
  <c r="C6569" i="1"/>
  <c r="E6568" i="1"/>
  <c r="C6568" i="1"/>
  <c r="E6567" i="1"/>
  <c r="C6567" i="1"/>
  <c r="E6566" i="1"/>
  <c r="C6566" i="1"/>
  <c r="E6565" i="1"/>
  <c r="C6565" i="1"/>
  <c r="E6564" i="1"/>
  <c r="C6564" i="1"/>
  <c r="E6563" i="1"/>
  <c r="C6563" i="1"/>
  <c r="E6562" i="1"/>
  <c r="C6562" i="1"/>
  <c r="E6561" i="1"/>
  <c r="C6561" i="1"/>
  <c r="E6560" i="1"/>
  <c r="C6560" i="1"/>
  <c r="E6559" i="1"/>
  <c r="C6559" i="1"/>
  <c r="E6558" i="1"/>
  <c r="C6558" i="1"/>
  <c r="E6557" i="1"/>
  <c r="C6557" i="1"/>
  <c r="E6556" i="1"/>
  <c r="C6556" i="1"/>
  <c r="E6555" i="1"/>
  <c r="C6555" i="1"/>
  <c r="E6554" i="1"/>
  <c r="C6554" i="1"/>
  <c r="E6553" i="1"/>
  <c r="C6553" i="1"/>
  <c r="E6552" i="1"/>
  <c r="C6552" i="1"/>
  <c r="E6551" i="1"/>
  <c r="C6551" i="1"/>
  <c r="E6550" i="1"/>
  <c r="C6550" i="1"/>
  <c r="E6549" i="1"/>
  <c r="C6549" i="1"/>
  <c r="E6548" i="1"/>
  <c r="C6548" i="1"/>
  <c r="E6547" i="1"/>
  <c r="C6547" i="1"/>
  <c r="E6546" i="1"/>
  <c r="C6546" i="1"/>
  <c r="E6545" i="1"/>
  <c r="C6545" i="1"/>
  <c r="E6544" i="1"/>
  <c r="C6544" i="1"/>
  <c r="E6543" i="1"/>
  <c r="C6543" i="1"/>
  <c r="E6542" i="1"/>
  <c r="C6542" i="1"/>
  <c r="E6541" i="1"/>
  <c r="C6541" i="1"/>
  <c r="E6540" i="1"/>
  <c r="C6540" i="1"/>
  <c r="E6539" i="1"/>
  <c r="C6539" i="1"/>
  <c r="E6538" i="1"/>
  <c r="C6538" i="1"/>
  <c r="E6537" i="1"/>
  <c r="C6537" i="1"/>
  <c r="E6536" i="1"/>
  <c r="C6536" i="1"/>
  <c r="E6535" i="1"/>
  <c r="C6535" i="1"/>
  <c r="E6534" i="1"/>
  <c r="C6534" i="1"/>
  <c r="E6533" i="1"/>
  <c r="C6533" i="1"/>
  <c r="E6532" i="1"/>
  <c r="C6532" i="1"/>
  <c r="E6531" i="1"/>
  <c r="C6531" i="1"/>
  <c r="E6530" i="1"/>
  <c r="C6530" i="1"/>
  <c r="E6529" i="1"/>
  <c r="C6529" i="1"/>
  <c r="E6528" i="1"/>
  <c r="C6528" i="1"/>
  <c r="E6527" i="1"/>
  <c r="C6527" i="1"/>
  <c r="E6526" i="1"/>
  <c r="C6526" i="1"/>
  <c r="E6525" i="1"/>
  <c r="C6525" i="1"/>
  <c r="E6524" i="1"/>
  <c r="C6524" i="1"/>
  <c r="E6523" i="1"/>
  <c r="C6523" i="1"/>
  <c r="E6522" i="1"/>
  <c r="C6522" i="1"/>
  <c r="E6521" i="1"/>
  <c r="C6521" i="1"/>
  <c r="E6520" i="1"/>
  <c r="C6520" i="1"/>
  <c r="E6519" i="1"/>
  <c r="C6519" i="1"/>
  <c r="E6518" i="1"/>
  <c r="C6518" i="1"/>
  <c r="E6517" i="1"/>
  <c r="C6517" i="1"/>
  <c r="E6516" i="1"/>
  <c r="C6516" i="1"/>
  <c r="E6515" i="1"/>
  <c r="C6515" i="1"/>
  <c r="E6514" i="1"/>
  <c r="C6514" i="1"/>
  <c r="E6513" i="1"/>
  <c r="C6513" i="1"/>
  <c r="E6512" i="1"/>
  <c r="C6512" i="1"/>
  <c r="E6511" i="1"/>
  <c r="C6511" i="1"/>
  <c r="E6510" i="1"/>
  <c r="C6510" i="1"/>
  <c r="E6509" i="1"/>
  <c r="C6509" i="1"/>
  <c r="E6508" i="1"/>
  <c r="C6508" i="1"/>
  <c r="E6507" i="1"/>
  <c r="C6507" i="1"/>
  <c r="E6506" i="1"/>
  <c r="C6506" i="1"/>
  <c r="E6505" i="1"/>
  <c r="C6505" i="1"/>
  <c r="E6504" i="1"/>
  <c r="C6504" i="1"/>
  <c r="E6503" i="1"/>
  <c r="C6503" i="1"/>
  <c r="E6502" i="1"/>
  <c r="C6502" i="1"/>
  <c r="E6501" i="1"/>
  <c r="C6501" i="1"/>
  <c r="E6500" i="1"/>
  <c r="C6500" i="1"/>
  <c r="E6499" i="1"/>
  <c r="C6499" i="1"/>
  <c r="E6498" i="1"/>
  <c r="C6498" i="1"/>
  <c r="E6497" i="1"/>
  <c r="C6497" i="1"/>
  <c r="E6496" i="1"/>
  <c r="C6496" i="1"/>
  <c r="E6495" i="1"/>
  <c r="C6495" i="1"/>
  <c r="E6494" i="1"/>
  <c r="C6494" i="1"/>
  <c r="E6493" i="1"/>
  <c r="C6493" i="1"/>
  <c r="E6492" i="1"/>
  <c r="C6492" i="1"/>
  <c r="E6491" i="1"/>
  <c r="C6491" i="1"/>
  <c r="E6490" i="1"/>
  <c r="C6490" i="1"/>
  <c r="E6489" i="1"/>
  <c r="C6489" i="1"/>
  <c r="E6488" i="1"/>
  <c r="C6488" i="1"/>
  <c r="E6487" i="1"/>
  <c r="C6487" i="1"/>
  <c r="E6486" i="1"/>
  <c r="C6486" i="1"/>
  <c r="E6485" i="1"/>
  <c r="C6485" i="1"/>
  <c r="E6484" i="1"/>
  <c r="C6484" i="1"/>
  <c r="E6483" i="1"/>
  <c r="C6483" i="1"/>
  <c r="E6482" i="1"/>
  <c r="C6482" i="1"/>
  <c r="E6481" i="1"/>
  <c r="C6481" i="1"/>
  <c r="E6480" i="1"/>
  <c r="C6480" i="1"/>
  <c r="E6479" i="1"/>
  <c r="C6479" i="1"/>
  <c r="E6478" i="1"/>
  <c r="C6478" i="1"/>
  <c r="E6477" i="1"/>
  <c r="C6477" i="1"/>
  <c r="E6476" i="1"/>
  <c r="C6476" i="1"/>
  <c r="E6475" i="1"/>
  <c r="C6475" i="1"/>
  <c r="E6474" i="1"/>
  <c r="C6474" i="1"/>
  <c r="E6473" i="1"/>
  <c r="C6473" i="1"/>
  <c r="E6472" i="1"/>
  <c r="C6472" i="1"/>
  <c r="E6471" i="1"/>
  <c r="C6471" i="1"/>
  <c r="E6470" i="1"/>
  <c r="C6470" i="1"/>
  <c r="E6469" i="1"/>
  <c r="C6469" i="1"/>
  <c r="E6468" i="1"/>
  <c r="C6468" i="1"/>
  <c r="E6467" i="1"/>
  <c r="C6467" i="1"/>
  <c r="E6466" i="1"/>
  <c r="C6466" i="1"/>
  <c r="E6465" i="1"/>
  <c r="C6465" i="1"/>
  <c r="E6464" i="1"/>
  <c r="C6464" i="1"/>
  <c r="E6463" i="1"/>
  <c r="C6463" i="1"/>
  <c r="E6462" i="1"/>
  <c r="C6462" i="1"/>
  <c r="E6461" i="1"/>
  <c r="C6461" i="1"/>
  <c r="E6460" i="1"/>
  <c r="C6460" i="1"/>
  <c r="E6459" i="1"/>
  <c r="C6459" i="1"/>
  <c r="E6458" i="1"/>
  <c r="C6458" i="1"/>
  <c r="E6457" i="1"/>
  <c r="C6457" i="1"/>
  <c r="E6456" i="1"/>
  <c r="C6456" i="1"/>
  <c r="E6455" i="1"/>
  <c r="C6455" i="1"/>
  <c r="E6454" i="1"/>
  <c r="C6454" i="1"/>
  <c r="E6453" i="1"/>
  <c r="C6453" i="1"/>
  <c r="E6452" i="1"/>
  <c r="C6452" i="1"/>
  <c r="E6451" i="1"/>
  <c r="C6451" i="1"/>
  <c r="E6450" i="1"/>
  <c r="C6450" i="1"/>
  <c r="E6449" i="1"/>
  <c r="C6449" i="1"/>
  <c r="E6448" i="1"/>
  <c r="C6448" i="1"/>
  <c r="E6447" i="1"/>
  <c r="C6447" i="1"/>
  <c r="E6446" i="1"/>
  <c r="C6446" i="1"/>
  <c r="E6445" i="1"/>
  <c r="C6445" i="1"/>
  <c r="E6444" i="1"/>
  <c r="C6444" i="1"/>
  <c r="E6443" i="1"/>
  <c r="C6443" i="1"/>
  <c r="E6442" i="1"/>
  <c r="C6442" i="1"/>
  <c r="E6441" i="1"/>
  <c r="C6441" i="1"/>
  <c r="E6440" i="1"/>
  <c r="C6440" i="1"/>
  <c r="E6439" i="1"/>
  <c r="C6439" i="1"/>
  <c r="E6438" i="1"/>
  <c r="C6438" i="1"/>
  <c r="E6437" i="1"/>
  <c r="C6437" i="1"/>
  <c r="E6436" i="1"/>
  <c r="C6436" i="1"/>
  <c r="E6435" i="1"/>
  <c r="C6435" i="1"/>
  <c r="E6434" i="1"/>
  <c r="C6434" i="1"/>
  <c r="E6433" i="1"/>
  <c r="C6433" i="1"/>
  <c r="E6432" i="1"/>
  <c r="C6432" i="1"/>
  <c r="E6431" i="1"/>
  <c r="C6431" i="1"/>
  <c r="E6430" i="1"/>
  <c r="C6430" i="1"/>
  <c r="E6429" i="1"/>
  <c r="C6429" i="1"/>
  <c r="E6428" i="1"/>
  <c r="C6428" i="1"/>
  <c r="E6427" i="1"/>
  <c r="C6427" i="1"/>
  <c r="E6426" i="1"/>
  <c r="C6426" i="1"/>
  <c r="E6425" i="1"/>
  <c r="C6425" i="1"/>
  <c r="E6424" i="1"/>
  <c r="C6424" i="1"/>
  <c r="E6423" i="1"/>
  <c r="C6423" i="1"/>
  <c r="E6422" i="1"/>
  <c r="C6422" i="1"/>
  <c r="E6421" i="1"/>
  <c r="C6421" i="1"/>
  <c r="E6420" i="1"/>
  <c r="C6420" i="1"/>
  <c r="E6419" i="1"/>
  <c r="C6419" i="1"/>
  <c r="E6418" i="1"/>
  <c r="C6418" i="1"/>
  <c r="E6417" i="1"/>
  <c r="C6417" i="1"/>
  <c r="E6416" i="1"/>
  <c r="C6416" i="1"/>
  <c r="E6415" i="1"/>
  <c r="C6415" i="1"/>
  <c r="E6414" i="1"/>
  <c r="C6414" i="1"/>
  <c r="E6413" i="1"/>
  <c r="C6413" i="1"/>
  <c r="E6412" i="1"/>
  <c r="C6412" i="1"/>
  <c r="E6411" i="1"/>
  <c r="C6411" i="1"/>
  <c r="E6410" i="1"/>
  <c r="C6410" i="1"/>
  <c r="E6409" i="1"/>
  <c r="C6409" i="1"/>
  <c r="E6408" i="1"/>
  <c r="C6408" i="1"/>
  <c r="E6407" i="1"/>
  <c r="C6407" i="1"/>
  <c r="E6406" i="1"/>
  <c r="C6406" i="1"/>
  <c r="E6405" i="1"/>
  <c r="C6405" i="1"/>
  <c r="E6404" i="1"/>
  <c r="C6404" i="1"/>
  <c r="E6403" i="1"/>
  <c r="C6403" i="1"/>
  <c r="E6402" i="1"/>
  <c r="C6402" i="1"/>
  <c r="E6401" i="1"/>
  <c r="C6401" i="1"/>
  <c r="E6400" i="1"/>
  <c r="C6400" i="1"/>
  <c r="E6399" i="1"/>
  <c r="C6399" i="1"/>
  <c r="E6398" i="1"/>
  <c r="C6398" i="1"/>
  <c r="E6397" i="1"/>
  <c r="C6397" i="1"/>
  <c r="E6396" i="1"/>
  <c r="C6396" i="1"/>
  <c r="E6395" i="1"/>
  <c r="C6395" i="1"/>
  <c r="E6394" i="1"/>
  <c r="C6394" i="1"/>
  <c r="E6393" i="1"/>
  <c r="C6393" i="1"/>
  <c r="E6392" i="1"/>
  <c r="C6392" i="1"/>
  <c r="E6391" i="1"/>
  <c r="C6391" i="1"/>
  <c r="E6390" i="1"/>
  <c r="C6390" i="1"/>
  <c r="E6389" i="1"/>
  <c r="C6389" i="1"/>
  <c r="E6388" i="1"/>
  <c r="C6388" i="1"/>
  <c r="E6387" i="1"/>
  <c r="C6387" i="1"/>
  <c r="E6386" i="1"/>
  <c r="C6386" i="1"/>
  <c r="E6385" i="1"/>
  <c r="C6385" i="1"/>
  <c r="E6384" i="1"/>
  <c r="C6384" i="1"/>
  <c r="E6383" i="1"/>
  <c r="C6383" i="1"/>
  <c r="E6382" i="1"/>
  <c r="C6382" i="1"/>
  <c r="E6381" i="1"/>
  <c r="C6381" i="1"/>
  <c r="E6380" i="1"/>
  <c r="C6380" i="1"/>
  <c r="E6379" i="1"/>
  <c r="C6379" i="1"/>
  <c r="E6378" i="1"/>
  <c r="C6378" i="1"/>
  <c r="E6377" i="1"/>
  <c r="C6377" i="1"/>
  <c r="E6376" i="1"/>
  <c r="C6376" i="1"/>
  <c r="E6375" i="1"/>
  <c r="C6375" i="1"/>
  <c r="E6374" i="1"/>
  <c r="C6374" i="1"/>
  <c r="E6373" i="1"/>
  <c r="C6373" i="1"/>
  <c r="E6372" i="1"/>
  <c r="C6372" i="1"/>
  <c r="E6371" i="1"/>
  <c r="C6371" i="1"/>
  <c r="E6370" i="1"/>
  <c r="C6370" i="1"/>
  <c r="E6369" i="1"/>
  <c r="C6369" i="1"/>
  <c r="E6368" i="1"/>
  <c r="C6368" i="1"/>
  <c r="E6367" i="1"/>
  <c r="C6367" i="1"/>
  <c r="E6366" i="1"/>
  <c r="C6366" i="1"/>
  <c r="E6365" i="1"/>
  <c r="C6365" i="1"/>
  <c r="E6364" i="1"/>
  <c r="C6364" i="1"/>
  <c r="E6363" i="1"/>
  <c r="C6363" i="1"/>
  <c r="E6362" i="1"/>
  <c r="C6362" i="1"/>
  <c r="E6361" i="1"/>
  <c r="C6361" i="1"/>
  <c r="E6360" i="1"/>
  <c r="C6360" i="1"/>
  <c r="E6359" i="1"/>
  <c r="C6359" i="1"/>
  <c r="E6358" i="1"/>
  <c r="C6358" i="1"/>
  <c r="E6357" i="1"/>
  <c r="C6357" i="1"/>
  <c r="E6356" i="1"/>
  <c r="C6356" i="1"/>
  <c r="E6355" i="1"/>
  <c r="C6355" i="1"/>
  <c r="E6354" i="1"/>
  <c r="C6354" i="1"/>
  <c r="E6353" i="1"/>
  <c r="C6353" i="1"/>
  <c r="E6352" i="1"/>
  <c r="C6352" i="1"/>
  <c r="E6351" i="1"/>
  <c r="C6351" i="1"/>
  <c r="E6350" i="1"/>
  <c r="C6350" i="1"/>
  <c r="E6349" i="1"/>
  <c r="C6349" i="1"/>
  <c r="E6348" i="1"/>
  <c r="C6348" i="1"/>
  <c r="E6347" i="1"/>
  <c r="C6347" i="1"/>
  <c r="E6346" i="1"/>
  <c r="C6346" i="1"/>
  <c r="E6345" i="1"/>
  <c r="C6345" i="1"/>
  <c r="E6344" i="1"/>
  <c r="C6344" i="1"/>
  <c r="E6343" i="1"/>
  <c r="C6343" i="1"/>
  <c r="E6342" i="1"/>
  <c r="C6342" i="1"/>
  <c r="E6341" i="1"/>
  <c r="C6341" i="1"/>
  <c r="E6340" i="1"/>
  <c r="C6340" i="1"/>
  <c r="E6339" i="1"/>
  <c r="C6339" i="1"/>
  <c r="E6338" i="1"/>
  <c r="C6338" i="1"/>
  <c r="E6337" i="1"/>
  <c r="C6337" i="1"/>
  <c r="E6336" i="1"/>
  <c r="C6336" i="1"/>
  <c r="E6335" i="1"/>
  <c r="C6335" i="1"/>
  <c r="E6334" i="1"/>
  <c r="C6334" i="1"/>
  <c r="E6333" i="1"/>
  <c r="C6333" i="1"/>
  <c r="E6332" i="1"/>
  <c r="C6332" i="1"/>
  <c r="E6331" i="1"/>
  <c r="C6331" i="1"/>
  <c r="E6330" i="1"/>
  <c r="C6330" i="1"/>
  <c r="E6329" i="1"/>
  <c r="C6329" i="1"/>
  <c r="E6328" i="1"/>
  <c r="C6328" i="1"/>
  <c r="E6327" i="1"/>
  <c r="C6327" i="1"/>
  <c r="E6326" i="1"/>
  <c r="C6326" i="1"/>
  <c r="E6325" i="1"/>
  <c r="C6325" i="1"/>
  <c r="E6324" i="1"/>
  <c r="C6324" i="1"/>
  <c r="E6323" i="1"/>
  <c r="C6323" i="1"/>
  <c r="E6322" i="1"/>
  <c r="C6322" i="1"/>
  <c r="E6321" i="1"/>
  <c r="C6321" i="1"/>
  <c r="E6320" i="1"/>
  <c r="C6320" i="1"/>
  <c r="E6319" i="1"/>
  <c r="C6319" i="1"/>
  <c r="E6318" i="1"/>
  <c r="C6318" i="1"/>
  <c r="E6317" i="1"/>
  <c r="C6317" i="1"/>
  <c r="E6316" i="1"/>
  <c r="C6316" i="1"/>
  <c r="E6315" i="1"/>
  <c r="C6315" i="1"/>
  <c r="E6314" i="1"/>
  <c r="C6314" i="1"/>
  <c r="E6313" i="1"/>
  <c r="C6313" i="1"/>
  <c r="E6312" i="1"/>
  <c r="C6312" i="1"/>
  <c r="E6311" i="1"/>
  <c r="C6311" i="1"/>
  <c r="E6310" i="1"/>
  <c r="C6310" i="1"/>
  <c r="E6309" i="1"/>
  <c r="C6309" i="1"/>
  <c r="E6308" i="1"/>
  <c r="C6308" i="1"/>
  <c r="E6307" i="1"/>
  <c r="C6307" i="1"/>
  <c r="E6306" i="1"/>
  <c r="C6306" i="1"/>
  <c r="E6305" i="1"/>
  <c r="C6305" i="1"/>
  <c r="E6304" i="1"/>
  <c r="C6304" i="1"/>
  <c r="E6303" i="1"/>
  <c r="C6303" i="1"/>
  <c r="E6302" i="1"/>
  <c r="C6302" i="1"/>
  <c r="E6301" i="1"/>
  <c r="C6301" i="1"/>
  <c r="E6300" i="1"/>
  <c r="C6300" i="1"/>
  <c r="E6299" i="1"/>
  <c r="C6299" i="1"/>
  <c r="E6298" i="1"/>
  <c r="C6298" i="1"/>
  <c r="E6297" i="1"/>
  <c r="C6297" i="1"/>
  <c r="E6296" i="1"/>
  <c r="C6296" i="1"/>
  <c r="E6295" i="1"/>
  <c r="C6295" i="1"/>
  <c r="E6294" i="1"/>
  <c r="C6294" i="1"/>
  <c r="E6293" i="1"/>
  <c r="C6293" i="1"/>
  <c r="E6292" i="1"/>
  <c r="C6292" i="1"/>
  <c r="E6291" i="1"/>
  <c r="C6291" i="1"/>
  <c r="E6290" i="1"/>
  <c r="C6290" i="1"/>
  <c r="E6289" i="1"/>
  <c r="C6289" i="1"/>
  <c r="E6288" i="1"/>
  <c r="C6288" i="1"/>
  <c r="E6287" i="1"/>
  <c r="C6287" i="1"/>
  <c r="E6286" i="1"/>
  <c r="C6286" i="1"/>
  <c r="E6285" i="1"/>
  <c r="C6285" i="1"/>
  <c r="E6284" i="1"/>
  <c r="C6284" i="1"/>
  <c r="E6283" i="1"/>
  <c r="C6283" i="1"/>
  <c r="E6282" i="1"/>
  <c r="C6282" i="1"/>
  <c r="E6281" i="1"/>
  <c r="C6281" i="1"/>
  <c r="E6280" i="1"/>
  <c r="C6280" i="1"/>
  <c r="E6279" i="1"/>
  <c r="C6279" i="1"/>
  <c r="E6278" i="1"/>
  <c r="C6278" i="1"/>
  <c r="E6277" i="1"/>
  <c r="C6277" i="1"/>
  <c r="E6276" i="1"/>
  <c r="C6276" i="1"/>
  <c r="E6275" i="1"/>
  <c r="C6275" i="1"/>
  <c r="E6274" i="1"/>
  <c r="C6274" i="1"/>
  <c r="E6273" i="1"/>
  <c r="C6273" i="1"/>
  <c r="E6272" i="1"/>
  <c r="C6272" i="1"/>
  <c r="E6271" i="1"/>
  <c r="C6271" i="1"/>
  <c r="E6270" i="1"/>
  <c r="C6270" i="1"/>
  <c r="E6269" i="1"/>
  <c r="C6269" i="1"/>
  <c r="E6268" i="1"/>
  <c r="C6268" i="1"/>
  <c r="E6267" i="1"/>
  <c r="C6267" i="1"/>
  <c r="E6266" i="1"/>
  <c r="C6266" i="1"/>
  <c r="E6265" i="1"/>
  <c r="C6265" i="1"/>
  <c r="E6264" i="1"/>
  <c r="C6264" i="1"/>
  <c r="E6263" i="1"/>
  <c r="C6263" i="1"/>
  <c r="E6262" i="1"/>
  <c r="C6262" i="1"/>
  <c r="E6261" i="1"/>
  <c r="C6261" i="1"/>
  <c r="E6260" i="1"/>
  <c r="C6260" i="1"/>
  <c r="E6259" i="1"/>
  <c r="C6259" i="1"/>
  <c r="E6258" i="1"/>
  <c r="C6258" i="1"/>
  <c r="E6257" i="1"/>
  <c r="C6257" i="1"/>
  <c r="E6256" i="1"/>
  <c r="C6256" i="1"/>
  <c r="E6255" i="1"/>
  <c r="C6255" i="1"/>
  <c r="E6254" i="1"/>
  <c r="C6254" i="1"/>
  <c r="E6253" i="1"/>
  <c r="C6253" i="1"/>
  <c r="E6252" i="1"/>
  <c r="C6252" i="1"/>
  <c r="E6251" i="1"/>
  <c r="C6251" i="1"/>
  <c r="E6250" i="1"/>
  <c r="C6250" i="1"/>
  <c r="E6249" i="1"/>
  <c r="C6249" i="1"/>
  <c r="E6248" i="1"/>
  <c r="C6248" i="1"/>
  <c r="E6247" i="1"/>
  <c r="C6247" i="1"/>
  <c r="E6246" i="1"/>
  <c r="C6246" i="1"/>
  <c r="E6245" i="1"/>
  <c r="C6245" i="1"/>
  <c r="E6244" i="1"/>
  <c r="C6244" i="1"/>
  <c r="E6243" i="1"/>
  <c r="C6243" i="1"/>
  <c r="E6242" i="1"/>
  <c r="C6242" i="1"/>
  <c r="E6241" i="1"/>
  <c r="C6241" i="1"/>
  <c r="E6240" i="1"/>
  <c r="C6240" i="1"/>
  <c r="E6239" i="1"/>
  <c r="C6239" i="1"/>
  <c r="E6238" i="1"/>
  <c r="C6238" i="1"/>
  <c r="E6237" i="1"/>
  <c r="C6237" i="1"/>
  <c r="E6236" i="1"/>
  <c r="C6236" i="1"/>
  <c r="E6235" i="1"/>
  <c r="C6235" i="1"/>
  <c r="E6234" i="1"/>
  <c r="C6234" i="1"/>
  <c r="E6233" i="1"/>
  <c r="C6233" i="1"/>
  <c r="E6232" i="1"/>
  <c r="C6232" i="1"/>
  <c r="E6231" i="1"/>
  <c r="C6231" i="1"/>
  <c r="E6230" i="1"/>
  <c r="C6230" i="1"/>
  <c r="E6229" i="1"/>
  <c r="C6229" i="1"/>
  <c r="E6228" i="1"/>
  <c r="C6228" i="1"/>
  <c r="E6227" i="1"/>
  <c r="C6227" i="1"/>
  <c r="E6226" i="1"/>
  <c r="C6226" i="1"/>
  <c r="E6225" i="1"/>
  <c r="C6225" i="1"/>
  <c r="E6224" i="1"/>
  <c r="C6224" i="1"/>
  <c r="E6223" i="1"/>
  <c r="C6223" i="1"/>
  <c r="E6222" i="1"/>
  <c r="C6222" i="1"/>
  <c r="E6221" i="1"/>
  <c r="C6221" i="1"/>
  <c r="E6220" i="1"/>
  <c r="C6220" i="1"/>
  <c r="E6219" i="1"/>
  <c r="C6219" i="1"/>
  <c r="E6218" i="1"/>
  <c r="C6218" i="1"/>
  <c r="E6217" i="1"/>
  <c r="C6217" i="1"/>
  <c r="E6216" i="1"/>
  <c r="C6216" i="1"/>
  <c r="E6215" i="1"/>
  <c r="C6215" i="1"/>
  <c r="E6214" i="1"/>
  <c r="C6214" i="1"/>
  <c r="E6213" i="1"/>
  <c r="C6213" i="1"/>
  <c r="E6212" i="1"/>
  <c r="C6212" i="1"/>
  <c r="E6211" i="1"/>
  <c r="C6211" i="1"/>
  <c r="E6210" i="1"/>
  <c r="C6210" i="1"/>
  <c r="E6209" i="1"/>
  <c r="C6209" i="1"/>
  <c r="E6208" i="1"/>
  <c r="C6208" i="1"/>
  <c r="E6207" i="1"/>
  <c r="C6207" i="1"/>
  <c r="E6206" i="1"/>
  <c r="C6206" i="1"/>
  <c r="E6205" i="1"/>
  <c r="C6205" i="1"/>
  <c r="E6204" i="1"/>
  <c r="C6204" i="1"/>
  <c r="E6203" i="1"/>
  <c r="C6203" i="1"/>
  <c r="E6202" i="1"/>
  <c r="C6202" i="1"/>
  <c r="E6201" i="1"/>
  <c r="C6201" i="1"/>
  <c r="E6200" i="1"/>
  <c r="C6200" i="1"/>
  <c r="E6199" i="1"/>
  <c r="C6199" i="1"/>
  <c r="E6198" i="1"/>
  <c r="C6198" i="1"/>
  <c r="E6197" i="1"/>
  <c r="C6197" i="1"/>
  <c r="E6196" i="1"/>
  <c r="C6196" i="1"/>
  <c r="E6195" i="1"/>
  <c r="C6195" i="1"/>
  <c r="E6194" i="1"/>
  <c r="C6194" i="1"/>
  <c r="E6193" i="1"/>
  <c r="C6193" i="1"/>
  <c r="E6192" i="1"/>
  <c r="C6192" i="1"/>
  <c r="E6191" i="1"/>
  <c r="C6191" i="1"/>
  <c r="E6190" i="1"/>
  <c r="C6190" i="1"/>
  <c r="E6189" i="1"/>
  <c r="C6189" i="1"/>
  <c r="E6188" i="1"/>
  <c r="C6188" i="1"/>
  <c r="E6187" i="1"/>
  <c r="C6187" i="1"/>
  <c r="E6186" i="1"/>
  <c r="C6186" i="1"/>
  <c r="E6185" i="1"/>
  <c r="C6185" i="1"/>
  <c r="E6184" i="1"/>
  <c r="C6184" i="1"/>
  <c r="E6183" i="1"/>
  <c r="C6183" i="1"/>
  <c r="E6182" i="1"/>
  <c r="C6182" i="1"/>
  <c r="E6181" i="1"/>
  <c r="C6181" i="1"/>
  <c r="E6180" i="1"/>
  <c r="C6180" i="1"/>
  <c r="E6179" i="1"/>
  <c r="C6179" i="1"/>
  <c r="E6178" i="1"/>
  <c r="C6178" i="1"/>
  <c r="E6177" i="1"/>
  <c r="C6177" i="1"/>
  <c r="E6176" i="1"/>
  <c r="C6176" i="1"/>
  <c r="E6175" i="1"/>
  <c r="C6175" i="1"/>
  <c r="E6174" i="1"/>
  <c r="C6174" i="1"/>
  <c r="E6173" i="1"/>
  <c r="C6173" i="1"/>
  <c r="E6172" i="1"/>
  <c r="C6172" i="1"/>
  <c r="E6171" i="1"/>
  <c r="C6171" i="1"/>
  <c r="E6170" i="1"/>
  <c r="C6170" i="1"/>
  <c r="E6169" i="1"/>
  <c r="C6169" i="1"/>
  <c r="E6168" i="1"/>
  <c r="C6168" i="1"/>
  <c r="E6167" i="1"/>
  <c r="C6167" i="1"/>
  <c r="E6166" i="1"/>
  <c r="C6166" i="1"/>
  <c r="E6165" i="1"/>
  <c r="C6165" i="1"/>
  <c r="E6164" i="1"/>
  <c r="C6164" i="1"/>
  <c r="E6163" i="1"/>
  <c r="C6163" i="1"/>
  <c r="E6162" i="1"/>
  <c r="C6162" i="1"/>
  <c r="E6161" i="1"/>
  <c r="C6161" i="1"/>
  <c r="E6160" i="1"/>
  <c r="C6160" i="1"/>
  <c r="E6159" i="1"/>
  <c r="C6159" i="1"/>
  <c r="E6158" i="1"/>
  <c r="C6158" i="1"/>
  <c r="E6157" i="1"/>
  <c r="C6157" i="1"/>
  <c r="E6156" i="1"/>
  <c r="C6156" i="1"/>
  <c r="E6155" i="1"/>
  <c r="C6155" i="1"/>
  <c r="E6154" i="1"/>
  <c r="C6154" i="1"/>
  <c r="E6153" i="1"/>
  <c r="C6153" i="1"/>
  <c r="E6152" i="1"/>
  <c r="C6152" i="1"/>
  <c r="E6151" i="1"/>
  <c r="C6151" i="1"/>
  <c r="E6150" i="1"/>
  <c r="C6150" i="1"/>
  <c r="E6149" i="1"/>
  <c r="C6149" i="1"/>
  <c r="E6148" i="1"/>
  <c r="C6148" i="1"/>
  <c r="E6147" i="1"/>
  <c r="C6147" i="1"/>
  <c r="E6146" i="1"/>
  <c r="C6146" i="1"/>
  <c r="E6145" i="1"/>
  <c r="C6145" i="1"/>
  <c r="E6144" i="1"/>
  <c r="C6144" i="1"/>
  <c r="E6143" i="1"/>
  <c r="C6143" i="1"/>
  <c r="E6142" i="1"/>
  <c r="C6142" i="1"/>
  <c r="E6141" i="1"/>
  <c r="C6141" i="1"/>
  <c r="E6140" i="1"/>
  <c r="C6140" i="1"/>
  <c r="E6139" i="1"/>
  <c r="C6139" i="1"/>
  <c r="E6138" i="1"/>
  <c r="C6138" i="1"/>
  <c r="E6137" i="1"/>
  <c r="C6137" i="1"/>
  <c r="E6136" i="1"/>
  <c r="C6136" i="1"/>
  <c r="E6135" i="1"/>
  <c r="C6135" i="1"/>
  <c r="E6134" i="1"/>
  <c r="C6134" i="1"/>
  <c r="E6133" i="1"/>
  <c r="C6133" i="1"/>
  <c r="E6132" i="1"/>
  <c r="C6132" i="1"/>
  <c r="E6131" i="1"/>
  <c r="C6131" i="1"/>
  <c r="E6130" i="1"/>
  <c r="C6130" i="1"/>
  <c r="E6129" i="1"/>
  <c r="C6129" i="1"/>
  <c r="E6128" i="1"/>
  <c r="C6128" i="1"/>
  <c r="E6127" i="1"/>
  <c r="C6127" i="1"/>
  <c r="E6126" i="1"/>
  <c r="C6126" i="1"/>
  <c r="E6125" i="1"/>
  <c r="C6125" i="1"/>
  <c r="E6124" i="1"/>
  <c r="C6124" i="1"/>
  <c r="E6123" i="1"/>
  <c r="C6123" i="1"/>
  <c r="E6122" i="1"/>
  <c r="C6122" i="1"/>
  <c r="E6121" i="1"/>
  <c r="C6121" i="1"/>
  <c r="E6120" i="1"/>
  <c r="C6120" i="1"/>
  <c r="E6119" i="1"/>
  <c r="C6119" i="1"/>
  <c r="E6118" i="1"/>
  <c r="C6118" i="1"/>
  <c r="E6117" i="1"/>
  <c r="C6117" i="1"/>
  <c r="E6116" i="1"/>
  <c r="C6116" i="1"/>
  <c r="E6115" i="1"/>
  <c r="C6115" i="1"/>
  <c r="E6114" i="1"/>
  <c r="C6114" i="1"/>
  <c r="E6113" i="1"/>
  <c r="C6113" i="1"/>
  <c r="E6112" i="1"/>
  <c r="C6112" i="1"/>
  <c r="E6111" i="1"/>
  <c r="C6111" i="1"/>
  <c r="E6110" i="1"/>
  <c r="C6110" i="1"/>
  <c r="E6109" i="1"/>
  <c r="C6109" i="1"/>
  <c r="E6108" i="1"/>
  <c r="C6108" i="1"/>
  <c r="E6107" i="1"/>
  <c r="C6107" i="1"/>
  <c r="E6106" i="1"/>
  <c r="C6106" i="1"/>
  <c r="E6105" i="1"/>
  <c r="C6105" i="1"/>
  <c r="E6104" i="1"/>
  <c r="C6104" i="1"/>
  <c r="E6103" i="1"/>
  <c r="C6103" i="1"/>
  <c r="E6102" i="1"/>
  <c r="C6102" i="1"/>
  <c r="E6101" i="1"/>
  <c r="C6101" i="1"/>
  <c r="E6100" i="1"/>
  <c r="C6100" i="1"/>
  <c r="E6099" i="1"/>
  <c r="C6099" i="1"/>
  <c r="E6098" i="1"/>
  <c r="C6098" i="1"/>
  <c r="E6097" i="1"/>
  <c r="C6097" i="1"/>
  <c r="E6096" i="1"/>
  <c r="C6096" i="1"/>
  <c r="E6095" i="1"/>
  <c r="C6095" i="1"/>
  <c r="E6094" i="1"/>
  <c r="C6094" i="1"/>
  <c r="E6093" i="1"/>
  <c r="C6093" i="1"/>
  <c r="E6092" i="1"/>
  <c r="C6092" i="1"/>
  <c r="E6091" i="1"/>
  <c r="C6091" i="1"/>
  <c r="E6090" i="1"/>
  <c r="C6090" i="1"/>
  <c r="E6089" i="1"/>
  <c r="C6089" i="1"/>
  <c r="E6088" i="1"/>
  <c r="C6088" i="1"/>
  <c r="E6087" i="1"/>
  <c r="C6087" i="1"/>
  <c r="E6086" i="1"/>
  <c r="C6086" i="1"/>
  <c r="E6085" i="1"/>
  <c r="C6085" i="1"/>
  <c r="E6084" i="1"/>
  <c r="C6084" i="1"/>
  <c r="E6083" i="1"/>
  <c r="C6083" i="1"/>
  <c r="E6082" i="1"/>
  <c r="C6082" i="1"/>
  <c r="E6081" i="1"/>
  <c r="C6081" i="1"/>
  <c r="E6080" i="1"/>
  <c r="C6080" i="1"/>
  <c r="E6079" i="1"/>
  <c r="C6079" i="1"/>
  <c r="E6078" i="1"/>
  <c r="C6078" i="1"/>
  <c r="E6077" i="1"/>
  <c r="C6077" i="1"/>
  <c r="E6076" i="1"/>
  <c r="C6076" i="1"/>
  <c r="E6075" i="1"/>
  <c r="C6075" i="1"/>
  <c r="E6074" i="1"/>
  <c r="C6074" i="1"/>
  <c r="E6073" i="1"/>
  <c r="C6073" i="1"/>
  <c r="E6072" i="1"/>
  <c r="C6072" i="1"/>
  <c r="E6071" i="1"/>
  <c r="C6071" i="1"/>
  <c r="E6070" i="1"/>
  <c r="C6070" i="1"/>
  <c r="E6069" i="1"/>
  <c r="C6069" i="1"/>
  <c r="E6068" i="1"/>
  <c r="C6068" i="1"/>
  <c r="E6067" i="1"/>
  <c r="C6067" i="1"/>
  <c r="E6066" i="1"/>
  <c r="C6066" i="1"/>
  <c r="E6065" i="1"/>
  <c r="C6065" i="1"/>
  <c r="E6064" i="1"/>
  <c r="C6064" i="1"/>
  <c r="E6063" i="1"/>
  <c r="C6063" i="1"/>
  <c r="E6062" i="1"/>
  <c r="C6062" i="1"/>
  <c r="E6061" i="1"/>
  <c r="C6061" i="1"/>
  <c r="E6060" i="1"/>
  <c r="C6060" i="1"/>
  <c r="E6059" i="1"/>
  <c r="C6059" i="1"/>
  <c r="E6058" i="1"/>
  <c r="C6058" i="1"/>
  <c r="E6057" i="1"/>
  <c r="C6057" i="1"/>
  <c r="E6056" i="1"/>
  <c r="C6056" i="1"/>
  <c r="E6055" i="1"/>
  <c r="C6055" i="1"/>
  <c r="E6054" i="1"/>
  <c r="C6054" i="1"/>
  <c r="E6053" i="1"/>
  <c r="C6053" i="1"/>
  <c r="E6052" i="1"/>
  <c r="C6052" i="1"/>
  <c r="E6051" i="1"/>
  <c r="C6051" i="1"/>
  <c r="E6050" i="1"/>
  <c r="C6050" i="1"/>
  <c r="E6049" i="1"/>
  <c r="C6049" i="1"/>
  <c r="E6048" i="1"/>
  <c r="C6048" i="1"/>
  <c r="E6047" i="1"/>
  <c r="C6047" i="1"/>
  <c r="E6046" i="1"/>
  <c r="C6046" i="1"/>
  <c r="E6045" i="1"/>
  <c r="C6045" i="1"/>
  <c r="E6044" i="1"/>
  <c r="C6044" i="1"/>
  <c r="E6043" i="1"/>
  <c r="C6043" i="1"/>
  <c r="E6042" i="1"/>
  <c r="C6042" i="1"/>
  <c r="E6041" i="1"/>
  <c r="C6041" i="1"/>
  <c r="E6040" i="1"/>
  <c r="C6040" i="1"/>
  <c r="E6039" i="1"/>
  <c r="C6039" i="1"/>
  <c r="E6038" i="1"/>
  <c r="C6038" i="1"/>
  <c r="E6037" i="1"/>
  <c r="C6037" i="1"/>
  <c r="E6036" i="1"/>
  <c r="C6036" i="1"/>
  <c r="E6035" i="1"/>
  <c r="C6035" i="1"/>
  <c r="E6034" i="1"/>
  <c r="C6034" i="1"/>
  <c r="E6033" i="1"/>
  <c r="C6033" i="1"/>
  <c r="E6032" i="1"/>
  <c r="C6032" i="1"/>
  <c r="E6031" i="1"/>
  <c r="C6031" i="1"/>
  <c r="E6030" i="1"/>
  <c r="C6030" i="1"/>
  <c r="E6029" i="1"/>
  <c r="C6029" i="1"/>
  <c r="E6028" i="1"/>
  <c r="C6028" i="1"/>
  <c r="E6027" i="1"/>
  <c r="C6027" i="1"/>
  <c r="E6026" i="1"/>
  <c r="C6026" i="1"/>
  <c r="E6025" i="1"/>
  <c r="C6025" i="1"/>
  <c r="E6024" i="1"/>
  <c r="C6024" i="1"/>
  <c r="E6023" i="1"/>
  <c r="C6023" i="1"/>
  <c r="E6022" i="1"/>
  <c r="C6022" i="1"/>
  <c r="E6021" i="1"/>
  <c r="C6021" i="1"/>
  <c r="E6020" i="1"/>
  <c r="C6020" i="1"/>
  <c r="E6019" i="1"/>
  <c r="C6019" i="1"/>
  <c r="E6018" i="1"/>
  <c r="C6018" i="1"/>
  <c r="E6017" i="1"/>
  <c r="C6017" i="1"/>
  <c r="E6016" i="1"/>
  <c r="C6016" i="1"/>
  <c r="E6015" i="1"/>
  <c r="C6015" i="1"/>
  <c r="E6014" i="1"/>
  <c r="C6014" i="1"/>
  <c r="E6013" i="1"/>
  <c r="C6013" i="1"/>
  <c r="E6012" i="1"/>
  <c r="C6012" i="1"/>
  <c r="E6011" i="1"/>
  <c r="C6011" i="1"/>
  <c r="E6010" i="1"/>
  <c r="C6010" i="1"/>
  <c r="E6009" i="1"/>
  <c r="C6009" i="1"/>
  <c r="E6008" i="1"/>
  <c r="C6008" i="1"/>
  <c r="E6007" i="1"/>
  <c r="C6007" i="1"/>
  <c r="E6006" i="1"/>
  <c r="C6006" i="1"/>
  <c r="E6005" i="1"/>
  <c r="C6005" i="1"/>
  <c r="E6004" i="1"/>
  <c r="C6004" i="1"/>
  <c r="E6003" i="1"/>
  <c r="C6003" i="1"/>
  <c r="E6002" i="1"/>
  <c r="C6002" i="1"/>
  <c r="E6001" i="1"/>
  <c r="C6001" i="1"/>
  <c r="E6000" i="1"/>
  <c r="C6000" i="1"/>
  <c r="E5999" i="1"/>
  <c r="C5999" i="1"/>
  <c r="E5998" i="1"/>
  <c r="C5998" i="1"/>
  <c r="E5997" i="1"/>
  <c r="C5997" i="1"/>
  <c r="E5996" i="1"/>
  <c r="C5996" i="1"/>
  <c r="E5995" i="1"/>
  <c r="C5995" i="1"/>
  <c r="E5994" i="1"/>
  <c r="C5994" i="1"/>
  <c r="E5993" i="1"/>
  <c r="C5993" i="1"/>
  <c r="E5992" i="1"/>
  <c r="C5992" i="1"/>
  <c r="E5991" i="1"/>
  <c r="C5991" i="1"/>
  <c r="E5990" i="1"/>
  <c r="C5990" i="1"/>
  <c r="E5989" i="1"/>
  <c r="C5989" i="1"/>
  <c r="E5988" i="1"/>
  <c r="C5988" i="1"/>
  <c r="E5987" i="1"/>
  <c r="C5987" i="1"/>
  <c r="E5986" i="1"/>
  <c r="C5986" i="1"/>
  <c r="E5985" i="1"/>
  <c r="C5985" i="1"/>
  <c r="E5984" i="1"/>
  <c r="C5984" i="1"/>
  <c r="E5983" i="1"/>
  <c r="C5983" i="1"/>
  <c r="E5982" i="1"/>
  <c r="C5982" i="1"/>
  <c r="E5981" i="1"/>
  <c r="C5981" i="1"/>
  <c r="E5980" i="1"/>
  <c r="C5980" i="1"/>
  <c r="E5979" i="1"/>
  <c r="C5979" i="1"/>
  <c r="E5978" i="1"/>
  <c r="C5978" i="1"/>
  <c r="E5977" i="1"/>
  <c r="C5977" i="1"/>
  <c r="E5976" i="1"/>
  <c r="C5976" i="1"/>
  <c r="E5975" i="1"/>
  <c r="C5975" i="1"/>
  <c r="E5974" i="1"/>
  <c r="C5974" i="1"/>
  <c r="E5973" i="1"/>
  <c r="C5973" i="1"/>
  <c r="E5972" i="1"/>
  <c r="C5972" i="1"/>
  <c r="E5971" i="1"/>
  <c r="C5971" i="1"/>
  <c r="E5970" i="1"/>
  <c r="C5970" i="1"/>
  <c r="E5969" i="1"/>
  <c r="C5969" i="1"/>
  <c r="E5968" i="1"/>
  <c r="C5968" i="1"/>
  <c r="E5967" i="1"/>
  <c r="C5967" i="1"/>
  <c r="E5966" i="1"/>
  <c r="C5966" i="1"/>
  <c r="E5965" i="1"/>
  <c r="C5965" i="1"/>
  <c r="E5964" i="1"/>
  <c r="C5964" i="1"/>
  <c r="E5963" i="1"/>
  <c r="C5963" i="1"/>
  <c r="E5962" i="1"/>
  <c r="C5962" i="1"/>
  <c r="E5961" i="1"/>
  <c r="C5961" i="1"/>
  <c r="E5960" i="1"/>
  <c r="C5960" i="1"/>
  <c r="E5959" i="1"/>
  <c r="C5959" i="1"/>
  <c r="E5958" i="1"/>
  <c r="C5958" i="1"/>
  <c r="E5957" i="1"/>
  <c r="C5957" i="1"/>
  <c r="E5956" i="1"/>
  <c r="C5956" i="1"/>
  <c r="E5955" i="1"/>
  <c r="C5955" i="1"/>
  <c r="E5954" i="1"/>
  <c r="C5954" i="1"/>
  <c r="E5953" i="1"/>
  <c r="C5953" i="1"/>
  <c r="E5952" i="1"/>
  <c r="C5952" i="1"/>
  <c r="E5951" i="1"/>
  <c r="C5951" i="1"/>
  <c r="E5950" i="1"/>
  <c r="C5950" i="1"/>
  <c r="E5949" i="1"/>
  <c r="C5949" i="1"/>
  <c r="E5948" i="1"/>
  <c r="C5948" i="1"/>
  <c r="E5947" i="1"/>
  <c r="C5947" i="1"/>
  <c r="E5946" i="1"/>
  <c r="C5946" i="1"/>
  <c r="E5945" i="1"/>
  <c r="C5945" i="1"/>
  <c r="E5944" i="1"/>
  <c r="C5944" i="1"/>
  <c r="E5943" i="1"/>
  <c r="C5943" i="1"/>
  <c r="E5942" i="1"/>
  <c r="C5942" i="1"/>
  <c r="E5941" i="1"/>
  <c r="C5941" i="1"/>
  <c r="E5940" i="1"/>
  <c r="C5940" i="1"/>
  <c r="E5939" i="1"/>
  <c r="C5939" i="1"/>
  <c r="E5938" i="1"/>
  <c r="C5938" i="1"/>
  <c r="E5937" i="1"/>
  <c r="C5937" i="1"/>
  <c r="E5936" i="1"/>
  <c r="C5936" i="1"/>
  <c r="E5935" i="1"/>
  <c r="C5935" i="1"/>
  <c r="E5934" i="1"/>
  <c r="C5934" i="1"/>
  <c r="E5933" i="1"/>
  <c r="C5933" i="1"/>
  <c r="E5932" i="1"/>
  <c r="C5932" i="1"/>
  <c r="E5931" i="1"/>
  <c r="C5931" i="1"/>
  <c r="E5930" i="1"/>
  <c r="C5930" i="1"/>
  <c r="E5929" i="1"/>
  <c r="C5929" i="1"/>
  <c r="E5928" i="1"/>
  <c r="C5928" i="1"/>
  <c r="E5927" i="1"/>
  <c r="C5927" i="1"/>
  <c r="E5926" i="1"/>
  <c r="C5926" i="1"/>
  <c r="E5925" i="1"/>
  <c r="C5925" i="1"/>
  <c r="E5924" i="1"/>
  <c r="C5924" i="1"/>
  <c r="E5923" i="1"/>
  <c r="C5923" i="1"/>
  <c r="E5922" i="1"/>
  <c r="C5922" i="1"/>
  <c r="E5921" i="1"/>
  <c r="C5921" i="1"/>
  <c r="E5920" i="1"/>
  <c r="C5920" i="1"/>
  <c r="E5919" i="1"/>
  <c r="C5919" i="1"/>
  <c r="E5918" i="1"/>
  <c r="C5918" i="1"/>
  <c r="E5917" i="1"/>
  <c r="C5917" i="1"/>
  <c r="E5916" i="1"/>
  <c r="C5916" i="1"/>
  <c r="E5915" i="1"/>
  <c r="C5915" i="1"/>
  <c r="E5914" i="1"/>
  <c r="C5914" i="1"/>
  <c r="E5913" i="1"/>
  <c r="C5913" i="1"/>
  <c r="E5912" i="1"/>
  <c r="C5912" i="1"/>
  <c r="E5911" i="1"/>
  <c r="C5911" i="1"/>
  <c r="E5910" i="1"/>
  <c r="C5910" i="1"/>
  <c r="E5909" i="1"/>
  <c r="C5909" i="1"/>
  <c r="E5908" i="1"/>
  <c r="C5908" i="1"/>
  <c r="E5907" i="1"/>
  <c r="C5907" i="1"/>
  <c r="E5906" i="1"/>
  <c r="C5906" i="1"/>
  <c r="E5905" i="1"/>
  <c r="C5905" i="1"/>
  <c r="E5904" i="1"/>
  <c r="C5904" i="1"/>
  <c r="E5903" i="1"/>
  <c r="C5903" i="1"/>
  <c r="E5902" i="1"/>
  <c r="C5902" i="1"/>
  <c r="E5901" i="1"/>
  <c r="C5901" i="1"/>
  <c r="E5900" i="1"/>
  <c r="C5900" i="1"/>
  <c r="E5899" i="1"/>
  <c r="C5899" i="1"/>
  <c r="E5898" i="1"/>
  <c r="C5898" i="1"/>
  <c r="E5897" i="1"/>
  <c r="C5897" i="1"/>
  <c r="E5896" i="1"/>
  <c r="C5896" i="1"/>
  <c r="E5895" i="1"/>
  <c r="C5895" i="1"/>
  <c r="E5894" i="1"/>
  <c r="C5894" i="1"/>
  <c r="E5893" i="1"/>
  <c r="C5893" i="1"/>
  <c r="E5892" i="1"/>
  <c r="C5892" i="1"/>
  <c r="E5891" i="1"/>
  <c r="C5891" i="1"/>
  <c r="E5890" i="1"/>
  <c r="C5890" i="1"/>
  <c r="E5889" i="1"/>
  <c r="C5889" i="1"/>
  <c r="E5888" i="1"/>
  <c r="C5888" i="1"/>
  <c r="E5887" i="1"/>
  <c r="C5887" i="1"/>
  <c r="E5886" i="1"/>
  <c r="C5886" i="1"/>
  <c r="E5885" i="1"/>
  <c r="C5885" i="1"/>
  <c r="E5884" i="1"/>
  <c r="C5884" i="1"/>
  <c r="E5883" i="1"/>
  <c r="C5883" i="1"/>
  <c r="E5882" i="1"/>
  <c r="C5882" i="1"/>
  <c r="E5881" i="1"/>
  <c r="C5881" i="1"/>
  <c r="E5880" i="1"/>
  <c r="C5880" i="1"/>
  <c r="E5879" i="1"/>
  <c r="C5879" i="1"/>
  <c r="E5878" i="1"/>
  <c r="C5878" i="1"/>
  <c r="E5877" i="1"/>
  <c r="C5877" i="1"/>
  <c r="E5876" i="1"/>
  <c r="C5876" i="1"/>
  <c r="E5875" i="1"/>
  <c r="C5875" i="1"/>
  <c r="E5874" i="1"/>
  <c r="C5874" i="1"/>
  <c r="E5873" i="1"/>
  <c r="C5873" i="1"/>
  <c r="E5872" i="1"/>
  <c r="C5872" i="1"/>
  <c r="E5871" i="1"/>
  <c r="C5871" i="1"/>
  <c r="E5870" i="1"/>
  <c r="C5870" i="1"/>
  <c r="E5869" i="1"/>
  <c r="C5869" i="1"/>
  <c r="E5868" i="1"/>
  <c r="C5868" i="1"/>
  <c r="E5867" i="1"/>
  <c r="C5867" i="1"/>
  <c r="E5866" i="1"/>
  <c r="C5866" i="1"/>
  <c r="E5865" i="1"/>
  <c r="C5865" i="1"/>
  <c r="E5864" i="1"/>
  <c r="C5864" i="1"/>
  <c r="E5863" i="1"/>
  <c r="C5863" i="1"/>
  <c r="E5862" i="1"/>
  <c r="C5862" i="1"/>
  <c r="E5861" i="1"/>
  <c r="C5861" i="1"/>
  <c r="E5860" i="1"/>
  <c r="C5860" i="1"/>
  <c r="E5859" i="1"/>
  <c r="C5859" i="1"/>
  <c r="E5858" i="1"/>
  <c r="C5858" i="1"/>
  <c r="E5857" i="1"/>
  <c r="C5857" i="1"/>
  <c r="E5856" i="1"/>
  <c r="C5856" i="1"/>
  <c r="E5855" i="1"/>
  <c r="C5855" i="1"/>
  <c r="E5854" i="1"/>
  <c r="C5854" i="1"/>
  <c r="E5853" i="1"/>
  <c r="C5853" i="1"/>
  <c r="E5852" i="1"/>
  <c r="C5852" i="1"/>
  <c r="E5851" i="1"/>
  <c r="C5851" i="1"/>
  <c r="E5850" i="1"/>
  <c r="C5850" i="1"/>
  <c r="E5849" i="1"/>
  <c r="C5849" i="1"/>
  <c r="E5848" i="1"/>
  <c r="C5848" i="1"/>
  <c r="E5847" i="1"/>
  <c r="C5847" i="1"/>
  <c r="E5846" i="1"/>
  <c r="C5846" i="1"/>
  <c r="E5845" i="1"/>
  <c r="C5845" i="1"/>
  <c r="E5844" i="1"/>
  <c r="C5844" i="1"/>
  <c r="E5843" i="1"/>
  <c r="C5843" i="1"/>
  <c r="E5842" i="1"/>
  <c r="C5842" i="1"/>
  <c r="E5841" i="1"/>
  <c r="C5841" i="1"/>
  <c r="E5840" i="1"/>
  <c r="C5840" i="1"/>
  <c r="E5839" i="1"/>
  <c r="C5839" i="1"/>
  <c r="E5838" i="1"/>
  <c r="C5838" i="1"/>
  <c r="E5837" i="1"/>
  <c r="C5837" i="1"/>
  <c r="E5836" i="1"/>
  <c r="C5836" i="1"/>
  <c r="E5835" i="1"/>
  <c r="C5835" i="1"/>
  <c r="E5834" i="1"/>
  <c r="C5834" i="1"/>
  <c r="E5833" i="1"/>
  <c r="C5833" i="1"/>
  <c r="E5832" i="1"/>
  <c r="C5832" i="1"/>
  <c r="E5831" i="1"/>
  <c r="C5831" i="1"/>
  <c r="E5830" i="1"/>
  <c r="C5830" i="1"/>
  <c r="E5829" i="1"/>
  <c r="C5829" i="1"/>
  <c r="E5828" i="1"/>
  <c r="C5828" i="1"/>
  <c r="E5827" i="1"/>
  <c r="C5827" i="1"/>
  <c r="E5826" i="1"/>
  <c r="C5826" i="1"/>
  <c r="E5825" i="1"/>
  <c r="C5825" i="1"/>
  <c r="E5824" i="1"/>
  <c r="C5824" i="1"/>
  <c r="E5823" i="1"/>
  <c r="C5823" i="1"/>
  <c r="E5822" i="1"/>
  <c r="C5822" i="1"/>
  <c r="E5821" i="1"/>
  <c r="C5821" i="1"/>
  <c r="E5820" i="1"/>
  <c r="C5820" i="1"/>
  <c r="E5819" i="1"/>
  <c r="C5819" i="1"/>
  <c r="E5818" i="1"/>
  <c r="C5818" i="1"/>
  <c r="E5817" i="1"/>
  <c r="C5817" i="1"/>
  <c r="E5816" i="1"/>
  <c r="C5816" i="1"/>
  <c r="E5815" i="1"/>
  <c r="C5815" i="1"/>
  <c r="E5814" i="1"/>
  <c r="C5814" i="1"/>
  <c r="E5813" i="1"/>
  <c r="C5813" i="1"/>
  <c r="E5812" i="1"/>
  <c r="C5812" i="1"/>
  <c r="E5811" i="1"/>
  <c r="C5811" i="1"/>
  <c r="E5810" i="1"/>
  <c r="C5810" i="1"/>
  <c r="E5809" i="1"/>
  <c r="C5809" i="1"/>
  <c r="E5808" i="1"/>
  <c r="C5808" i="1"/>
  <c r="E5807" i="1"/>
  <c r="C5807" i="1"/>
  <c r="E5806" i="1"/>
  <c r="C5806" i="1"/>
  <c r="E5805" i="1"/>
  <c r="C5805" i="1"/>
  <c r="E5804" i="1"/>
  <c r="C5804" i="1"/>
  <c r="E5803" i="1"/>
  <c r="C5803" i="1"/>
  <c r="E5802" i="1"/>
  <c r="C5802" i="1"/>
  <c r="E5801" i="1"/>
  <c r="C5801" i="1"/>
  <c r="E5800" i="1"/>
  <c r="C5800" i="1"/>
  <c r="E5799" i="1"/>
  <c r="C5799" i="1"/>
  <c r="E5798" i="1"/>
  <c r="C5798" i="1"/>
  <c r="E5797" i="1"/>
  <c r="C5797" i="1"/>
  <c r="E5796" i="1"/>
  <c r="C5796" i="1"/>
  <c r="E5795" i="1"/>
  <c r="C5795" i="1"/>
  <c r="E5794" i="1"/>
  <c r="C5794" i="1"/>
  <c r="E5793" i="1"/>
  <c r="C5793" i="1"/>
  <c r="E5792" i="1"/>
  <c r="C5792" i="1"/>
  <c r="E5791" i="1"/>
  <c r="C5791" i="1"/>
  <c r="E5790" i="1"/>
  <c r="C5790" i="1"/>
  <c r="E5789" i="1"/>
  <c r="C5789" i="1"/>
  <c r="E5788" i="1"/>
  <c r="C5788" i="1"/>
  <c r="E5787" i="1"/>
  <c r="C5787" i="1"/>
  <c r="E5786" i="1"/>
  <c r="C5786" i="1"/>
  <c r="E5785" i="1"/>
  <c r="C5785" i="1"/>
  <c r="E5784" i="1"/>
  <c r="C5784" i="1"/>
  <c r="E5783" i="1"/>
  <c r="C5783" i="1"/>
  <c r="E5782" i="1"/>
  <c r="C5782" i="1"/>
  <c r="E5781" i="1"/>
  <c r="C5781" i="1"/>
  <c r="E5780" i="1"/>
  <c r="C5780" i="1"/>
  <c r="E5779" i="1"/>
  <c r="C5779" i="1"/>
  <c r="E5778" i="1"/>
  <c r="C5778" i="1"/>
  <c r="E5777" i="1"/>
  <c r="C5777" i="1"/>
  <c r="E5776" i="1"/>
  <c r="C5776" i="1"/>
  <c r="E5775" i="1"/>
  <c r="C5775" i="1"/>
  <c r="E5774" i="1"/>
  <c r="C5774" i="1"/>
  <c r="E5773" i="1"/>
  <c r="C5773" i="1"/>
  <c r="E5772" i="1"/>
  <c r="C5772" i="1"/>
  <c r="E5771" i="1"/>
  <c r="C5771" i="1"/>
  <c r="E5770" i="1"/>
  <c r="C5770" i="1"/>
  <c r="E5769" i="1"/>
  <c r="C5769" i="1"/>
  <c r="E5768" i="1"/>
  <c r="C5768" i="1"/>
  <c r="E5767" i="1"/>
  <c r="C5767" i="1"/>
  <c r="E5766" i="1"/>
  <c r="C5766" i="1"/>
  <c r="E5765" i="1"/>
  <c r="C5765" i="1"/>
  <c r="E5764" i="1"/>
  <c r="C5764" i="1"/>
  <c r="E5763" i="1"/>
  <c r="C5763" i="1"/>
  <c r="E5762" i="1"/>
  <c r="C5762" i="1"/>
  <c r="E5761" i="1"/>
  <c r="C5761" i="1"/>
  <c r="E5760" i="1"/>
  <c r="C5760" i="1"/>
  <c r="E5759" i="1"/>
  <c r="C5759" i="1"/>
  <c r="E5758" i="1"/>
  <c r="C5758" i="1"/>
  <c r="E5757" i="1"/>
  <c r="C5757" i="1"/>
  <c r="E5756" i="1"/>
  <c r="C5756" i="1"/>
  <c r="E5755" i="1"/>
  <c r="C5755" i="1"/>
  <c r="E5754" i="1"/>
  <c r="C5754" i="1"/>
  <c r="E5753" i="1"/>
  <c r="C5753" i="1"/>
  <c r="E5752" i="1"/>
  <c r="C5752" i="1"/>
  <c r="E5751" i="1"/>
  <c r="C5751" i="1"/>
  <c r="E5750" i="1"/>
  <c r="C5750" i="1"/>
  <c r="E5749" i="1"/>
  <c r="C5749" i="1"/>
  <c r="E5748" i="1"/>
  <c r="C5748" i="1"/>
  <c r="E5747" i="1"/>
  <c r="C5747" i="1"/>
  <c r="E5746" i="1"/>
  <c r="C5746" i="1"/>
  <c r="E5745" i="1"/>
  <c r="C5745" i="1"/>
  <c r="E5744" i="1"/>
  <c r="C5744" i="1"/>
  <c r="E5743" i="1"/>
  <c r="C5743" i="1"/>
  <c r="E5742" i="1"/>
  <c r="C5742" i="1"/>
  <c r="E5741" i="1"/>
  <c r="C5741" i="1"/>
  <c r="E5740" i="1"/>
  <c r="C5740" i="1"/>
  <c r="E5739" i="1"/>
  <c r="C5739" i="1"/>
  <c r="E5738" i="1"/>
  <c r="C5738" i="1"/>
  <c r="E5737" i="1"/>
  <c r="C5737" i="1"/>
  <c r="E5736" i="1"/>
  <c r="C5736" i="1"/>
  <c r="E5735" i="1"/>
  <c r="C5735" i="1"/>
  <c r="E5734" i="1"/>
  <c r="C5734" i="1"/>
  <c r="E5733" i="1"/>
  <c r="C5733" i="1"/>
  <c r="E5732" i="1"/>
  <c r="C5732" i="1"/>
  <c r="E5731" i="1"/>
  <c r="C5731" i="1"/>
  <c r="E5730" i="1"/>
  <c r="C5730" i="1"/>
  <c r="E5729" i="1"/>
  <c r="C5729" i="1"/>
  <c r="E5728" i="1"/>
  <c r="C5728" i="1"/>
  <c r="E5727" i="1"/>
  <c r="C5727" i="1"/>
  <c r="E5726" i="1"/>
  <c r="C5726" i="1"/>
  <c r="E5725" i="1"/>
  <c r="C5725" i="1"/>
  <c r="E5724" i="1"/>
  <c r="C5724" i="1"/>
  <c r="E5723" i="1"/>
  <c r="C5723" i="1"/>
  <c r="E5722" i="1"/>
  <c r="C5722" i="1"/>
  <c r="E5721" i="1"/>
  <c r="C5721" i="1"/>
  <c r="E5720" i="1"/>
  <c r="C5720" i="1"/>
  <c r="E5719" i="1"/>
  <c r="C5719" i="1"/>
  <c r="E5718" i="1"/>
  <c r="C5718" i="1"/>
  <c r="E5717" i="1"/>
  <c r="C5717" i="1"/>
  <c r="E5716" i="1"/>
  <c r="C5716" i="1"/>
  <c r="E5715" i="1"/>
  <c r="C5715" i="1"/>
  <c r="E5714" i="1"/>
  <c r="C5714" i="1"/>
  <c r="E5713" i="1"/>
  <c r="C5713" i="1"/>
  <c r="E5712" i="1"/>
  <c r="C5712" i="1"/>
  <c r="E5711" i="1"/>
  <c r="C5711" i="1"/>
  <c r="E5710" i="1"/>
  <c r="C5710" i="1"/>
  <c r="E5709" i="1"/>
  <c r="C5709" i="1"/>
  <c r="E5708" i="1"/>
  <c r="C5708" i="1"/>
  <c r="E5707" i="1"/>
  <c r="C5707" i="1"/>
  <c r="E5706" i="1"/>
  <c r="C5706" i="1"/>
  <c r="E5705" i="1"/>
  <c r="C5705" i="1"/>
  <c r="E5704" i="1"/>
  <c r="C5704" i="1"/>
  <c r="E5703" i="1"/>
  <c r="C5703" i="1"/>
  <c r="E5702" i="1"/>
  <c r="C5702" i="1"/>
  <c r="E5701" i="1"/>
  <c r="C5701" i="1"/>
  <c r="E5700" i="1"/>
  <c r="C5700" i="1"/>
  <c r="E5699" i="1"/>
  <c r="C5699" i="1"/>
  <c r="E5698" i="1"/>
  <c r="C5698" i="1"/>
  <c r="E5697" i="1"/>
  <c r="C5697" i="1"/>
  <c r="E5696" i="1"/>
  <c r="C5696" i="1"/>
  <c r="E5695" i="1"/>
  <c r="C5695" i="1"/>
  <c r="E5694" i="1"/>
  <c r="C5694" i="1"/>
  <c r="E5693" i="1"/>
  <c r="C5693" i="1"/>
  <c r="E5692" i="1"/>
  <c r="C5692" i="1"/>
  <c r="E5691" i="1"/>
  <c r="C5691" i="1"/>
  <c r="E5690" i="1"/>
  <c r="C5690" i="1"/>
  <c r="E5689" i="1"/>
  <c r="C5689" i="1"/>
  <c r="E5688" i="1"/>
  <c r="C5688" i="1"/>
  <c r="E5687" i="1"/>
  <c r="C5687" i="1"/>
  <c r="E5686" i="1"/>
  <c r="C5686" i="1"/>
  <c r="E5685" i="1"/>
  <c r="C5685" i="1"/>
  <c r="E5684" i="1"/>
  <c r="C5684" i="1"/>
  <c r="E5683" i="1"/>
  <c r="C5683" i="1"/>
  <c r="E5682" i="1"/>
  <c r="C5682" i="1"/>
  <c r="E5681" i="1"/>
  <c r="C5681" i="1"/>
  <c r="E5680" i="1"/>
  <c r="C5680" i="1"/>
  <c r="E5679" i="1"/>
  <c r="C5679" i="1"/>
  <c r="E5678" i="1"/>
  <c r="C5678" i="1"/>
  <c r="E5677" i="1"/>
  <c r="C5677" i="1"/>
  <c r="E5676" i="1"/>
  <c r="C5676" i="1"/>
  <c r="E5675" i="1"/>
  <c r="C5675" i="1"/>
  <c r="E5674" i="1"/>
  <c r="C5674" i="1"/>
  <c r="E5673" i="1"/>
  <c r="C5673" i="1"/>
  <c r="E5672" i="1"/>
  <c r="C5672" i="1"/>
  <c r="E5671" i="1"/>
  <c r="C5671" i="1"/>
  <c r="E5670" i="1"/>
  <c r="C5670" i="1"/>
  <c r="E5669" i="1"/>
  <c r="C5669" i="1"/>
  <c r="E5668" i="1"/>
  <c r="C5668" i="1"/>
  <c r="E5667" i="1"/>
  <c r="C5667" i="1"/>
  <c r="E5666" i="1"/>
  <c r="C5666" i="1"/>
  <c r="E5665" i="1"/>
  <c r="C5665" i="1"/>
  <c r="E5664" i="1"/>
  <c r="C5664" i="1"/>
  <c r="E5663" i="1"/>
  <c r="C5663" i="1"/>
  <c r="E5662" i="1"/>
  <c r="C5662" i="1"/>
  <c r="E5661" i="1"/>
  <c r="C5661" i="1"/>
  <c r="E5660" i="1"/>
  <c r="C5660" i="1"/>
  <c r="E5659" i="1"/>
  <c r="C5659" i="1"/>
  <c r="E5658" i="1"/>
  <c r="C5658" i="1"/>
  <c r="E5657" i="1"/>
  <c r="C5657" i="1"/>
  <c r="E5656" i="1"/>
  <c r="C5656" i="1"/>
  <c r="E5655" i="1"/>
  <c r="C5655" i="1"/>
  <c r="E5654" i="1"/>
  <c r="C5654" i="1"/>
  <c r="E5653" i="1"/>
  <c r="C5653" i="1"/>
  <c r="E5652" i="1"/>
  <c r="C5652" i="1"/>
  <c r="E5651" i="1"/>
  <c r="C5651" i="1"/>
  <c r="E5650" i="1"/>
  <c r="C5650" i="1"/>
  <c r="E5649" i="1"/>
  <c r="C5649" i="1"/>
  <c r="E5648" i="1"/>
  <c r="C5648" i="1"/>
  <c r="E5647" i="1"/>
  <c r="C5647" i="1"/>
  <c r="E5646" i="1"/>
  <c r="C5646" i="1"/>
  <c r="E5645" i="1"/>
  <c r="C5645" i="1"/>
  <c r="E5644" i="1"/>
  <c r="C5644" i="1"/>
  <c r="E5643" i="1"/>
  <c r="C5643" i="1"/>
  <c r="E5642" i="1"/>
  <c r="C5642" i="1"/>
  <c r="E5641" i="1"/>
  <c r="C5641" i="1"/>
  <c r="E5640" i="1"/>
  <c r="C5640" i="1"/>
  <c r="E5639" i="1"/>
  <c r="C5639" i="1"/>
  <c r="E5638" i="1"/>
  <c r="C5638" i="1"/>
  <c r="E5637" i="1"/>
  <c r="C5637" i="1"/>
  <c r="E5636" i="1"/>
  <c r="C5636" i="1"/>
  <c r="E5635" i="1"/>
  <c r="C5635" i="1"/>
  <c r="E5634" i="1"/>
  <c r="C5634" i="1"/>
  <c r="E5633" i="1"/>
  <c r="C5633" i="1"/>
  <c r="E5632" i="1"/>
  <c r="C5632" i="1"/>
  <c r="E5631" i="1"/>
  <c r="C5631" i="1"/>
  <c r="E5630" i="1"/>
  <c r="C5630" i="1"/>
  <c r="E5629" i="1"/>
  <c r="C5629" i="1"/>
  <c r="E5628" i="1"/>
  <c r="C5628" i="1"/>
  <c r="E5627" i="1"/>
  <c r="C5627" i="1"/>
  <c r="E5626" i="1"/>
  <c r="C5626" i="1"/>
  <c r="E5625" i="1"/>
  <c r="C5625" i="1"/>
  <c r="E5624" i="1"/>
  <c r="C5624" i="1"/>
  <c r="E5623" i="1"/>
  <c r="C5623" i="1"/>
  <c r="E5622" i="1"/>
  <c r="C5622" i="1"/>
  <c r="E5621" i="1"/>
  <c r="C5621" i="1"/>
  <c r="E5620" i="1"/>
  <c r="C5620" i="1"/>
  <c r="E5619" i="1"/>
  <c r="C5619" i="1"/>
  <c r="E5618" i="1"/>
  <c r="C5618" i="1"/>
  <c r="E5617" i="1"/>
  <c r="C5617" i="1"/>
  <c r="E5616" i="1"/>
  <c r="C5616" i="1"/>
  <c r="E5615" i="1"/>
  <c r="C5615" i="1"/>
  <c r="E5614" i="1"/>
  <c r="C5614" i="1"/>
  <c r="E5613" i="1"/>
  <c r="C5613" i="1"/>
  <c r="E5612" i="1"/>
  <c r="C5612" i="1"/>
  <c r="E5611" i="1"/>
  <c r="C5611" i="1"/>
  <c r="E5610" i="1"/>
  <c r="C5610" i="1"/>
  <c r="E5609" i="1"/>
  <c r="C5609" i="1"/>
  <c r="E5608" i="1"/>
  <c r="C5608" i="1"/>
  <c r="E5607" i="1"/>
  <c r="C5607" i="1"/>
  <c r="E5606" i="1"/>
  <c r="C5606" i="1"/>
  <c r="E5605" i="1"/>
  <c r="C5605" i="1"/>
  <c r="E5604" i="1"/>
  <c r="C5604" i="1"/>
  <c r="E5603" i="1"/>
  <c r="C5603" i="1"/>
  <c r="E5602" i="1"/>
  <c r="C5602" i="1"/>
  <c r="E5601" i="1"/>
  <c r="C5601" i="1"/>
  <c r="E5600" i="1"/>
  <c r="C5600" i="1"/>
  <c r="E5599" i="1"/>
  <c r="C5599" i="1"/>
  <c r="E5598" i="1"/>
  <c r="C5598" i="1"/>
  <c r="E5597" i="1"/>
  <c r="C5597" i="1"/>
  <c r="E5596" i="1"/>
  <c r="C5596" i="1"/>
  <c r="E5595" i="1"/>
  <c r="C5595" i="1"/>
  <c r="E5594" i="1"/>
  <c r="C5594" i="1"/>
  <c r="E5593" i="1"/>
  <c r="C5593" i="1"/>
  <c r="E5592" i="1"/>
  <c r="C5592" i="1"/>
  <c r="E5591" i="1"/>
  <c r="C5591" i="1"/>
  <c r="E5590" i="1"/>
  <c r="C5590" i="1"/>
  <c r="E5589" i="1"/>
  <c r="C5589" i="1"/>
  <c r="E5588" i="1"/>
  <c r="C5588" i="1"/>
  <c r="E5587" i="1"/>
  <c r="C5587" i="1"/>
  <c r="E5586" i="1"/>
  <c r="C5586" i="1"/>
  <c r="E5585" i="1"/>
  <c r="C5585" i="1"/>
  <c r="E5584" i="1"/>
  <c r="C5584" i="1"/>
  <c r="E5583" i="1"/>
  <c r="C5583" i="1"/>
  <c r="E5582" i="1"/>
  <c r="C5582" i="1"/>
  <c r="E5581" i="1"/>
  <c r="C5581" i="1"/>
  <c r="E5580" i="1"/>
  <c r="C5580" i="1"/>
  <c r="E5579" i="1"/>
  <c r="C5579" i="1"/>
  <c r="E5578" i="1"/>
  <c r="C5578" i="1"/>
  <c r="E5577" i="1"/>
  <c r="C5577" i="1"/>
  <c r="E5576" i="1"/>
  <c r="C5576" i="1"/>
  <c r="E5575" i="1"/>
  <c r="C5575" i="1"/>
  <c r="E5574" i="1"/>
  <c r="C5574" i="1"/>
  <c r="E5573" i="1"/>
  <c r="C5573" i="1"/>
  <c r="E5572" i="1"/>
  <c r="C5572" i="1"/>
  <c r="E5571" i="1"/>
  <c r="C5571" i="1"/>
  <c r="E5570" i="1"/>
  <c r="C5570" i="1"/>
  <c r="E5569" i="1"/>
  <c r="C5569" i="1"/>
  <c r="E5568" i="1"/>
  <c r="C5568" i="1"/>
  <c r="E5567" i="1"/>
  <c r="C5567" i="1"/>
  <c r="E5566" i="1"/>
  <c r="C5566" i="1"/>
  <c r="E5565" i="1"/>
  <c r="C5565" i="1"/>
  <c r="E5564" i="1"/>
  <c r="C5564" i="1"/>
  <c r="E5563" i="1"/>
  <c r="C5563" i="1"/>
  <c r="E5562" i="1"/>
  <c r="C5562" i="1"/>
  <c r="E5561" i="1"/>
  <c r="C5561" i="1"/>
  <c r="E5560" i="1"/>
  <c r="C5560" i="1"/>
  <c r="E5559" i="1"/>
  <c r="C5559" i="1"/>
  <c r="E5558" i="1"/>
  <c r="C5558" i="1"/>
  <c r="E5557" i="1"/>
  <c r="C5557" i="1"/>
  <c r="E5556" i="1"/>
  <c r="C5556" i="1"/>
  <c r="E5555" i="1"/>
  <c r="C5555" i="1"/>
  <c r="E5554" i="1"/>
  <c r="C5554" i="1"/>
  <c r="E5553" i="1"/>
  <c r="C5553" i="1"/>
  <c r="E5552" i="1"/>
  <c r="C5552" i="1"/>
  <c r="E5551" i="1"/>
  <c r="C5551" i="1"/>
  <c r="E5550" i="1"/>
  <c r="C5550" i="1"/>
  <c r="E5549" i="1"/>
  <c r="C5549" i="1"/>
  <c r="E5548" i="1"/>
  <c r="C5548" i="1"/>
  <c r="E5547" i="1"/>
  <c r="C5547" i="1"/>
  <c r="E5546" i="1"/>
  <c r="C5546" i="1"/>
  <c r="E5545" i="1"/>
  <c r="C5545" i="1"/>
  <c r="E5544" i="1"/>
  <c r="C5544" i="1"/>
  <c r="E5543" i="1"/>
  <c r="C5543" i="1"/>
  <c r="E5542" i="1"/>
  <c r="C5542" i="1"/>
  <c r="E5541" i="1"/>
  <c r="C5541" i="1"/>
  <c r="E5540" i="1"/>
  <c r="C5540" i="1"/>
  <c r="E5539" i="1"/>
  <c r="C5539" i="1"/>
  <c r="E5538" i="1"/>
  <c r="C5538" i="1"/>
  <c r="E5537" i="1"/>
  <c r="C5537" i="1"/>
  <c r="E5536" i="1"/>
  <c r="C5536" i="1"/>
  <c r="E5535" i="1"/>
  <c r="C5535" i="1"/>
  <c r="E5534" i="1"/>
  <c r="C5534" i="1"/>
  <c r="E5533" i="1"/>
  <c r="C5533" i="1"/>
  <c r="E5532" i="1"/>
  <c r="C5532" i="1"/>
  <c r="E5531" i="1"/>
  <c r="C5531" i="1"/>
  <c r="E5530" i="1"/>
  <c r="C5530" i="1"/>
  <c r="E5529" i="1"/>
  <c r="C5529" i="1"/>
  <c r="E5528" i="1"/>
  <c r="C5528" i="1"/>
  <c r="E5527" i="1"/>
  <c r="C5527" i="1"/>
  <c r="E5526" i="1"/>
  <c r="C5526" i="1"/>
  <c r="E5525" i="1"/>
  <c r="C5525" i="1"/>
  <c r="E5524" i="1"/>
  <c r="C5524" i="1"/>
  <c r="E5523" i="1"/>
  <c r="C5523" i="1"/>
  <c r="E5522" i="1"/>
  <c r="C5522" i="1"/>
  <c r="E5521" i="1"/>
  <c r="C5521" i="1"/>
  <c r="E5520" i="1"/>
  <c r="C5520" i="1"/>
  <c r="E5519" i="1"/>
  <c r="C5519" i="1"/>
  <c r="E5518" i="1"/>
  <c r="C5518" i="1"/>
  <c r="E5517" i="1"/>
  <c r="C5517" i="1"/>
  <c r="E5516" i="1"/>
  <c r="C5516" i="1"/>
  <c r="E5515" i="1"/>
  <c r="C5515" i="1"/>
  <c r="E5514" i="1"/>
  <c r="C5514" i="1"/>
  <c r="E5513" i="1"/>
  <c r="C5513" i="1"/>
  <c r="E5512" i="1"/>
  <c r="C5512" i="1"/>
  <c r="E5511" i="1"/>
  <c r="C5511" i="1"/>
  <c r="E5510" i="1"/>
  <c r="C5510" i="1"/>
  <c r="E5509" i="1"/>
  <c r="C5509" i="1"/>
  <c r="E5508" i="1"/>
  <c r="C5508" i="1"/>
  <c r="E5507" i="1"/>
  <c r="C5507" i="1"/>
  <c r="E5506" i="1"/>
  <c r="C5506" i="1"/>
  <c r="E5505" i="1"/>
  <c r="C5505" i="1"/>
  <c r="E5504" i="1"/>
  <c r="C5504" i="1"/>
  <c r="E5503" i="1"/>
  <c r="C5503" i="1"/>
  <c r="E5502" i="1"/>
  <c r="C5502" i="1"/>
  <c r="E5501" i="1"/>
  <c r="C5501" i="1"/>
  <c r="E5500" i="1"/>
  <c r="C5500" i="1"/>
  <c r="E5499" i="1"/>
  <c r="C5499" i="1"/>
  <c r="E5498" i="1"/>
  <c r="C5498" i="1"/>
  <c r="E5497" i="1"/>
  <c r="C5497" i="1"/>
  <c r="E5496" i="1"/>
  <c r="C5496" i="1"/>
  <c r="E5495" i="1"/>
  <c r="C5495" i="1"/>
  <c r="E5494" i="1"/>
  <c r="C5494" i="1"/>
  <c r="E5493" i="1"/>
  <c r="C5493" i="1"/>
  <c r="E5492" i="1"/>
  <c r="C5492" i="1"/>
  <c r="E5491" i="1"/>
  <c r="C5491" i="1"/>
  <c r="E5490" i="1"/>
  <c r="C5490" i="1"/>
  <c r="E5489" i="1"/>
  <c r="C5489" i="1"/>
  <c r="E5488" i="1"/>
  <c r="C5488" i="1"/>
  <c r="E5487" i="1"/>
  <c r="C5487" i="1"/>
  <c r="E5486" i="1"/>
  <c r="C5486" i="1"/>
  <c r="E5485" i="1"/>
  <c r="C5485" i="1"/>
  <c r="E5484" i="1"/>
  <c r="C5484" i="1"/>
  <c r="E5483" i="1"/>
  <c r="C5483" i="1"/>
  <c r="E5482" i="1"/>
  <c r="C5482" i="1"/>
  <c r="E5481" i="1"/>
  <c r="C5481" i="1"/>
  <c r="E5480" i="1"/>
  <c r="C5480" i="1"/>
  <c r="E5479" i="1"/>
  <c r="C5479" i="1"/>
  <c r="E5478" i="1"/>
  <c r="C5478" i="1"/>
  <c r="E5477" i="1"/>
  <c r="C5477" i="1"/>
  <c r="E5476" i="1"/>
  <c r="C5476" i="1"/>
  <c r="E5475" i="1"/>
  <c r="C5475" i="1"/>
  <c r="E5474" i="1"/>
  <c r="C5474" i="1"/>
  <c r="E5473" i="1"/>
  <c r="C5473" i="1"/>
  <c r="E5472" i="1"/>
  <c r="C5472" i="1"/>
  <c r="E5471" i="1"/>
  <c r="C5471" i="1"/>
  <c r="E5470" i="1"/>
  <c r="C5470" i="1"/>
  <c r="E5469" i="1"/>
  <c r="C5469" i="1"/>
  <c r="E5468" i="1"/>
  <c r="C5468" i="1"/>
  <c r="E5467" i="1"/>
  <c r="C5467" i="1"/>
  <c r="E5466" i="1"/>
  <c r="C5466" i="1"/>
  <c r="E5465" i="1"/>
  <c r="C5465" i="1"/>
  <c r="E5464" i="1"/>
  <c r="C5464" i="1"/>
  <c r="E5463" i="1"/>
  <c r="C5463" i="1"/>
  <c r="E5462" i="1"/>
  <c r="C5462" i="1"/>
  <c r="E5461" i="1"/>
  <c r="C5461" i="1"/>
  <c r="E5460" i="1"/>
  <c r="C5460" i="1"/>
  <c r="E5459" i="1"/>
  <c r="C5459" i="1"/>
  <c r="E5458" i="1"/>
  <c r="C5458" i="1"/>
  <c r="E5457" i="1"/>
  <c r="C5457" i="1"/>
  <c r="E5456" i="1"/>
  <c r="C5456" i="1"/>
  <c r="E5455" i="1"/>
  <c r="C5455" i="1"/>
  <c r="E5454" i="1"/>
  <c r="C5454" i="1"/>
  <c r="E5453" i="1"/>
  <c r="C5453" i="1"/>
  <c r="E5452" i="1"/>
  <c r="C5452" i="1"/>
  <c r="E5451" i="1"/>
  <c r="C5451" i="1"/>
  <c r="E5450" i="1"/>
  <c r="C5450" i="1"/>
  <c r="E5449" i="1"/>
  <c r="C5449" i="1"/>
  <c r="E5448" i="1"/>
  <c r="C5448" i="1"/>
  <c r="E5447" i="1"/>
  <c r="C5447" i="1"/>
  <c r="E5446" i="1"/>
  <c r="C5446" i="1"/>
  <c r="E5445" i="1"/>
  <c r="C5445" i="1"/>
  <c r="E5444" i="1"/>
  <c r="C5444" i="1"/>
  <c r="E5443" i="1"/>
  <c r="C5443" i="1"/>
  <c r="E5442" i="1"/>
  <c r="C5442" i="1"/>
  <c r="E5441" i="1"/>
  <c r="C5441" i="1"/>
  <c r="E5440" i="1"/>
  <c r="C5440" i="1"/>
  <c r="E5439" i="1"/>
  <c r="C5439" i="1"/>
  <c r="E5438" i="1"/>
  <c r="C5438" i="1"/>
  <c r="E5437" i="1"/>
  <c r="C5437" i="1"/>
  <c r="E5436" i="1"/>
  <c r="C5436" i="1"/>
  <c r="E5435" i="1"/>
  <c r="C5435" i="1"/>
  <c r="E5434" i="1"/>
  <c r="C5434" i="1"/>
  <c r="E5433" i="1"/>
  <c r="C5433" i="1"/>
  <c r="E5432" i="1"/>
  <c r="C5432" i="1"/>
  <c r="E5431" i="1"/>
  <c r="C5431" i="1"/>
  <c r="E5430" i="1"/>
  <c r="C5430" i="1"/>
  <c r="E5429" i="1"/>
  <c r="C5429" i="1"/>
  <c r="E5428" i="1"/>
  <c r="C5428" i="1"/>
  <c r="E5427" i="1"/>
  <c r="C5427" i="1"/>
  <c r="E5426" i="1"/>
  <c r="C5426" i="1"/>
  <c r="E5425" i="1"/>
  <c r="C5425" i="1"/>
  <c r="E5424" i="1"/>
  <c r="C5424" i="1"/>
  <c r="E5423" i="1"/>
  <c r="C5423" i="1"/>
  <c r="E5422" i="1"/>
  <c r="C5422" i="1"/>
  <c r="E5421" i="1"/>
  <c r="C5421" i="1"/>
  <c r="E5420" i="1"/>
  <c r="C5420" i="1"/>
  <c r="E5419" i="1"/>
  <c r="C5419" i="1"/>
  <c r="E5418" i="1"/>
  <c r="C5418" i="1"/>
  <c r="E5417" i="1"/>
  <c r="C5417" i="1"/>
  <c r="E5416" i="1"/>
  <c r="C5416" i="1"/>
  <c r="E5415" i="1"/>
  <c r="C5415" i="1"/>
  <c r="E5414" i="1"/>
  <c r="C5414" i="1"/>
  <c r="E5413" i="1"/>
  <c r="C5413" i="1"/>
  <c r="E5412" i="1"/>
  <c r="C5412" i="1"/>
  <c r="E5411" i="1"/>
  <c r="C5411" i="1"/>
  <c r="E5410" i="1"/>
  <c r="C5410" i="1"/>
  <c r="E5409" i="1"/>
  <c r="C5409" i="1"/>
  <c r="E5408" i="1"/>
  <c r="C5408" i="1"/>
  <c r="E5407" i="1"/>
  <c r="C5407" i="1"/>
  <c r="E5406" i="1"/>
  <c r="C5406" i="1"/>
  <c r="E5405" i="1"/>
  <c r="C5405" i="1"/>
  <c r="E5404" i="1"/>
  <c r="C5404" i="1"/>
  <c r="E5403" i="1"/>
  <c r="C5403" i="1"/>
  <c r="E5402" i="1"/>
  <c r="C5402" i="1"/>
  <c r="E5401" i="1"/>
  <c r="C5401" i="1"/>
  <c r="E5400" i="1"/>
  <c r="C5400" i="1"/>
  <c r="E5399" i="1"/>
  <c r="C5399" i="1"/>
  <c r="E5398" i="1"/>
  <c r="C5398" i="1"/>
  <c r="E5397" i="1"/>
  <c r="C5397" i="1"/>
  <c r="E5396" i="1"/>
  <c r="C5396" i="1"/>
  <c r="E5395" i="1"/>
  <c r="C5395" i="1"/>
  <c r="E5394" i="1"/>
  <c r="C5394" i="1"/>
  <c r="E5393" i="1"/>
  <c r="C5393" i="1"/>
  <c r="E5392" i="1"/>
  <c r="C5392" i="1"/>
  <c r="E5391" i="1"/>
  <c r="C5391" i="1"/>
  <c r="E5390" i="1"/>
  <c r="C5390" i="1"/>
  <c r="E5389" i="1"/>
  <c r="C5389" i="1"/>
  <c r="E5388" i="1"/>
  <c r="C5388" i="1"/>
  <c r="E5387" i="1"/>
  <c r="C5387" i="1"/>
  <c r="E5386" i="1"/>
  <c r="C5386" i="1"/>
  <c r="E5385" i="1"/>
  <c r="C5385" i="1"/>
  <c r="E5384" i="1"/>
  <c r="C5384" i="1"/>
  <c r="E5383" i="1"/>
  <c r="C5383" i="1"/>
  <c r="E5382" i="1"/>
  <c r="C5382" i="1"/>
  <c r="E5381" i="1"/>
  <c r="C5381" i="1"/>
  <c r="E5380" i="1"/>
  <c r="C5380" i="1"/>
  <c r="E5379" i="1"/>
  <c r="C5379" i="1"/>
  <c r="E5378" i="1"/>
  <c r="C5378" i="1"/>
  <c r="E5377" i="1"/>
  <c r="C5377" i="1"/>
  <c r="E5376" i="1"/>
  <c r="C5376" i="1"/>
  <c r="E5375" i="1"/>
  <c r="C5375" i="1"/>
  <c r="E5374" i="1"/>
  <c r="C5374" i="1"/>
  <c r="E5373" i="1"/>
  <c r="C5373" i="1"/>
  <c r="E5372" i="1"/>
  <c r="C5372" i="1"/>
  <c r="E5371" i="1"/>
  <c r="C5371" i="1"/>
  <c r="E5370" i="1"/>
  <c r="C5370" i="1"/>
  <c r="E5369" i="1"/>
  <c r="C5369" i="1"/>
  <c r="E5368" i="1"/>
  <c r="C5368" i="1"/>
  <c r="E5367" i="1"/>
  <c r="C5367" i="1"/>
  <c r="E5366" i="1"/>
  <c r="C5366" i="1"/>
  <c r="E5365" i="1"/>
  <c r="C5365" i="1"/>
  <c r="E5364" i="1"/>
  <c r="C5364" i="1"/>
  <c r="E5363" i="1"/>
  <c r="C5363" i="1"/>
  <c r="E5362" i="1"/>
  <c r="C5362" i="1"/>
  <c r="E5361" i="1"/>
  <c r="C5361" i="1"/>
  <c r="E5360" i="1"/>
  <c r="C5360" i="1"/>
  <c r="E5359" i="1"/>
  <c r="C5359" i="1"/>
  <c r="E5358" i="1"/>
  <c r="C5358" i="1"/>
  <c r="E5357" i="1"/>
  <c r="C5357" i="1"/>
  <c r="E5356" i="1"/>
  <c r="C5356" i="1"/>
  <c r="E5355" i="1"/>
  <c r="C5355" i="1"/>
  <c r="E5354" i="1"/>
  <c r="C5354" i="1"/>
  <c r="E5353" i="1"/>
  <c r="C5353" i="1"/>
  <c r="E5352" i="1"/>
  <c r="C5352" i="1"/>
  <c r="E5351" i="1"/>
  <c r="C5351" i="1"/>
  <c r="E5350" i="1"/>
  <c r="C5350" i="1"/>
  <c r="E5349" i="1"/>
  <c r="C5349" i="1"/>
  <c r="E5348" i="1"/>
  <c r="C5348" i="1"/>
  <c r="E5347" i="1"/>
  <c r="C5347" i="1"/>
  <c r="E5346" i="1"/>
  <c r="C5346" i="1"/>
  <c r="E5345" i="1"/>
  <c r="C5345" i="1"/>
  <c r="E5344" i="1"/>
  <c r="C5344" i="1"/>
  <c r="E5343" i="1"/>
  <c r="C5343" i="1"/>
  <c r="E5342" i="1"/>
  <c r="C5342" i="1"/>
  <c r="E5341" i="1"/>
  <c r="C5341" i="1"/>
  <c r="E5340" i="1"/>
  <c r="C5340" i="1"/>
  <c r="E5339" i="1"/>
  <c r="C5339" i="1"/>
  <c r="E5338" i="1"/>
  <c r="C5338" i="1"/>
  <c r="E5337" i="1"/>
  <c r="C5337" i="1"/>
  <c r="E5336" i="1"/>
  <c r="C5336" i="1"/>
  <c r="E5335" i="1"/>
  <c r="C5335" i="1"/>
  <c r="E5334" i="1"/>
  <c r="C5334" i="1"/>
  <c r="E5333" i="1"/>
  <c r="C5333" i="1"/>
  <c r="E5332" i="1"/>
  <c r="C5332" i="1"/>
  <c r="E5331" i="1"/>
  <c r="C5331" i="1"/>
  <c r="E5330" i="1"/>
  <c r="C5330" i="1"/>
  <c r="E5329" i="1"/>
  <c r="C5329" i="1"/>
  <c r="E5328" i="1"/>
  <c r="C5328" i="1"/>
  <c r="E5327" i="1"/>
  <c r="C5327" i="1"/>
  <c r="E5326" i="1"/>
  <c r="C5326" i="1"/>
  <c r="E5325" i="1"/>
  <c r="C5325" i="1"/>
  <c r="E5324" i="1"/>
  <c r="C5324" i="1"/>
  <c r="E5323" i="1"/>
  <c r="C5323" i="1"/>
  <c r="E5322" i="1"/>
  <c r="C5322" i="1"/>
  <c r="E5321" i="1"/>
  <c r="C5321" i="1"/>
  <c r="E5320" i="1"/>
  <c r="C5320" i="1"/>
  <c r="E5319" i="1"/>
  <c r="C5319" i="1"/>
  <c r="E5318" i="1"/>
  <c r="C5318" i="1"/>
  <c r="E5317" i="1"/>
  <c r="C5317" i="1"/>
  <c r="E5316" i="1"/>
  <c r="C5316" i="1"/>
  <c r="E5315" i="1"/>
  <c r="C5315" i="1"/>
  <c r="E5314" i="1"/>
  <c r="C5314" i="1"/>
  <c r="E5313" i="1"/>
  <c r="C5313" i="1"/>
  <c r="E5312" i="1"/>
  <c r="C5312" i="1"/>
  <c r="E5311" i="1"/>
  <c r="C5311" i="1"/>
  <c r="E5310" i="1"/>
  <c r="C5310" i="1"/>
  <c r="E5309" i="1"/>
  <c r="C5309" i="1"/>
  <c r="E5308" i="1"/>
  <c r="C5308" i="1"/>
  <c r="E5307" i="1"/>
  <c r="C5307" i="1"/>
  <c r="E5306" i="1"/>
  <c r="C5306" i="1"/>
  <c r="E5305" i="1"/>
  <c r="C5305" i="1"/>
  <c r="E5304" i="1"/>
  <c r="C5304" i="1"/>
  <c r="E5303" i="1"/>
  <c r="C5303" i="1"/>
  <c r="E5302" i="1"/>
  <c r="C5302" i="1"/>
  <c r="E5301" i="1"/>
  <c r="C5301" i="1"/>
  <c r="E5300" i="1"/>
  <c r="C5300" i="1"/>
  <c r="E5299" i="1"/>
  <c r="C5299" i="1"/>
  <c r="E5298" i="1"/>
  <c r="C5298" i="1"/>
  <c r="E5297" i="1"/>
  <c r="C5297" i="1"/>
  <c r="E5296" i="1"/>
  <c r="C5296" i="1"/>
  <c r="E5295" i="1"/>
  <c r="C5295" i="1"/>
  <c r="E5294" i="1"/>
  <c r="C5294" i="1"/>
  <c r="E5293" i="1"/>
  <c r="C5293" i="1"/>
  <c r="E5292" i="1"/>
  <c r="C5292" i="1"/>
  <c r="E5291" i="1"/>
  <c r="C5291" i="1"/>
  <c r="E5290" i="1"/>
  <c r="C5290" i="1"/>
  <c r="E5289" i="1"/>
  <c r="C5289" i="1"/>
  <c r="E5288" i="1"/>
  <c r="C5288" i="1"/>
  <c r="E5287" i="1"/>
  <c r="C5287" i="1"/>
  <c r="E5286" i="1"/>
  <c r="C5286" i="1"/>
  <c r="E5285" i="1"/>
  <c r="C5285" i="1"/>
  <c r="E5284" i="1"/>
  <c r="C5284" i="1"/>
  <c r="E5283" i="1"/>
  <c r="C5283" i="1"/>
  <c r="E5282" i="1"/>
  <c r="C5282" i="1"/>
  <c r="E5281" i="1"/>
  <c r="C5281" i="1"/>
  <c r="E5280" i="1"/>
  <c r="C5280" i="1"/>
  <c r="E5279" i="1"/>
  <c r="C5279" i="1"/>
  <c r="E5278" i="1"/>
  <c r="C5278" i="1"/>
  <c r="E5277" i="1"/>
  <c r="C5277" i="1"/>
  <c r="E5276" i="1"/>
  <c r="C5276" i="1"/>
  <c r="E5275" i="1"/>
  <c r="C5275" i="1"/>
  <c r="E5274" i="1"/>
  <c r="C5274" i="1"/>
  <c r="E5273" i="1"/>
  <c r="C5273" i="1"/>
  <c r="E5272" i="1"/>
  <c r="C5272" i="1"/>
  <c r="E5271" i="1"/>
  <c r="C5271" i="1"/>
  <c r="E5270" i="1"/>
  <c r="C5270" i="1"/>
  <c r="E5269" i="1"/>
  <c r="C5269" i="1"/>
  <c r="E5268" i="1"/>
  <c r="C5268" i="1"/>
  <c r="E5267" i="1"/>
  <c r="C5267" i="1"/>
  <c r="E5266" i="1"/>
  <c r="C5266" i="1"/>
  <c r="E5265" i="1"/>
  <c r="C5265" i="1"/>
  <c r="E5264" i="1"/>
  <c r="C5264" i="1"/>
  <c r="E5263" i="1"/>
  <c r="C5263" i="1"/>
  <c r="E5262" i="1"/>
  <c r="C5262" i="1"/>
  <c r="E5261" i="1"/>
  <c r="C5261" i="1"/>
  <c r="E5260" i="1"/>
  <c r="C5260" i="1"/>
  <c r="E5259" i="1"/>
  <c r="C5259" i="1"/>
  <c r="E5258" i="1"/>
  <c r="C5258" i="1"/>
  <c r="E5257" i="1"/>
  <c r="C5257" i="1"/>
  <c r="E5256" i="1"/>
  <c r="C5256" i="1"/>
  <c r="E5255" i="1"/>
  <c r="C5255" i="1"/>
  <c r="E5254" i="1"/>
  <c r="C5254" i="1"/>
  <c r="E5253" i="1"/>
  <c r="C5253" i="1"/>
  <c r="E5252" i="1"/>
  <c r="C5252" i="1"/>
  <c r="E5251" i="1"/>
  <c r="C5251" i="1"/>
  <c r="E5250" i="1"/>
  <c r="C5250" i="1"/>
  <c r="E5249" i="1"/>
  <c r="C5249" i="1"/>
  <c r="E5248" i="1"/>
  <c r="C5248" i="1"/>
  <c r="E5247" i="1"/>
  <c r="C5247" i="1"/>
  <c r="E5246" i="1"/>
  <c r="C5246" i="1"/>
  <c r="E5245" i="1"/>
  <c r="C5245" i="1"/>
  <c r="E5244" i="1"/>
  <c r="C5244" i="1"/>
  <c r="E5243" i="1"/>
  <c r="C5243" i="1"/>
  <c r="E5242" i="1"/>
  <c r="C5242" i="1"/>
  <c r="E5241" i="1"/>
  <c r="C5241" i="1"/>
  <c r="E5240" i="1"/>
  <c r="C5240" i="1"/>
  <c r="E5239" i="1"/>
  <c r="C5239" i="1"/>
  <c r="E5238" i="1"/>
  <c r="C5238" i="1"/>
  <c r="E5237" i="1"/>
  <c r="C5237" i="1"/>
  <c r="E5236" i="1"/>
  <c r="C5236" i="1"/>
  <c r="E5235" i="1"/>
  <c r="C5235" i="1"/>
  <c r="E5234" i="1"/>
  <c r="C5234" i="1"/>
  <c r="E5233" i="1"/>
  <c r="C5233" i="1"/>
  <c r="E5232" i="1"/>
  <c r="C5232" i="1"/>
  <c r="E5231" i="1"/>
  <c r="C5231" i="1"/>
  <c r="E5230" i="1"/>
  <c r="C5230" i="1"/>
  <c r="E5229" i="1"/>
  <c r="C5229" i="1"/>
  <c r="E5228" i="1"/>
  <c r="C5228" i="1"/>
  <c r="E5227" i="1"/>
  <c r="C5227" i="1"/>
  <c r="E5226" i="1"/>
  <c r="C5226" i="1"/>
  <c r="E5225" i="1"/>
  <c r="C5225" i="1"/>
  <c r="E5224" i="1"/>
  <c r="C5224" i="1"/>
  <c r="E5223" i="1"/>
  <c r="C5223" i="1"/>
  <c r="E5222" i="1"/>
  <c r="C5222" i="1"/>
  <c r="E5221" i="1"/>
  <c r="C5221" i="1"/>
  <c r="E5220" i="1"/>
  <c r="C5220" i="1"/>
  <c r="E5219" i="1"/>
  <c r="C5219" i="1"/>
  <c r="E5218" i="1"/>
  <c r="C5218" i="1"/>
  <c r="E5217" i="1"/>
  <c r="C5217" i="1"/>
  <c r="E5216" i="1"/>
  <c r="C5216" i="1"/>
  <c r="E5215" i="1"/>
  <c r="C5215" i="1"/>
  <c r="E5214" i="1"/>
  <c r="C5214" i="1"/>
  <c r="E5213" i="1"/>
  <c r="C5213" i="1"/>
  <c r="E5212" i="1"/>
  <c r="C5212" i="1"/>
  <c r="E5211" i="1"/>
  <c r="C5211" i="1"/>
  <c r="E5210" i="1"/>
  <c r="C5210" i="1"/>
  <c r="E5209" i="1"/>
  <c r="C5209" i="1"/>
  <c r="E5208" i="1"/>
  <c r="C5208" i="1"/>
  <c r="E5207" i="1"/>
  <c r="C5207" i="1"/>
  <c r="E5206" i="1"/>
  <c r="C5206" i="1"/>
  <c r="E5205" i="1"/>
  <c r="C5205" i="1"/>
  <c r="E5204" i="1"/>
  <c r="C5204" i="1"/>
  <c r="E5203" i="1"/>
  <c r="C5203" i="1"/>
  <c r="E5202" i="1"/>
  <c r="C5202" i="1"/>
  <c r="E5201" i="1"/>
  <c r="C5201" i="1"/>
  <c r="E5200" i="1"/>
  <c r="C5200" i="1"/>
  <c r="E5199" i="1"/>
  <c r="C5199" i="1"/>
  <c r="E5198" i="1"/>
  <c r="C5198" i="1"/>
  <c r="E5197" i="1"/>
  <c r="C5197" i="1"/>
  <c r="E5196" i="1"/>
  <c r="C5196" i="1"/>
  <c r="E5195" i="1"/>
  <c r="C5195" i="1"/>
  <c r="E5194" i="1"/>
  <c r="C5194" i="1"/>
  <c r="E5193" i="1"/>
  <c r="C5193" i="1"/>
  <c r="E5192" i="1"/>
  <c r="C5192" i="1"/>
  <c r="E5191" i="1"/>
  <c r="C5191" i="1"/>
  <c r="E5190" i="1"/>
  <c r="C5190" i="1"/>
  <c r="E5189" i="1"/>
  <c r="C5189" i="1"/>
  <c r="E5188" i="1"/>
  <c r="C5188" i="1"/>
  <c r="E5187" i="1"/>
  <c r="C5187" i="1"/>
  <c r="E5186" i="1"/>
  <c r="C5186" i="1"/>
  <c r="E5185" i="1"/>
  <c r="C5185" i="1"/>
  <c r="E5184" i="1"/>
  <c r="C5184" i="1"/>
  <c r="E5183" i="1"/>
  <c r="C5183" i="1"/>
  <c r="E5182" i="1"/>
  <c r="C5182" i="1"/>
  <c r="E5181" i="1"/>
  <c r="C5181" i="1"/>
  <c r="E5180" i="1"/>
  <c r="C5180" i="1"/>
  <c r="E5179" i="1"/>
  <c r="C5179" i="1"/>
  <c r="E5178" i="1"/>
  <c r="C5178" i="1"/>
  <c r="E5177" i="1"/>
  <c r="C5177" i="1"/>
  <c r="E5176" i="1"/>
  <c r="C5176" i="1"/>
  <c r="E5175" i="1"/>
  <c r="C5175" i="1"/>
  <c r="E5174" i="1"/>
  <c r="C5174" i="1"/>
  <c r="E5173" i="1"/>
  <c r="C5173" i="1"/>
  <c r="E5172" i="1"/>
  <c r="C5172" i="1"/>
  <c r="E5171" i="1"/>
  <c r="C5171" i="1"/>
  <c r="E5170" i="1"/>
  <c r="C5170" i="1"/>
  <c r="E5169" i="1"/>
  <c r="C5169" i="1"/>
  <c r="E5168" i="1"/>
  <c r="C5168" i="1"/>
  <c r="E5167" i="1"/>
  <c r="C5167" i="1"/>
  <c r="E5166" i="1"/>
  <c r="C5166" i="1"/>
  <c r="E5165" i="1"/>
  <c r="C5165" i="1"/>
  <c r="E5164" i="1"/>
  <c r="C5164" i="1"/>
  <c r="E5163" i="1"/>
  <c r="C5163" i="1"/>
  <c r="E5162" i="1"/>
  <c r="C5162" i="1"/>
  <c r="E5161" i="1"/>
  <c r="C5161" i="1"/>
  <c r="E5160" i="1"/>
  <c r="C5160" i="1"/>
  <c r="E5159" i="1"/>
  <c r="C5159" i="1"/>
  <c r="E5158" i="1"/>
  <c r="C5158" i="1"/>
  <c r="E5157" i="1"/>
  <c r="C5157" i="1"/>
  <c r="E5156" i="1"/>
  <c r="C5156" i="1"/>
  <c r="E5155" i="1"/>
  <c r="C5155" i="1"/>
  <c r="E5154" i="1"/>
  <c r="C5154" i="1"/>
  <c r="E5153" i="1"/>
  <c r="C5153" i="1"/>
  <c r="E5152" i="1"/>
  <c r="C5152" i="1"/>
  <c r="E5151" i="1"/>
  <c r="C5151" i="1"/>
  <c r="E5150" i="1"/>
  <c r="C5150" i="1"/>
  <c r="E5149" i="1"/>
  <c r="C5149" i="1"/>
  <c r="E5148" i="1"/>
  <c r="C5148" i="1"/>
  <c r="E5147" i="1"/>
  <c r="C5147" i="1"/>
  <c r="E5146" i="1"/>
  <c r="C5146" i="1"/>
  <c r="E5145" i="1"/>
  <c r="C5145" i="1"/>
  <c r="E5144" i="1"/>
  <c r="C5144" i="1"/>
  <c r="E5143" i="1"/>
  <c r="C5143" i="1"/>
  <c r="E5142" i="1"/>
  <c r="C5142" i="1"/>
  <c r="E5141" i="1"/>
  <c r="C5141" i="1"/>
  <c r="E5140" i="1"/>
  <c r="C5140" i="1"/>
  <c r="E5139" i="1"/>
  <c r="C5139" i="1"/>
  <c r="E5138" i="1"/>
  <c r="C5138" i="1"/>
  <c r="E5137" i="1"/>
  <c r="C5137" i="1"/>
  <c r="E5136" i="1"/>
  <c r="C5136" i="1"/>
  <c r="E5135" i="1"/>
  <c r="C5135" i="1"/>
  <c r="E5134" i="1"/>
  <c r="C5134" i="1"/>
  <c r="E5133" i="1"/>
  <c r="C5133" i="1"/>
  <c r="E5132" i="1"/>
  <c r="C5132" i="1"/>
  <c r="E5131" i="1"/>
  <c r="C5131" i="1"/>
  <c r="E5130" i="1"/>
  <c r="C5130" i="1"/>
  <c r="E5129" i="1"/>
  <c r="C5129" i="1"/>
  <c r="E5128" i="1"/>
  <c r="C5128" i="1"/>
  <c r="E5127" i="1"/>
  <c r="C5127" i="1"/>
  <c r="E5126" i="1"/>
  <c r="C5126" i="1"/>
  <c r="E5125" i="1"/>
  <c r="C5125" i="1"/>
  <c r="E5124" i="1"/>
  <c r="C5124" i="1"/>
  <c r="E5123" i="1"/>
  <c r="C5123" i="1"/>
  <c r="E5122" i="1"/>
  <c r="C5122" i="1"/>
  <c r="E5121" i="1"/>
  <c r="C5121" i="1"/>
  <c r="E5120" i="1"/>
  <c r="C5120" i="1"/>
  <c r="E5119" i="1"/>
  <c r="C5119" i="1"/>
  <c r="E5118" i="1"/>
  <c r="C5118" i="1"/>
  <c r="E5117" i="1"/>
  <c r="C5117" i="1"/>
  <c r="E5116" i="1"/>
  <c r="C5116" i="1"/>
  <c r="E5115" i="1"/>
  <c r="C5115" i="1"/>
  <c r="E5114" i="1"/>
  <c r="C5114" i="1"/>
  <c r="E5113" i="1"/>
  <c r="C5113" i="1"/>
  <c r="E5112" i="1"/>
  <c r="C5112" i="1"/>
  <c r="E5111" i="1"/>
  <c r="C5111" i="1"/>
  <c r="E5110" i="1"/>
  <c r="C5110" i="1"/>
  <c r="E5109" i="1"/>
  <c r="C5109" i="1"/>
  <c r="E5108" i="1"/>
  <c r="C5108" i="1"/>
  <c r="E5107" i="1"/>
  <c r="C5107" i="1"/>
  <c r="E5106" i="1"/>
  <c r="C5106" i="1"/>
  <c r="E5105" i="1"/>
  <c r="C5105" i="1"/>
  <c r="E5104" i="1"/>
  <c r="C5104" i="1"/>
  <c r="E5103" i="1"/>
  <c r="C5103" i="1"/>
  <c r="E5102" i="1"/>
  <c r="C5102" i="1"/>
  <c r="E5101" i="1"/>
  <c r="C5101" i="1"/>
  <c r="E5100" i="1"/>
  <c r="C5100" i="1"/>
  <c r="E5099" i="1"/>
  <c r="C5099" i="1"/>
  <c r="E5098" i="1"/>
  <c r="C5098" i="1"/>
  <c r="E5097" i="1"/>
  <c r="C5097" i="1"/>
  <c r="E5096" i="1"/>
  <c r="C5096" i="1"/>
  <c r="E5095" i="1"/>
  <c r="C5095" i="1"/>
  <c r="E5094" i="1"/>
  <c r="C5094" i="1"/>
  <c r="E5093" i="1"/>
  <c r="C5093" i="1"/>
  <c r="E5092" i="1"/>
  <c r="C5092" i="1"/>
  <c r="E5091" i="1"/>
  <c r="C5091" i="1"/>
  <c r="E5090" i="1"/>
  <c r="C5090" i="1"/>
  <c r="E5089" i="1"/>
  <c r="C5089" i="1"/>
  <c r="E5088" i="1"/>
  <c r="C5088" i="1"/>
  <c r="E5087" i="1"/>
  <c r="C5087" i="1"/>
  <c r="E5086" i="1"/>
  <c r="C5086" i="1"/>
  <c r="E5085" i="1"/>
  <c r="C5085" i="1"/>
  <c r="E5084" i="1"/>
  <c r="C5084" i="1"/>
  <c r="E5083" i="1"/>
  <c r="C5083" i="1"/>
  <c r="E5082" i="1"/>
  <c r="C5082" i="1"/>
  <c r="E5081" i="1"/>
  <c r="C5081" i="1"/>
  <c r="E5080" i="1"/>
  <c r="C5080" i="1"/>
  <c r="E5079" i="1"/>
  <c r="C5079" i="1"/>
  <c r="E5078" i="1"/>
  <c r="C5078" i="1"/>
  <c r="E5077" i="1"/>
  <c r="C5077" i="1"/>
  <c r="E5076" i="1"/>
  <c r="C5076" i="1"/>
  <c r="E5075" i="1"/>
  <c r="C5075" i="1"/>
  <c r="E5074" i="1"/>
  <c r="C5074" i="1"/>
  <c r="E5073" i="1"/>
  <c r="C5073" i="1"/>
  <c r="E5072" i="1"/>
  <c r="C5072" i="1"/>
  <c r="E5071" i="1"/>
  <c r="C5071" i="1"/>
  <c r="E5070" i="1"/>
  <c r="C5070" i="1"/>
  <c r="E5069" i="1"/>
  <c r="C5069" i="1"/>
  <c r="E5068" i="1"/>
  <c r="C5068" i="1"/>
  <c r="E5067" i="1"/>
  <c r="C5067" i="1"/>
  <c r="E5066" i="1"/>
  <c r="C5066" i="1"/>
  <c r="E5065" i="1"/>
  <c r="C5065" i="1"/>
  <c r="E5064" i="1"/>
  <c r="C5064" i="1"/>
  <c r="E5063" i="1"/>
  <c r="C5063" i="1"/>
  <c r="E5062" i="1"/>
  <c r="C5062" i="1"/>
  <c r="E5061" i="1"/>
  <c r="C5061" i="1"/>
  <c r="E5060" i="1"/>
  <c r="C5060" i="1"/>
  <c r="E5059" i="1"/>
  <c r="C5059" i="1"/>
  <c r="E5058" i="1"/>
  <c r="C5058" i="1"/>
  <c r="E5057" i="1"/>
  <c r="C5057" i="1"/>
  <c r="E5056" i="1"/>
  <c r="C5056" i="1"/>
  <c r="E5055" i="1"/>
  <c r="C5055" i="1"/>
  <c r="E5054" i="1"/>
  <c r="C5054" i="1"/>
  <c r="E5053" i="1"/>
  <c r="C5053" i="1"/>
  <c r="E5052" i="1"/>
  <c r="C5052" i="1"/>
  <c r="E5051" i="1"/>
  <c r="C5051" i="1"/>
  <c r="E5050" i="1"/>
  <c r="C5050" i="1"/>
  <c r="E5049" i="1"/>
  <c r="C5049" i="1"/>
  <c r="E5048" i="1"/>
  <c r="C5048" i="1"/>
  <c r="E5047" i="1"/>
  <c r="C5047" i="1"/>
  <c r="E5046" i="1"/>
  <c r="C5046" i="1"/>
  <c r="E5045" i="1"/>
  <c r="C5045" i="1"/>
  <c r="E5044" i="1"/>
  <c r="C5044" i="1"/>
  <c r="E5043" i="1"/>
  <c r="C5043" i="1"/>
  <c r="E5042" i="1"/>
  <c r="C5042" i="1"/>
  <c r="E5041" i="1"/>
  <c r="C5041" i="1"/>
  <c r="E5040" i="1"/>
  <c r="C5040" i="1"/>
  <c r="E5039" i="1"/>
  <c r="C5039" i="1"/>
  <c r="E5038" i="1"/>
  <c r="C5038" i="1"/>
  <c r="E5037" i="1"/>
  <c r="C5037" i="1"/>
  <c r="E5036" i="1"/>
  <c r="C5036" i="1"/>
  <c r="E5035" i="1"/>
  <c r="C5035" i="1"/>
  <c r="E5034" i="1"/>
  <c r="C5034" i="1"/>
  <c r="E5033" i="1"/>
  <c r="C5033" i="1"/>
  <c r="E5032" i="1"/>
  <c r="C5032" i="1"/>
  <c r="E5031" i="1"/>
  <c r="C5031" i="1"/>
  <c r="E5030" i="1"/>
  <c r="C5030" i="1"/>
  <c r="E5029" i="1"/>
  <c r="C5029" i="1"/>
  <c r="E5028" i="1"/>
  <c r="C5028" i="1"/>
  <c r="E5027" i="1"/>
  <c r="C5027" i="1"/>
  <c r="E5026" i="1"/>
  <c r="C5026" i="1"/>
  <c r="E5025" i="1"/>
  <c r="C5025" i="1"/>
  <c r="E5024" i="1"/>
  <c r="C5024" i="1"/>
  <c r="E5023" i="1"/>
  <c r="C5023" i="1"/>
  <c r="E5022" i="1"/>
  <c r="C5022" i="1"/>
  <c r="E5021" i="1"/>
  <c r="C5021" i="1"/>
  <c r="E5020" i="1"/>
  <c r="C5020" i="1"/>
  <c r="E5019" i="1"/>
  <c r="C5019" i="1"/>
  <c r="E5018" i="1"/>
  <c r="C5018" i="1"/>
  <c r="E5017" i="1"/>
  <c r="C5017" i="1"/>
  <c r="E5016" i="1"/>
  <c r="C5016" i="1"/>
  <c r="E5015" i="1"/>
  <c r="C5015" i="1"/>
  <c r="E5014" i="1"/>
  <c r="C5014" i="1"/>
  <c r="E5013" i="1"/>
  <c r="C5013" i="1"/>
  <c r="E5012" i="1"/>
  <c r="C5012" i="1"/>
  <c r="E5011" i="1"/>
  <c r="C5011" i="1"/>
  <c r="E5010" i="1"/>
  <c r="C5010" i="1"/>
  <c r="E5009" i="1"/>
  <c r="C5009" i="1"/>
  <c r="E5008" i="1"/>
  <c r="C5008" i="1"/>
  <c r="E5007" i="1"/>
  <c r="C5007" i="1"/>
  <c r="E5006" i="1"/>
  <c r="C5006" i="1"/>
  <c r="E5005" i="1"/>
  <c r="C5005" i="1"/>
  <c r="E5004" i="1"/>
  <c r="C5004" i="1"/>
  <c r="E5003" i="1"/>
  <c r="C5003" i="1"/>
  <c r="E5002" i="1"/>
  <c r="C5002" i="1"/>
  <c r="E5001" i="1"/>
  <c r="C5001" i="1"/>
  <c r="E5000" i="1"/>
  <c r="C5000" i="1"/>
  <c r="E4999" i="1"/>
  <c r="C4999" i="1"/>
  <c r="E4998" i="1"/>
  <c r="C4998" i="1"/>
  <c r="E4997" i="1"/>
  <c r="C4997" i="1"/>
  <c r="E4996" i="1"/>
  <c r="C4996" i="1"/>
  <c r="E4995" i="1"/>
  <c r="C4995" i="1"/>
  <c r="E4994" i="1"/>
  <c r="C4994" i="1"/>
  <c r="E4993" i="1"/>
  <c r="C4993" i="1"/>
  <c r="E4992" i="1"/>
  <c r="C4992" i="1"/>
  <c r="E4991" i="1"/>
  <c r="C4991" i="1"/>
  <c r="E4990" i="1"/>
  <c r="C4990" i="1"/>
  <c r="E4989" i="1"/>
  <c r="C4989" i="1"/>
  <c r="E4988" i="1"/>
  <c r="C4988" i="1"/>
  <c r="E4987" i="1"/>
  <c r="C4987" i="1"/>
  <c r="E4986" i="1"/>
  <c r="C4986" i="1"/>
  <c r="E4985" i="1"/>
  <c r="C4985" i="1"/>
  <c r="E4984" i="1"/>
  <c r="C4984" i="1"/>
  <c r="E4983" i="1"/>
  <c r="C4983" i="1"/>
  <c r="E4982" i="1"/>
  <c r="C4982" i="1"/>
  <c r="E4981" i="1"/>
  <c r="C4981" i="1"/>
  <c r="E4980" i="1"/>
  <c r="C4980" i="1"/>
  <c r="E4979" i="1"/>
  <c r="C4979" i="1"/>
  <c r="E4978" i="1"/>
  <c r="C4978" i="1"/>
  <c r="E4977" i="1"/>
  <c r="C4977" i="1"/>
  <c r="E4976" i="1"/>
  <c r="C4976" i="1"/>
  <c r="E4975" i="1"/>
  <c r="C4975" i="1"/>
  <c r="E4974" i="1"/>
  <c r="C4974" i="1"/>
  <c r="E4973" i="1"/>
  <c r="C4973" i="1"/>
  <c r="E4972" i="1"/>
  <c r="C4972" i="1"/>
  <c r="E4971" i="1"/>
  <c r="C4971" i="1"/>
  <c r="E4970" i="1"/>
  <c r="C4970" i="1"/>
  <c r="E4969" i="1"/>
  <c r="C4969" i="1"/>
  <c r="E4968" i="1"/>
  <c r="C4968" i="1"/>
  <c r="E4967" i="1"/>
  <c r="C4967" i="1"/>
  <c r="E4966" i="1"/>
  <c r="C4966" i="1"/>
  <c r="E4965" i="1"/>
  <c r="C4965" i="1"/>
  <c r="E4964" i="1"/>
  <c r="C4964" i="1"/>
  <c r="E4963" i="1"/>
  <c r="C4963" i="1"/>
  <c r="E4962" i="1"/>
  <c r="C4962" i="1"/>
  <c r="E4961" i="1"/>
  <c r="C4961" i="1"/>
  <c r="E4960" i="1"/>
  <c r="C4960" i="1"/>
  <c r="E4959" i="1"/>
  <c r="C4959" i="1"/>
  <c r="E4958" i="1"/>
  <c r="C4958" i="1"/>
  <c r="E4957" i="1"/>
  <c r="C4957" i="1"/>
  <c r="E4956" i="1"/>
  <c r="C4956" i="1"/>
  <c r="E4955" i="1"/>
  <c r="C4955" i="1"/>
  <c r="E4954" i="1"/>
  <c r="C4954" i="1"/>
  <c r="E4953" i="1"/>
  <c r="C4953" i="1"/>
  <c r="E4952" i="1"/>
  <c r="C4952" i="1"/>
  <c r="E4951" i="1"/>
  <c r="C4951" i="1"/>
  <c r="E4950" i="1"/>
  <c r="C4950" i="1"/>
  <c r="E4949" i="1"/>
  <c r="C4949" i="1"/>
  <c r="E4948" i="1"/>
  <c r="C4948" i="1"/>
  <c r="E4947" i="1"/>
  <c r="C4947" i="1"/>
  <c r="E4946" i="1"/>
  <c r="C4946" i="1"/>
  <c r="E4945" i="1"/>
  <c r="C4945" i="1"/>
  <c r="E4944" i="1"/>
  <c r="C4944" i="1"/>
  <c r="E4943" i="1"/>
  <c r="C4943" i="1"/>
  <c r="E4942" i="1"/>
  <c r="C4942" i="1"/>
  <c r="E4941" i="1"/>
  <c r="C4941" i="1"/>
  <c r="E4940" i="1"/>
  <c r="C4940" i="1"/>
  <c r="E4939" i="1"/>
  <c r="C4939" i="1"/>
  <c r="E4938" i="1"/>
  <c r="C4938" i="1"/>
  <c r="E4937" i="1"/>
  <c r="C4937" i="1"/>
  <c r="E4936" i="1"/>
  <c r="C4936" i="1"/>
  <c r="E4935" i="1"/>
  <c r="C4935" i="1"/>
  <c r="E4934" i="1"/>
  <c r="C4934" i="1"/>
  <c r="E4933" i="1"/>
  <c r="C4933" i="1"/>
  <c r="E4932" i="1"/>
  <c r="C4932" i="1"/>
  <c r="E4931" i="1"/>
  <c r="C4931" i="1"/>
  <c r="E4930" i="1"/>
  <c r="C4930" i="1"/>
  <c r="E4929" i="1"/>
  <c r="C4929" i="1"/>
  <c r="E4928" i="1"/>
  <c r="C4928" i="1"/>
  <c r="E4927" i="1"/>
  <c r="C4927" i="1"/>
  <c r="E4926" i="1"/>
  <c r="C4926" i="1"/>
  <c r="E4925" i="1"/>
  <c r="C4925" i="1"/>
  <c r="E4924" i="1"/>
  <c r="C4924" i="1"/>
  <c r="E4923" i="1"/>
  <c r="C4923" i="1"/>
  <c r="E4922" i="1"/>
  <c r="C4922" i="1"/>
  <c r="E4921" i="1"/>
  <c r="C4921" i="1"/>
  <c r="E4920" i="1"/>
  <c r="C4920" i="1"/>
  <c r="E4919" i="1"/>
  <c r="C4919" i="1"/>
  <c r="E4918" i="1"/>
  <c r="C4918" i="1"/>
  <c r="E4917" i="1"/>
  <c r="C4917" i="1"/>
  <c r="E4916" i="1"/>
  <c r="C4916" i="1"/>
  <c r="E4915" i="1"/>
  <c r="C4915" i="1"/>
  <c r="E4914" i="1"/>
  <c r="C4914" i="1"/>
  <c r="E4913" i="1"/>
  <c r="C4913" i="1"/>
  <c r="E4912" i="1"/>
  <c r="C4912" i="1"/>
  <c r="E4911" i="1"/>
  <c r="C4911" i="1"/>
  <c r="E4910" i="1"/>
  <c r="C4910" i="1"/>
  <c r="E4909" i="1"/>
  <c r="C4909" i="1"/>
  <c r="E4908" i="1"/>
  <c r="C4908" i="1"/>
  <c r="E4907" i="1"/>
  <c r="C4907" i="1"/>
  <c r="E4906" i="1"/>
  <c r="C4906" i="1"/>
  <c r="E4905" i="1"/>
  <c r="C4905" i="1"/>
  <c r="E4904" i="1"/>
  <c r="C4904" i="1"/>
  <c r="E4903" i="1"/>
  <c r="C4903" i="1"/>
  <c r="E4902" i="1"/>
  <c r="C4902" i="1"/>
  <c r="E4901" i="1"/>
  <c r="C4901" i="1"/>
  <c r="E4900" i="1"/>
  <c r="C4900" i="1"/>
  <c r="E4899" i="1"/>
  <c r="C4899" i="1"/>
  <c r="E4898" i="1"/>
  <c r="C4898" i="1"/>
  <c r="E4897" i="1"/>
  <c r="C4897" i="1"/>
  <c r="E4896" i="1"/>
  <c r="C4896" i="1"/>
  <c r="E4895" i="1"/>
  <c r="C4895" i="1"/>
  <c r="E4894" i="1"/>
  <c r="C4894" i="1"/>
  <c r="E4893" i="1"/>
  <c r="C4893" i="1"/>
  <c r="E4892" i="1"/>
  <c r="C4892" i="1"/>
  <c r="E4891" i="1"/>
  <c r="C4891" i="1"/>
  <c r="E4890" i="1"/>
  <c r="C4890" i="1"/>
  <c r="E4889" i="1"/>
  <c r="C4889" i="1"/>
  <c r="E4888" i="1"/>
  <c r="C4888" i="1"/>
  <c r="E4887" i="1"/>
  <c r="C4887" i="1"/>
  <c r="E4886" i="1"/>
  <c r="C4886" i="1"/>
  <c r="E4885" i="1"/>
  <c r="C4885" i="1"/>
  <c r="E4884" i="1"/>
  <c r="C4884" i="1"/>
  <c r="E4883" i="1"/>
  <c r="C4883" i="1"/>
  <c r="E4882" i="1"/>
  <c r="C4882" i="1"/>
  <c r="E4881" i="1"/>
  <c r="C4881" i="1"/>
  <c r="E4880" i="1"/>
  <c r="C4880" i="1"/>
  <c r="E4879" i="1"/>
  <c r="C4879" i="1"/>
  <c r="E4878" i="1"/>
  <c r="C4878" i="1"/>
  <c r="E4877" i="1"/>
  <c r="C4877" i="1"/>
  <c r="E4876" i="1"/>
  <c r="C4876" i="1"/>
  <c r="E4875" i="1"/>
  <c r="C4875" i="1"/>
  <c r="E4874" i="1"/>
  <c r="C4874" i="1"/>
  <c r="E4873" i="1"/>
  <c r="C4873" i="1"/>
  <c r="E4872" i="1"/>
  <c r="C4872" i="1"/>
  <c r="E4871" i="1"/>
  <c r="C4871" i="1"/>
  <c r="E4870" i="1"/>
  <c r="C4870" i="1"/>
  <c r="E4869" i="1"/>
  <c r="C4869" i="1"/>
  <c r="E4868" i="1"/>
  <c r="C4868" i="1"/>
  <c r="E4867" i="1"/>
  <c r="C4867" i="1"/>
  <c r="E4866" i="1"/>
  <c r="C4866" i="1"/>
  <c r="E4865" i="1"/>
  <c r="C4865" i="1"/>
  <c r="E4864" i="1"/>
  <c r="C4864" i="1"/>
  <c r="E4863" i="1"/>
  <c r="C4863" i="1"/>
  <c r="E4862" i="1"/>
  <c r="C4862" i="1"/>
  <c r="E4861" i="1"/>
  <c r="C4861" i="1"/>
  <c r="E4860" i="1"/>
  <c r="C4860" i="1"/>
  <c r="E4859" i="1"/>
  <c r="C4859" i="1"/>
  <c r="E4858" i="1"/>
  <c r="C4858" i="1"/>
  <c r="E4857" i="1"/>
  <c r="C4857" i="1"/>
  <c r="E4856" i="1"/>
  <c r="C4856" i="1"/>
  <c r="E4855" i="1"/>
  <c r="C4855" i="1"/>
  <c r="E4854" i="1"/>
  <c r="C4854" i="1"/>
  <c r="E4853" i="1"/>
  <c r="C4853" i="1"/>
  <c r="E4852" i="1"/>
  <c r="C4852" i="1"/>
  <c r="E4851" i="1"/>
  <c r="C4851" i="1"/>
  <c r="E4850" i="1"/>
  <c r="C4850" i="1"/>
  <c r="E4849" i="1"/>
  <c r="C4849" i="1"/>
  <c r="E4848" i="1"/>
  <c r="C4848" i="1"/>
  <c r="E4847" i="1"/>
  <c r="C4847" i="1"/>
  <c r="E4846" i="1"/>
  <c r="C4846" i="1"/>
  <c r="E4845" i="1"/>
  <c r="C4845" i="1"/>
  <c r="E4844" i="1"/>
  <c r="C4844" i="1"/>
  <c r="E4843" i="1"/>
  <c r="C4843" i="1"/>
  <c r="E4842" i="1"/>
  <c r="C4842" i="1"/>
  <c r="E4841" i="1"/>
  <c r="C4841" i="1"/>
  <c r="E4840" i="1"/>
  <c r="C4840" i="1"/>
  <c r="E4839" i="1"/>
  <c r="C4839" i="1"/>
  <c r="E4838" i="1"/>
  <c r="C4838" i="1"/>
  <c r="E4837" i="1"/>
  <c r="C4837" i="1"/>
  <c r="E4836" i="1"/>
  <c r="C4836" i="1"/>
  <c r="E4835" i="1"/>
  <c r="C4835" i="1"/>
  <c r="E4834" i="1"/>
  <c r="C4834" i="1"/>
  <c r="E4833" i="1"/>
  <c r="C4833" i="1"/>
  <c r="E4832" i="1"/>
  <c r="C4832" i="1"/>
  <c r="E4831" i="1"/>
  <c r="C4831" i="1"/>
  <c r="E4830" i="1"/>
  <c r="C4830" i="1"/>
  <c r="E4829" i="1"/>
  <c r="C4829" i="1"/>
  <c r="E4828" i="1"/>
  <c r="C4828" i="1"/>
  <c r="E4827" i="1"/>
  <c r="C4827" i="1"/>
  <c r="E4826" i="1"/>
  <c r="C4826" i="1"/>
  <c r="E4825" i="1"/>
  <c r="C4825" i="1"/>
  <c r="E4824" i="1"/>
  <c r="C4824" i="1"/>
  <c r="E4823" i="1"/>
  <c r="C4823" i="1"/>
  <c r="E4822" i="1"/>
  <c r="C4822" i="1"/>
  <c r="E4821" i="1"/>
  <c r="C4821" i="1"/>
  <c r="E4820" i="1"/>
  <c r="C4820" i="1"/>
  <c r="E4819" i="1"/>
  <c r="C4819" i="1"/>
  <c r="E4818" i="1"/>
  <c r="C4818" i="1"/>
  <c r="E4817" i="1"/>
  <c r="C4817" i="1"/>
  <c r="E4816" i="1"/>
  <c r="C4816" i="1"/>
  <c r="E4815" i="1"/>
  <c r="C4815" i="1"/>
  <c r="E4814" i="1"/>
  <c r="C4814" i="1"/>
  <c r="E4813" i="1"/>
  <c r="C4813" i="1"/>
  <c r="E4812" i="1"/>
  <c r="C4812" i="1"/>
  <c r="E4811" i="1"/>
  <c r="C4811" i="1"/>
  <c r="E4810" i="1"/>
  <c r="C4810" i="1"/>
  <c r="E4809" i="1"/>
  <c r="C4809" i="1"/>
  <c r="E4808" i="1"/>
  <c r="C4808" i="1"/>
  <c r="E4807" i="1"/>
  <c r="C4807" i="1"/>
  <c r="E4806" i="1"/>
  <c r="C4806" i="1"/>
  <c r="E4805" i="1"/>
  <c r="C4805" i="1"/>
  <c r="E4804" i="1"/>
  <c r="C4804" i="1"/>
  <c r="E4803" i="1"/>
  <c r="C4803" i="1"/>
  <c r="E4802" i="1"/>
  <c r="C4802" i="1"/>
  <c r="E4801" i="1"/>
  <c r="C4801" i="1"/>
  <c r="E4800" i="1"/>
  <c r="C4800" i="1"/>
  <c r="E4799" i="1"/>
  <c r="C4799" i="1"/>
  <c r="E4798" i="1"/>
  <c r="C4798" i="1"/>
  <c r="E4797" i="1"/>
  <c r="C4797" i="1"/>
  <c r="E4796" i="1"/>
  <c r="C4796" i="1"/>
  <c r="E4795" i="1"/>
  <c r="C4795" i="1"/>
  <c r="E4794" i="1"/>
  <c r="C4794" i="1"/>
  <c r="E4793" i="1"/>
  <c r="C4793" i="1"/>
  <c r="E4792" i="1"/>
  <c r="C4792" i="1"/>
  <c r="E4791" i="1"/>
  <c r="C4791" i="1"/>
  <c r="E4790" i="1"/>
  <c r="C4790" i="1"/>
  <c r="E4789" i="1"/>
  <c r="C4789" i="1"/>
  <c r="E4788" i="1"/>
  <c r="C4788" i="1"/>
  <c r="E4787" i="1"/>
  <c r="C4787" i="1"/>
  <c r="E4786" i="1"/>
  <c r="C4786" i="1"/>
  <c r="E4785" i="1"/>
  <c r="C4785" i="1"/>
  <c r="E4784" i="1"/>
  <c r="C4784" i="1"/>
  <c r="E4783" i="1"/>
  <c r="C4783" i="1"/>
  <c r="E4782" i="1"/>
  <c r="C4782" i="1"/>
  <c r="E4781" i="1"/>
  <c r="C4781" i="1"/>
  <c r="E4780" i="1"/>
  <c r="C4780" i="1"/>
  <c r="E4779" i="1"/>
  <c r="C4779" i="1"/>
  <c r="E4778" i="1"/>
  <c r="C4778" i="1"/>
  <c r="E4777" i="1"/>
  <c r="C4777" i="1"/>
  <c r="E4776" i="1"/>
  <c r="C4776" i="1"/>
  <c r="E4775" i="1"/>
  <c r="C4775" i="1"/>
  <c r="E4774" i="1"/>
  <c r="C4774" i="1"/>
  <c r="E4773" i="1"/>
  <c r="C4773" i="1"/>
  <c r="E4772" i="1"/>
  <c r="C4772" i="1"/>
  <c r="E4771" i="1"/>
  <c r="C4771" i="1"/>
  <c r="E4770" i="1"/>
  <c r="C4770" i="1"/>
  <c r="E4769" i="1"/>
  <c r="C4769" i="1"/>
  <c r="E4768" i="1"/>
  <c r="C4768" i="1"/>
  <c r="E4767" i="1"/>
  <c r="C4767" i="1"/>
  <c r="E4766" i="1"/>
  <c r="C4766" i="1"/>
  <c r="E4765" i="1"/>
  <c r="C4765" i="1"/>
  <c r="E4764" i="1"/>
  <c r="C4764" i="1"/>
  <c r="E4763" i="1"/>
  <c r="C4763" i="1"/>
  <c r="E4762" i="1"/>
  <c r="C4762" i="1"/>
  <c r="E4761" i="1"/>
  <c r="C4761" i="1"/>
  <c r="E4760" i="1"/>
  <c r="C4760" i="1"/>
  <c r="E4759" i="1"/>
  <c r="C4759" i="1"/>
  <c r="E4758" i="1"/>
  <c r="C4758" i="1"/>
  <c r="E4757" i="1"/>
  <c r="C4757" i="1"/>
  <c r="E4756" i="1"/>
  <c r="C4756" i="1"/>
  <c r="E4755" i="1"/>
  <c r="C4755" i="1"/>
  <c r="E4754" i="1"/>
  <c r="C4754" i="1"/>
  <c r="E4753" i="1"/>
  <c r="C4753" i="1"/>
  <c r="E4752" i="1"/>
  <c r="C4752" i="1"/>
  <c r="E4751" i="1"/>
  <c r="C4751" i="1"/>
  <c r="E4750" i="1"/>
  <c r="C4750" i="1"/>
  <c r="E4749" i="1"/>
  <c r="C4749" i="1"/>
  <c r="E4748" i="1"/>
  <c r="C4748" i="1"/>
  <c r="E4747" i="1"/>
  <c r="C4747" i="1"/>
  <c r="E4746" i="1"/>
  <c r="C4746" i="1"/>
  <c r="E4745" i="1"/>
  <c r="C4745" i="1"/>
  <c r="E4744" i="1"/>
  <c r="C4744" i="1"/>
  <c r="E4743" i="1"/>
  <c r="C4743" i="1"/>
  <c r="E4742" i="1"/>
  <c r="C4742" i="1"/>
  <c r="E4741" i="1"/>
  <c r="C4741" i="1"/>
  <c r="E4740" i="1"/>
  <c r="C4740" i="1"/>
  <c r="E4739" i="1"/>
  <c r="C4739" i="1"/>
  <c r="E4738" i="1"/>
  <c r="C4738" i="1"/>
  <c r="E4737" i="1"/>
  <c r="C4737" i="1"/>
  <c r="E4736" i="1"/>
  <c r="C4736" i="1"/>
  <c r="E4735" i="1"/>
  <c r="C4735" i="1"/>
  <c r="E4734" i="1"/>
  <c r="C4734" i="1"/>
  <c r="E4733" i="1"/>
  <c r="C4733" i="1"/>
  <c r="E4732" i="1"/>
  <c r="C4732" i="1"/>
  <c r="E4731" i="1"/>
  <c r="C4731" i="1"/>
  <c r="E4730" i="1"/>
  <c r="C4730" i="1"/>
  <c r="E4729" i="1"/>
  <c r="C4729" i="1"/>
  <c r="E4728" i="1"/>
  <c r="C4728" i="1"/>
  <c r="E4727" i="1"/>
  <c r="C4727" i="1"/>
  <c r="E4726" i="1"/>
  <c r="C4726" i="1"/>
  <c r="E4725" i="1"/>
  <c r="C4725" i="1"/>
  <c r="E4724" i="1"/>
  <c r="C4724" i="1"/>
  <c r="E4723" i="1"/>
  <c r="C4723" i="1"/>
  <c r="E4722" i="1"/>
  <c r="C4722" i="1"/>
  <c r="E4721" i="1"/>
  <c r="C4721" i="1"/>
  <c r="E4720" i="1"/>
  <c r="C4720" i="1"/>
  <c r="E4719" i="1"/>
  <c r="C4719" i="1"/>
  <c r="E4718" i="1"/>
  <c r="C4718" i="1"/>
  <c r="E4717" i="1"/>
  <c r="C4717" i="1"/>
  <c r="E4716" i="1"/>
  <c r="C4716" i="1"/>
  <c r="E4715" i="1"/>
  <c r="C4715" i="1"/>
  <c r="E4714" i="1"/>
  <c r="C4714" i="1"/>
  <c r="E4713" i="1"/>
  <c r="C4713" i="1"/>
  <c r="E4712" i="1"/>
  <c r="C4712" i="1"/>
  <c r="E4711" i="1"/>
  <c r="C4711" i="1"/>
  <c r="E4710" i="1"/>
  <c r="C4710" i="1"/>
  <c r="E4709" i="1"/>
  <c r="C4709" i="1"/>
  <c r="E4708" i="1"/>
  <c r="C4708" i="1"/>
  <c r="E4707" i="1"/>
  <c r="C4707" i="1"/>
  <c r="E4706" i="1"/>
  <c r="C4706" i="1"/>
  <c r="E4705" i="1"/>
  <c r="C4705" i="1"/>
  <c r="E4704" i="1"/>
  <c r="C4704" i="1"/>
  <c r="E4703" i="1"/>
  <c r="C4703" i="1"/>
  <c r="E4702" i="1"/>
  <c r="C4702" i="1"/>
  <c r="E4701" i="1"/>
  <c r="C4701" i="1"/>
  <c r="E4700" i="1"/>
  <c r="C4700" i="1"/>
  <c r="E4699" i="1"/>
  <c r="C4699" i="1"/>
  <c r="E4698" i="1"/>
  <c r="C4698" i="1"/>
  <c r="E4697" i="1"/>
  <c r="C4697" i="1"/>
  <c r="E4696" i="1"/>
  <c r="C4696" i="1"/>
  <c r="E4695" i="1"/>
  <c r="C4695" i="1"/>
  <c r="E4694" i="1"/>
  <c r="C4694" i="1"/>
  <c r="E4693" i="1"/>
  <c r="C4693" i="1"/>
  <c r="E4692" i="1"/>
  <c r="C4692" i="1"/>
  <c r="E4691" i="1"/>
  <c r="C4691" i="1"/>
  <c r="E4690" i="1"/>
  <c r="C4690" i="1"/>
  <c r="E4689" i="1"/>
  <c r="C4689" i="1"/>
  <c r="E4688" i="1"/>
  <c r="C4688" i="1"/>
  <c r="E4687" i="1"/>
  <c r="C4687" i="1"/>
  <c r="E4686" i="1"/>
  <c r="C4686" i="1"/>
  <c r="E4685" i="1"/>
  <c r="C4685" i="1"/>
  <c r="E4684" i="1"/>
  <c r="C4684" i="1"/>
  <c r="E4683" i="1"/>
  <c r="C4683" i="1"/>
  <c r="E4682" i="1"/>
  <c r="C4682" i="1"/>
  <c r="E4681" i="1"/>
  <c r="C4681" i="1"/>
  <c r="E4680" i="1"/>
  <c r="C4680" i="1"/>
  <c r="E4679" i="1"/>
  <c r="C4679" i="1"/>
  <c r="E4678" i="1"/>
  <c r="C4678" i="1"/>
  <c r="E4677" i="1"/>
  <c r="C4677" i="1"/>
  <c r="E4676" i="1"/>
  <c r="C4676" i="1"/>
  <c r="E4675" i="1"/>
  <c r="C4675" i="1"/>
  <c r="E4674" i="1"/>
  <c r="C4674" i="1"/>
  <c r="E4673" i="1"/>
  <c r="C4673" i="1"/>
  <c r="E4672" i="1"/>
  <c r="C4672" i="1"/>
  <c r="E4671" i="1"/>
  <c r="C4671" i="1"/>
  <c r="E4670" i="1"/>
  <c r="C4670" i="1"/>
  <c r="E4669" i="1"/>
  <c r="C4669" i="1"/>
  <c r="E4668" i="1"/>
  <c r="C4668" i="1"/>
  <c r="E4667" i="1"/>
  <c r="C4667" i="1"/>
  <c r="E4666" i="1"/>
  <c r="C4666" i="1"/>
  <c r="E4665" i="1"/>
  <c r="C4665" i="1"/>
  <c r="E4664" i="1"/>
  <c r="C4664" i="1"/>
  <c r="E4663" i="1"/>
  <c r="C4663" i="1"/>
  <c r="E4662" i="1"/>
  <c r="C4662" i="1"/>
  <c r="E4661" i="1"/>
  <c r="C4661" i="1"/>
  <c r="E4660" i="1"/>
  <c r="C4660" i="1"/>
  <c r="E4659" i="1"/>
  <c r="C4659" i="1"/>
  <c r="E4658" i="1"/>
  <c r="C4658" i="1"/>
  <c r="E4657" i="1"/>
  <c r="C4657" i="1"/>
  <c r="E4656" i="1"/>
  <c r="C4656" i="1"/>
  <c r="E4655" i="1"/>
  <c r="C4655" i="1"/>
  <c r="E4654" i="1"/>
  <c r="C4654" i="1"/>
  <c r="E4653" i="1"/>
  <c r="C4653" i="1"/>
  <c r="E4652" i="1"/>
  <c r="C4652" i="1"/>
  <c r="E4651" i="1"/>
  <c r="C4651" i="1"/>
  <c r="E4650" i="1"/>
  <c r="C4650" i="1"/>
  <c r="E4649" i="1"/>
  <c r="C4649" i="1"/>
  <c r="E4648" i="1"/>
  <c r="C4648" i="1"/>
  <c r="E4647" i="1"/>
  <c r="C4647" i="1"/>
  <c r="E4646" i="1"/>
  <c r="C4646" i="1"/>
  <c r="E4645" i="1"/>
  <c r="C4645" i="1"/>
  <c r="E4644" i="1"/>
  <c r="C4644" i="1"/>
  <c r="E4643" i="1"/>
  <c r="C4643" i="1"/>
  <c r="E4642" i="1"/>
  <c r="C4642" i="1"/>
  <c r="E4641" i="1"/>
  <c r="C4641" i="1"/>
  <c r="E4640" i="1"/>
  <c r="C4640" i="1"/>
  <c r="E4639" i="1"/>
  <c r="C4639" i="1"/>
  <c r="E4638" i="1"/>
  <c r="C4638" i="1"/>
  <c r="E4637" i="1"/>
  <c r="C4637" i="1"/>
  <c r="E4636" i="1"/>
  <c r="C4636" i="1"/>
  <c r="E4635" i="1"/>
  <c r="C4635" i="1"/>
  <c r="E4634" i="1"/>
  <c r="C4634" i="1"/>
  <c r="E4633" i="1"/>
  <c r="C4633" i="1"/>
  <c r="E4632" i="1"/>
  <c r="C4632" i="1"/>
  <c r="E4631" i="1"/>
  <c r="C4631" i="1"/>
  <c r="E4630" i="1"/>
  <c r="C4630" i="1"/>
  <c r="E4629" i="1"/>
  <c r="C4629" i="1"/>
  <c r="E4628" i="1"/>
  <c r="C4628" i="1"/>
  <c r="E4627" i="1"/>
  <c r="C4627" i="1"/>
  <c r="E4626" i="1"/>
  <c r="C4626" i="1"/>
  <c r="E4625" i="1"/>
  <c r="C4625" i="1"/>
  <c r="E4624" i="1"/>
  <c r="C4624" i="1"/>
  <c r="E4623" i="1"/>
  <c r="C4623" i="1"/>
  <c r="E4622" i="1"/>
  <c r="C4622" i="1"/>
  <c r="E4621" i="1"/>
  <c r="C4621" i="1"/>
  <c r="E4620" i="1"/>
  <c r="C4620" i="1"/>
  <c r="E4619" i="1"/>
  <c r="C4619" i="1"/>
  <c r="E4618" i="1"/>
  <c r="C4618" i="1"/>
  <c r="E4617" i="1"/>
  <c r="C4617" i="1"/>
  <c r="E4616" i="1"/>
  <c r="C4616" i="1"/>
  <c r="E4615" i="1"/>
  <c r="C4615" i="1"/>
  <c r="E4614" i="1"/>
  <c r="C4614" i="1"/>
  <c r="E4613" i="1"/>
  <c r="C4613" i="1"/>
  <c r="E4612" i="1"/>
  <c r="C4612" i="1"/>
  <c r="E4611" i="1"/>
  <c r="C4611" i="1"/>
  <c r="E4610" i="1"/>
  <c r="C4610" i="1"/>
  <c r="E4609" i="1"/>
  <c r="C4609" i="1"/>
  <c r="E4608" i="1"/>
  <c r="C4608" i="1"/>
  <c r="E4607" i="1"/>
  <c r="C4607" i="1"/>
  <c r="E4606" i="1"/>
  <c r="C4606" i="1"/>
  <c r="E4605" i="1"/>
  <c r="C4605" i="1"/>
  <c r="E4604" i="1"/>
  <c r="C4604" i="1"/>
  <c r="E4603" i="1"/>
  <c r="C4603" i="1"/>
  <c r="E4602" i="1"/>
  <c r="C4602" i="1"/>
  <c r="E4601" i="1"/>
  <c r="C4601" i="1"/>
  <c r="E4600" i="1"/>
  <c r="C4600" i="1"/>
  <c r="E4599" i="1"/>
  <c r="C4599" i="1"/>
  <c r="E4598" i="1"/>
  <c r="C4598" i="1"/>
  <c r="E4597" i="1"/>
  <c r="C4597" i="1"/>
  <c r="E4596" i="1"/>
  <c r="C4596" i="1"/>
  <c r="E4595" i="1"/>
  <c r="C4595" i="1"/>
  <c r="E4594" i="1"/>
  <c r="C4594" i="1"/>
  <c r="E4593" i="1"/>
  <c r="C4593" i="1"/>
  <c r="E4592" i="1"/>
  <c r="C4592" i="1"/>
  <c r="E4591" i="1"/>
  <c r="C4591" i="1"/>
  <c r="E4590" i="1"/>
  <c r="C4590" i="1"/>
  <c r="E4589" i="1"/>
  <c r="C4589" i="1"/>
  <c r="E4588" i="1"/>
  <c r="C4588" i="1"/>
  <c r="E4587" i="1"/>
  <c r="C4587" i="1"/>
  <c r="E4586" i="1"/>
  <c r="C4586" i="1"/>
  <c r="E4585" i="1"/>
  <c r="C4585" i="1"/>
  <c r="E4584" i="1"/>
  <c r="C4584" i="1"/>
  <c r="E4583" i="1"/>
  <c r="C4583" i="1"/>
  <c r="E4582" i="1"/>
  <c r="C4582" i="1"/>
  <c r="E4581" i="1"/>
  <c r="C4581" i="1"/>
  <c r="E4580" i="1"/>
  <c r="C4580" i="1"/>
  <c r="E4579" i="1"/>
  <c r="C4579" i="1"/>
  <c r="E4578" i="1"/>
  <c r="C4578" i="1"/>
  <c r="E4577" i="1"/>
  <c r="C4577" i="1"/>
  <c r="E4576" i="1"/>
  <c r="C4576" i="1"/>
  <c r="E4575" i="1"/>
  <c r="C4575" i="1"/>
  <c r="E4574" i="1"/>
  <c r="C4574" i="1"/>
  <c r="E4573" i="1"/>
  <c r="C4573" i="1"/>
  <c r="E4572" i="1"/>
  <c r="C4572" i="1"/>
  <c r="E4571" i="1"/>
  <c r="C4571" i="1"/>
  <c r="E4570" i="1"/>
  <c r="C4570" i="1"/>
  <c r="E4569" i="1"/>
  <c r="C4569" i="1"/>
  <c r="E4568" i="1"/>
  <c r="C4568" i="1"/>
  <c r="E4567" i="1"/>
  <c r="C4567" i="1"/>
  <c r="E4566" i="1"/>
  <c r="C4566" i="1"/>
  <c r="E4565" i="1"/>
  <c r="C4565" i="1"/>
  <c r="E4564" i="1"/>
  <c r="C4564" i="1"/>
  <c r="E4563" i="1"/>
  <c r="C4563" i="1"/>
  <c r="E4562" i="1"/>
  <c r="C4562" i="1"/>
  <c r="E4561" i="1"/>
  <c r="C4561" i="1"/>
  <c r="E4560" i="1"/>
  <c r="C4560" i="1"/>
  <c r="E4559" i="1"/>
  <c r="C4559" i="1"/>
  <c r="E4558" i="1"/>
  <c r="C4558" i="1"/>
  <c r="E4557" i="1"/>
  <c r="C4557" i="1"/>
  <c r="E4556" i="1"/>
  <c r="C4556" i="1"/>
  <c r="E4555" i="1"/>
  <c r="C4555" i="1"/>
  <c r="E4554" i="1"/>
  <c r="C4554" i="1"/>
  <c r="E4553" i="1"/>
  <c r="C4553" i="1"/>
  <c r="E4552" i="1"/>
  <c r="C4552" i="1"/>
  <c r="E4551" i="1"/>
  <c r="C4551" i="1"/>
  <c r="E4550" i="1"/>
  <c r="C4550" i="1"/>
  <c r="E4549" i="1"/>
  <c r="C4549" i="1"/>
  <c r="E4548" i="1"/>
  <c r="C4548" i="1"/>
  <c r="E4547" i="1"/>
  <c r="C4547" i="1"/>
  <c r="E4546" i="1"/>
  <c r="C4546" i="1"/>
  <c r="E4545" i="1"/>
  <c r="C4545" i="1"/>
  <c r="E4544" i="1"/>
  <c r="C4544" i="1"/>
  <c r="E4543" i="1"/>
  <c r="C4543" i="1"/>
  <c r="E4542" i="1"/>
  <c r="C4542" i="1"/>
  <c r="E4541" i="1"/>
  <c r="C4541" i="1"/>
  <c r="E4540" i="1"/>
  <c r="C4540" i="1"/>
  <c r="E4539" i="1"/>
  <c r="C4539" i="1"/>
  <c r="E4538" i="1"/>
  <c r="C4538" i="1"/>
  <c r="E4537" i="1"/>
  <c r="C4537" i="1"/>
  <c r="E4536" i="1"/>
  <c r="C4536" i="1"/>
  <c r="E4535" i="1"/>
  <c r="C4535" i="1"/>
  <c r="E4534" i="1"/>
  <c r="C4534" i="1"/>
  <c r="E4533" i="1"/>
  <c r="C4533" i="1"/>
  <c r="E4532" i="1"/>
  <c r="C4532" i="1"/>
  <c r="E4531" i="1"/>
  <c r="C4531" i="1"/>
  <c r="E4530" i="1"/>
  <c r="C4530" i="1"/>
  <c r="E4529" i="1"/>
  <c r="C4529" i="1"/>
  <c r="E4528" i="1"/>
  <c r="C4528" i="1"/>
  <c r="E4527" i="1"/>
  <c r="C4527" i="1"/>
  <c r="E4526" i="1"/>
  <c r="C4526" i="1"/>
  <c r="E4525" i="1"/>
  <c r="C4525" i="1"/>
  <c r="E4524" i="1"/>
  <c r="C4524" i="1"/>
  <c r="E4523" i="1"/>
  <c r="C4523" i="1"/>
  <c r="E4522" i="1"/>
  <c r="C4522" i="1"/>
  <c r="E4521" i="1"/>
  <c r="C4521" i="1"/>
  <c r="E4520" i="1"/>
  <c r="C4520" i="1"/>
  <c r="E4519" i="1"/>
  <c r="C4519" i="1"/>
  <c r="E4518" i="1"/>
  <c r="C4518" i="1"/>
  <c r="E4517" i="1"/>
  <c r="C4517" i="1"/>
  <c r="E4516" i="1"/>
  <c r="C4516" i="1"/>
  <c r="E4515" i="1"/>
  <c r="C4515" i="1"/>
  <c r="E4514" i="1"/>
  <c r="C4514" i="1"/>
  <c r="E4513" i="1"/>
  <c r="C4513" i="1"/>
  <c r="E4512" i="1"/>
  <c r="C4512" i="1"/>
  <c r="E4511" i="1"/>
  <c r="C4511" i="1"/>
  <c r="E4510" i="1"/>
  <c r="C4510" i="1"/>
  <c r="E4509" i="1"/>
  <c r="C4509" i="1"/>
  <c r="E4508" i="1"/>
  <c r="C4508" i="1"/>
  <c r="E4507" i="1"/>
  <c r="C4507" i="1"/>
  <c r="E4506" i="1"/>
  <c r="C4506" i="1"/>
  <c r="E4505" i="1"/>
  <c r="C4505" i="1"/>
  <c r="E4504" i="1"/>
  <c r="C4504" i="1"/>
  <c r="E4503" i="1"/>
  <c r="C4503" i="1"/>
  <c r="E4502" i="1"/>
  <c r="C4502" i="1"/>
  <c r="E4501" i="1"/>
  <c r="C4501" i="1"/>
  <c r="E4500" i="1"/>
  <c r="C4500" i="1"/>
  <c r="E4499" i="1"/>
  <c r="C4499" i="1"/>
  <c r="E4498" i="1"/>
  <c r="C4498" i="1"/>
  <c r="E4497" i="1"/>
  <c r="C4497" i="1"/>
  <c r="E4496" i="1"/>
  <c r="C4496" i="1"/>
  <c r="E4495" i="1"/>
  <c r="C4495" i="1"/>
  <c r="E4494" i="1"/>
  <c r="C4494" i="1"/>
  <c r="E4493" i="1"/>
  <c r="C4493" i="1"/>
  <c r="E4492" i="1"/>
  <c r="C4492" i="1"/>
  <c r="E4491" i="1"/>
  <c r="C4491" i="1"/>
  <c r="E4490" i="1"/>
  <c r="C4490" i="1"/>
  <c r="E4489" i="1"/>
  <c r="C4489" i="1"/>
  <c r="E4488" i="1"/>
  <c r="C4488" i="1"/>
  <c r="E4487" i="1"/>
  <c r="C4487" i="1"/>
  <c r="E4486" i="1"/>
  <c r="C4486" i="1"/>
  <c r="E4485" i="1"/>
  <c r="C4485" i="1"/>
  <c r="E4484" i="1"/>
  <c r="C4484" i="1"/>
  <c r="E4483" i="1"/>
  <c r="C4483" i="1"/>
  <c r="E4482" i="1"/>
  <c r="C4482" i="1"/>
  <c r="E4481" i="1"/>
  <c r="C4481" i="1"/>
  <c r="E4480" i="1"/>
  <c r="C4480" i="1"/>
  <c r="E4479" i="1"/>
  <c r="C4479" i="1"/>
  <c r="E4478" i="1"/>
  <c r="C4478" i="1"/>
  <c r="E4477" i="1"/>
  <c r="C4477" i="1"/>
  <c r="E4476" i="1"/>
  <c r="C4476" i="1"/>
  <c r="E4475" i="1"/>
  <c r="C4475" i="1"/>
  <c r="E4474" i="1"/>
  <c r="C4474" i="1"/>
  <c r="E4473" i="1"/>
  <c r="C4473" i="1"/>
  <c r="E4472" i="1"/>
  <c r="C4472" i="1"/>
  <c r="E4471" i="1"/>
  <c r="C4471" i="1"/>
  <c r="E4470" i="1"/>
  <c r="C4470" i="1"/>
  <c r="E4469" i="1"/>
  <c r="C4469" i="1"/>
  <c r="E4468" i="1"/>
  <c r="C4468" i="1"/>
  <c r="E4467" i="1"/>
  <c r="C4467" i="1"/>
  <c r="E4466" i="1"/>
  <c r="C4466" i="1"/>
  <c r="E4465" i="1"/>
  <c r="C4465" i="1"/>
  <c r="E4464" i="1"/>
  <c r="C4464" i="1"/>
  <c r="E4463" i="1"/>
  <c r="C4463" i="1"/>
  <c r="E4462" i="1"/>
  <c r="C4462" i="1"/>
  <c r="E4461" i="1"/>
  <c r="C4461" i="1"/>
  <c r="E4460" i="1"/>
  <c r="C4460" i="1"/>
  <c r="E4459" i="1"/>
  <c r="C4459" i="1"/>
  <c r="E4458" i="1"/>
  <c r="C4458" i="1"/>
  <c r="E4457" i="1"/>
  <c r="C4457" i="1"/>
  <c r="E4456" i="1"/>
  <c r="C4456" i="1"/>
  <c r="E4455" i="1"/>
  <c r="C4455" i="1"/>
  <c r="E4454" i="1"/>
  <c r="C4454" i="1"/>
  <c r="E4453" i="1"/>
  <c r="C4453" i="1"/>
  <c r="E4452" i="1"/>
  <c r="C4452" i="1"/>
  <c r="E4451" i="1"/>
  <c r="C4451" i="1"/>
  <c r="E4450" i="1"/>
  <c r="C4450" i="1"/>
  <c r="E4449" i="1"/>
  <c r="C4449" i="1"/>
  <c r="E4448" i="1"/>
  <c r="C4448" i="1"/>
  <c r="E4447" i="1"/>
  <c r="C4447" i="1"/>
  <c r="E4446" i="1"/>
  <c r="C4446" i="1"/>
  <c r="E4445" i="1"/>
  <c r="C4445" i="1"/>
  <c r="E4444" i="1"/>
  <c r="C4444" i="1"/>
  <c r="E4443" i="1"/>
  <c r="C4443" i="1"/>
  <c r="E4442" i="1"/>
  <c r="C4442" i="1"/>
  <c r="E4441" i="1"/>
  <c r="C4441" i="1"/>
  <c r="E4440" i="1"/>
  <c r="C4440" i="1"/>
  <c r="E4439" i="1"/>
  <c r="C4439" i="1"/>
  <c r="E4438" i="1"/>
  <c r="C4438" i="1"/>
  <c r="E4437" i="1"/>
  <c r="C4437" i="1"/>
  <c r="E4436" i="1"/>
  <c r="C4436" i="1"/>
  <c r="E4435" i="1"/>
  <c r="C4435" i="1"/>
  <c r="E4434" i="1"/>
  <c r="C4434" i="1"/>
  <c r="E4433" i="1"/>
  <c r="C4433" i="1"/>
  <c r="E4432" i="1"/>
  <c r="C4432" i="1"/>
  <c r="E4431" i="1"/>
  <c r="C4431" i="1"/>
  <c r="E4430" i="1"/>
  <c r="C4430" i="1"/>
  <c r="E4429" i="1"/>
  <c r="C4429" i="1"/>
  <c r="E4428" i="1"/>
  <c r="C4428" i="1"/>
  <c r="E4427" i="1"/>
  <c r="C4427" i="1"/>
  <c r="E4426" i="1"/>
  <c r="C4426" i="1"/>
  <c r="E4425" i="1"/>
  <c r="C4425" i="1"/>
  <c r="E4424" i="1"/>
  <c r="C4424" i="1"/>
  <c r="E4423" i="1"/>
  <c r="C4423" i="1"/>
  <c r="E4422" i="1"/>
  <c r="C4422" i="1"/>
  <c r="E4421" i="1"/>
  <c r="C4421" i="1"/>
  <c r="E4420" i="1"/>
  <c r="C4420" i="1"/>
  <c r="E4419" i="1"/>
  <c r="C4419" i="1"/>
  <c r="E4418" i="1"/>
  <c r="C4418" i="1"/>
  <c r="E4417" i="1"/>
  <c r="C4417" i="1"/>
  <c r="E4416" i="1"/>
  <c r="C4416" i="1"/>
  <c r="E4415" i="1"/>
  <c r="C4415" i="1"/>
  <c r="E4414" i="1"/>
  <c r="C4414" i="1"/>
  <c r="E4413" i="1"/>
  <c r="C4413" i="1"/>
  <c r="E4412" i="1"/>
  <c r="C4412" i="1"/>
  <c r="E4411" i="1"/>
  <c r="C4411" i="1"/>
  <c r="E4410" i="1"/>
  <c r="C4410" i="1"/>
  <c r="E4409" i="1"/>
  <c r="C4409" i="1"/>
  <c r="E4408" i="1"/>
  <c r="C4408" i="1"/>
  <c r="E4407" i="1"/>
  <c r="C4407" i="1"/>
  <c r="E4406" i="1"/>
  <c r="C4406" i="1"/>
  <c r="E4405" i="1"/>
  <c r="C4405" i="1"/>
  <c r="E4404" i="1"/>
  <c r="C4404" i="1"/>
  <c r="E4403" i="1"/>
  <c r="C4403" i="1"/>
  <c r="E4402" i="1"/>
  <c r="C4402" i="1"/>
  <c r="E4401" i="1"/>
  <c r="C4401" i="1"/>
  <c r="E4400" i="1"/>
  <c r="C4400" i="1"/>
  <c r="E4399" i="1"/>
  <c r="C4399" i="1"/>
  <c r="E4398" i="1"/>
  <c r="C4398" i="1"/>
  <c r="E4397" i="1"/>
  <c r="C4397" i="1"/>
  <c r="E4396" i="1"/>
  <c r="C4396" i="1"/>
  <c r="E4395" i="1"/>
  <c r="C4395" i="1"/>
  <c r="E4394" i="1"/>
  <c r="C4394" i="1"/>
  <c r="E4393" i="1"/>
  <c r="C4393" i="1"/>
  <c r="E4392" i="1"/>
  <c r="C4392" i="1"/>
  <c r="E4391" i="1"/>
  <c r="C4391" i="1"/>
  <c r="E4390" i="1"/>
  <c r="C4390" i="1"/>
  <c r="E4389" i="1"/>
  <c r="C4389" i="1"/>
  <c r="E4388" i="1"/>
  <c r="C4388" i="1"/>
  <c r="E4387" i="1"/>
  <c r="C4387" i="1"/>
  <c r="E4386" i="1"/>
  <c r="C4386" i="1"/>
  <c r="E4385" i="1"/>
  <c r="C4385" i="1"/>
  <c r="E4384" i="1"/>
  <c r="C4384" i="1"/>
  <c r="E4383" i="1"/>
  <c r="C4383" i="1"/>
  <c r="E4382" i="1"/>
  <c r="C4382" i="1"/>
  <c r="E4381" i="1"/>
  <c r="C4381" i="1"/>
  <c r="E4380" i="1"/>
  <c r="C4380" i="1"/>
  <c r="E4379" i="1"/>
  <c r="C4379" i="1"/>
  <c r="E4378" i="1"/>
  <c r="C4378" i="1"/>
  <c r="E4377" i="1"/>
  <c r="C4377" i="1"/>
  <c r="E4376" i="1"/>
  <c r="C4376" i="1"/>
  <c r="E4375" i="1"/>
  <c r="C4375" i="1"/>
  <c r="E4374" i="1"/>
  <c r="C4374" i="1"/>
  <c r="E4373" i="1"/>
  <c r="C4373" i="1"/>
  <c r="E4372" i="1"/>
  <c r="C4372" i="1"/>
  <c r="E4371" i="1"/>
  <c r="C4371" i="1"/>
  <c r="E4370" i="1"/>
  <c r="C4370" i="1"/>
  <c r="E4369" i="1"/>
  <c r="C4369" i="1"/>
  <c r="E4368" i="1"/>
  <c r="C4368" i="1"/>
  <c r="E4367" i="1"/>
  <c r="C4367" i="1"/>
  <c r="E4366" i="1"/>
  <c r="C4366" i="1"/>
  <c r="E4365" i="1"/>
  <c r="C4365" i="1"/>
  <c r="E4364" i="1"/>
  <c r="C4364" i="1"/>
  <c r="E4363" i="1"/>
  <c r="C4363" i="1"/>
  <c r="E4362" i="1"/>
  <c r="C4362" i="1"/>
  <c r="E4361" i="1"/>
  <c r="C4361" i="1"/>
  <c r="E4360" i="1"/>
  <c r="C4360" i="1"/>
  <c r="E4359" i="1"/>
  <c r="C4359" i="1"/>
  <c r="E4358" i="1"/>
  <c r="C4358" i="1"/>
  <c r="E4357" i="1"/>
  <c r="C4357" i="1"/>
  <c r="E4356" i="1"/>
  <c r="C4356" i="1"/>
  <c r="E4355" i="1"/>
  <c r="C4355" i="1"/>
  <c r="E4354" i="1"/>
  <c r="C4354" i="1"/>
  <c r="E4353" i="1"/>
  <c r="C4353" i="1"/>
  <c r="E4352" i="1"/>
  <c r="C4352" i="1"/>
  <c r="E4351" i="1"/>
  <c r="C4351" i="1"/>
  <c r="E4350" i="1"/>
  <c r="C4350" i="1"/>
  <c r="E4349" i="1"/>
  <c r="C4349" i="1"/>
  <c r="E4348" i="1"/>
  <c r="C4348" i="1"/>
  <c r="E4347" i="1"/>
  <c r="C4347" i="1"/>
  <c r="E4346" i="1"/>
  <c r="C4346" i="1"/>
  <c r="E4345" i="1"/>
  <c r="C4345" i="1"/>
  <c r="E4344" i="1"/>
  <c r="C4344" i="1"/>
  <c r="E4343" i="1"/>
  <c r="C4343" i="1"/>
  <c r="E4342" i="1"/>
  <c r="C4342" i="1"/>
  <c r="E4341" i="1"/>
  <c r="C4341" i="1"/>
  <c r="E4340" i="1"/>
  <c r="C4340" i="1"/>
  <c r="E4339" i="1"/>
  <c r="C4339" i="1"/>
  <c r="E4338" i="1"/>
  <c r="C4338" i="1"/>
  <c r="E4337" i="1"/>
  <c r="C4337" i="1"/>
  <c r="E4336" i="1"/>
  <c r="C4336" i="1"/>
  <c r="E4335" i="1"/>
  <c r="C4335" i="1"/>
  <c r="E4334" i="1"/>
  <c r="C4334" i="1"/>
  <c r="E4333" i="1"/>
  <c r="C4333" i="1"/>
  <c r="E4332" i="1"/>
  <c r="C4332" i="1"/>
  <c r="E4331" i="1"/>
  <c r="C4331" i="1"/>
  <c r="E4330" i="1"/>
  <c r="C4330" i="1"/>
  <c r="E4329" i="1"/>
  <c r="C4329" i="1"/>
  <c r="E4328" i="1"/>
  <c r="C4328" i="1"/>
  <c r="E4327" i="1"/>
  <c r="C4327" i="1"/>
  <c r="E4326" i="1"/>
  <c r="C4326" i="1"/>
  <c r="E4325" i="1"/>
  <c r="C4325" i="1"/>
  <c r="E4324" i="1"/>
  <c r="C4324" i="1"/>
  <c r="E4323" i="1"/>
  <c r="C4323" i="1"/>
  <c r="E4322" i="1"/>
  <c r="C4322" i="1"/>
  <c r="E4321" i="1"/>
  <c r="C4321" i="1"/>
  <c r="E4320" i="1"/>
  <c r="C4320" i="1"/>
  <c r="E4319" i="1"/>
  <c r="C4319" i="1"/>
  <c r="E4318" i="1"/>
  <c r="C4318" i="1"/>
  <c r="E4317" i="1"/>
  <c r="C4317" i="1"/>
  <c r="E4316" i="1"/>
  <c r="C4316" i="1"/>
  <c r="E4315" i="1"/>
  <c r="C4315" i="1"/>
  <c r="E4314" i="1"/>
  <c r="C4314" i="1"/>
  <c r="E4313" i="1"/>
  <c r="C4313" i="1"/>
  <c r="E4312" i="1"/>
  <c r="C4312" i="1"/>
  <c r="E4311" i="1"/>
  <c r="C4311" i="1"/>
  <c r="E4310" i="1"/>
  <c r="C4310" i="1"/>
  <c r="E4309" i="1"/>
  <c r="C4309" i="1"/>
  <c r="E4308" i="1"/>
  <c r="C4308" i="1"/>
  <c r="E4307" i="1"/>
  <c r="C4307" i="1"/>
  <c r="E4306" i="1"/>
  <c r="C4306" i="1"/>
  <c r="E4305" i="1"/>
  <c r="C4305" i="1"/>
  <c r="E4304" i="1"/>
  <c r="C4304" i="1"/>
  <c r="E4303" i="1"/>
  <c r="C4303" i="1"/>
  <c r="E4302" i="1"/>
  <c r="C4302" i="1"/>
  <c r="E4301" i="1"/>
  <c r="C4301" i="1"/>
  <c r="E4300" i="1"/>
  <c r="C4300" i="1"/>
  <c r="E4299" i="1"/>
  <c r="C4299" i="1"/>
  <c r="E4298" i="1"/>
  <c r="C4298" i="1"/>
  <c r="E4297" i="1"/>
  <c r="C4297" i="1"/>
  <c r="E4296" i="1"/>
  <c r="C4296" i="1"/>
  <c r="E4295" i="1"/>
  <c r="C4295" i="1"/>
  <c r="E4294" i="1"/>
  <c r="C4294" i="1"/>
  <c r="E4293" i="1"/>
  <c r="C4293" i="1"/>
  <c r="E4292" i="1"/>
  <c r="C4292" i="1"/>
  <c r="E4291" i="1"/>
  <c r="C4291" i="1"/>
  <c r="E4290" i="1"/>
  <c r="C4290" i="1"/>
  <c r="E4289" i="1"/>
  <c r="C4289" i="1"/>
  <c r="E4288" i="1"/>
  <c r="C4288" i="1"/>
  <c r="E4287" i="1"/>
  <c r="C4287" i="1"/>
  <c r="E4286" i="1"/>
  <c r="C4286" i="1"/>
  <c r="E4285" i="1"/>
  <c r="C4285" i="1"/>
  <c r="E4284" i="1"/>
  <c r="C4284" i="1"/>
  <c r="E4283" i="1"/>
  <c r="C4283" i="1"/>
  <c r="E4282" i="1"/>
  <c r="C4282" i="1"/>
  <c r="E4281" i="1"/>
  <c r="C4281" i="1"/>
  <c r="E4280" i="1"/>
  <c r="C4280" i="1"/>
  <c r="E4279" i="1"/>
  <c r="C4279" i="1"/>
  <c r="E4278" i="1"/>
  <c r="C4278" i="1"/>
  <c r="E4277" i="1"/>
  <c r="C4277" i="1"/>
  <c r="E4276" i="1"/>
  <c r="C4276" i="1"/>
  <c r="E4275" i="1"/>
  <c r="C4275" i="1"/>
  <c r="E4274" i="1"/>
  <c r="C4274" i="1"/>
  <c r="E4273" i="1"/>
  <c r="C4273" i="1"/>
  <c r="E4272" i="1"/>
  <c r="C4272" i="1"/>
  <c r="E4271" i="1"/>
  <c r="C4271" i="1"/>
  <c r="E4270" i="1"/>
  <c r="C4270" i="1"/>
  <c r="E4269" i="1"/>
  <c r="C4269" i="1"/>
  <c r="E4268" i="1"/>
  <c r="C4268" i="1"/>
  <c r="E4267" i="1"/>
  <c r="C4267" i="1"/>
  <c r="E4266" i="1"/>
  <c r="C4266" i="1"/>
  <c r="E4265" i="1"/>
  <c r="C4265" i="1"/>
  <c r="E4264" i="1"/>
  <c r="C4264" i="1"/>
  <c r="E4263" i="1"/>
  <c r="C4263" i="1"/>
  <c r="E4262" i="1"/>
  <c r="C4262" i="1"/>
  <c r="E4261" i="1"/>
  <c r="C4261" i="1"/>
  <c r="E4260" i="1"/>
  <c r="C4260" i="1"/>
  <c r="E4259" i="1"/>
  <c r="C4259" i="1"/>
  <c r="E4258" i="1"/>
  <c r="C4258" i="1"/>
  <c r="E4257" i="1"/>
  <c r="C4257" i="1"/>
  <c r="E4256" i="1"/>
  <c r="C4256" i="1"/>
  <c r="E4255" i="1"/>
  <c r="C4255" i="1"/>
  <c r="E4254" i="1"/>
  <c r="C4254" i="1"/>
  <c r="E4253" i="1"/>
  <c r="C4253" i="1"/>
  <c r="E4252" i="1"/>
  <c r="C4252" i="1"/>
  <c r="E4251" i="1"/>
  <c r="C4251" i="1"/>
  <c r="E4250" i="1"/>
  <c r="C4250" i="1"/>
  <c r="E4249" i="1"/>
  <c r="C4249" i="1"/>
  <c r="E4248" i="1"/>
  <c r="C4248" i="1"/>
  <c r="E4247" i="1"/>
  <c r="C4247" i="1"/>
  <c r="E4246" i="1"/>
  <c r="C4246" i="1"/>
  <c r="E4245" i="1"/>
  <c r="C4245" i="1"/>
  <c r="E4244" i="1"/>
  <c r="C4244" i="1"/>
  <c r="E4243" i="1"/>
  <c r="C4243" i="1"/>
  <c r="E4242" i="1"/>
  <c r="C4242" i="1"/>
  <c r="E4241" i="1"/>
  <c r="C4241" i="1"/>
  <c r="E4240" i="1"/>
  <c r="C4240" i="1"/>
  <c r="E4239" i="1"/>
  <c r="C4239" i="1"/>
  <c r="E4238" i="1"/>
  <c r="C4238" i="1"/>
  <c r="E4237" i="1"/>
  <c r="C4237" i="1"/>
  <c r="E4236" i="1"/>
  <c r="C4236" i="1"/>
  <c r="E4235" i="1"/>
  <c r="C4235" i="1"/>
  <c r="E4234" i="1"/>
  <c r="C4234" i="1"/>
  <c r="E4233" i="1"/>
  <c r="C4233" i="1"/>
  <c r="E4232" i="1"/>
  <c r="C4232" i="1"/>
  <c r="E4231" i="1"/>
  <c r="C4231" i="1"/>
  <c r="E4230" i="1"/>
  <c r="C4230" i="1"/>
  <c r="E4229" i="1"/>
  <c r="C4229" i="1"/>
  <c r="E4228" i="1"/>
  <c r="C4228" i="1"/>
  <c r="E4227" i="1"/>
  <c r="C4227" i="1"/>
  <c r="E4226" i="1"/>
  <c r="C4226" i="1"/>
  <c r="E4225" i="1"/>
  <c r="C4225" i="1"/>
  <c r="E4224" i="1"/>
  <c r="C4224" i="1"/>
  <c r="E4223" i="1"/>
  <c r="C4223" i="1"/>
  <c r="E4222" i="1"/>
  <c r="C4222" i="1"/>
  <c r="E4221" i="1"/>
  <c r="C4221" i="1"/>
  <c r="E4220" i="1"/>
  <c r="C4220" i="1"/>
  <c r="E4219" i="1"/>
  <c r="C4219" i="1"/>
  <c r="E4218" i="1"/>
  <c r="C4218" i="1"/>
  <c r="E4217" i="1"/>
  <c r="C4217" i="1"/>
  <c r="E4216" i="1"/>
  <c r="C4216" i="1"/>
  <c r="E4215" i="1"/>
  <c r="C4215" i="1"/>
  <c r="E4214" i="1"/>
  <c r="C4214" i="1"/>
  <c r="E4213" i="1"/>
  <c r="C4213" i="1"/>
  <c r="E4212" i="1"/>
  <c r="C4212" i="1"/>
  <c r="E4211" i="1"/>
  <c r="C4211" i="1"/>
  <c r="E4210" i="1"/>
  <c r="C4210" i="1"/>
  <c r="E4209" i="1"/>
  <c r="C4209" i="1"/>
  <c r="E4208" i="1"/>
  <c r="C4208" i="1"/>
  <c r="E4207" i="1"/>
  <c r="C4207" i="1"/>
  <c r="E4206" i="1"/>
  <c r="C4206" i="1"/>
  <c r="E4205" i="1"/>
  <c r="C4205" i="1"/>
  <c r="E4204" i="1"/>
  <c r="C4204" i="1"/>
  <c r="E4203" i="1"/>
  <c r="C4203" i="1"/>
  <c r="E4202" i="1"/>
  <c r="C4202" i="1"/>
  <c r="E4201" i="1"/>
  <c r="C4201" i="1"/>
  <c r="E4200" i="1"/>
  <c r="C4200" i="1"/>
  <c r="E4199" i="1"/>
  <c r="C4199" i="1"/>
  <c r="E4198" i="1"/>
  <c r="C4198" i="1"/>
  <c r="E4197" i="1"/>
  <c r="C4197" i="1"/>
  <c r="E4196" i="1"/>
  <c r="C4196" i="1"/>
  <c r="E4195" i="1"/>
  <c r="C4195" i="1"/>
  <c r="E4194" i="1"/>
  <c r="C4194" i="1"/>
  <c r="E4193" i="1"/>
  <c r="C4193" i="1"/>
  <c r="E4192" i="1"/>
  <c r="C4192" i="1"/>
  <c r="E4191" i="1"/>
  <c r="C4191" i="1"/>
  <c r="E4190" i="1"/>
  <c r="C4190" i="1"/>
  <c r="E4189" i="1"/>
  <c r="C4189" i="1"/>
  <c r="E4188" i="1"/>
  <c r="C4188" i="1"/>
  <c r="E4187" i="1"/>
  <c r="C4187" i="1"/>
  <c r="E4186" i="1"/>
  <c r="C4186" i="1"/>
  <c r="E4185" i="1"/>
  <c r="C4185" i="1"/>
  <c r="E4184" i="1"/>
  <c r="C4184" i="1"/>
  <c r="E4183" i="1"/>
  <c r="C4183" i="1"/>
  <c r="E4182" i="1"/>
  <c r="C4182" i="1"/>
  <c r="E4181" i="1"/>
  <c r="C4181" i="1"/>
  <c r="E4180" i="1"/>
  <c r="C4180" i="1"/>
  <c r="E4179" i="1"/>
  <c r="C4179" i="1"/>
  <c r="E4178" i="1"/>
  <c r="C4178" i="1"/>
  <c r="E4177" i="1"/>
  <c r="C4177" i="1"/>
  <c r="E4176" i="1"/>
  <c r="C4176" i="1"/>
  <c r="E4175" i="1"/>
  <c r="C4175" i="1"/>
  <c r="E4174" i="1"/>
  <c r="C4174" i="1"/>
  <c r="E4173" i="1"/>
  <c r="C4173" i="1"/>
  <c r="E4172" i="1"/>
  <c r="C4172" i="1"/>
  <c r="E4171" i="1"/>
  <c r="C4171" i="1"/>
  <c r="E4170" i="1"/>
  <c r="C4170" i="1"/>
  <c r="E4169" i="1"/>
  <c r="C4169" i="1"/>
  <c r="E4168" i="1"/>
  <c r="C4168" i="1"/>
  <c r="E4167" i="1"/>
  <c r="C4167" i="1"/>
  <c r="E4166" i="1"/>
  <c r="C4166" i="1"/>
  <c r="E4165" i="1"/>
  <c r="C4165" i="1"/>
  <c r="E4164" i="1"/>
  <c r="C4164" i="1"/>
  <c r="E4163" i="1"/>
  <c r="C4163" i="1"/>
  <c r="E4162" i="1"/>
  <c r="C4162" i="1"/>
  <c r="E4161" i="1"/>
  <c r="C4161" i="1"/>
  <c r="E4160" i="1"/>
  <c r="C4160" i="1"/>
  <c r="E4159" i="1"/>
  <c r="C4159" i="1"/>
  <c r="E4158" i="1"/>
  <c r="C4158" i="1"/>
  <c r="E4157" i="1"/>
  <c r="C4157" i="1"/>
  <c r="E4156" i="1"/>
  <c r="C4156" i="1"/>
  <c r="E4155" i="1"/>
  <c r="C4155" i="1"/>
  <c r="E4154" i="1"/>
  <c r="C4154" i="1"/>
  <c r="E4153" i="1"/>
  <c r="C4153" i="1"/>
  <c r="E4152" i="1"/>
  <c r="C4152" i="1"/>
  <c r="E4151" i="1"/>
  <c r="C4151" i="1"/>
  <c r="E4150" i="1"/>
  <c r="C4150" i="1"/>
  <c r="E4149" i="1"/>
  <c r="C4149" i="1"/>
  <c r="E4148" i="1"/>
  <c r="C4148" i="1"/>
  <c r="E4147" i="1"/>
  <c r="C4147" i="1"/>
  <c r="E4146" i="1"/>
  <c r="C4146" i="1"/>
  <c r="E4145" i="1"/>
  <c r="C4145" i="1"/>
  <c r="E4144" i="1"/>
  <c r="C4144" i="1"/>
  <c r="E4143" i="1"/>
  <c r="C4143" i="1"/>
  <c r="E4142" i="1"/>
  <c r="C4142" i="1"/>
  <c r="E4141" i="1"/>
  <c r="C4141" i="1"/>
  <c r="E4140" i="1"/>
  <c r="C4140" i="1"/>
  <c r="E4139" i="1"/>
  <c r="C4139" i="1"/>
  <c r="E4138" i="1"/>
  <c r="C4138" i="1"/>
  <c r="E4137" i="1"/>
  <c r="C4137" i="1"/>
  <c r="E4136" i="1"/>
  <c r="C4136" i="1"/>
  <c r="E4135" i="1"/>
  <c r="C4135" i="1"/>
  <c r="E4134" i="1"/>
  <c r="C4134" i="1"/>
  <c r="E4133" i="1"/>
  <c r="C4133" i="1"/>
  <c r="E4132" i="1"/>
  <c r="C4132" i="1"/>
  <c r="E4131" i="1"/>
  <c r="C4131" i="1"/>
  <c r="E4130" i="1"/>
  <c r="C4130" i="1"/>
  <c r="E4129" i="1"/>
  <c r="C4129" i="1"/>
  <c r="E4128" i="1"/>
  <c r="C4128" i="1"/>
  <c r="E4127" i="1"/>
  <c r="C4127" i="1"/>
  <c r="E4126" i="1"/>
  <c r="C4126" i="1"/>
  <c r="E4125" i="1"/>
  <c r="C4125" i="1"/>
  <c r="E4124" i="1"/>
  <c r="C4124" i="1"/>
  <c r="E4123" i="1"/>
  <c r="C4123" i="1"/>
  <c r="E4122" i="1"/>
  <c r="C4122" i="1"/>
  <c r="E4121" i="1"/>
  <c r="C4121" i="1"/>
  <c r="E4120" i="1"/>
  <c r="C4120" i="1"/>
  <c r="E4119" i="1"/>
  <c r="C4119" i="1"/>
  <c r="E4118" i="1"/>
  <c r="C4118" i="1"/>
  <c r="E4117" i="1"/>
  <c r="C4117" i="1"/>
  <c r="E4116" i="1"/>
  <c r="C4116" i="1"/>
  <c r="E4115" i="1"/>
  <c r="C4115" i="1"/>
  <c r="E4114" i="1"/>
  <c r="C4114" i="1"/>
  <c r="E4113" i="1"/>
  <c r="C4113" i="1"/>
  <c r="E4112" i="1"/>
  <c r="C4112" i="1"/>
  <c r="E4111" i="1"/>
  <c r="C4111" i="1"/>
  <c r="E4110" i="1"/>
  <c r="C4110" i="1"/>
  <c r="E4109" i="1"/>
  <c r="C4109" i="1"/>
  <c r="E4108" i="1"/>
  <c r="C4108" i="1"/>
  <c r="E4107" i="1"/>
  <c r="C4107" i="1"/>
  <c r="E4106" i="1"/>
  <c r="C4106" i="1"/>
  <c r="E4105" i="1"/>
  <c r="C4105" i="1"/>
  <c r="E4104" i="1"/>
  <c r="C4104" i="1"/>
  <c r="E4103" i="1"/>
  <c r="C4103" i="1"/>
  <c r="E4102" i="1"/>
  <c r="C4102" i="1"/>
  <c r="E4101" i="1"/>
  <c r="C4101" i="1"/>
  <c r="E4100" i="1"/>
  <c r="C4100" i="1"/>
  <c r="E4099" i="1"/>
  <c r="C4099" i="1"/>
  <c r="E4098" i="1"/>
  <c r="C4098" i="1"/>
  <c r="E4097" i="1"/>
  <c r="C4097" i="1"/>
  <c r="E4096" i="1"/>
  <c r="C4096" i="1"/>
  <c r="E4095" i="1"/>
  <c r="C4095" i="1"/>
  <c r="E4094" i="1"/>
  <c r="C4094" i="1"/>
  <c r="E4093" i="1"/>
  <c r="C4093" i="1"/>
  <c r="E4092" i="1"/>
  <c r="C4092" i="1"/>
  <c r="E4091" i="1"/>
  <c r="C4091" i="1"/>
  <c r="E4090" i="1"/>
  <c r="C4090" i="1"/>
  <c r="E4089" i="1"/>
  <c r="C4089" i="1"/>
  <c r="E4088" i="1"/>
  <c r="C4088" i="1"/>
  <c r="E4087" i="1"/>
  <c r="C4087" i="1"/>
  <c r="E4086" i="1"/>
  <c r="C4086" i="1"/>
  <c r="E4085" i="1"/>
  <c r="C4085" i="1"/>
  <c r="E4084" i="1"/>
  <c r="C4084" i="1"/>
  <c r="E4083" i="1"/>
  <c r="C4083" i="1"/>
  <c r="E4082" i="1"/>
  <c r="C4082" i="1"/>
  <c r="E4081" i="1"/>
  <c r="C4081" i="1"/>
  <c r="E4080" i="1"/>
  <c r="C4080" i="1"/>
  <c r="E4079" i="1"/>
  <c r="C4079" i="1"/>
  <c r="E4078" i="1"/>
  <c r="C4078" i="1"/>
  <c r="E4077" i="1"/>
  <c r="C4077" i="1"/>
  <c r="E4076" i="1"/>
  <c r="C4076" i="1"/>
  <c r="E4075" i="1"/>
  <c r="C4075" i="1"/>
  <c r="E4074" i="1"/>
  <c r="C4074" i="1"/>
  <c r="E4073" i="1"/>
  <c r="C4073" i="1"/>
  <c r="E4072" i="1"/>
  <c r="C4072" i="1"/>
  <c r="E4071" i="1"/>
  <c r="C4071" i="1"/>
  <c r="E4070" i="1"/>
  <c r="C4070" i="1"/>
  <c r="E4069" i="1"/>
  <c r="C4069" i="1"/>
  <c r="E4068" i="1"/>
  <c r="C4068" i="1"/>
  <c r="E4067" i="1"/>
  <c r="C4067" i="1"/>
  <c r="E4066" i="1"/>
  <c r="C4066" i="1"/>
  <c r="E4065" i="1"/>
  <c r="C4065" i="1"/>
  <c r="E4064" i="1"/>
  <c r="C4064" i="1"/>
  <c r="E4063" i="1"/>
  <c r="C4063" i="1"/>
  <c r="E4062" i="1"/>
  <c r="C4062" i="1"/>
  <c r="E4061" i="1"/>
  <c r="C4061" i="1"/>
  <c r="E4060" i="1"/>
  <c r="C4060" i="1"/>
  <c r="E4059" i="1"/>
  <c r="C4059" i="1"/>
  <c r="E4058" i="1"/>
  <c r="C4058" i="1"/>
  <c r="E4057" i="1"/>
  <c r="C4057" i="1"/>
  <c r="E4056" i="1"/>
  <c r="C4056" i="1"/>
  <c r="E4055" i="1"/>
  <c r="C4055" i="1"/>
  <c r="E4054" i="1"/>
  <c r="C4054" i="1"/>
  <c r="E4053" i="1"/>
  <c r="C4053" i="1"/>
  <c r="E4052" i="1"/>
  <c r="C4052" i="1"/>
  <c r="E4051" i="1"/>
  <c r="C4051" i="1"/>
  <c r="E4050" i="1"/>
  <c r="C4050" i="1"/>
  <c r="E4049" i="1"/>
  <c r="C4049" i="1"/>
  <c r="E4048" i="1"/>
  <c r="C4048" i="1"/>
  <c r="E4047" i="1"/>
  <c r="C4047" i="1"/>
  <c r="E4046" i="1"/>
  <c r="C4046" i="1"/>
  <c r="E4045" i="1"/>
  <c r="C4045" i="1"/>
  <c r="E4044" i="1"/>
  <c r="C4044" i="1"/>
  <c r="E4043" i="1"/>
  <c r="C4043" i="1"/>
  <c r="E4042" i="1"/>
  <c r="C4042" i="1"/>
  <c r="E4041" i="1"/>
  <c r="C4041" i="1"/>
  <c r="E4040" i="1"/>
  <c r="C4040" i="1"/>
  <c r="E4039" i="1"/>
  <c r="C4039" i="1"/>
  <c r="E4038" i="1"/>
  <c r="C4038" i="1"/>
  <c r="E4037" i="1"/>
  <c r="C4037" i="1"/>
  <c r="E4036" i="1"/>
  <c r="C4036" i="1"/>
  <c r="E4035" i="1"/>
  <c r="C4035" i="1"/>
  <c r="E4034" i="1"/>
  <c r="C4034" i="1"/>
  <c r="E4033" i="1"/>
  <c r="C4033" i="1"/>
  <c r="E4032" i="1"/>
  <c r="C4032" i="1"/>
  <c r="E4031" i="1"/>
  <c r="C4031" i="1"/>
  <c r="E4030" i="1"/>
  <c r="C4030" i="1"/>
  <c r="E4029" i="1"/>
  <c r="C4029" i="1"/>
  <c r="E4028" i="1"/>
  <c r="C4028" i="1"/>
  <c r="E4027" i="1"/>
  <c r="C4027" i="1"/>
  <c r="E4026" i="1"/>
  <c r="C4026" i="1"/>
  <c r="E4025" i="1"/>
  <c r="C4025" i="1"/>
  <c r="E4024" i="1"/>
  <c r="C4024" i="1"/>
  <c r="E4023" i="1"/>
  <c r="C4023" i="1"/>
  <c r="E4022" i="1"/>
  <c r="C4022" i="1"/>
  <c r="E4021" i="1"/>
  <c r="C4021" i="1"/>
  <c r="E4020" i="1"/>
  <c r="C4020" i="1"/>
  <c r="E4019" i="1"/>
  <c r="C4019" i="1"/>
  <c r="E4018" i="1"/>
  <c r="C4018" i="1"/>
  <c r="E4017" i="1"/>
  <c r="C4017" i="1"/>
  <c r="E4016" i="1"/>
  <c r="C4016" i="1"/>
  <c r="E4015" i="1"/>
  <c r="C4015" i="1"/>
  <c r="E4014" i="1"/>
  <c r="C4014" i="1"/>
  <c r="E4013" i="1"/>
  <c r="C4013" i="1"/>
  <c r="E4012" i="1"/>
  <c r="C4012" i="1"/>
  <c r="E4011" i="1"/>
  <c r="C4011" i="1"/>
  <c r="E4010" i="1"/>
  <c r="C4010" i="1"/>
  <c r="E4009" i="1"/>
  <c r="C4009" i="1"/>
  <c r="E4008" i="1"/>
  <c r="C4008" i="1"/>
  <c r="E4007" i="1"/>
  <c r="C4007" i="1"/>
  <c r="E4006" i="1"/>
  <c r="C4006" i="1"/>
  <c r="E4005" i="1"/>
  <c r="C4005" i="1"/>
  <c r="E4004" i="1"/>
  <c r="C4004" i="1"/>
  <c r="E4003" i="1"/>
  <c r="C4003" i="1"/>
  <c r="E4002" i="1"/>
  <c r="C4002" i="1"/>
  <c r="E4001" i="1"/>
  <c r="C4001" i="1"/>
  <c r="E4000" i="1"/>
  <c r="C4000" i="1"/>
  <c r="E3999" i="1"/>
  <c r="C3999" i="1"/>
  <c r="E3998" i="1"/>
  <c r="C3998" i="1"/>
  <c r="E3997" i="1"/>
  <c r="C3997" i="1"/>
  <c r="E3996" i="1"/>
  <c r="C3996" i="1"/>
  <c r="E3995" i="1"/>
  <c r="C3995" i="1"/>
  <c r="E3994" i="1"/>
  <c r="C3994" i="1"/>
  <c r="E3993" i="1"/>
  <c r="C3993" i="1"/>
  <c r="E3992" i="1"/>
  <c r="C3992" i="1"/>
  <c r="E3991" i="1"/>
  <c r="C3991" i="1"/>
  <c r="E3990" i="1"/>
  <c r="C3990" i="1"/>
  <c r="E3989" i="1"/>
  <c r="C3989" i="1"/>
  <c r="E3988" i="1"/>
  <c r="C3988" i="1"/>
  <c r="E3987" i="1"/>
  <c r="C3987" i="1"/>
  <c r="E3986" i="1"/>
  <c r="C3986" i="1"/>
  <c r="E3985" i="1"/>
  <c r="C3985" i="1"/>
  <c r="E3984" i="1"/>
  <c r="C3984" i="1"/>
  <c r="E3983" i="1"/>
  <c r="C3983" i="1"/>
  <c r="E3982" i="1"/>
  <c r="C3982" i="1"/>
  <c r="E3981" i="1"/>
  <c r="C3981" i="1"/>
  <c r="E3980" i="1"/>
  <c r="C3980" i="1"/>
  <c r="E3979" i="1"/>
  <c r="C3979" i="1"/>
  <c r="E3978" i="1"/>
  <c r="C3978" i="1"/>
  <c r="E3977" i="1"/>
  <c r="C3977" i="1"/>
  <c r="E3976" i="1"/>
  <c r="C3976" i="1"/>
  <c r="E3975" i="1"/>
  <c r="C3975" i="1"/>
  <c r="E3974" i="1"/>
  <c r="C3974" i="1"/>
  <c r="E3973" i="1"/>
  <c r="C3973" i="1"/>
  <c r="E3972" i="1"/>
  <c r="C3972" i="1"/>
  <c r="E3971" i="1"/>
  <c r="C3971" i="1"/>
  <c r="E3970" i="1"/>
  <c r="C3970" i="1"/>
  <c r="E3969" i="1"/>
  <c r="C3969" i="1"/>
  <c r="E3968" i="1"/>
  <c r="C3968" i="1"/>
  <c r="E3967" i="1"/>
  <c r="C3967" i="1"/>
  <c r="E3966" i="1"/>
  <c r="C3966" i="1"/>
  <c r="E3965" i="1"/>
  <c r="C3965" i="1"/>
  <c r="E3964" i="1"/>
  <c r="C3964" i="1"/>
  <c r="E3963" i="1"/>
  <c r="C3963" i="1"/>
  <c r="E3962" i="1"/>
  <c r="C3962" i="1"/>
  <c r="E3961" i="1"/>
  <c r="C3961" i="1"/>
  <c r="E3960" i="1"/>
  <c r="C3960" i="1"/>
  <c r="E3959" i="1"/>
  <c r="C3959" i="1"/>
  <c r="E3958" i="1"/>
  <c r="C3958" i="1"/>
  <c r="E3957" i="1"/>
  <c r="C3957" i="1"/>
  <c r="E3956" i="1"/>
  <c r="C3956" i="1"/>
  <c r="E3955" i="1"/>
  <c r="C3955" i="1"/>
  <c r="E3954" i="1"/>
  <c r="C3954" i="1"/>
  <c r="E3953" i="1"/>
  <c r="C3953" i="1"/>
  <c r="E3952" i="1"/>
  <c r="C3952" i="1"/>
  <c r="E3951" i="1"/>
  <c r="C3951" i="1"/>
  <c r="E3950" i="1"/>
  <c r="C3950" i="1"/>
  <c r="E3949" i="1"/>
  <c r="C3949" i="1"/>
  <c r="E3948" i="1"/>
  <c r="C3948" i="1"/>
  <c r="E3947" i="1"/>
  <c r="C3947" i="1"/>
  <c r="E3946" i="1"/>
  <c r="C3946" i="1"/>
  <c r="E3945" i="1"/>
  <c r="C3945" i="1"/>
  <c r="E3944" i="1"/>
  <c r="C3944" i="1"/>
  <c r="E3943" i="1"/>
  <c r="C3943" i="1"/>
  <c r="E3942" i="1"/>
  <c r="C3942" i="1"/>
  <c r="E3941" i="1"/>
  <c r="C3941" i="1"/>
  <c r="E3940" i="1"/>
  <c r="C3940" i="1"/>
  <c r="E3939" i="1"/>
  <c r="C3939" i="1"/>
  <c r="E3938" i="1"/>
  <c r="C3938" i="1"/>
  <c r="E3937" i="1"/>
  <c r="C3937" i="1"/>
  <c r="E3936" i="1"/>
  <c r="C3936" i="1"/>
  <c r="E3935" i="1"/>
  <c r="C3935" i="1"/>
  <c r="E3934" i="1"/>
  <c r="C3934" i="1"/>
  <c r="E3933" i="1"/>
  <c r="C3933" i="1"/>
  <c r="E3932" i="1"/>
  <c r="C3932" i="1"/>
  <c r="E3931" i="1"/>
  <c r="C3931" i="1"/>
  <c r="E3930" i="1"/>
  <c r="C3930" i="1"/>
  <c r="E3929" i="1"/>
  <c r="C3929" i="1"/>
  <c r="E3928" i="1"/>
  <c r="C3928" i="1"/>
  <c r="E3927" i="1"/>
  <c r="C3927" i="1"/>
  <c r="E3926" i="1"/>
  <c r="C3926" i="1"/>
  <c r="E3925" i="1"/>
  <c r="C3925" i="1"/>
  <c r="E3924" i="1"/>
  <c r="C3924" i="1"/>
  <c r="E3923" i="1"/>
  <c r="C3923" i="1"/>
  <c r="E3922" i="1"/>
  <c r="C3922" i="1"/>
  <c r="E3921" i="1"/>
  <c r="C3921" i="1"/>
  <c r="E3920" i="1"/>
  <c r="C3920" i="1"/>
  <c r="E3919" i="1"/>
  <c r="C3919" i="1"/>
  <c r="E3918" i="1"/>
  <c r="C3918" i="1"/>
  <c r="E3917" i="1"/>
  <c r="C3917" i="1"/>
  <c r="E3916" i="1"/>
  <c r="C3916" i="1"/>
  <c r="E3915" i="1"/>
  <c r="C3915" i="1"/>
  <c r="E3914" i="1"/>
  <c r="C3914" i="1"/>
  <c r="E3913" i="1"/>
  <c r="C3913" i="1"/>
  <c r="E3912" i="1"/>
  <c r="C3912" i="1"/>
  <c r="E3911" i="1"/>
  <c r="C3911" i="1"/>
  <c r="E3910" i="1"/>
  <c r="C3910" i="1"/>
  <c r="E3909" i="1"/>
  <c r="C3909" i="1"/>
  <c r="E3908" i="1"/>
  <c r="C3908" i="1"/>
  <c r="E3907" i="1"/>
  <c r="C3907" i="1"/>
  <c r="E3906" i="1"/>
  <c r="C3906" i="1"/>
  <c r="E3905" i="1"/>
  <c r="C3905" i="1"/>
  <c r="E3904" i="1"/>
  <c r="C3904" i="1"/>
  <c r="E3903" i="1"/>
  <c r="C3903" i="1"/>
  <c r="E3902" i="1"/>
  <c r="C3902" i="1"/>
  <c r="E3901" i="1"/>
  <c r="C3901" i="1"/>
  <c r="E3900" i="1"/>
  <c r="C3900" i="1"/>
  <c r="E3899" i="1"/>
  <c r="C3899" i="1"/>
  <c r="E3898" i="1"/>
  <c r="C3898" i="1"/>
  <c r="E3897" i="1"/>
  <c r="C3897" i="1"/>
  <c r="E3896" i="1"/>
  <c r="C3896" i="1"/>
  <c r="E3895" i="1"/>
  <c r="C3895" i="1"/>
  <c r="E3894" i="1"/>
  <c r="C3894" i="1"/>
  <c r="E3893" i="1"/>
  <c r="C3893" i="1"/>
  <c r="E3892" i="1"/>
  <c r="C3892" i="1"/>
  <c r="E3891" i="1"/>
  <c r="C3891" i="1"/>
  <c r="E3890" i="1"/>
  <c r="C3890" i="1"/>
  <c r="E3889" i="1"/>
  <c r="C3889" i="1"/>
  <c r="E3888" i="1"/>
  <c r="C3888" i="1"/>
  <c r="E3887" i="1"/>
  <c r="C3887" i="1"/>
  <c r="E3886" i="1"/>
  <c r="C3886" i="1"/>
  <c r="E3885" i="1"/>
  <c r="C3885" i="1"/>
  <c r="E3884" i="1"/>
  <c r="C3884" i="1"/>
  <c r="E3883" i="1"/>
  <c r="C3883" i="1"/>
  <c r="E3882" i="1"/>
  <c r="C3882" i="1"/>
  <c r="E3881" i="1"/>
  <c r="C3881" i="1"/>
  <c r="E3880" i="1"/>
  <c r="C3880" i="1"/>
  <c r="E3879" i="1"/>
  <c r="C3879" i="1"/>
  <c r="E3878" i="1"/>
  <c r="C3878" i="1"/>
  <c r="E3877" i="1"/>
  <c r="C3877" i="1"/>
  <c r="E3876" i="1"/>
  <c r="C3876" i="1"/>
  <c r="E3875" i="1"/>
  <c r="C3875" i="1"/>
  <c r="E3874" i="1"/>
  <c r="C3874" i="1"/>
  <c r="E3873" i="1"/>
  <c r="C3873" i="1"/>
  <c r="E3872" i="1"/>
  <c r="C3872" i="1"/>
  <c r="E3871" i="1"/>
  <c r="C3871" i="1"/>
  <c r="E3870" i="1"/>
  <c r="C3870" i="1"/>
  <c r="E3869" i="1"/>
  <c r="C3869" i="1"/>
  <c r="E3868" i="1"/>
  <c r="C3868" i="1"/>
  <c r="E3867" i="1"/>
  <c r="C3867" i="1"/>
  <c r="E3866" i="1"/>
  <c r="C3866" i="1"/>
  <c r="E3865" i="1"/>
  <c r="C3865" i="1"/>
  <c r="E3864" i="1"/>
  <c r="C3864" i="1"/>
  <c r="E3863" i="1"/>
  <c r="C3863" i="1"/>
  <c r="E3862" i="1"/>
  <c r="C3862" i="1"/>
  <c r="E3861" i="1"/>
  <c r="C3861" i="1"/>
  <c r="E3860" i="1"/>
  <c r="C3860" i="1"/>
  <c r="E3859" i="1"/>
  <c r="C3859" i="1"/>
  <c r="E3858" i="1"/>
  <c r="C3858" i="1"/>
  <c r="E3857" i="1"/>
  <c r="C3857" i="1"/>
  <c r="E3856" i="1"/>
  <c r="C3856" i="1"/>
  <c r="E3855" i="1"/>
  <c r="C3855" i="1"/>
  <c r="E3854" i="1"/>
  <c r="C3854" i="1"/>
  <c r="E3853" i="1"/>
  <c r="C3853" i="1"/>
  <c r="E3852" i="1"/>
  <c r="C3852" i="1"/>
  <c r="E3851" i="1"/>
  <c r="C3851" i="1"/>
  <c r="E3850" i="1"/>
  <c r="C3850" i="1"/>
  <c r="E3849" i="1"/>
  <c r="C3849" i="1"/>
  <c r="E3848" i="1"/>
  <c r="C3848" i="1"/>
  <c r="E3847" i="1"/>
  <c r="C3847" i="1"/>
  <c r="E3846" i="1"/>
  <c r="C3846" i="1"/>
  <c r="E3845" i="1"/>
  <c r="C3845" i="1"/>
  <c r="E3844" i="1"/>
  <c r="C3844" i="1"/>
  <c r="E3843" i="1"/>
  <c r="C3843" i="1"/>
  <c r="E3842" i="1"/>
  <c r="C3842" i="1"/>
  <c r="E3841" i="1"/>
  <c r="C3841" i="1"/>
  <c r="E3840" i="1"/>
  <c r="C3840" i="1"/>
  <c r="E3839" i="1"/>
  <c r="C3839" i="1"/>
  <c r="E3838" i="1"/>
  <c r="C3838" i="1"/>
  <c r="E3837" i="1"/>
  <c r="C3837" i="1"/>
  <c r="E3836" i="1"/>
  <c r="C3836" i="1"/>
  <c r="E3835" i="1"/>
  <c r="C3835" i="1"/>
  <c r="E3834" i="1"/>
  <c r="C3834" i="1"/>
  <c r="E3833" i="1"/>
  <c r="C3833" i="1"/>
  <c r="E3832" i="1"/>
  <c r="C3832" i="1"/>
  <c r="E3831" i="1"/>
  <c r="C3831" i="1"/>
  <c r="E3830" i="1"/>
  <c r="C3830" i="1"/>
  <c r="E3829" i="1"/>
  <c r="C3829" i="1"/>
  <c r="E3828" i="1"/>
  <c r="C3828" i="1"/>
  <c r="E3827" i="1"/>
  <c r="C3827" i="1"/>
  <c r="E3826" i="1"/>
  <c r="C3826" i="1"/>
  <c r="E3825" i="1"/>
  <c r="C3825" i="1"/>
  <c r="E3824" i="1"/>
  <c r="C3824" i="1"/>
  <c r="E3823" i="1"/>
  <c r="C3823" i="1"/>
  <c r="E3822" i="1"/>
  <c r="C3822" i="1"/>
  <c r="E3821" i="1"/>
  <c r="C3821" i="1"/>
  <c r="E3820" i="1"/>
  <c r="C3820" i="1"/>
  <c r="E3819" i="1"/>
  <c r="C3819" i="1"/>
  <c r="E3818" i="1"/>
  <c r="C3818" i="1"/>
  <c r="E3817" i="1"/>
  <c r="C3817" i="1"/>
  <c r="E3816" i="1"/>
  <c r="C3816" i="1"/>
  <c r="E3815" i="1"/>
  <c r="C3815" i="1"/>
  <c r="E3814" i="1"/>
  <c r="C3814" i="1"/>
  <c r="E3813" i="1"/>
  <c r="C3813" i="1"/>
  <c r="E3812" i="1"/>
  <c r="C3812" i="1"/>
  <c r="E3811" i="1"/>
  <c r="C3811" i="1"/>
  <c r="E3810" i="1"/>
  <c r="C3810" i="1"/>
  <c r="E3809" i="1"/>
  <c r="C3809" i="1"/>
  <c r="E3808" i="1"/>
  <c r="C3808" i="1"/>
  <c r="E3807" i="1"/>
  <c r="C3807" i="1"/>
  <c r="E3806" i="1"/>
  <c r="C3806" i="1"/>
  <c r="E3805" i="1"/>
  <c r="C3805" i="1"/>
  <c r="E3804" i="1"/>
  <c r="C3804" i="1"/>
  <c r="E3803" i="1"/>
  <c r="C3803" i="1"/>
  <c r="E3802" i="1"/>
  <c r="C3802" i="1"/>
  <c r="E3801" i="1"/>
  <c r="C3801" i="1"/>
  <c r="E3800" i="1"/>
  <c r="C3800" i="1"/>
  <c r="E3799" i="1"/>
  <c r="C3799" i="1"/>
  <c r="E3798" i="1"/>
  <c r="C3798" i="1"/>
  <c r="E3797" i="1"/>
  <c r="C3797" i="1"/>
  <c r="E3796" i="1"/>
  <c r="C3796" i="1"/>
  <c r="E3795" i="1"/>
  <c r="C3795" i="1"/>
  <c r="E3794" i="1"/>
  <c r="C3794" i="1"/>
  <c r="E3793" i="1"/>
  <c r="C3793" i="1"/>
  <c r="E3792" i="1"/>
  <c r="C3792" i="1"/>
  <c r="E3791" i="1"/>
  <c r="C3791" i="1"/>
  <c r="E3790" i="1"/>
  <c r="C3790" i="1"/>
  <c r="E3789" i="1"/>
  <c r="C3789" i="1"/>
  <c r="E3788" i="1"/>
  <c r="C3788" i="1"/>
  <c r="E3787" i="1"/>
  <c r="C3787" i="1"/>
  <c r="E3786" i="1"/>
  <c r="C3786" i="1"/>
  <c r="E3785" i="1"/>
  <c r="C3785" i="1"/>
  <c r="E3784" i="1"/>
  <c r="C3784" i="1"/>
  <c r="E3783" i="1"/>
  <c r="C3783" i="1"/>
  <c r="E3782" i="1"/>
  <c r="C3782" i="1"/>
  <c r="E3781" i="1"/>
  <c r="C3781" i="1"/>
  <c r="E3780" i="1"/>
  <c r="C3780" i="1"/>
  <c r="E3779" i="1"/>
  <c r="C3779" i="1"/>
  <c r="E3778" i="1"/>
  <c r="C3778" i="1"/>
  <c r="E3777" i="1"/>
  <c r="C3777" i="1"/>
  <c r="E3776" i="1"/>
  <c r="C3776" i="1"/>
  <c r="E3775" i="1"/>
  <c r="C3775" i="1"/>
  <c r="E3774" i="1"/>
  <c r="C3774" i="1"/>
  <c r="E3773" i="1"/>
  <c r="C3773" i="1"/>
  <c r="E3772" i="1"/>
  <c r="C3772" i="1"/>
  <c r="E3771" i="1"/>
  <c r="C3771" i="1"/>
  <c r="E3770" i="1"/>
  <c r="C3770" i="1"/>
  <c r="E3769" i="1"/>
  <c r="C3769" i="1"/>
  <c r="E3768" i="1"/>
  <c r="C3768" i="1"/>
  <c r="E3767" i="1"/>
  <c r="C3767" i="1"/>
  <c r="E3766" i="1"/>
  <c r="C3766" i="1"/>
  <c r="E3765" i="1"/>
  <c r="C3765" i="1"/>
  <c r="E3764" i="1"/>
  <c r="C3764" i="1"/>
  <c r="E3763" i="1"/>
  <c r="C3763" i="1"/>
  <c r="E3762" i="1"/>
  <c r="C3762" i="1"/>
  <c r="E3761" i="1"/>
  <c r="C3761" i="1"/>
  <c r="E3760" i="1"/>
  <c r="C3760" i="1"/>
  <c r="E3759" i="1"/>
  <c r="C3759" i="1"/>
  <c r="E3758" i="1"/>
  <c r="C3758" i="1"/>
  <c r="E3757" i="1"/>
  <c r="C3757" i="1"/>
  <c r="E3756" i="1"/>
  <c r="C3756" i="1"/>
  <c r="E3755" i="1"/>
  <c r="C3755" i="1"/>
  <c r="E3754" i="1"/>
  <c r="C3754" i="1"/>
  <c r="E3753" i="1"/>
  <c r="C3753" i="1"/>
  <c r="E3752" i="1"/>
  <c r="C3752" i="1"/>
  <c r="E3751" i="1"/>
  <c r="C3751" i="1"/>
  <c r="E3750" i="1"/>
  <c r="C3750" i="1"/>
  <c r="E3749" i="1"/>
  <c r="C3749" i="1"/>
  <c r="E3748" i="1"/>
  <c r="C3748" i="1"/>
  <c r="E3747" i="1"/>
  <c r="C3747" i="1"/>
  <c r="E3746" i="1"/>
  <c r="C3746" i="1"/>
  <c r="E3745" i="1"/>
  <c r="C3745" i="1"/>
  <c r="E3744" i="1"/>
  <c r="C3744" i="1"/>
  <c r="E3743" i="1"/>
  <c r="C3743" i="1"/>
  <c r="E3742" i="1"/>
  <c r="C3742" i="1"/>
  <c r="E3741" i="1"/>
  <c r="C3741" i="1"/>
  <c r="E3740" i="1"/>
  <c r="C3740" i="1"/>
  <c r="E3739" i="1"/>
  <c r="C3739" i="1"/>
  <c r="E3738" i="1"/>
  <c r="C3738" i="1"/>
  <c r="E3737" i="1"/>
  <c r="C3737" i="1"/>
  <c r="E3736" i="1"/>
  <c r="C3736" i="1"/>
  <c r="E3735" i="1"/>
  <c r="C3735" i="1"/>
  <c r="E3734" i="1"/>
  <c r="C3734" i="1"/>
  <c r="E3733" i="1"/>
  <c r="C3733" i="1"/>
  <c r="E3732" i="1"/>
  <c r="C3732" i="1"/>
  <c r="E3731" i="1"/>
  <c r="C3731" i="1"/>
  <c r="E3730" i="1"/>
  <c r="C3730" i="1"/>
  <c r="E3729" i="1"/>
  <c r="C3729" i="1"/>
  <c r="E3728" i="1"/>
  <c r="C3728" i="1"/>
  <c r="E3727" i="1"/>
  <c r="C3727" i="1"/>
  <c r="E3726" i="1"/>
  <c r="C3726" i="1"/>
  <c r="E3725" i="1"/>
  <c r="C3725" i="1"/>
  <c r="E3724" i="1"/>
  <c r="C3724" i="1"/>
  <c r="E3723" i="1"/>
  <c r="C3723" i="1"/>
  <c r="E3722" i="1"/>
  <c r="C3722" i="1"/>
  <c r="E3721" i="1"/>
  <c r="C3721" i="1"/>
  <c r="E3720" i="1"/>
  <c r="C3720" i="1"/>
  <c r="E3719" i="1"/>
  <c r="C3719" i="1"/>
  <c r="E3718" i="1"/>
  <c r="C3718" i="1"/>
  <c r="E3717" i="1"/>
  <c r="C3717" i="1"/>
  <c r="E3716" i="1"/>
  <c r="C3716" i="1"/>
  <c r="E3715" i="1"/>
  <c r="C3715" i="1"/>
  <c r="E3714" i="1"/>
  <c r="C3714" i="1"/>
  <c r="E3713" i="1"/>
  <c r="C3713" i="1"/>
  <c r="E3712" i="1"/>
  <c r="C3712" i="1"/>
  <c r="E3711" i="1"/>
  <c r="C3711" i="1"/>
  <c r="E3710" i="1"/>
  <c r="C3710" i="1"/>
  <c r="E3709" i="1"/>
  <c r="C3709" i="1"/>
  <c r="E3708" i="1"/>
  <c r="C3708" i="1"/>
  <c r="E3707" i="1"/>
  <c r="C3707" i="1"/>
  <c r="E3706" i="1"/>
  <c r="C3706" i="1"/>
  <c r="E3705" i="1"/>
  <c r="C3705" i="1"/>
  <c r="E3704" i="1"/>
  <c r="C3704" i="1"/>
  <c r="E3703" i="1"/>
  <c r="C3703" i="1"/>
  <c r="E3702" i="1"/>
  <c r="C3702" i="1"/>
  <c r="E3701" i="1"/>
  <c r="C3701" i="1"/>
  <c r="E3700" i="1"/>
  <c r="C3700" i="1"/>
  <c r="E3699" i="1"/>
  <c r="C3699" i="1"/>
  <c r="E3698" i="1"/>
  <c r="C3698" i="1"/>
  <c r="E3697" i="1"/>
  <c r="C3697" i="1"/>
  <c r="E3696" i="1"/>
  <c r="C3696" i="1"/>
  <c r="E3695" i="1"/>
  <c r="C3695" i="1"/>
  <c r="E3694" i="1"/>
  <c r="C3694" i="1"/>
  <c r="E3693" i="1"/>
  <c r="C3693" i="1"/>
  <c r="E3692" i="1"/>
  <c r="C3692" i="1"/>
  <c r="E3691" i="1"/>
  <c r="C3691" i="1"/>
  <c r="E3690" i="1"/>
  <c r="C3690" i="1"/>
  <c r="E3689" i="1"/>
  <c r="C3689" i="1"/>
  <c r="E3688" i="1"/>
  <c r="C3688" i="1"/>
  <c r="E3687" i="1"/>
  <c r="C3687" i="1"/>
  <c r="E3686" i="1"/>
  <c r="C3686" i="1"/>
  <c r="E3685" i="1"/>
  <c r="C3685" i="1"/>
  <c r="E3684" i="1"/>
  <c r="C3684" i="1"/>
  <c r="E3683" i="1"/>
  <c r="C3683" i="1"/>
  <c r="E3682" i="1"/>
  <c r="C3682" i="1"/>
  <c r="E3681" i="1"/>
  <c r="C3681" i="1"/>
  <c r="E3680" i="1"/>
  <c r="C3680" i="1"/>
  <c r="E3679" i="1"/>
  <c r="C3679" i="1"/>
  <c r="E3678" i="1"/>
  <c r="C3678" i="1"/>
  <c r="E3677" i="1"/>
  <c r="C3677" i="1"/>
  <c r="E3676" i="1"/>
  <c r="C3676" i="1"/>
  <c r="E3675" i="1"/>
  <c r="C3675" i="1"/>
  <c r="E3674" i="1"/>
  <c r="C3674" i="1"/>
  <c r="E3673" i="1"/>
  <c r="C3673" i="1"/>
  <c r="E3672" i="1"/>
  <c r="C3672" i="1"/>
  <c r="E3671" i="1"/>
  <c r="C3671" i="1"/>
  <c r="E3670" i="1"/>
  <c r="C3670" i="1"/>
  <c r="E3669" i="1"/>
  <c r="C3669" i="1"/>
  <c r="E3668" i="1"/>
  <c r="C3668" i="1"/>
  <c r="E3667" i="1"/>
  <c r="C3667" i="1"/>
  <c r="E3666" i="1"/>
  <c r="C3666" i="1"/>
  <c r="E3665" i="1"/>
  <c r="C3665" i="1"/>
  <c r="E3664" i="1"/>
  <c r="C3664" i="1"/>
  <c r="E3663" i="1"/>
  <c r="C3663" i="1"/>
  <c r="E3662" i="1"/>
  <c r="C3662" i="1"/>
  <c r="E3661" i="1"/>
  <c r="C3661" i="1"/>
  <c r="E3660" i="1"/>
  <c r="C3660" i="1"/>
  <c r="E3659" i="1"/>
  <c r="C3659" i="1"/>
  <c r="E3658" i="1"/>
  <c r="C3658" i="1"/>
  <c r="E3657" i="1"/>
  <c r="C3657" i="1"/>
  <c r="E3656" i="1"/>
  <c r="C3656" i="1"/>
  <c r="E3655" i="1"/>
  <c r="C3655" i="1"/>
  <c r="E3654" i="1"/>
  <c r="C3654" i="1"/>
  <c r="E3653" i="1"/>
  <c r="C3653" i="1"/>
  <c r="E3652" i="1"/>
  <c r="C3652" i="1"/>
  <c r="E3651" i="1"/>
  <c r="C3651" i="1"/>
  <c r="E3650" i="1"/>
  <c r="C3650" i="1"/>
  <c r="E3649" i="1"/>
  <c r="C3649" i="1"/>
  <c r="E3648" i="1"/>
  <c r="C3648" i="1"/>
  <c r="E3647" i="1"/>
  <c r="C3647" i="1"/>
  <c r="E3646" i="1"/>
  <c r="C3646" i="1"/>
  <c r="E3645" i="1"/>
  <c r="C3645" i="1"/>
  <c r="E3644" i="1"/>
  <c r="C3644" i="1"/>
  <c r="E3643" i="1"/>
  <c r="C3643" i="1"/>
  <c r="E3642" i="1"/>
  <c r="C3642" i="1"/>
  <c r="E3641" i="1"/>
  <c r="C3641" i="1"/>
  <c r="E3640" i="1"/>
  <c r="C3640" i="1"/>
  <c r="E3639" i="1"/>
  <c r="C3639" i="1"/>
  <c r="E3638" i="1"/>
  <c r="C3638" i="1"/>
  <c r="E3637" i="1"/>
  <c r="C3637" i="1"/>
  <c r="E3636" i="1"/>
  <c r="C3636" i="1"/>
  <c r="E3635" i="1"/>
  <c r="C3635" i="1"/>
  <c r="E3634" i="1"/>
  <c r="C3634" i="1"/>
  <c r="E3633" i="1"/>
  <c r="C3633" i="1"/>
  <c r="E3632" i="1"/>
  <c r="C3632" i="1"/>
  <c r="E3631" i="1"/>
  <c r="C3631" i="1"/>
  <c r="E3630" i="1"/>
  <c r="C3630" i="1"/>
  <c r="E3629" i="1"/>
  <c r="C3629" i="1"/>
  <c r="E3628" i="1"/>
  <c r="C3628" i="1"/>
  <c r="E3627" i="1"/>
  <c r="C3627" i="1"/>
  <c r="E3626" i="1"/>
  <c r="C3626" i="1"/>
  <c r="E3625" i="1"/>
  <c r="C3625" i="1"/>
  <c r="E3624" i="1"/>
  <c r="C3624" i="1"/>
  <c r="E3623" i="1"/>
  <c r="C3623" i="1"/>
  <c r="E3622" i="1"/>
  <c r="C3622" i="1"/>
  <c r="E3621" i="1"/>
  <c r="C3621" i="1"/>
  <c r="E3620" i="1"/>
  <c r="C3620" i="1"/>
  <c r="E3619" i="1"/>
  <c r="C3619" i="1"/>
  <c r="E3618" i="1"/>
  <c r="C3618" i="1"/>
  <c r="E3617" i="1"/>
  <c r="C3617" i="1"/>
  <c r="E3616" i="1"/>
  <c r="C3616" i="1"/>
  <c r="E3615" i="1"/>
  <c r="C3615" i="1"/>
  <c r="E3614" i="1"/>
  <c r="C3614" i="1"/>
  <c r="E3613" i="1"/>
  <c r="C3613" i="1"/>
  <c r="E3612" i="1"/>
  <c r="C3612" i="1"/>
  <c r="E3611" i="1"/>
  <c r="C3611" i="1"/>
  <c r="E3610" i="1"/>
  <c r="C3610" i="1"/>
  <c r="E3609" i="1"/>
  <c r="C3609" i="1"/>
  <c r="E3608" i="1"/>
  <c r="C3608" i="1"/>
  <c r="E3607" i="1"/>
  <c r="C3607" i="1"/>
  <c r="E3606" i="1"/>
  <c r="C3606" i="1"/>
  <c r="E3605" i="1"/>
  <c r="C3605" i="1"/>
  <c r="E3604" i="1"/>
  <c r="C3604" i="1"/>
  <c r="E3603" i="1"/>
  <c r="C3603" i="1"/>
  <c r="E3602" i="1"/>
  <c r="C3602" i="1"/>
  <c r="E3601" i="1"/>
  <c r="C3601" i="1"/>
  <c r="E3600" i="1"/>
  <c r="C3600" i="1"/>
  <c r="E3599" i="1"/>
  <c r="C3599" i="1"/>
  <c r="E3598" i="1"/>
  <c r="C3598" i="1"/>
  <c r="E3597" i="1"/>
  <c r="C3597" i="1"/>
  <c r="E3596" i="1"/>
  <c r="C3596" i="1"/>
  <c r="E3595" i="1"/>
  <c r="C3595" i="1"/>
  <c r="E3594" i="1"/>
  <c r="C3594" i="1"/>
  <c r="E3593" i="1"/>
  <c r="C3593" i="1"/>
  <c r="E3592" i="1"/>
  <c r="C3592" i="1"/>
  <c r="E3591" i="1"/>
  <c r="C3591" i="1"/>
  <c r="E3590" i="1"/>
  <c r="C3590" i="1"/>
  <c r="E3589" i="1"/>
  <c r="C3589" i="1"/>
  <c r="E3588" i="1"/>
  <c r="C3588" i="1"/>
  <c r="E3587" i="1"/>
  <c r="C3587" i="1"/>
  <c r="E3586" i="1"/>
  <c r="C3586" i="1"/>
  <c r="E3585" i="1"/>
  <c r="C3585" i="1"/>
  <c r="E3584" i="1"/>
  <c r="C3584" i="1"/>
  <c r="E3583" i="1"/>
  <c r="C3583" i="1"/>
  <c r="E3582" i="1"/>
  <c r="C3582" i="1"/>
  <c r="E3581" i="1"/>
  <c r="C3581" i="1"/>
  <c r="E3580" i="1"/>
  <c r="C3580" i="1"/>
  <c r="E3579" i="1"/>
  <c r="C3579" i="1"/>
  <c r="E3578" i="1"/>
  <c r="C3578" i="1"/>
  <c r="E3577" i="1"/>
  <c r="C3577" i="1"/>
  <c r="E3576" i="1"/>
  <c r="C3576" i="1"/>
  <c r="E3575" i="1"/>
  <c r="C3575" i="1"/>
  <c r="E3574" i="1"/>
  <c r="C3574" i="1"/>
  <c r="E3573" i="1"/>
  <c r="C3573" i="1"/>
  <c r="E3572" i="1"/>
  <c r="C3572" i="1"/>
  <c r="E3571" i="1"/>
  <c r="C3571" i="1"/>
  <c r="E3570" i="1"/>
  <c r="C3570" i="1"/>
  <c r="E3569" i="1"/>
  <c r="C3569" i="1"/>
  <c r="E3568" i="1"/>
  <c r="C3568" i="1"/>
  <c r="E3567" i="1"/>
  <c r="C3567" i="1"/>
  <c r="E3566" i="1"/>
  <c r="C3566" i="1"/>
  <c r="E3565" i="1"/>
  <c r="C3565" i="1"/>
  <c r="E3564" i="1"/>
  <c r="C3564" i="1"/>
  <c r="E3563" i="1"/>
  <c r="C3563" i="1"/>
  <c r="E3562" i="1"/>
  <c r="C3562" i="1"/>
  <c r="E3561" i="1"/>
  <c r="C3561" i="1"/>
  <c r="E3560" i="1"/>
  <c r="C3560" i="1"/>
  <c r="E3559" i="1"/>
  <c r="C3559" i="1"/>
  <c r="E3558" i="1"/>
  <c r="C3558" i="1"/>
  <c r="E3557" i="1"/>
  <c r="C3557" i="1"/>
  <c r="E3556" i="1"/>
  <c r="C3556" i="1"/>
  <c r="E3555" i="1"/>
  <c r="C3555" i="1"/>
  <c r="E3554" i="1"/>
  <c r="C3554" i="1"/>
  <c r="E3553" i="1"/>
  <c r="C3553" i="1"/>
  <c r="E3552" i="1"/>
  <c r="C3552" i="1"/>
  <c r="E3551" i="1"/>
  <c r="C3551" i="1"/>
  <c r="E3550" i="1"/>
  <c r="C3550" i="1"/>
  <c r="E3549" i="1"/>
  <c r="C3549" i="1"/>
  <c r="E3548" i="1"/>
  <c r="C3548" i="1"/>
  <c r="E3547" i="1"/>
  <c r="C3547" i="1"/>
  <c r="E3546" i="1"/>
  <c r="C3546" i="1"/>
  <c r="E3545" i="1"/>
  <c r="C3545" i="1"/>
  <c r="E3544" i="1"/>
  <c r="C3544" i="1"/>
  <c r="E3543" i="1"/>
  <c r="C3543" i="1"/>
  <c r="E3542" i="1"/>
  <c r="C3542" i="1"/>
  <c r="E3541" i="1"/>
  <c r="C3541" i="1"/>
  <c r="E3540" i="1"/>
  <c r="C3540" i="1"/>
  <c r="E3539" i="1"/>
  <c r="C3539" i="1"/>
  <c r="E3538" i="1"/>
  <c r="C3538" i="1"/>
  <c r="E3537" i="1"/>
  <c r="C3537" i="1"/>
  <c r="E3536" i="1"/>
  <c r="C3536" i="1"/>
  <c r="E3535" i="1"/>
  <c r="C3535" i="1"/>
  <c r="E3534" i="1"/>
  <c r="C3534" i="1"/>
  <c r="E3533" i="1"/>
  <c r="C3533" i="1"/>
  <c r="E3532" i="1"/>
  <c r="C3532" i="1"/>
  <c r="E3531" i="1"/>
  <c r="C3531" i="1"/>
  <c r="E3530" i="1"/>
  <c r="C3530" i="1"/>
  <c r="E3529" i="1"/>
  <c r="C3529" i="1"/>
  <c r="E3528" i="1"/>
  <c r="C3528" i="1"/>
  <c r="E3527" i="1"/>
  <c r="C3527" i="1"/>
  <c r="E3526" i="1"/>
  <c r="C3526" i="1"/>
  <c r="E3525" i="1"/>
  <c r="C3525" i="1"/>
  <c r="E3524" i="1"/>
  <c r="C3524" i="1"/>
  <c r="E3523" i="1"/>
  <c r="C3523" i="1"/>
  <c r="E3522" i="1"/>
  <c r="C3522" i="1"/>
  <c r="E3521" i="1"/>
  <c r="C3521" i="1"/>
  <c r="E3520" i="1"/>
  <c r="C3520" i="1"/>
  <c r="E3519" i="1"/>
  <c r="C3519" i="1"/>
  <c r="E3518" i="1"/>
  <c r="C3518" i="1"/>
  <c r="E3517" i="1"/>
  <c r="C3517" i="1"/>
  <c r="E3516" i="1"/>
  <c r="C3516" i="1"/>
  <c r="E3515" i="1"/>
  <c r="C3515" i="1"/>
  <c r="E3514" i="1"/>
  <c r="C3514" i="1"/>
  <c r="E3513" i="1"/>
  <c r="C3513" i="1"/>
  <c r="E3512" i="1"/>
  <c r="C3512" i="1"/>
  <c r="E3511" i="1"/>
  <c r="C3511" i="1"/>
  <c r="E3510" i="1"/>
  <c r="C3510" i="1"/>
  <c r="E3509" i="1"/>
  <c r="C3509" i="1"/>
  <c r="E3508" i="1"/>
  <c r="C3508" i="1"/>
  <c r="E3507" i="1"/>
  <c r="C3507" i="1"/>
  <c r="E3506" i="1"/>
  <c r="C3506" i="1"/>
  <c r="E3505" i="1"/>
  <c r="C3505" i="1"/>
  <c r="E3504" i="1"/>
  <c r="C3504" i="1"/>
  <c r="E3503" i="1"/>
  <c r="C3503" i="1"/>
  <c r="E3502" i="1"/>
  <c r="C3502" i="1"/>
  <c r="E3501" i="1"/>
  <c r="C3501" i="1"/>
  <c r="E3500" i="1"/>
  <c r="C3500" i="1"/>
  <c r="E3499" i="1"/>
  <c r="C3499" i="1"/>
  <c r="E3498" i="1"/>
  <c r="C3498" i="1"/>
  <c r="E3497" i="1"/>
  <c r="C3497" i="1"/>
  <c r="E3496" i="1"/>
  <c r="C3496" i="1"/>
  <c r="E3495" i="1"/>
  <c r="C3495" i="1"/>
  <c r="E3494" i="1"/>
  <c r="C3494" i="1"/>
  <c r="E3493" i="1"/>
  <c r="C3493" i="1"/>
  <c r="E3492" i="1"/>
  <c r="C3492" i="1"/>
  <c r="E3491" i="1"/>
  <c r="C3491" i="1"/>
  <c r="E3490" i="1"/>
  <c r="C3490" i="1"/>
  <c r="E3489" i="1"/>
  <c r="C3489" i="1"/>
  <c r="E3488" i="1"/>
  <c r="C3488" i="1"/>
  <c r="E3487" i="1"/>
  <c r="C3487" i="1"/>
  <c r="E3486" i="1"/>
  <c r="C3486" i="1"/>
  <c r="E3485" i="1"/>
  <c r="C3485" i="1"/>
  <c r="E3484" i="1"/>
  <c r="C3484" i="1"/>
  <c r="E3483" i="1"/>
  <c r="C3483" i="1"/>
  <c r="E3482" i="1"/>
  <c r="C3482" i="1"/>
  <c r="E3481" i="1"/>
  <c r="C3481" i="1"/>
  <c r="E3480" i="1"/>
  <c r="C3480" i="1"/>
  <c r="E3479" i="1"/>
  <c r="C3479" i="1"/>
  <c r="E3478" i="1"/>
  <c r="C3478" i="1"/>
  <c r="E3477" i="1"/>
  <c r="C3477" i="1"/>
  <c r="E3476" i="1"/>
  <c r="C3476" i="1"/>
  <c r="E3475" i="1"/>
  <c r="C3475" i="1"/>
  <c r="E3474" i="1"/>
  <c r="C3474" i="1"/>
  <c r="E3473" i="1"/>
  <c r="C3473" i="1"/>
  <c r="E3472" i="1"/>
  <c r="C3472" i="1"/>
  <c r="E3471" i="1"/>
  <c r="C3471" i="1"/>
  <c r="E3470" i="1"/>
  <c r="C3470" i="1"/>
  <c r="E3469" i="1"/>
  <c r="C3469" i="1"/>
  <c r="E3468" i="1"/>
  <c r="C3468" i="1"/>
  <c r="E3467" i="1"/>
  <c r="C3467" i="1"/>
  <c r="E3466" i="1"/>
  <c r="C3466" i="1"/>
  <c r="E3465" i="1"/>
  <c r="C3465" i="1"/>
  <c r="E3464" i="1"/>
  <c r="C3464" i="1"/>
  <c r="E3463" i="1"/>
  <c r="C3463" i="1"/>
  <c r="E3462" i="1"/>
  <c r="C3462" i="1"/>
  <c r="E3461" i="1"/>
  <c r="C3461" i="1"/>
  <c r="E3460" i="1"/>
  <c r="C3460" i="1"/>
  <c r="E3459" i="1"/>
  <c r="C3459" i="1"/>
  <c r="E3458" i="1"/>
  <c r="C3458" i="1"/>
  <c r="E3457" i="1"/>
  <c r="C3457" i="1"/>
  <c r="E3456" i="1"/>
  <c r="C3456" i="1"/>
  <c r="E3455" i="1"/>
  <c r="C3455" i="1"/>
  <c r="E3454" i="1"/>
  <c r="C3454" i="1"/>
  <c r="E3453" i="1"/>
  <c r="C3453" i="1"/>
  <c r="E3452" i="1"/>
  <c r="C3452" i="1"/>
  <c r="E3451" i="1"/>
  <c r="C3451" i="1"/>
  <c r="E3450" i="1"/>
  <c r="C3450" i="1"/>
  <c r="E3449" i="1"/>
  <c r="C3449" i="1"/>
  <c r="E3448" i="1"/>
  <c r="C3448" i="1"/>
  <c r="E3447" i="1"/>
  <c r="C3447" i="1"/>
  <c r="E3446" i="1"/>
  <c r="C3446" i="1"/>
  <c r="E3445" i="1"/>
  <c r="C3445" i="1"/>
  <c r="E3444" i="1"/>
  <c r="C3444" i="1"/>
  <c r="E3443" i="1"/>
  <c r="C3443" i="1"/>
  <c r="E3442" i="1"/>
  <c r="C3442" i="1"/>
  <c r="E3441" i="1"/>
  <c r="C3441" i="1"/>
  <c r="E3440" i="1"/>
  <c r="C3440" i="1"/>
  <c r="E3439" i="1"/>
  <c r="C3439" i="1"/>
  <c r="E3438" i="1"/>
  <c r="C3438" i="1"/>
  <c r="E3437" i="1"/>
  <c r="C3437" i="1"/>
  <c r="E3436" i="1"/>
  <c r="C3436" i="1"/>
  <c r="E3435" i="1"/>
  <c r="C3435" i="1"/>
  <c r="E3434" i="1"/>
  <c r="C3434" i="1"/>
  <c r="E3433" i="1"/>
  <c r="C3433" i="1"/>
  <c r="E3432" i="1"/>
  <c r="C3432" i="1"/>
  <c r="E3431" i="1"/>
  <c r="C3431" i="1"/>
  <c r="E3430" i="1"/>
  <c r="C3430" i="1"/>
  <c r="E3429" i="1"/>
  <c r="C3429" i="1"/>
  <c r="E3428" i="1"/>
  <c r="C3428" i="1"/>
  <c r="E3427" i="1"/>
  <c r="C3427" i="1"/>
  <c r="E3426" i="1"/>
  <c r="C3426" i="1"/>
  <c r="E3425" i="1"/>
  <c r="C3425" i="1"/>
  <c r="E3424" i="1"/>
  <c r="C3424" i="1"/>
  <c r="E3423" i="1"/>
  <c r="C3423" i="1"/>
  <c r="E3422" i="1"/>
  <c r="C3422" i="1"/>
  <c r="E3421" i="1"/>
  <c r="C3421" i="1"/>
  <c r="E3420" i="1"/>
  <c r="C3420" i="1"/>
  <c r="E3419" i="1"/>
  <c r="C3419" i="1"/>
  <c r="E3418" i="1"/>
  <c r="C3418" i="1"/>
  <c r="E3417" i="1"/>
  <c r="C3417" i="1"/>
  <c r="E3416" i="1"/>
  <c r="C3416" i="1"/>
  <c r="E3415" i="1"/>
  <c r="C3415" i="1"/>
  <c r="E3414" i="1"/>
  <c r="C3414" i="1"/>
  <c r="E3413" i="1"/>
  <c r="C3413" i="1"/>
  <c r="E3412" i="1"/>
  <c r="C3412" i="1"/>
  <c r="E3411" i="1"/>
  <c r="C3411" i="1"/>
  <c r="E3410" i="1"/>
  <c r="C3410" i="1"/>
  <c r="E3409" i="1"/>
  <c r="C3409" i="1"/>
  <c r="E3408" i="1"/>
  <c r="C3408" i="1"/>
  <c r="E3407" i="1"/>
  <c r="C3407" i="1"/>
  <c r="E3406" i="1"/>
  <c r="C3406" i="1"/>
  <c r="E3405" i="1"/>
  <c r="C3405" i="1"/>
  <c r="E3404" i="1"/>
  <c r="C3404" i="1"/>
  <c r="E3403" i="1"/>
  <c r="C3403" i="1"/>
  <c r="E3402" i="1"/>
  <c r="C3402" i="1"/>
  <c r="E3401" i="1"/>
  <c r="C3401" i="1"/>
  <c r="E3400" i="1"/>
  <c r="C3400" i="1"/>
  <c r="E3399" i="1"/>
  <c r="C3399" i="1"/>
  <c r="E3398" i="1"/>
  <c r="C3398" i="1"/>
  <c r="E3397" i="1"/>
  <c r="C3397" i="1"/>
  <c r="E3396" i="1"/>
  <c r="C3396" i="1"/>
  <c r="E3395" i="1"/>
  <c r="C3395" i="1"/>
  <c r="E3394" i="1"/>
  <c r="C3394" i="1"/>
  <c r="E3393" i="1"/>
  <c r="C3393" i="1"/>
  <c r="E3392" i="1"/>
  <c r="C3392" i="1"/>
  <c r="E3391" i="1"/>
  <c r="C3391" i="1"/>
  <c r="E3390" i="1"/>
  <c r="C3390" i="1"/>
  <c r="E3389" i="1"/>
  <c r="C3389" i="1"/>
  <c r="E3388" i="1"/>
  <c r="C3388" i="1"/>
  <c r="E3387" i="1"/>
  <c r="C3387" i="1"/>
  <c r="E3386" i="1"/>
  <c r="C3386" i="1"/>
  <c r="E3385" i="1"/>
  <c r="C3385" i="1"/>
  <c r="E3384" i="1"/>
  <c r="C3384" i="1"/>
  <c r="E3383" i="1"/>
  <c r="C3383" i="1"/>
  <c r="E3382" i="1"/>
  <c r="C3382" i="1"/>
  <c r="E3381" i="1"/>
  <c r="C3381" i="1"/>
  <c r="E3380" i="1"/>
  <c r="C3380" i="1"/>
  <c r="E3379" i="1"/>
  <c r="C3379" i="1"/>
  <c r="E3378" i="1"/>
  <c r="C3378" i="1"/>
  <c r="E3377" i="1"/>
  <c r="C3377" i="1"/>
  <c r="E3376" i="1"/>
  <c r="C3376" i="1"/>
  <c r="E3375" i="1"/>
  <c r="C3375" i="1"/>
  <c r="E3374" i="1"/>
  <c r="C3374" i="1"/>
  <c r="E3373" i="1"/>
  <c r="C3373" i="1"/>
  <c r="E3372" i="1"/>
  <c r="C3372" i="1"/>
  <c r="E3371" i="1"/>
  <c r="C3371" i="1"/>
  <c r="E3370" i="1"/>
  <c r="C3370" i="1"/>
  <c r="E3369" i="1"/>
  <c r="C3369" i="1"/>
  <c r="E3368" i="1"/>
  <c r="C3368" i="1"/>
  <c r="E3367" i="1"/>
  <c r="C3367" i="1"/>
  <c r="E3366" i="1"/>
  <c r="C3366" i="1"/>
  <c r="E3365" i="1"/>
  <c r="C3365" i="1"/>
  <c r="E3364" i="1"/>
  <c r="C3364" i="1"/>
  <c r="E3363" i="1"/>
  <c r="C3363" i="1"/>
  <c r="E3362" i="1"/>
  <c r="C3362" i="1"/>
  <c r="E3361" i="1"/>
  <c r="C3361" i="1"/>
  <c r="E3360" i="1"/>
  <c r="C3360" i="1"/>
  <c r="E3359" i="1"/>
  <c r="C3359" i="1"/>
  <c r="E3358" i="1"/>
  <c r="C3358" i="1"/>
  <c r="E3357" i="1"/>
  <c r="C3357" i="1"/>
  <c r="E3356" i="1"/>
  <c r="C3356" i="1"/>
  <c r="E3355" i="1"/>
  <c r="C3355" i="1"/>
  <c r="E3354" i="1"/>
  <c r="C3354" i="1"/>
  <c r="E3353" i="1"/>
  <c r="C3353" i="1"/>
  <c r="E3352" i="1"/>
  <c r="C3352" i="1"/>
  <c r="E3351" i="1"/>
  <c r="C3351" i="1"/>
  <c r="E3350" i="1"/>
  <c r="C3350" i="1"/>
  <c r="E3349" i="1"/>
  <c r="C3349" i="1"/>
  <c r="E3348" i="1"/>
  <c r="C3348" i="1"/>
  <c r="E3347" i="1"/>
  <c r="C3347" i="1"/>
  <c r="E3346" i="1"/>
  <c r="C3346" i="1"/>
  <c r="E3345" i="1"/>
  <c r="C3345" i="1"/>
  <c r="E3344" i="1"/>
  <c r="C3344" i="1"/>
  <c r="E3343" i="1"/>
  <c r="C3343" i="1"/>
  <c r="E3342" i="1"/>
  <c r="C3342" i="1"/>
  <c r="E3341" i="1"/>
  <c r="C3341" i="1"/>
  <c r="E3340" i="1"/>
  <c r="C3340" i="1"/>
  <c r="E3339" i="1"/>
  <c r="C3339" i="1"/>
  <c r="E3338" i="1"/>
  <c r="C3338" i="1"/>
  <c r="E3337" i="1"/>
  <c r="C3337" i="1"/>
  <c r="E3336" i="1"/>
  <c r="C3336" i="1"/>
  <c r="E3335" i="1"/>
  <c r="C3335" i="1"/>
  <c r="E3334" i="1"/>
  <c r="C3334" i="1"/>
  <c r="E3333" i="1"/>
  <c r="C3333" i="1"/>
  <c r="E3332" i="1"/>
  <c r="C3332" i="1"/>
  <c r="E3331" i="1"/>
  <c r="C3331" i="1"/>
  <c r="E3330" i="1"/>
  <c r="C3330" i="1"/>
  <c r="E3329" i="1"/>
  <c r="C3329" i="1"/>
  <c r="E3328" i="1"/>
  <c r="C3328" i="1"/>
  <c r="E3327" i="1"/>
  <c r="C3327" i="1"/>
  <c r="E3326" i="1"/>
  <c r="C3326" i="1"/>
  <c r="E3325" i="1"/>
  <c r="C3325" i="1"/>
  <c r="E3324" i="1"/>
  <c r="C3324" i="1"/>
  <c r="E3323" i="1"/>
  <c r="C3323" i="1"/>
  <c r="E3322" i="1"/>
  <c r="C3322" i="1"/>
  <c r="E3321" i="1"/>
  <c r="C3321" i="1"/>
  <c r="E3320" i="1"/>
  <c r="C3320" i="1"/>
  <c r="E3319" i="1"/>
  <c r="C3319" i="1"/>
  <c r="E3318" i="1"/>
  <c r="C3318" i="1"/>
  <c r="E3317" i="1"/>
  <c r="C3317" i="1"/>
  <c r="E3316" i="1"/>
  <c r="C3316" i="1"/>
  <c r="E3315" i="1"/>
  <c r="C3315" i="1"/>
  <c r="E3314" i="1"/>
  <c r="C3314" i="1"/>
  <c r="E3313" i="1"/>
  <c r="C3313" i="1"/>
  <c r="E3312" i="1"/>
  <c r="C3312" i="1"/>
  <c r="E3311" i="1"/>
  <c r="C3311" i="1"/>
  <c r="E3310" i="1"/>
  <c r="C3310" i="1"/>
  <c r="E3309" i="1"/>
  <c r="C3309" i="1"/>
  <c r="E3308" i="1"/>
  <c r="C3308" i="1"/>
  <c r="E3307" i="1"/>
  <c r="C3307" i="1"/>
  <c r="E3306" i="1"/>
  <c r="C3306" i="1"/>
  <c r="E3305" i="1"/>
  <c r="C3305" i="1"/>
  <c r="E3304" i="1"/>
  <c r="C3304" i="1"/>
  <c r="E3303" i="1"/>
  <c r="C3303" i="1"/>
  <c r="E3302" i="1"/>
  <c r="C3302" i="1"/>
  <c r="E3301" i="1"/>
  <c r="C3301" i="1"/>
  <c r="E3300" i="1"/>
  <c r="C3300" i="1"/>
  <c r="E3299" i="1"/>
  <c r="C3299" i="1"/>
  <c r="E3298" i="1"/>
  <c r="C3298" i="1"/>
  <c r="E3297" i="1"/>
  <c r="C3297" i="1"/>
  <c r="E3296" i="1"/>
  <c r="C3296" i="1"/>
  <c r="E3295" i="1"/>
  <c r="C3295" i="1"/>
  <c r="E3294" i="1"/>
  <c r="C3294" i="1"/>
  <c r="E3293" i="1"/>
  <c r="C3293" i="1"/>
  <c r="E3292" i="1"/>
  <c r="C3292" i="1"/>
  <c r="E3291" i="1"/>
  <c r="C3291" i="1"/>
  <c r="E3290" i="1"/>
  <c r="C3290" i="1"/>
  <c r="E3289" i="1"/>
  <c r="C3289" i="1"/>
  <c r="E3288" i="1"/>
  <c r="C3288" i="1"/>
  <c r="E3287" i="1"/>
  <c r="C3287" i="1"/>
  <c r="E3286" i="1"/>
  <c r="C3286" i="1"/>
  <c r="E3285" i="1"/>
  <c r="C3285" i="1"/>
  <c r="E3284" i="1"/>
  <c r="C3284" i="1"/>
  <c r="E3283" i="1"/>
  <c r="C3283" i="1"/>
  <c r="E3282" i="1"/>
  <c r="C3282" i="1"/>
  <c r="E3281" i="1"/>
  <c r="C3281" i="1"/>
  <c r="E3280" i="1"/>
  <c r="C3280" i="1"/>
  <c r="E3279" i="1"/>
  <c r="C3279" i="1"/>
  <c r="E3278" i="1"/>
  <c r="C3278" i="1"/>
  <c r="E3277" i="1"/>
  <c r="C3277" i="1"/>
  <c r="E3276" i="1"/>
  <c r="C3276" i="1"/>
  <c r="E3275" i="1"/>
  <c r="C3275" i="1"/>
  <c r="E3274" i="1"/>
  <c r="C3274" i="1"/>
  <c r="E3273" i="1"/>
  <c r="C3273" i="1"/>
  <c r="E3272" i="1"/>
  <c r="C3272" i="1"/>
  <c r="E3271" i="1"/>
  <c r="C3271" i="1"/>
  <c r="E3270" i="1"/>
  <c r="C3270" i="1"/>
  <c r="E3269" i="1"/>
  <c r="C3269" i="1"/>
  <c r="E3268" i="1"/>
  <c r="C3268" i="1"/>
  <c r="E3267" i="1"/>
  <c r="C3267" i="1"/>
  <c r="E3266" i="1"/>
  <c r="C3266" i="1"/>
  <c r="E3265" i="1"/>
  <c r="C3265" i="1"/>
  <c r="E3264" i="1"/>
  <c r="C3264" i="1"/>
  <c r="E3263" i="1"/>
  <c r="C3263" i="1"/>
  <c r="E3262" i="1"/>
  <c r="C3262" i="1"/>
  <c r="E3261" i="1"/>
  <c r="C3261" i="1"/>
  <c r="E3260" i="1"/>
  <c r="C3260" i="1"/>
  <c r="E3259" i="1"/>
  <c r="C3259" i="1"/>
  <c r="E3258" i="1"/>
  <c r="C3258" i="1"/>
  <c r="E3257" i="1"/>
  <c r="C3257" i="1"/>
  <c r="E3256" i="1"/>
  <c r="C3256" i="1"/>
  <c r="E3255" i="1"/>
  <c r="C3255" i="1"/>
  <c r="E3254" i="1"/>
  <c r="C3254" i="1"/>
  <c r="E3253" i="1"/>
  <c r="C3253" i="1"/>
  <c r="E3252" i="1"/>
  <c r="C3252" i="1"/>
  <c r="E3251" i="1"/>
  <c r="C3251" i="1"/>
  <c r="E3250" i="1"/>
  <c r="C3250" i="1"/>
  <c r="E3249" i="1"/>
  <c r="C3249" i="1"/>
  <c r="E3248" i="1"/>
  <c r="C3248" i="1"/>
  <c r="E3247" i="1"/>
  <c r="C3247" i="1"/>
  <c r="E3246" i="1"/>
  <c r="C3246" i="1"/>
  <c r="E3245" i="1"/>
  <c r="C3245" i="1"/>
  <c r="E3244" i="1"/>
  <c r="C3244" i="1"/>
  <c r="E3243" i="1"/>
  <c r="C3243" i="1"/>
  <c r="E3242" i="1"/>
  <c r="C3242" i="1"/>
  <c r="E3241" i="1"/>
  <c r="C3241" i="1"/>
  <c r="E3240" i="1"/>
  <c r="C3240" i="1"/>
  <c r="E3239" i="1"/>
  <c r="C3239" i="1"/>
  <c r="E3238" i="1"/>
  <c r="C3238" i="1"/>
  <c r="E3237" i="1"/>
  <c r="C3237" i="1"/>
  <c r="E3236" i="1"/>
  <c r="C3236" i="1"/>
  <c r="E3235" i="1"/>
  <c r="C3235" i="1"/>
  <c r="E3234" i="1"/>
  <c r="C3234" i="1"/>
  <c r="E3233" i="1"/>
  <c r="C3233" i="1"/>
  <c r="E3232" i="1"/>
  <c r="C3232" i="1"/>
  <c r="E3231" i="1"/>
  <c r="C3231" i="1"/>
  <c r="E3230" i="1"/>
  <c r="C3230" i="1"/>
  <c r="E3229" i="1"/>
  <c r="C3229" i="1"/>
  <c r="E3228" i="1"/>
  <c r="C3228" i="1"/>
  <c r="E3227" i="1"/>
  <c r="C3227" i="1"/>
  <c r="E3226" i="1"/>
  <c r="C3226" i="1"/>
  <c r="E3225" i="1"/>
  <c r="C3225" i="1"/>
  <c r="E3224" i="1"/>
  <c r="C3224" i="1"/>
  <c r="E3223" i="1"/>
  <c r="C3223" i="1"/>
  <c r="E3222" i="1"/>
  <c r="C3222" i="1"/>
  <c r="E3221" i="1"/>
  <c r="C3221" i="1"/>
  <c r="E3220" i="1"/>
  <c r="C3220" i="1"/>
  <c r="E3219" i="1"/>
  <c r="C3219" i="1"/>
  <c r="E3218" i="1"/>
  <c r="C3218" i="1"/>
  <c r="E3217" i="1"/>
  <c r="C3217" i="1"/>
  <c r="E3216" i="1"/>
  <c r="C3216" i="1"/>
  <c r="E3215" i="1"/>
  <c r="C3215" i="1"/>
  <c r="E3214" i="1"/>
  <c r="C3214" i="1"/>
  <c r="E3213" i="1"/>
  <c r="C3213" i="1"/>
  <c r="E3212" i="1"/>
  <c r="C3212" i="1"/>
  <c r="E3211" i="1"/>
  <c r="C3211" i="1"/>
  <c r="E3210" i="1"/>
  <c r="C3210" i="1"/>
  <c r="E3209" i="1"/>
  <c r="C3209" i="1"/>
  <c r="E3208" i="1"/>
  <c r="C3208" i="1"/>
  <c r="E3207" i="1"/>
  <c r="C3207" i="1"/>
  <c r="E3206" i="1"/>
  <c r="C3206" i="1"/>
  <c r="E3205" i="1"/>
  <c r="C3205" i="1"/>
  <c r="E3204" i="1"/>
  <c r="C3204" i="1"/>
  <c r="E3203" i="1"/>
  <c r="C3203" i="1"/>
  <c r="E3202" i="1"/>
  <c r="C3202" i="1"/>
  <c r="E3201" i="1"/>
  <c r="C3201" i="1"/>
  <c r="E3200" i="1"/>
  <c r="C3200" i="1"/>
  <c r="E3199" i="1"/>
  <c r="C3199" i="1"/>
  <c r="E3198" i="1"/>
  <c r="C3198" i="1"/>
  <c r="E3197" i="1"/>
  <c r="C3197" i="1"/>
  <c r="E3196" i="1"/>
  <c r="C3196" i="1"/>
  <c r="E3195" i="1"/>
  <c r="C3195" i="1"/>
  <c r="E3194" i="1"/>
  <c r="C3194" i="1"/>
  <c r="E3193" i="1"/>
  <c r="C3193" i="1"/>
  <c r="E3192" i="1"/>
  <c r="C3192" i="1"/>
  <c r="E3191" i="1"/>
  <c r="C3191" i="1"/>
  <c r="E3190" i="1"/>
  <c r="C3190" i="1"/>
  <c r="E3189" i="1"/>
  <c r="C3189" i="1"/>
  <c r="E3188" i="1"/>
  <c r="C3188" i="1"/>
  <c r="E3187" i="1"/>
  <c r="C3187" i="1"/>
  <c r="E3186" i="1"/>
  <c r="C3186" i="1"/>
  <c r="E3185" i="1"/>
  <c r="C3185" i="1"/>
  <c r="E3184" i="1"/>
  <c r="C3184" i="1"/>
  <c r="E3183" i="1"/>
  <c r="C3183" i="1"/>
  <c r="E3182" i="1"/>
  <c r="C3182" i="1"/>
  <c r="E3181" i="1"/>
  <c r="C3181" i="1"/>
  <c r="E3180" i="1"/>
  <c r="C3180" i="1"/>
  <c r="E3179" i="1"/>
  <c r="C3179" i="1"/>
  <c r="E3178" i="1"/>
  <c r="C3178" i="1"/>
  <c r="E3177" i="1"/>
  <c r="C3177" i="1"/>
  <c r="E3176" i="1"/>
  <c r="C3176" i="1"/>
  <c r="E3175" i="1"/>
  <c r="C3175" i="1"/>
  <c r="E3174" i="1"/>
  <c r="C3174" i="1"/>
  <c r="E3173" i="1"/>
  <c r="C3173" i="1"/>
  <c r="E3172" i="1"/>
  <c r="C3172" i="1"/>
  <c r="E3171" i="1"/>
  <c r="C3171" i="1"/>
  <c r="E3170" i="1"/>
  <c r="C3170" i="1"/>
  <c r="E3169" i="1"/>
  <c r="C3169" i="1"/>
  <c r="E3168" i="1"/>
  <c r="C3168" i="1"/>
  <c r="E3167" i="1"/>
  <c r="C3167" i="1"/>
  <c r="E3166" i="1"/>
  <c r="C3166" i="1"/>
  <c r="E3165" i="1"/>
  <c r="C3165" i="1"/>
  <c r="E3164" i="1"/>
  <c r="C3164" i="1"/>
  <c r="E3163" i="1"/>
  <c r="C3163" i="1"/>
  <c r="E3162" i="1"/>
  <c r="C3162" i="1"/>
  <c r="E3161" i="1"/>
  <c r="C3161" i="1"/>
  <c r="E3160" i="1"/>
  <c r="C3160" i="1"/>
  <c r="E3159" i="1"/>
  <c r="C3159" i="1"/>
  <c r="E3158" i="1"/>
  <c r="C3158" i="1"/>
  <c r="E3157" i="1"/>
  <c r="C3157" i="1"/>
  <c r="E3156" i="1"/>
  <c r="C3156" i="1"/>
  <c r="E3155" i="1"/>
  <c r="C3155" i="1"/>
  <c r="E3154" i="1"/>
  <c r="C3154" i="1"/>
  <c r="E3153" i="1"/>
  <c r="C3153" i="1"/>
  <c r="E3152" i="1"/>
  <c r="C3152" i="1"/>
  <c r="E3151" i="1"/>
  <c r="C3151" i="1"/>
  <c r="E3150" i="1"/>
  <c r="C3150" i="1"/>
  <c r="E3149" i="1"/>
  <c r="C3149" i="1"/>
  <c r="E3148" i="1"/>
  <c r="C3148" i="1"/>
  <c r="E3147" i="1"/>
  <c r="C3147" i="1"/>
  <c r="E3146" i="1"/>
  <c r="C3146" i="1"/>
  <c r="E3145" i="1"/>
  <c r="C3145" i="1"/>
  <c r="E3144" i="1"/>
  <c r="C3144" i="1"/>
  <c r="E3143" i="1"/>
  <c r="C3143" i="1"/>
  <c r="E3142" i="1"/>
  <c r="C3142" i="1"/>
  <c r="E3141" i="1"/>
  <c r="C3141" i="1"/>
  <c r="E3140" i="1"/>
  <c r="C3140" i="1"/>
  <c r="E3139" i="1"/>
  <c r="C3139" i="1"/>
  <c r="E3138" i="1"/>
  <c r="C3138" i="1"/>
  <c r="E3137" i="1"/>
  <c r="C3137" i="1"/>
  <c r="E3136" i="1"/>
  <c r="C3136" i="1"/>
  <c r="E3135" i="1"/>
  <c r="C3135" i="1"/>
  <c r="E3134" i="1"/>
  <c r="C3134" i="1"/>
  <c r="E3133" i="1"/>
  <c r="C3133" i="1"/>
  <c r="E3132" i="1"/>
  <c r="C3132" i="1"/>
  <c r="E3131" i="1"/>
  <c r="C3131" i="1"/>
  <c r="E3130" i="1"/>
  <c r="C3130" i="1"/>
  <c r="E3129" i="1"/>
  <c r="C3129" i="1"/>
  <c r="E3128" i="1"/>
  <c r="C3128" i="1"/>
  <c r="E3127" i="1"/>
  <c r="C3127" i="1"/>
  <c r="E3126" i="1"/>
  <c r="C3126" i="1"/>
  <c r="E3125" i="1"/>
  <c r="C3125" i="1"/>
  <c r="E3124" i="1"/>
  <c r="C3124" i="1"/>
  <c r="E3123" i="1"/>
  <c r="C3123" i="1"/>
  <c r="E3122" i="1"/>
  <c r="C3122" i="1"/>
  <c r="E3121" i="1"/>
  <c r="C3121" i="1"/>
  <c r="E3120" i="1"/>
  <c r="C3120" i="1"/>
  <c r="E3119" i="1"/>
  <c r="C3119" i="1"/>
  <c r="E3118" i="1"/>
  <c r="C3118" i="1"/>
  <c r="E3117" i="1"/>
  <c r="C3117" i="1"/>
  <c r="E3116" i="1"/>
  <c r="C3116" i="1"/>
  <c r="E3115" i="1"/>
  <c r="C3115" i="1"/>
  <c r="E3114" i="1"/>
  <c r="C3114" i="1"/>
  <c r="E3113" i="1"/>
  <c r="C3113" i="1"/>
  <c r="E3112" i="1"/>
  <c r="C3112" i="1"/>
  <c r="E3111" i="1"/>
  <c r="C3111" i="1"/>
  <c r="E3110" i="1"/>
  <c r="C3110" i="1"/>
  <c r="E3109" i="1"/>
  <c r="C3109" i="1"/>
  <c r="E3108" i="1"/>
  <c r="C3108" i="1"/>
  <c r="E3107" i="1"/>
  <c r="C3107" i="1"/>
  <c r="E3106" i="1"/>
  <c r="C3106" i="1"/>
  <c r="E3105" i="1"/>
  <c r="C3105" i="1"/>
  <c r="E3104" i="1"/>
  <c r="C3104" i="1"/>
  <c r="E3103" i="1"/>
  <c r="C3103" i="1"/>
  <c r="E3102" i="1"/>
  <c r="C3102" i="1"/>
  <c r="E3101" i="1"/>
  <c r="C3101" i="1"/>
  <c r="E3100" i="1"/>
  <c r="C3100" i="1"/>
  <c r="E3099" i="1"/>
  <c r="C3099" i="1"/>
  <c r="E3098" i="1"/>
  <c r="C3098" i="1"/>
  <c r="E3097" i="1"/>
  <c r="C3097" i="1"/>
  <c r="E3096" i="1"/>
  <c r="C3096" i="1"/>
  <c r="E3095" i="1"/>
  <c r="C3095" i="1"/>
  <c r="E3094" i="1"/>
  <c r="C3094" i="1"/>
  <c r="E3093" i="1"/>
  <c r="C3093" i="1"/>
  <c r="E3092" i="1"/>
  <c r="C3092" i="1"/>
  <c r="E3091" i="1"/>
  <c r="C3091" i="1"/>
  <c r="E3090" i="1"/>
  <c r="C3090" i="1"/>
  <c r="E3089" i="1"/>
  <c r="C3089" i="1"/>
  <c r="E3088" i="1"/>
  <c r="C3088" i="1"/>
  <c r="E3087" i="1"/>
  <c r="C3087" i="1"/>
  <c r="E3086" i="1"/>
  <c r="C3086" i="1"/>
  <c r="E3085" i="1"/>
  <c r="C3085" i="1"/>
  <c r="E3084" i="1"/>
  <c r="C3084" i="1"/>
  <c r="E3083" i="1"/>
  <c r="C3083" i="1"/>
  <c r="E3082" i="1"/>
  <c r="C3082" i="1"/>
  <c r="E3081" i="1"/>
  <c r="C3081" i="1"/>
  <c r="E3080" i="1"/>
  <c r="C3080" i="1"/>
  <c r="E3079" i="1"/>
  <c r="C3079" i="1"/>
  <c r="E3078" i="1"/>
  <c r="C3078" i="1"/>
  <c r="E3077" i="1"/>
  <c r="C3077" i="1"/>
  <c r="E3076" i="1"/>
  <c r="C3076" i="1"/>
  <c r="E3075" i="1"/>
  <c r="C3075" i="1"/>
  <c r="E3074" i="1"/>
  <c r="C3074" i="1"/>
  <c r="E3073" i="1"/>
  <c r="C3073" i="1"/>
  <c r="E3072" i="1"/>
  <c r="C3072" i="1"/>
  <c r="E3071" i="1"/>
  <c r="C3071" i="1"/>
  <c r="E3070" i="1"/>
  <c r="C3070" i="1"/>
  <c r="E3069" i="1"/>
  <c r="C3069" i="1"/>
  <c r="E3068" i="1"/>
  <c r="C3068" i="1"/>
  <c r="E3067" i="1"/>
  <c r="C3067" i="1"/>
  <c r="E3066" i="1"/>
  <c r="C3066" i="1"/>
  <c r="E3065" i="1"/>
  <c r="C3065" i="1"/>
  <c r="E3064" i="1"/>
  <c r="C3064" i="1"/>
  <c r="E3063" i="1"/>
  <c r="C3063" i="1"/>
  <c r="E3062" i="1"/>
  <c r="C3062" i="1"/>
  <c r="E3061" i="1"/>
  <c r="C3061" i="1"/>
  <c r="E3060" i="1"/>
  <c r="C3060" i="1"/>
  <c r="E3059" i="1"/>
  <c r="C3059" i="1"/>
  <c r="E3058" i="1"/>
  <c r="C3058" i="1"/>
  <c r="E3057" i="1"/>
  <c r="C3057" i="1"/>
  <c r="E3056" i="1"/>
  <c r="C3056" i="1"/>
  <c r="E3055" i="1"/>
  <c r="C3055" i="1"/>
  <c r="E3054" i="1"/>
  <c r="C3054" i="1"/>
  <c r="E3053" i="1"/>
  <c r="C3053" i="1"/>
  <c r="E3052" i="1"/>
  <c r="C3052" i="1"/>
  <c r="E3051" i="1"/>
  <c r="C3051" i="1"/>
  <c r="E3050" i="1"/>
  <c r="C3050" i="1"/>
  <c r="E3049" i="1"/>
  <c r="C3049" i="1"/>
  <c r="E3048" i="1"/>
  <c r="C3048" i="1"/>
  <c r="E3047" i="1"/>
  <c r="C3047" i="1"/>
  <c r="E3046" i="1"/>
  <c r="C3046" i="1"/>
  <c r="E3045" i="1"/>
  <c r="C3045" i="1"/>
  <c r="E3044" i="1"/>
  <c r="C3044" i="1"/>
  <c r="E3043" i="1"/>
  <c r="C3043" i="1"/>
  <c r="E3042" i="1"/>
  <c r="C3042" i="1"/>
  <c r="E3041" i="1"/>
  <c r="C3041" i="1"/>
  <c r="E3040" i="1"/>
  <c r="C3040" i="1"/>
  <c r="E3039" i="1"/>
  <c r="C3039" i="1"/>
  <c r="E3038" i="1"/>
  <c r="C3038" i="1"/>
  <c r="E3037" i="1"/>
  <c r="C3037" i="1"/>
  <c r="E3036" i="1"/>
  <c r="C3036" i="1"/>
  <c r="E3035" i="1"/>
  <c r="C3035" i="1"/>
  <c r="E3034" i="1"/>
  <c r="C3034" i="1"/>
  <c r="E3033" i="1"/>
  <c r="C3033" i="1"/>
  <c r="E3032" i="1"/>
  <c r="C3032" i="1"/>
  <c r="E3031" i="1"/>
  <c r="C3031" i="1"/>
  <c r="E3030" i="1"/>
  <c r="C3030" i="1"/>
  <c r="E3029" i="1"/>
  <c r="C3029" i="1"/>
  <c r="E3028" i="1"/>
  <c r="C3028" i="1"/>
  <c r="E3027" i="1"/>
  <c r="C3027" i="1"/>
  <c r="E3026" i="1"/>
  <c r="C3026" i="1"/>
  <c r="E3025" i="1"/>
  <c r="C3025" i="1"/>
  <c r="E3024" i="1"/>
  <c r="C3024" i="1"/>
  <c r="E3023" i="1"/>
  <c r="C3023" i="1"/>
  <c r="E3022" i="1"/>
  <c r="C3022" i="1"/>
  <c r="E3021" i="1"/>
  <c r="C3021" i="1"/>
  <c r="E3020" i="1"/>
  <c r="C3020" i="1"/>
  <c r="E3019" i="1"/>
  <c r="C3019" i="1"/>
  <c r="E3018" i="1"/>
  <c r="C3018" i="1"/>
  <c r="E3017" i="1"/>
  <c r="C3017" i="1"/>
  <c r="E3016" i="1"/>
  <c r="C3016" i="1"/>
  <c r="E3015" i="1"/>
  <c r="C3015" i="1"/>
  <c r="E3014" i="1"/>
  <c r="C3014" i="1"/>
  <c r="E3013" i="1"/>
  <c r="C3013" i="1"/>
  <c r="E3012" i="1"/>
  <c r="C3012" i="1"/>
  <c r="E3011" i="1"/>
  <c r="C3011" i="1"/>
  <c r="E3010" i="1"/>
  <c r="C3010" i="1"/>
  <c r="E3009" i="1"/>
  <c r="C3009" i="1"/>
  <c r="E3008" i="1"/>
  <c r="C3008" i="1"/>
  <c r="E3007" i="1"/>
  <c r="C3007" i="1"/>
  <c r="E3006" i="1"/>
  <c r="C3006" i="1"/>
  <c r="E3005" i="1"/>
  <c r="C3005" i="1"/>
  <c r="E3004" i="1"/>
  <c r="C3004" i="1"/>
  <c r="E3003" i="1"/>
  <c r="C3003" i="1"/>
  <c r="E3002" i="1"/>
  <c r="C3002" i="1"/>
  <c r="E3001" i="1"/>
  <c r="C3001" i="1"/>
  <c r="E3000" i="1"/>
  <c r="C3000" i="1"/>
  <c r="E2999" i="1"/>
  <c r="C2999" i="1"/>
  <c r="E2998" i="1"/>
  <c r="C2998" i="1"/>
  <c r="E2997" i="1"/>
  <c r="C2997" i="1"/>
  <c r="E2996" i="1"/>
  <c r="C2996" i="1"/>
  <c r="E2995" i="1"/>
  <c r="C2995" i="1"/>
  <c r="E2994" i="1"/>
  <c r="C2994" i="1"/>
  <c r="E2993" i="1"/>
  <c r="C2993" i="1"/>
  <c r="E2992" i="1"/>
  <c r="C2992" i="1"/>
  <c r="E2991" i="1"/>
  <c r="C2991" i="1"/>
  <c r="E2990" i="1"/>
  <c r="C2990" i="1"/>
  <c r="E2989" i="1"/>
  <c r="C2989" i="1"/>
  <c r="E2988" i="1"/>
  <c r="C2988" i="1"/>
  <c r="E2987" i="1"/>
  <c r="C2987" i="1"/>
  <c r="E2986" i="1"/>
  <c r="C2986" i="1"/>
  <c r="E2985" i="1"/>
  <c r="C2985" i="1"/>
  <c r="E2984" i="1"/>
  <c r="C2984" i="1"/>
  <c r="E2983" i="1"/>
  <c r="C2983" i="1"/>
  <c r="E2982" i="1"/>
  <c r="C2982" i="1"/>
  <c r="E2981" i="1"/>
  <c r="C2981" i="1"/>
  <c r="E2980" i="1"/>
  <c r="C2980" i="1"/>
  <c r="E2979" i="1"/>
  <c r="C2979" i="1"/>
  <c r="E2978" i="1"/>
  <c r="C2978" i="1"/>
  <c r="E2977" i="1"/>
  <c r="C2977" i="1"/>
  <c r="E2976" i="1"/>
  <c r="C2976" i="1"/>
  <c r="E2975" i="1"/>
  <c r="C2975" i="1"/>
  <c r="E2974" i="1"/>
  <c r="C2974" i="1"/>
  <c r="E2973" i="1"/>
  <c r="C2973" i="1"/>
  <c r="E2972" i="1"/>
  <c r="C2972" i="1"/>
  <c r="E2971" i="1"/>
  <c r="C2971" i="1"/>
  <c r="E2970" i="1"/>
  <c r="C2970" i="1"/>
  <c r="E2969" i="1"/>
  <c r="C2969" i="1"/>
  <c r="E2968" i="1"/>
  <c r="C2968" i="1"/>
  <c r="E2967" i="1"/>
  <c r="C2967" i="1"/>
  <c r="E2966" i="1"/>
  <c r="C2966" i="1"/>
  <c r="E2965" i="1"/>
  <c r="C2965" i="1"/>
  <c r="E2964" i="1"/>
  <c r="C2964" i="1"/>
  <c r="E2963" i="1"/>
  <c r="C2963" i="1"/>
  <c r="E2962" i="1"/>
  <c r="C2962" i="1"/>
  <c r="E2961" i="1"/>
  <c r="C2961" i="1"/>
  <c r="E2960" i="1"/>
  <c r="C2960" i="1"/>
  <c r="E2959" i="1"/>
  <c r="C2959" i="1"/>
  <c r="E2958" i="1"/>
  <c r="C2958" i="1"/>
  <c r="E2957" i="1"/>
  <c r="C2957" i="1"/>
  <c r="E2956" i="1"/>
  <c r="C2956" i="1"/>
  <c r="E2955" i="1"/>
  <c r="C2955" i="1"/>
  <c r="E2954" i="1"/>
  <c r="C2954" i="1"/>
  <c r="E2953" i="1"/>
  <c r="C2953" i="1"/>
  <c r="E2952" i="1"/>
  <c r="C2952" i="1"/>
  <c r="E2951" i="1"/>
  <c r="C2951" i="1"/>
  <c r="E2950" i="1"/>
  <c r="C2950" i="1"/>
  <c r="E2949" i="1"/>
  <c r="C2949" i="1"/>
  <c r="E2948" i="1"/>
  <c r="C2948" i="1"/>
  <c r="E2947" i="1"/>
  <c r="C2947" i="1"/>
  <c r="E2946" i="1"/>
  <c r="C2946" i="1"/>
  <c r="E2945" i="1"/>
  <c r="C2945" i="1"/>
  <c r="E2944" i="1"/>
  <c r="C2944" i="1"/>
  <c r="E2943" i="1"/>
  <c r="C2943" i="1"/>
  <c r="E2942" i="1"/>
  <c r="C2942" i="1"/>
  <c r="E2941" i="1"/>
  <c r="C2941" i="1"/>
  <c r="E2940" i="1"/>
  <c r="C2940" i="1"/>
  <c r="E2939" i="1"/>
  <c r="C2939" i="1"/>
  <c r="E2938" i="1"/>
  <c r="C2938" i="1"/>
  <c r="E2937" i="1"/>
  <c r="C2937" i="1"/>
  <c r="E2936" i="1"/>
  <c r="C2936" i="1"/>
  <c r="E2935" i="1"/>
  <c r="C2935" i="1"/>
  <c r="E2934" i="1"/>
  <c r="C2934" i="1"/>
  <c r="E2933" i="1"/>
  <c r="C2933" i="1"/>
  <c r="E2932" i="1"/>
  <c r="C2932" i="1"/>
  <c r="E2931" i="1"/>
  <c r="C2931" i="1"/>
  <c r="E2930" i="1"/>
  <c r="C2930" i="1"/>
  <c r="E2929" i="1"/>
  <c r="C2929" i="1"/>
  <c r="E2928" i="1"/>
  <c r="C2928" i="1"/>
  <c r="E2927" i="1"/>
  <c r="C2927" i="1"/>
  <c r="E2926" i="1"/>
  <c r="C2926" i="1"/>
  <c r="E2925" i="1"/>
  <c r="C2925" i="1"/>
  <c r="E2924" i="1"/>
  <c r="C2924" i="1"/>
  <c r="E2923" i="1"/>
  <c r="C2923" i="1"/>
  <c r="E2922" i="1"/>
  <c r="C2922" i="1"/>
  <c r="E2921" i="1"/>
  <c r="C2921" i="1"/>
  <c r="E2920" i="1"/>
  <c r="C2920" i="1"/>
  <c r="E2919" i="1"/>
  <c r="C2919" i="1"/>
  <c r="E2918" i="1"/>
  <c r="C2918" i="1"/>
  <c r="E2917" i="1"/>
  <c r="C2917" i="1"/>
  <c r="E2916" i="1"/>
  <c r="C2916" i="1"/>
  <c r="E2915" i="1"/>
  <c r="C2915" i="1"/>
  <c r="E2914" i="1"/>
  <c r="C2914" i="1"/>
  <c r="E2913" i="1"/>
  <c r="C2913" i="1"/>
  <c r="E2912" i="1"/>
  <c r="C2912" i="1"/>
  <c r="E2911" i="1"/>
  <c r="C2911" i="1"/>
  <c r="E2910" i="1"/>
  <c r="C2910" i="1"/>
  <c r="E2909" i="1"/>
  <c r="C2909" i="1"/>
  <c r="E2908" i="1"/>
  <c r="C2908" i="1"/>
  <c r="E2907" i="1"/>
  <c r="C2907" i="1"/>
  <c r="E2906" i="1"/>
  <c r="C2906" i="1"/>
  <c r="E2905" i="1"/>
  <c r="C2905" i="1"/>
  <c r="E2904" i="1"/>
  <c r="C2904" i="1"/>
  <c r="E2903" i="1"/>
  <c r="C2903" i="1"/>
  <c r="E2902" i="1"/>
  <c r="C2902" i="1"/>
  <c r="E2901" i="1"/>
  <c r="C2901" i="1"/>
  <c r="E2900" i="1"/>
  <c r="C2900" i="1"/>
  <c r="E2899" i="1"/>
  <c r="C2899" i="1"/>
  <c r="E2898" i="1"/>
  <c r="C2898" i="1"/>
  <c r="E2897" i="1"/>
  <c r="C2897" i="1"/>
  <c r="E2896" i="1"/>
  <c r="C2896" i="1"/>
  <c r="E2895" i="1"/>
  <c r="C2895" i="1"/>
  <c r="E2894" i="1"/>
  <c r="C2894" i="1"/>
  <c r="E2893" i="1"/>
  <c r="C2893" i="1"/>
  <c r="E2892" i="1"/>
  <c r="C2892" i="1"/>
  <c r="E2891" i="1"/>
  <c r="C2891" i="1"/>
  <c r="E2890" i="1"/>
  <c r="C2890" i="1"/>
  <c r="E2889" i="1"/>
  <c r="C2889" i="1"/>
  <c r="E2888" i="1"/>
  <c r="C2888" i="1"/>
  <c r="E2887" i="1"/>
  <c r="C2887" i="1"/>
  <c r="E2886" i="1"/>
  <c r="C2886" i="1"/>
  <c r="E2885" i="1"/>
  <c r="C2885" i="1"/>
  <c r="E2884" i="1"/>
  <c r="C2884" i="1"/>
  <c r="E2883" i="1"/>
  <c r="C2883" i="1"/>
  <c r="E2882" i="1"/>
  <c r="C2882" i="1"/>
  <c r="E2881" i="1"/>
  <c r="C2881" i="1"/>
  <c r="E2880" i="1"/>
  <c r="C2880" i="1"/>
  <c r="E2879" i="1"/>
  <c r="C2879" i="1"/>
  <c r="E2878" i="1"/>
  <c r="C2878" i="1"/>
  <c r="E2877" i="1"/>
  <c r="C2877" i="1"/>
  <c r="E2876" i="1"/>
  <c r="C2876" i="1"/>
  <c r="E2875" i="1"/>
  <c r="C2875" i="1"/>
  <c r="E2874" i="1"/>
  <c r="C2874" i="1"/>
  <c r="E2873" i="1"/>
  <c r="C2873" i="1"/>
  <c r="E2872" i="1"/>
  <c r="C2872" i="1"/>
  <c r="E2871" i="1"/>
  <c r="C2871" i="1"/>
  <c r="E2870" i="1"/>
  <c r="C2870" i="1"/>
  <c r="E2869" i="1"/>
  <c r="C2869" i="1"/>
  <c r="E2868" i="1"/>
  <c r="C2868" i="1"/>
  <c r="E2867" i="1"/>
  <c r="C2867" i="1"/>
  <c r="E2866" i="1"/>
  <c r="C2866" i="1"/>
  <c r="E2865" i="1"/>
  <c r="C2865" i="1"/>
  <c r="E2864" i="1"/>
  <c r="C2864" i="1"/>
  <c r="E2863" i="1"/>
  <c r="C2863" i="1"/>
  <c r="E2862" i="1"/>
  <c r="C2862" i="1"/>
  <c r="E2861" i="1"/>
  <c r="C2861" i="1"/>
  <c r="E2860" i="1"/>
  <c r="C2860" i="1"/>
  <c r="E2859" i="1"/>
  <c r="C2859" i="1"/>
  <c r="E2858" i="1"/>
  <c r="C2858" i="1"/>
  <c r="E2857" i="1"/>
  <c r="C2857" i="1"/>
  <c r="E2856" i="1"/>
  <c r="C2856" i="1"/>
  <c r="E2855" i="1"/>
  <c r="C2855" i="1"/>
  <c r="E2854" i="1"/>
  <c r="C2854" i="1"/>
  <c r="E2853" i="1"/>
  <c r="C2853" i="1"/>
  <c r="E2852" i="1"/>
  <c r="C2852" i="1"/>
  <c r="E2851" i="1"/>
  <c r="C2851" i="1"/>
  <c r="E2850" i="1"/>
  <c r="C2850" i="1"/>
  <c r="E2849" i="1"/>
  <c r="C2849" i="1"/>
  <c r="E2848" i="1"/>
  <c r="C2848" i="1"/>
  <c r="E2847" i="1"/>
  <c r="C2847" i="1"/>
  <c r="E2846" i="1"/>
  <c r="C2846" i="1"/>
  <c r="E2845" i="1"/>
  <c r="C2845" i="1"/>
  <c r="E2844" i="1"/>
  <c r="C2844" i="1"/>
  <c r="E2843" i="1"/>
  <c r="C2843" i="1"/>
  <c r="E2842" i="1"/>
  <c r="C2842" i="1"/>
  <c r="E2841" i="1"/>
  <c r="C2841" i="1"/>
  <c r="E2840" i="1"/>
  <c r="C2840" i="1"/>
  <c r="E2839" i="1"/>
  <c r="C2839" i="1"/>
  <c r="E2838" i="1"/>
  <c r="C2838" i="1"/>
  <c r="E2837" i="1"/>
  <c r="C2837" i="1"/>
  <c r="E2836" i="1"/>
  <c r="C2836" i="1"/>
  <c r="E2835" i="1"/>
  <c r="C2835" i="1"/>
  <c r="E2834" i="1"/>
  <c r="C2834" i="1"/>
  <c r="E2833" i="1"/>
  <c r="C2833" i="1"/>
  <c r="E2832" i="1"/>
  <c r="C2832" i="1"/>
  <c r="E2831" i="1"/>
  <c r="C2831" i="1"/>
  <c r="E2830" i="1"/>
  <c r="C2830" i="1"/>
  <c r="E2829" i="1"/>
  <c r="C2829" i="1"/>
  <c r="E2828" i="1"/>
  <c r="C2828" i="1"/>
  <c r="E2827" i="1"/>
  <c r="C2827" i="1"/>
  <c r="E2826" i="1"/>
  <c r="C2826" i="1"/>
  <c r="E2825" i="1"/>
  <c r="C2825" i="1"/>
  <c r="E2824" i="1"/>
  <c r="C2824" i="1"/>
  <c r="E2823" i="1"/>
  <c r="C2823" i="1"/>
  <c r="E2822" i="1"/>
  <c r="C2822" i="1"/>
  <c r="E2821" i="1"/>
  <c r="C2821" i="1"/>
  <c r="E2820" i="1"/>
  <c r="C2820" i="1"/>
  <c r="E2819" i="1"/>
  <c r="C2819" i="1"/>
  <c r="E2818" i="1"/>
  <c r="C2818" i="1"/>
  <c r="E2817" i="1"/>
  <c r="C2817" i="1"/>
  <c r="E2816" i="1"/>
  <c r="C2816" i="1"/>
  <c r="E2815" i="1"/>
  <c r="C2815" i="1"/>
  <c r="E2814" i="1"/>
  <c r="C2814" i="1"/>
  <c r="E2813" i="1"/>
  <c r="C2813" i="1"/>
  <c r="E2812" i="1"/>
  <c r="C2812" i="1"/>
  <c r="E2811" i="1"/>
  <c r="C2811" i="1"/>
  <c r="E2810" i="1"/>
  <c r="C2810" i="1"/>
  <c r="E2809" i="1"/>
  <c r="C2809" i="1"/>
  <c r="E2808" i="1"/>
  <c r="C2808" i="1"/>
  <c r="E2807" i="1"/>
  <c r="C2807" i="1"/>
  <c r="E2806" i="1"/>
  <c r="C2806" i="1"/>
  <c r="E2805" i="1"/>
  <c r="C2805" i="1"/>
  <c r="E2804" i="1"/>
  <c r="C2804" i="1"/>
  <c r="E2803" i="1"/>
  <c r="C2803" i="1"/>
  <c r="E2802" i="1"/>
  <c r="C2802" i="1"/>
  <c r="E2801" i="1"/>
  <c r="C2801" i="1"/>
  <c r="E2800" i="1"/>
  <c r="C2800" i="1"/>
  <c r="E2799" i="1"/>
  <c r="C2799" i="1"/>
  <c r="E2798" i="1"/>
  <c r="C2798" i="1"/>
  <c r="E2797" i="1"/>
  <c r="C2797" i="1"/>
  <c r="E2796" i="1"/>
  <c r="C2796" i="1"/>
  <c r="E2795" i="1"/>
  <c r="C2795" i="1"/>
  <c r="E2794" i="1"/>
  <c r="C2794" i="1"/>
  <c r="E2793" i="1"/>
  <c r="C2793" i="1"/>
  <c r="E2792" i="1"/>
  <c r="C2792" i="1"/>
  <c r="E2791" i="1"/>
  <c r="C2791" i="1"/>
  <c r="E2790" i="1"/>
  <c r="C2790" i="1"/>
  <c r="E2789" i="1"/>
  <c r="C2789" i="1"/>
  <c r="E2788" i="1"/>
  <c r="C2788" i="1"/>
  <c r="E2787" i="1"/>
  <c r="C2787" i="1"/>
  <c r="E2786" i="1"/>
  <c r="C2786" i="1"/>
  <c r="E2785" i="1"/>
  <c r="C2785" i="1"/>
  <c r="E2784" i="1"/>
  <c r="C2784" i="1"/>
  <c r="E2783" i="1"/>
  <c r="C2783" i="1"/>
  <c r="E2782" i="1"/>
  <c r="C2782" i="1"/>
  <c r="E2781" i="1"/>
  <c r="C2781" i="1"/>
  <c r="E2780" i="1"/>
  <c r="C2780" i="1"/>
  <c r="E2779" i="1"/>
  <c r="C2779" i="1"/>
  <c r="E2778" i="1"/>
  <c r="C2778" i="1"/>
  <c r="E2777" i="1"/>
  <c r="C2777" i="1"/>
  <c r="E2776" i="1"/>
  <c r="C2776" i="1"/>
  <c r="E2775" i="1"/>
  <c r="C2775" i="1"/>
  <c r="E2774" i="1"/>
  <c r="C2774" i="1"/>
  <c r="E2773" i="1"/>
  <c r="C2773" i="1"/>
  <c r="E2772" i="1"/>
  <c r="C2772" i="1"/>
  <c r="E2771" i="1"/>
  <c r="C2771" i="1"/>
  <c r="E2770" i="1"/>
  <c r="C2770" i="1"/>
  <c r="E2769" i="1"/>
  <c r="C2769" i="1"/>
  <c r="E2768" i="1"/>
  <c r="C2768" i="1"/>
  <c r="E2767" i="1"/>
  <c r="C2767" i="1"/>
  <c r="E2766" i="1"/>
  <c r="C2766" i="1"/>
  <c r="E2765" i="1"/>
  <c r="C2765" i="1"/>
  <c r="E2764" i="1"/>
  <c r="C2764" i="1"/>
  <c r="E2763" i="1"/>
  <c r="C2763" i="1"/>
  <c r="E2762" i="1"/>
  <c r="C2762" i="1"/>
  <c r="E2761" i="1"/>
  <c r="C2761" i="1"/>
  <c r="E2760" i="1"/>
  <c r="C2760" i="1"/>
  <c r="E2759" i="1"/>
  <c r="C2759" i="1"/>
  <c r="E2758" i="1"/>
  <c r="C2758" i="1"/>
  <c r="E2757" i="1"/>
  <c r="C2757" i="1"/>
  <c r="E2756" i="1"/>
  <c r="C2756" i="1"/>
  <c r="E2755" i="1"/>
  <c r="C2755" i="1"/>
  <c r="E2754" i="1"/>
  <c r="C2754" i="1"/>
  <c r="E2753" i="1"/>
  <c r="C2753" i="1"/>
  <c r="E2752" i="1"/>
  <c r="C2752" i="1"/>
  <c r="E2751" i="1"/>
  <c r="C2751" i="1"/>
  <c r="E2750" i="1"/>
  <c r="C2750" i="1"/>
  <c r="E2749" i="1"/>
  <c r="C2749" i="1"/>
  <c r="E2748" i="1"/>
  <c r="C2748" i="1"/>
  <c r="E2747" i="1"/>
  <c r="C2747" i="1"/>
  <c r="E2746" i="1"/>
  <c r="C2746" i="1"/>
  <c r="E2745" i="1"/>
  <c r="C2745" i="1"/>
  <c r="E2744" i="1"/>
  <c r="C2744" i="1"/>
  <c r="E2743" i="1"/>
  <c r="C2743" i="1"/>
  <c r="E2742" i="1"/>
  <c r="C2742" i="1"/>
  <c r="E2741" i="1"/>
  <c r="C2741" i="1"/>
  <c r="E2740" i="1"/>
  <c r="C2740" i="1"/>
  <c r="E2739" i="1"/>
  <c r="C2739" i="1"/>
  <c r="E2738" i="1"/>
  <c r="C2738" i="1"/>
  <c r="E2737" i="1"/>
  <c r="C2737" i="1"/>
  <c r="E2736" i="1"/>
  <c r="C2736" i="1"/>
  <c r="E2735" i="1"/>
  <c r="C2735" i="1"/>
  <c r="E2734" i="1"/>
  <c r="C2734" i="1"/>
  <c r="E2733" i="1"/>
  <c r="C2733" i="1"/>
  <c r="E2732" i="1"/>
  <c r="C2732" i="1"/>
  <c r="E2731" i="1"/>
  <c r="C2731" i="1"/>
  <c r="E2730" i="1"/>
  <c r="C2730" i="1"/>
  <c r="E2729" i="1"/>
  <c r="C2729" i="1"/>
  <c r="E2728" i="1"/>
  <c r="C2728" i="1"/>
  <c r="E2727" i="1"/>
  <c r="C2727" i="1"/>
  <c r="E2726" i="1"/>
  <c r="C2726" i="1"/>
  <c r="E2725" i="1"/>
  <c r="C2725" i="1"/>
  <c r="E2724" i="1"/>
  <c r="C2724" i="1"/>
  <c r="E2723" i="1"/>
  <c r="C2723" i="1"/>
  <c r="E2722" i="1"/>
  <c r="C2722" i="1"/>
  <c r="E2721" i="1"/>
  <c r="C2721" i="1"/>
  <c r="E2720" i="1"/>
  <c r="C2720" i="1"/>
  <c r="E2719" i="1"/>
  <c r="C2719" i="1"/>
  <c r="E2718" i="1"/>
  <c r="C2718" i="1"/>
  <c r="E2717" i="1"/>
  <c r="C2717" i="1"/>
  <c r="E2716" i="1"/>
  <c r="C2716" i="1"/>
  <c r="E2715" i="1"/>
  <c r="C2715" i="1"/>
  <c r="E2714" i="1"/>
  <c r="C2714" i="1"/>
  <c r="E2713" i="1"/>
  <c r="C2713" i="1"/>
  <c r="E2712" i="1"/>
  <c r="C2712" i="1"/>
  <c r="E2711" i="1"/>
  <c r="C2711" i="1"/>
  <c r="E2710" i="1"/>
  <c r="C2710" i="1"/>
  <c r="E2709" i="1"/>
  <c r="C2709" i="1"/>
  <c r="E2708" i="1"/>
  <c r="C2708" i="1"/>
  <c r="E2707" i="1"/>
  <c r="C2707" i="1"/>
  <c r="E2706" i="1"/>
  <c r="C2706" i="1"/>
  <c r="E2705" i="1"/>
  <c r="C2705" i="1"/>
  <c r="E2704" i="1"/>
  <c r="C2704" i="1"/>
  <c r="E2703" i="1"/>
  <c r="C2703" i="1"/>
  <c r="E2702" i="1"/>
  <c r="C2702" i="1"/>
  <c r="E2701" i="1"/>
  <c r="C2701" i="1"/>
  <c r="E2700" i="1"/>
  <c r="C2700" i="1"/>
  <c r="E2699" i="1"/>
  <c r="C2699" i="1"/>
  <c r="E2698" i="1"/>
  <c r="C2698" i="1"/>
  <c r="E2697" i="1"/>
  <c r="C2697" i="1"/>
  <c r="E2696" i="1"/>
  <c r="C2696" i="1"/>
  <c r="E2695" i="1"/>
  <c r="C2695" i="1"/>
  <c r="E2694" i="1"/>
  <c r="C2694" i="1"/>
  <c r="E2693" i="1"/>
  <c r="C2693" i="1"/>
  <c r="E2692" i="1"/>
  <c r="C2692" i="1"/>
  <c r="E2691" i="1"/>
  <c r="C2691" i="1"/>
  <c r="E2690" i="1"/>
  <c r="C2690" i="1"/>
  <c r="E2689" i="1"/>
  <c r="C2689" i="1"/>
  <c r="E2688" i="1"/>
  <c r="C2688" i="1"/>
  <c r="E2687" i="1"/>
  <c r="C2687" i="1"/>
  <c r="E2686" i="1"/>
  <c r="C2686" i="1"/>
  <c r="E2685" i="1"/>
  <c r="C2685" i="1"/>
  <c r="E2684" i="1"/>
  <c r="C2684" i="1"/>
  <c r="E2683" i="1"/>
  <c r="C2683" i="1"/>
  <c r="E2682" i="1"/>
  <c r="C2682" i="1"/>
  <c r="E2681" i="1"/>
  <c r="C2681" i="1"/>
  <c r="E2680" i="1"/>
  <c r="C2680" i="1"/>
  <c r="E2679" i="1"/>
  <c r="C2679" i="1"/>
  <c r="E2678" i="1"/>
  <c r="C2678" i="1"/>
  <c r="E2677" i="1"/>
  <c r="C2677" i="1"/>
  <c r="E2676" i="1"/>
  <c r="C2676" i="1"/>
  <c r="E2675" i="1"/>
  <c r="C2675" i="1"/>
  <c r="E2674" i="1"/>
  <c r="C2674" i="1"/>
  <c r="E2673" i="1"/>
  <c r="C2673" i="1"/>
  <c r="E2672" i="1"/>
  <c r="C2672" i="1"/>
  <c r="E2671" i="1"/>
  <c r="C2671" i="1"/>
  <c r="E2670" i="1"/>
  <c r="C2670" i="1"/>
  <c r="E2669" i="1"/>
  <c r="C2669" i="1"/>
  <c r="E2668" i="1"/>
  <c r="C2668" i="1"/>
  <c r="E2667" i="1"/>
  <c r="C2667" i="1"/>
  <c r="E2666" i="1"/>
  <c r="C2666" i="1"/>
  <c r="E2665" i="1"/>
  <c r="C2665" i="1"/>
  <c r="E2664" i="1"/>
  <c r="C2664" i="1"/>
  <c r="E2663" i="1"/>
  <c r="C2663" i="1"/>
  <c r="E2662" i="1"/>
  <c r="C2662" i="1"/>
  <c r="E2661" i="1"/>
  <c r="C2661" i="1"/>
  <c r="E2660" i="1"/>
  <c r="C2660" i="1"/>
  <c r="E2659" i="1"/>
  <c r="C2659" i="1"/>
  <c r="E2658" i="1"/>
  <c r="C2658" i="1"/>
  <c r="E2657" i="1"/>
  <c r="C2657" i="1"/>
  <c r="E2656" i="1"/>
  <c r="C2656" i="1"/>
  <c r="E2655" i="1"/>
  <c r="C2655" i="1"/>
  <c r="E2654" i="1"/>
  <c r="C2654" i="1"/>
  <c r="E2653" i="1"/>
  <c r="C2653" i="1"/>
  <c r="E2652" i="1"/>
  <c r="C2652" i="1"/>
  <c r="E2651" i="1"/>
  <c r="C2651" i="1"/>
  <c r="E2650" i="1"/>
  <c r="C2650" i="1"/>
  <c r="E2649" i="1"/>
  <c r="C2649" i="1"/>
  <c r="E2648" i="1"/>
  <c r="C2648" i="1"/>
  <c r="E2647" i="1"/>
  <c r="C2647" i="1"/>
  <c r="E2646" i="1"/>
  <c r="C2646" i="1"/>
  <c r="E2645" i="1"/>
  <c r="C2645" i="1"/>
  <c r="E2644" i="1"/>
  <c r="C2644" i="1"/>
  <c r="E2643" i="1"/>
  <c r="C2643" i="1"/>
  <c r="E2642" i="1"/>
  <c r="C2642" i="1"/>
  <c r="E2641" i="1"/>
  <c r="C2641" i="1"/>
  <c r="E2640" i="1"/>
  <c r="C2640" i="1"/>
  <c r="E2639" i="1"/>
  <c r="C2639" i="1"/>
  <c r="E2638" i="1"/>
  <c r="C2638" i="1"/>
  <c r="E2637" i="1"/>
  <c r="C2637" i="1"/>
  <c r="E2636" i="1"/>
  <c r="C2636" i="1"/>
  <c r="E2635" i="1"/>
  <c r="C2635" i="1"/>
  <c r="E2634" i="1"/>
  <c r="C2634" i="1"/>
  <c r="E2633" i="1"/>
  <c r="C2633" i="1"/>
  <c r="E2632" i="1"/>
  <c r="C2632" i="1"/>
  <c r="E2631" i="1"/>
  <c r="C2631" i="1"/>
  <c r="E2630" i="1"/>
  <c r="C2630" i="1"/>
  <c r="E2629" i="1"/>
  <c r="C2629" i="1"/>
  <c r="E2628" i="1"/>
  <c r="C2628" i="1"/>
  <c r="E2627" i="1"/>
  <c r="C2627" i="1"/>
  <c r="E2626" i="1"/>
  <c r="C2626" i="1"/>
  <c r="E2625" i="1"/>
  <c r="C2625" i="1"/>
  <c r="E2624" i="1"/>
  <c r="C2624" i="1"/>
  <c r="E2623" i="1"/>
  <c r="C2623" i="1"/>
  <c r="E2622" i="1"/>
  <c r="C2622" i="1"/>
  <c r="E2621" i="1"/>
  <c r="C2621" i="1"/>
  <c r="E2620" i="1"/>
  <c r="C2620" i="1"/>
  <c r="E2619" i="1"/>
  <c r="C2619" i="1"/>
  <c r="E2618" i="1"/>
  <c r="C2618" i="1"/>
  <c r="E2617" i="1"/>
  <c r="C2617" i="1"/>
  <c r="E2616" i="1"/>
  <c r="C2616" i="1"/>
  <c r="E2615" i="1"/>
  <c r="C2615" i="1"/>
  <c r="E2614" i="1"/>
  <c r="C2614" i="1"/>
  <c r="E2613" i="1"/>
  <c r="C2613" i="1"/>
  <c r="E2612" i="1"/>
  <c r="C2612" i="1"/>
  <c r="E2611" i="1"/>
  <c r="C2611" i="1"/>
  <c r="E2610" i="1"/>
  <c r="C2610" i="1"/>
  <c r="E2609" i="1"/>
  <c r="C2609" i="1"/>
  <c r="E2608" i="1"/>
  <c r="C2608" i="1"/>
  <c r="E2607" i="1"/>
  <c r="C2607" i="1"/>
  <c r="E2606" i="1"/>
  <c r="C2606" i="1"/>
  <c r="E2605" i="1"/>
  <c r="C2605" i="1"/>
  <c r="E2604" i="1"/>
  <c r="C2604" i="1"/>
  <c r="E2603" i="1"/>
  <c r="C2603" i="1"/>
  <c r="E2602" i="1"/>
  <c r="C2602" i="1"/>
  <c r="E2601" i="1"/>
  <c r="C2601" i="1"/>
  <c r="E2600" i="1"/>
  <c r="C2600" i="1"/>
  <c r="E2599" i="1"/>
  <c r="C2599" i="1"/>
  <c r="E2598" i="1"/>
  <c r="C2598" i="1"/>
  <c r="E2597" i="1"/>
  <c r="C2597" i="1"/>
  <c r="E2596" i="1"/>
  <c r="C2596" i="1"/>
  <c r="E2595" i="1"/>
  <c r="C2595" i="1"/>
  <c r="E2594" i="1"/>
  <c r="C2594" i="1"/>
  <c r="E2593" i="1"/>
  <c r="C2593" i="1"/>
  <c r="E2592" i="1"/>
  <c r="C2592" i="1"/>
  <c r="E2591" i="1"/>
  <c r="C2591" i="1"/>
  <c r="E2590" i="1"/>
  <c r="C2590" i="1"/>
  <c r="E2589" i="1"/>
  <c r="C2589" i="1"/>
  <c r="E2588" i="1"/>
  <c r="C2588" i="1"/>
  <c r="E2587" i="1"/>
  <c r="C2587" i="1"/>
  <c r="E2586" i="1"/>
  <c r="C2586" i="1"/>
  <c r="E2585" i="1"/>
  <c r="C2585" i="1"/>
  <c r="E2584" i="1"/>
  <c r="C2584" i="1"/>
  <c r="E2583" i="1"/>
  <c r="C2583" i="1"/>
  <c r="E2582" i="1"/>
  <c r="C2582" i="1"/>
  <c r="E2581" i="1"/>
  <c r="C2581" i="1"/>
  <c r="E2580" i="1"/>
  <c r="C2580" i="1"/>
  <c r="E2579" i="1"/>
  <c r="C2579" i="1"/>
  <c r="E2578" i="1"/>
  <c r="C2578" i="1"/>
  <c r="E2577" i="1"/>
  <c r="C2577" i="1"/>
  <c r="E2576" i="1"/>
  <c r="C2576" i="1"/>
  <c r="E2575" i="1"/>
  <c r="C2575" i="1"/>
  <c r="E2574" i="1"/>
  <c r="C2574" i="1"/>
  <c r="E2573" i="1"/>
  <c r="C2573" i="1"/>
  <c r="E2572" i="1"/>
  <c r="C2572" i="1"/>
  <c r="E2571" i="1"/>
  <c r="C2571" i="1"/>
  <c r="E2570" i="1"/>
  <c r="C2570" i="1"/>
  <c r="E2569" i="1"/>
  <c r="C2569" i="1"/>
  <c r="E2568" i="1"/>
  <c r="C2568" i="1"/>
  <c r="E2567" i="1"/>
  <c r="C2567" i="1"/>
  <c r="E2566" i="1"/>
  <c r="C2566" i="1"/>
  <c r="E2565" i="1"/>
  <c r="C2565" i="1"/>
  <c r="E2564" i="1"/>
  <c r="C2564" i="1"/>
  <c r="E2563" i="1"/>
  <c r="C2563" i="1"/>
  <c r="E2562" i="1"/>
  <c r="C2562" i="1"/>
  <c r="E2561" i="1"/>
  <c r="C2561" i="1"/>
  <c r="E2560" i="1"/>
  <c r="C2560" i="1"/>
  <c r="E2559" i="1"/>
  <c r="C2559" i="1"/>
  <c r="E2558" i="1"/>
  <c r="C2558" i="1"/>
  <c r="E2557" i="1"/>
  <c r="C2557" i="1"/>
  <c r="E2556" i="1"/>
  <c r="C2556" i="1"/>
  <c r="E2555" i="1"/>
  <c r="C2555" i="1"/>
  <c r="E2554" i="1"/>
  <c r="C2554" i="1"/>
  <c r="E2553" i="1"/>
  <c r="C2553" i="1"/>
  <c r="E2552" i="1"/>
  <c r="C2552" i="1"/>
  <c r="E2551" i="1"/>
  <c r="C2551" i="1"/>
  <c r="E2550" i="1"/>
  <c r="C2550" i="1"/>
  <c r="E2549" i="1"/>
  <c r="C2549" i="1"/>
  <c r="E2548" i="1"/>
  <c r="C2548" i="1"/>
  <c r="E2547" i="1"/>
  <c r="C2547" i="1"/>
  <c r="E2546" i="1"/>
  <c r="C2546" i="1"/>
  <c r="E2545" i="1"/>
  <c r="C2545" i="1"/>
  <c r="E2544" i="1"/>
  <c r="C2544" i="1"/>
  <c r="E2543" i="1"/>
  <c r="C2543" i="1"/>
  <c r="E2542" i="1"/>
  <c r="C2542" i="1"/>
  <c r="E2541" i="1"/>
  <c r="C2541" i="1"/>
  <c r="E2540" i="1"/>
  <c r="C2540" i="1"/>
  <c r="E2539" i="1"/>
  <c r="C2539" i="1"/>
  <c r="E2538" i="1"/>
  <c r="C2538" i="1"/>
  <c r="E2537" i="1"/>
  <c r="C2537" i="1"/>
  <c r="E2536" i="1"/>
  <c r="C2536" i="1"/>
  <c r="E2535" i="1"/>
  <c r="C2535" i="1"/>
  <c r="E2534" i="1"/>
  <c r="C2534" i="1"/>
  <c r="E2533" i="1"/>
  <c r="C2533" i="1"/>
  <c r="E2532" i="1"/>
  <c r="C2532" i="1"/>
  <c r="E2531" i="1"/>
  <c r="C2531" i="1"/>
  <c r="E2530" i="1"/>
  <c r="C2530" i="1"/>
  <c r="E2529" i="1"/>
  <c r="C2529" i="1"/>
  <c r="E2528" i="1"/>
  <c r="C2528" i="1"/>
  <c r="E2527" i="1"/>
  <c r="C2527" i="1"/>
  <c r="E2526" i="1"/>
  <c r="C2526" i="1"/>
  <c r="E2525" i="1"/>
  <c r="C2525" i="1"/>
  <c r="E2524" i="1"/>
  <c r="C2524" i="1"/>
  <c r="E2523" i="1"/>
  <c r="C2523" i="1"/>
  <c r="E2522" i="1"/>
  <c r="C2522" i="1"/>
  <c r="E2521" i="1"/>
  <c r="C2521" i="1"/>
  <c r="E2520" i="1"/>
  <c r="C2520" i="1"/>
  <c r="E2519" i="1"/>
  <c r="C2519" i="1"/>
  <c r="E2518" i="1"/>
  <c r="C2518" i="1"/>
  <c r="E2517" i="1"/>
  <c r="C2517" i="1"/>
  <c r="E2516" i="1"/>
  <c r="C2516" i="1"/>
  <c r="E2515" i="1"/>
  <c r="C2515" i="1"/>
  <c r="E2514" i="1"/>
  <c r="C2514" i="1"/>
  <c r="E2513" i="1"/>
  <c r="C2513" i="1"/>
  <c r="E2512" i="1"/>
  <c r="C2512" i="1"/>
  <c r="E2511" i="1"/>
  <c r="C2511" i="1"/>
  <c r="E2510" i="1"/>
  <c r="C2510" i="1"/>
  <c r="E2509" i="1"/>
  <c r="C2509" i="1"/>
  <c r="E2508" i="1"/>
  <c r="C2508" i="1"/>
  <c r="E2507" i="1"/>
  <c r="C2507" i="1"/>
  <c r="E2506" i="1"/>
  <c r="C2506" i="1"/>
  <c r="E2505" i="1"/>
  <c r="C2505" i="1"/>
  <c r="E2504" i="1"/>
  <c r="C2504" i="1"/>
  <c r="E2503" i="1"/>
  <c r="C2503" i="1"/>
  <c r="E2502" i="1"/>
  <c r="C2502" i="1"/>
  <c r="E2501" i="1"/>
  <c r="C2501" i="1"/>
  <c r="E2500" i="1"/>
  <c r="C2500" i="1"/>
  <c r="E2499" i="1"/>
  <c r="C2499" i="1"/>
  <c r="E2498" i="1"/>
  <c r="C2498" i="1"/>
  <c r="E2497" i="1"/>
  <c r="C2497" i="1"/>
  <c r="E2496" i="1"/>
  <c r="C2496" i="1"/>
  <c r="E2495" i="1"/>
  <c r="C2495" i="1"/>
  <c r="E2494" i="1"/>
  <c r="C2494" i="1"/>
  <c r="E2493" i="1"/>
  <c r="C2493" i="1"/>
  <c r="E2492" i="1"/>
  <c r="C2492" i="1"/>
  <c r="E2491" i="1"/>
  <c r="C2491" i="1"/>
  <c r="E2490" i="1"/>
  <c r="C2490" i="1"/>
  <c r="E2489" i="1"/>
  <c r="C2489" i="1"/>
  <c r="E2488" i="1"/>
  <c r="C2488" i="1"/>
  <c r="E2487" i="1"/>
  <c r="C2487" i="1"/>
  <c r="E2486" i="1"/>
  <c r="C2486" i="1"/>
  <c r="E2485" i="1"/>
  <c r="C2485" i="1"/>
  <c r="E2484" i="1"/>
  <c r="C2484" i="1"/>
  <c r="E2483" i="1"/>
  <c r="C2483" i="1"/>
  <c r="E2482" i="1"/>
  <c r="C2482" i="1"/>
  <c r="E2481" i="1"/>
  <c r="C2481" i="1"/>
  <c r="E2480" i="1"/>
  <c r="C2480" i="1"/>
  <c r="E2479" i="1"/>
  <c r="C2479" i="1"/>
  <c r="E2478" i="1"/>
  <c r="C2478" i="1"/>
  <c r="E2477" i="1"/>
  <c r="C2477" i="1"/>
  <c r="E2476" i="1"/>
  <c r="C2476" i="1"/>
  <c r="E2475" i="1"/>
  <c r="C2475" i="1"/>
  <c r="E2474" i="1"/>
  <c r="C2474" i="1"/>
  <c r="E2473" i="1"/>
  <c r="C2473" i="1"/>
  <c r="E2472" i="1"/>
  <c r="C2472" i="1"/>
  <c r="E2471" i="1"/>
  <c r="C2471" i="1"/>
  <c r="E2470" i="1"/>
  <c r="C2470" i="1"/>
  <c r="E2469" i="1"/>
  <c r="C2469" i="1"/>
  <c r="E2468" i="1"/>
  <c r="C2468" i="1"/>
  <c r="E2467" i="1"/>
  <c r="C2467" i="1"/>
  <c r="E2466" i="1"/>
  <c r="C2466" i="1"/>
  <c r="E2465" i="1"/>
  <c r="C2465" i="1"/>
  <c r="E2464" i="1"/>
  <c r="C2464" i="1"/>
  <c r="E2463" i="1"/>
  <c r="C2463" i="1"/>
  <c r="E2462" i="1"/>
  <c r="C2462" i="1"/>
  <c r="E2461" i="1"/>
  <c r="C2461" i="1"/>
  <c r="E2460" i="1"/>
  <c r="C2460" i="1"/>
  <c r="E2459" i="1"/>
  <c r="C2459" i="1"/>
  <c r="E2458" i="1"/>
  <c r="C2458" i="1"/>
  <c r="E2457" i="1"/>
  <c r="C2457" i="1"/>
  <c r="E2456" i="1"/>
  <c r="C2456" i="1"/>
  <c r="E2455" i="1"/>
  <c r="C2455" i="1"/>
  <c r="E2454" i="1"/>
  <c r="C2454" i="1"/>
  <c r="E2453" i="1"/>
  <c r="C2453" i="1"/>
  <c r="E2452" i="1"/>
  <c r="C2452" i="1"/>
  <c r="E2451" i="1"/>
  <c r="C2451" i="1"/>
  <c r="E2450" i="1"/>
  <c r="C2450" i="1"/>
  <c r="E2449" i="1"/>
  <c r="C2449" i="1"/>
  <c r="E2448" i="1"/>
  <c r="C2448" i="1"/>
  <c r="E2447" i="1"/>
  <c r="C2447" i="1"/>
  <c r="E2446" i="1"/>
  <c r="C2446" i="1"/>
  <c r="E2445" i="1"/>
  <c r="C2445" i="1"/>
  <c r="E2444" i="1"/>
  <c r="C2444" i="1"/>
  <c r="E2443" i="1"/>
  <c r="C2443" i="1"/>
  <c r="E2442" i="1"/>
  <c r="C2442" i="1"/>
  <c r="E2441" i="1"/>
  <c r="C2441" i="1"/>
  <c r="E2440" i="1"/>
  <c r="C2440" i="1"/>
  <c r="E2439" i="1"/>
  <c r="C2439" i="1"/>
  <c r="E2438" i="1"/>
  <c r="C2438" i="1"/>
  <c r="E2437" i="1"/>
  <c r="C2437" i="1"/>
  <c r="E2436" i="1"/>
  <c r="C2436" i="1"/>
  <c r="E2435" i="1"/>
  <c r="C2435" i="1"/>
  <c r="E2434" i="1"/>
  <c r="C2434" i="1"/>
  <c r="E2433" i="1"/>
  <c r="C2433" i="1"/>
  <c r="E2432" i="1"/>
  <c r="C2432" i="1"/>
  <c r="E2431" i="1"/>
  <c r="C2431" i="1"/>
  <c r="E2430" i="1"/>
  <c r="C2430" i="1"/>
  <c r="E2429" i="1"/>
  <c r="C2429" i="1"/>
  <c r="E2428" i="1"/>
  <c r="C2428" i="1"/>
  <c r="E2427" i="1"/>
  <c r="C2427" i="1"/>
  <c r="E2426" i="1"/>
  <c r="C2426" i="1"/>
  <c r="E2425" i="1"/>
  <c r="C2425" i="1"/>
  <c r="E2424" i="1"/>
  <c r="C2424" i="1"/>
  <c r="E2423" i="1"/>
  <c r="C2423" i="1"/>
  <c r="E2422" i="1"/>
  <c r="C2422" i="1"/>
  <c r="E2421" i="1"/>
  <c r="C2421" i="1"/>
  <c r="E2420" i="1"/>
  <c r="C2420" i="1"/>
  <c r="E2419" i="1"/>
  <c r="C2419" i="1"/>
  <c r="E2418" i="1"/>
  <c r="C2418" i="1"/>
  <c r="E2417" i="1"/>
  <c r="C2417" i="1"/>
  <c r="E2416" i="1"/>
  <c r="C2416" i="1"/>
  <c r="E2415" i="1"/>
  <c r="C2415" i="1"/>
  <c r="E2414" i="1"/>
  <c r="C2414" i="1"/>
  <c r="E2413" i="1"/>
  <c r="C2413" i="1"/>
  <c r="E2412" i="1"/>
  <c r="C2412" i="1"/>
  <c r="E2411" i="1"/>
  <c r="C2411" i="1"/>
  <c r="E2410" i="1"/>
  <c r="C2410" i="1"/>
  <c r="E2409" i="1"/>
  <c r="C2409" i="1"/>
  <c r="E2408" i="1"/>
  <c r="C2408" i="1"/>
  <c r="E2407" i="1"/>
  <c r="C2407" i="1"/>
  <c r="E2406" i="1"/>
  <c r="C2406" i="1"/>
  <c r="E2405" i="1"/>
  <c r="C2405" i="1"/>
  <c r="E2404" i="1"/>
  <c r="C2404" i="1"/>
  <c r="E2403" i="1"/>
  <c r="C2403" i="1"/>
  <c r="E2402" i="1"/>
  <c r="C2402" i="1"/>
  <c r="E2401" i="1"/>
  <c r="C2401" i="1"/>
  <c r="E2400" i="1"/>
  <c r="C2400" i="1"/>
  <c r="E2399" i="1"/>
  <c r="C2399" i="1"/>
  <c r="E2398" i="1"/>
  <c r="C2398" i="1"/>
  <c r="E2397" i="1"/>
  <c r="C2397" i="1"/>
  <c r="E2396" i="1"/>
  <c r="C2396" i="1"/>
  <c r="E2395" i="1"/>
  <c r="C2395" i="1"/>
  <c r="E2394" i="1"/>
  <c r="C2394" i="1"/>
  <c r="E2393" i="1"/>
  <c r="C2393" i="1"/>
  <c r="E2392" i="1"/>
  <c r="C2392" i="1"/>
  <c r="E2391" i="1"/>
  <c r="C2391" i="1"/>
  <c r="E2390" i="1"/>
  <c r="C2390" i="1"/>
  <c r="E2389" i="1"/>
  <c r="C2389" i="1"/>
  <c r="E2388" i="1"/>
  <c r="C2388" i="1"/>
  <c r="E2387" i="1"/>
  <c r="C2387" i="1"/>
  <c r="E2386" i="1"/>
  <c r="C2386" i="1"/>
  <c r="E2385" i="1"/>
  <c r="C2385" i="1"/>
  <c r="E2384" i="1"/>
  <c r="C2384" i="1"/>
  <c r="E2383" i="1"/>
  <c r="C2383" i="1"/>
  <c r="E2382" i="1"/>
  <c r="C2382" i="1"/>
  <c r="E2381" i="1"/>
  <c r="C2381" i="1"/>
  <c r="E2380" i="1"/>
  <c r="C2380" i="1"/>
  <c r="E2379" i="1"/>
  <c r="C2379" i="1"/>
  <c r="E2378" i="1"/>
  <c r="C2378" i="1"/>
  <c r="E2377" i="1"/>
  <c r="C2377" i="1"/>
  <c r="E2376" i="1"/>
  <c r="C2376" i="1"/>
  <c r="E2375" i="1"/>
  <c r="C2375" i="1"/>
  <c r="E2374" i="1"/>
  <c r="C2374" i="1"/>
  <c r="E2373" i="1"/>
  <c r="C2373" i="1"/>
  <c r="E2372" i="1"/>
  <c r="C2372" i="1"/>
  <c r="E2371" i="1"/>
  <c r="C2371" i="1"/>
  <c r="E2370" i="1"/>
  <c r="C2370" i="1"/>
  <c r="E2369" i="1"/>
  <c r="C2369" i="1"/>
  <c r="E2368" i="1"/>
  <c r="C2368" i="1"/>
  <c r="E2367" i="1"/>
  <c r="C2367" i="1"/>
  <c r="E2366" i="1"/>
  <c r="C2366" i="1"/>
  <c r="E2365" i="1"/>
  <c r="C2365" i="1"/>
  <c r="E2364" i="1"/>
  <c r="C2364" i="1"/>
  <c r="E2363" i="1"/>
  <c r="C2363" i="1"/>
  <c r="E2362" i="1"/>
  <c r="C2362" i="1"/>
  <c r="E2361" i="1"/>
  <c r="C2361" i="1"/>
  <c r="E2360" i="1"/>
  <c r="C2360" i="1"/>
  <c r="E2359" i="1"/>
  <c r="C2359" i="1"/>
  <c r="E2358" i="1"/>
  <c r="C2358" i="1"/>
  <c r="E2357" i="1"/>
  <c r="C2357" i="1"/>
  <c r="E2356" i="1"/>
  <c r="C2356" i="1"/>
  <c r="E2355" i="1"/>
  <c r="C2355" i="1"/>
  <c r="E2354" i="1"/>
  <c r="C2354" i="1"/>
  <c r="E2353" i="1"/>
  <c r="C2353" i="1"/>
  <c r="E2352" i="1"/>
  <c r="C2352" i="1"/>
  <c r="E2351" i="1"/>
  <c r="C2351" i="1"/>
  <c r="E2350" i="1"/>
  <c r="C2350" i="1"/>
  <c r="E2349" i="1"/>
  <c r="C2349" i="1"/>
  <c r="E2348" i="1"/>
  <c r="C2348" i="1"/>
  <c r="E2347" i="1"/>
  <c r="C2347" i="1"/>
  <c r="E2346" i="1"/>
  <c r="C2346" i="1"/>
  <c r="E2345" i="1"/>
  <c r="C2345" i="1"/>
  <c r="E2344" i="1"/>
  <c r="C2344" i="1"/>
  <c r="E2343" i="1"/>
  <c r="C2343" i="1"/>
  <c r="E2342" i="1"/>
  <c r="C2342" i="1"/>
  <c r="E2341" i="1"/>
  <c r="C2341" i="1"/>
  <c r="E2340" i="1"/>
  <c r="C2340" i="1"/>
  <c r="E2339" i="1"/>
  <c r="C2339" i="1"/>
  <c r="E2338" i="1"/>
  <c r="C2338" i="1"/>
  <c r="E2337" i="1"/>
  <c r="C2337" i="1"/>
  <c r="E2336" i="1"/>
  <c r="C2336" i="1"/>
  <c r="E2335" i="1"/>
  <c r="C2335" i="1"/>
  <c r="E2334" i="1"/>
  <c r="C2334" i="1"/>
  <c r="E2333" i="1"/>
  <c r="C2333" i="1"/>
  <c r="E2332" i="1"/>
  <c r="C2332" i="1"/>
  <c r="E2331" i="1"/>
  <c r="C2331" i="1"/>
  <c r="E2330" i="1"/>
  <c r="C2330" i="1"/>
  <c r="E2329" i="1"/>
  <c r="C2329" i="1"/>
  <c r="E2328" i="1"/>
  <c r="C2328" i="1"/>
  <c r="E2327" i="1"/>
  <c r="C2327" i="1"/>
  <c r="E2326" i="1"/>
  <c r="C2326" i="1"/>
  <c r="E2325" i="1"/>
  <c r="C2325" i="1"/>
  <c r="E2324" i="1"/>
  <c r="C2324" i="1"/>
  <c r="E2323" i="1"/>
  <c r="C2323" i="1"/>
  <c r="E2322" i="1"/>
  <c r="C2322" i="1"/>
  <c r="E2321" i="1"/>
  <c r="C2321" i="1"/>
  <c r="E2320" i="1"/>
  <c r="C2320" i="1"/>
  <c r="E2319" i="1"/>
  <c r="C2319" i="1"/>
  <c r="E2318" i="1"/>
  <c r="C2318" i="1"/>
  <c r="E2317" i="1"/>
  <c r="C2317" i="1"/>
  <c r="E2316" i="1"/>
  <c r="C2316" i="1"/>
  <c r="E2315" i="1"/>
  <c r="C2315" i="1"/>
  <c r="E2314" i="1"/>
  <c r="C2314" i="1"/>
  <c r="E2313" i="1"/>
  <c r="C2313" i="1"/>
  <c r="E2312" i="1"/>
  <c r="C2312" i="1"/>
  <c r="E2311" i="1"/>
  <c r="C2311" i="1"/>
  <c r="E2310" i="1"/>
  <c r="C2310" i="1"/>
  <c r="E2309" i="1"/>
  <c r="C2309" i="1"/>
  <c r="E2308" i="1"/>
  <c r="C2308" i="1"/>
  <c r="E2307" i="1"/>
  <c r="C2307" i="1"/>
  <c r="E2306" i="1"/>
  <c r="C2306" i="1"/>
  <c r="E2305" i="1"/>
  <c r="C2305" i="1"/>
  <c r="E2304" i="1"/>
  <c r="C2304" i="1"/>
  <c r="E2303" i="1"/>
  <c r="C2303" i="1"/>
  <c r="E2302" i="1"/>
  <c r="C2302" i="1"/>
  <c r="E2301" i="1"/>
  <c r="C2301" i="1"/>
  <c r="E2300" i="1"/>
  <c r="C2300" i="1"/>
  <c r="E2299" i="1"/>
  <c r="C2299" i="1"/>
  <c r="E2298" i="1"/>
  <c r="C2298" i="1"/>
  <c r="E2297" i="1"/>
  <c r="C2297" i="1"/>
  <c r="E2296" i="1"/>
  <c r="C2296" i="1"/>
  <c r="E2295" i="1"/>
  <c r="C2295" i="1"/>
  <c r="E2294" i="1"/>
  <c r="C2294" i="1"/>
  <c r="E2293" i="1"/>
  <c r="C2293" i="1"/>
  <c r="E2292" i="1"/>
  <c r="C2292" i="1"/>
  <c r="E2291" i="1"/>
  <c r="C2291" i="1"/>
  <c r="E2290" i="1"/>
  <c r="C2290" i="1"/>
  <c r="E2289" i="1"/>
  <c r="C2289" i="1"/>
  <c r="E2288" i="1"/>
  <c r="C2288" i="1"/>
  <c r="E2287" i="1"/>
  <c r="C2287" i="1"/>
  <c r="E2286" i="1"/>
  <c r="C2286" i="1"/>
  <c r="E2285" i="1"/>
  <c r="C2285" i="1"/>
  <c r="E2284" i="1"/>
  <c r="C2284" i="1"/>
  <c r="E2283" i="1"/>
  <c r="C2283" i="1"/>
  <c r="E2282" i="1"/>
  <c r="C2282" i="1"/>
  <c r="E2281" i="1"/>
  <c r="C2281" i="1"/>
  <c r="E2280" i="1"/>
  <c r="C2280" i="1"/>
  <c r="E2279" i="1"/>
  <c r="C2279" i="1"/>
  <c r="E2278" i="1"/>
  <c r="C2278" i="1"/>
  <c r="E2277" i="1"/>
  <c r="C2277" i="1"/>
  <c r="E2276" i="1"/>
  <c r="C2276" i="1"/>
  <c r="E2275" i="1"/>
  <c r="C2275" i="1"/>
  <c r="E2274" i="1"/>
  <c r="C2274" i="1"/>
  <c r="E2273" i="1"/>
  <c r="C2273" i="1"/>
  <c r="E2272" i="1"/>
  <c r="C2272" i="1"/>
  <c r="E2271" i="1"/>
  <c r="C2271" i="1"/>
  <c r="E2270" i="1"/>
  <c r="C2270" i="1"/>
  <c r="E2269" i="1"/>
  <c r="C2269" i="1"/>
  <c r="E2268" i="1"/>
  <c r="C2268" i="1"/>
  <c r="E2267" i="1"/>
  <c r="C2267" i="1"/>
  <c r="E2266" i="1"/>
  <c r="C2266" i="1"/>
  <c r="E2265" i="1"/>
  <c r="C2265" i="1"/>
  <c r="E2264" i="1"/>
  <c r="C2264" i="1"/>
  <c r="E2263" i="1"/>
  <c r="C2263" i="1"/>
  <c r="E2262" i="1"/>
  <c r="C2262" i="1"/>
  <c r="E2261" i="1"/>
  <c r="C2261" i="1"/>
  <c r="E2260" i="1"/>
  <c r="C2260" i="1"/>
  <c r="E2259" i="1"/>
  <c r="C2259" i="1"/>
  <c r="E2258" i="1"/>
  <c r="C2258" i="1"/>
  <c r="E2257" i="1"/>
  <c r="C2257" i="1"/>
  <c r="E2256" i="1"/>
  <c r="C2256" i="1"/>
  <c r="E2255" i="1"/>
  <c r="C2255" i="1"/>
  <c r="E2254" i="1"/>
  <c r="C2254" i="1"/>
  <c r="E2253" i="1"/>
  <c r="C2253" i="1"/>
  <c r="E2252" i="1"/>
  <c r="C2252" i="1"/>
  <c r="E2251" i="1"/>
  <c r="C2251" i="1"/>
  <c r="E2250" i="1"/>
  <c r="C2250" i="1"/>
  <c r="E2249" i="1"/>
  <c r="C2249" i="1"/>
  <c r="E2248" i="1"/>
  <c r="C2248" i="1"/>
  <c r="E2247" i="1"/>
  <c r="C2247" i="1"/>
  <c r="E2246" i="1"/>
  <c r="C2246" i="1"/>
  <c r="E2245" i="1"/>
  <c r="C2245" i="1"/>
  <c r="E2244" i="1"/>
  <c r="C2244" i="1"/>
  <c r="E2243" i="1"/>
  <c r="C2243" i="1"/>
  <c r="E2242" i="1"/>
  <c r="C2242" i="1"/>
  <c r="E2241" i="1"/>
  <c r="C2241" i="1"/>
  <c r="E2240" i="1"/>
  <c r="C2240" i="1"/>
  <c r="E2239" i="1"/>
  <c r="C2239" i="1"/>
  <c r="E2238" i="1"/>
  <c r="C2238" i="1"/>
  <c r="E2237" i="1"/>
  <c r="C2237" i="1"/>
  <c r="E2236" i="1"/>
  <c r="C2236" i="1"/>
  <c r="E2235" i="1"/>
  <c r="C2235" i="1"/>
  <c r="E2234" i="1"/>
  <c r="C2234" i="1"/>
  <c r="E2233" i="1"/>
  <c r="C2233" i="1"/>
  <c r="E2232" i="1"/>
  <c r="C2232" i="1"/>
  <c r="E2231" i="1"/>
  <c r="C2231" i="1"/>
  <c r="E2230" i="1"/>
  <c r="C2230" i="1"/>
  <c r="E2229" i="1"/>
  <c r="C2229" i="1"/>
  <c r="E2228" i="1"/>
  <c r="C2228" i="1"/>
  <c r="E2227" i="1"/>
  <c r="C2227" i="1"/>
  <c r="E2226" i="1"/>
  <c r="C2226" i="1"/>
  <c r="E2225" i="1"/>
  <c r="C2225" i="1"/>
  <c r="E2224" i="1"/>
  <c r="C2224" i="1"/>
  <c r="E2223" i="1"/>
  <c r="C2223" i="1"/>
  <c r="E2222" i="1"/>
  <c r="C2222" i="1"/>
  <c r="E2221" i="1"/>
  <c r="C2221" i="1"/>
  <c r="E2220" i="1"/>
  <c r="C2220" i="1"/>
  <c r="E2219" i="1"/>
  <c r="C2219" i="1"/>
  <c r="E2218" i="1"/>
  <c r="C2218" i="1"/>
  <c r="E2217" i="1"/>
  <c r="C2217" i="1"/>
  <c r="E2216" i="1"/>
  <c r="C2216" i="1"/>
  <c r="E2215" i="1"/>
  <c r="C2215" i="1"/>
  <c r="E2214" i="1"/>
  <c r="C2214" i="1"/>
  <c r="E2213" i="1"/>
  <c r="C2213" i="1"/>
  <c r="E2212" i="1"/>
  <c r="C2212" i="1"/>
  <c r="E2211" i="1"/>
  <c r="C2211" i="1"/>
  <c r="E2210" i="1"/>
  <c r="C2210" i="1"/>
  <c r="E2209" i="1"/>
  <c r="C2209" i="1"/>
  <c r="E2208" i="1"/>
  <c r="C2208" i="1"/>
  <c r="E2207" i="1"/>
  <c r="C2207" i="1"/>
  <c r="E2206" i="1"/>
  <c r="C2206" i="1"/>
  <c r="E2205" i="1"/>
  <c r="C2205" i="1"/>
  <c r="E2204" i="1"/>
  <c r="C2204" i="1"/>
  <c r="E2203" i="1"/>
  <c r="C2203" i="1"/>
  <c r="E2202" i="1"/>
  <c r="C2202" i="1"/>
  <c r="E2201" i="1"/>
  <c r="C2201" i="1"/>
  <c r="E2200" i="1"/>
  <c r="C2200" i="1"/>
  <c r="E2199" i="1"/>
  <c r="C2199" i="1"/>
  <c r="E2198" i="1"/>
  <c r="C2198" i="1"/>
  <c r="E2197" i="1"/>
  <c r="C2197" i="1"/>
  <c r="E2196" i="1"/>
  <c r="C2196" i="1"/>
  <c r="E2195" i="1"/>
  <c r="C2195" i="1"/>
  <c r="E2194" i="1"/>
  <c r="C2194" i="1"/>
  <c r="E2193" i="1"/>
  <c r="C2193" i="1"/>
  <c r="E2192" i="1"/>
  <c r="C2192" i="1"/>
  <c r="E2191" i="1"/>
  <c r="C2191" i="1"/>
  <c r="E2190" i="1"/>
  <c r="C2190" i="1"/>
  <c r="E2189" i="1"/>
  <c r="C2189" i="1"/>
  <c r="E2188" i="1"/>
  <c r="C2188" i="1"/>
  <c r="E2187" i="1"/>
  <c r="C2187" i="1"/>
  <c r="E2186" i="1"/>
  <c r="C2186" i="1"/>
  <c r="E2185" i="1"/>
  <c r="C2185" i="1"/>
  <c r="E2184" i="1"/>
  <c r="C2184" i="1"/>
  <c r="E2183" i="1"/>
  <c r="C2183" i="1"/>
  <c r="E2182" i="1"/>
  <c r="C2182" i="1"/>
  <c r="E2181" i="1"/>
  <c r="C2181" i="1"/>
  <c r="E2180" i="1"/>
  <c r="C2180" i="1"/>
  <c r="E2179" i="1"/>
  <c r="C2179" i="1"/>
  <c r="E2178" i="1"/>
  <c r="C2178" i="1"/>
  <c r="E2177" i="1"/>
  <c r="C2177" i="1"/>
  <c r="E2176" i="1"/>
  <c r="C2176" i="1"/>
  <c r="E2175" i="1"/>
  <c r="C2175" i="1"/>
  <c r="E2174" i="1"/>
  <c r="C2174" i="1"/>
  <c r="E2173" i="1"/>
  <c r="C2173" i="1"/>
  <c r="E2172" i="1"/>
  <c r="C2172" i="1"/>
  <c r="E2171" i="1"/>
  <c r="C2171" i="1"/>
  <c r="E2170" i="1"/>
  <c r="C2170" i="1"/>
  <c r="E2169" i="1"/>
  <c r="C2169" i="1"/>
  <c r="E2168" i="1"/>
  <c r="C2168" i="1"/>
  <c r="E2167" i="1"/>
  <c r="C2167" i="1"/>
  <c r="E2166" i="1"/>
  <c r="C2166" i="1"/>
  <c r="E2165" i="1"/>
  <c r="C2165" i="1"/>
  <c r="E2164" i="1"/>
  <c r="C2164" i="1"/>
  <c r="E2163" i="1"/>
  <c r="C2163" i="1"/>
  <c r="E2162" i="1"/>
  <c r="C2162" i="1"/>
  <c r="E2161" i="1"/>
  <c r="C2161" i="1"/>
  <c r="E2160" i="1"/>
  <c r="C2160" i="1"/>
  <c r="E2159" i="1"/>
  <c r="C2159" i="1"/>
  <c r="E2158" i="1"/>
  <c r="C2158" i="1"/>
  <c r="E2157" i="1"/>
  <c r="C2157" i="1"/>
  <c r="E2156" i="1"/>
  <c r="C2156" i="1"/>
  <c r="E2155" i="1"/>
  <c r="C2155" i="1"/>
  <c r="E2154" i="1"/>
  <c r="C2154" i="1"/>
  <c r="E2153" i="1"/>
  <c r="C2153" i="1"/>
  <c r="E2152" i="1"/>
  <c r="C2152" i="1"/>
  <c r="E2151" i="1"/>
  <c r="C2151" i="1"/>
  <c r="E2150" i="1"/>
  <c r="C2150" i="1"/>
  <c r="E2149" i="1"/>
  <c r="C2149" i="1"/>
  <c r="E2148" i="1"/>
  <c r="C2148" i="1"/>
  <c r="E2147" i="1"/>
  <c r="C2147" i="1"/>
  <c r="E2146" i="1"/>
  <c r="C2146" i="1"/>
  <c r="E2145" i="1"/>
  <c r="C2145" i="1"/>
  <c r="E2144" i="1"/>
  <c r="C2144" i="1"/>
  <c r="E2143" i="1"/>
  <c r="C2143" i="1"/>
  <c r="E2142" i="1"/>
  <c r="C2142" i="1"/>
  <c r="E2141" i="1"/>
  <c r="C2141" i="1"/>
  <c r="E2140" i="1"/>
  <c r="C2140" i="1"/>
  <c r="E2139" i="1"/>
  <c r="C2139" i="1"/>
  <c r="E2138" i="1"/>
  <c r="C2138" i="1"/>
  <c r="E2137" i="1"/>
  <c r="C2137" i="1"/>
  <c r="E2136" i="1"/>
  <c r="C2136" i="1"/>
  <c r="E2135" i="1"/>
  <c r="C2135" i="1"/>
  <c r="E2134" i="1"/>
  <c r="C2134" i="1"/>
  <c r="E2133" i="1"/>
  <c r="C2133" i="1"/>
  <c r="E2132" i="1"/>
  <c r="C2132" i="1"/>
  <c r="E2131" i="1"/>
  <c r="C2131" i="1"/>
  <c r="E2130" i="1"/>
  <c r="C2130" i="1"/>
  <c r="E2129" i="1"/>
  <c r="C2129" i="1"/>
  <c r="E2128" i="1"/>
  <c r="C2128" i="1"/>
  <c r="E2127" i="1"/>
  <c r="C2127" i="1"/>
  <c r="E2126" i="1"/>
  <c r="C2126" i="1"/>
  <c r="E2125" i="1"/>
  <c r="C2125" i="1"/>
  <c r="E2124" i="1"/>
  <c r="C2124" i="1"/>
  <c r="E2123" i="1"/>
  <c r="C2123" i="1"/>
  <c r="E2122" i="1"/>
  <c r="C2122" i="1"/>
  <c r="E2121" i="1"/>
  <c r="C2121" i="1"/>
  <c r="E2120" i="1"/>
  <c r="C2120" i="1"/>
  <c r="E2119" i="1"/>
  <c r="C2119" i="1"/>
  <c r="E2118" i="1"/>
  <c r="C2118" i="1"/>
  <c r="E2117" i="1"/>
  <c r="C2117" i="1"/>
  <c r="E2116" i="1"/>
  <c r="C2116" i="1"/>
  <c r="E2115" i="1"/>
  <c r="C2115" i="1"/>
  <c r="E2114" i="1"/>
  <c r="C2114" i="1"/>
  <c r="E2113" i="1"/>
  <c r="C2113" i="1"/>
  <c r="E2112" i="1"/>
  <c r="C2112" i="1"/>
  <c r="E2111" i="1"/>
  <c r="C2111" i="1"/>
  <c r="E2110" i="1"/>
  <c r="C2110" i="1"/>
  <c r="E2109" i="1"/>
  <c r="C2109" i="1"/>
  <c r="E2108" i="1"/>
  <c r="C2108" i="1"/>
  <c r="E2107" i="1"/>
  <c r="C2107" i="1"/>
  <c r="E2106" i="1"/>
  <c r="C2106" i="1"/>
  <c r="E2105" i="1"/>
  <c r="C2105" i="1"/>
  <c r="E2104" i="1"/>
  <c r="C2104" i="1"/>
  <c r="E2103" i="1"/>
  <c r="C2103" i="1"/>
  <c r="E2102" i="1"/>
  <c r="C2102" i="1"/>
  <c r="E2101" i="1"/>
  <c r="C2101" i="1"/>
  <c r="E2100" i="1"/>
  <c r="C2100" i="1"/>
  <c r="E2099" i="1"/>
  <c r="C2099" i="1"/>
  <c r="E2098" i="1"/>
  <c r="C2098" i="1"/>
  <c r="E2097" i="1"/>
  <c r="C2097" i="1"/>
  <c r="E2096" i="1"/>
  <c r="C2096" i="1"/>
  <c r="E2095" i="1"/>
  <c r="C2095" i="1"/>
  <c r="E2094" i="1"/>
  <c r="C2094" i="1"/>
  <c r="E2093" i="1"/>
  <c r="C2093" i="1"/>
  <c r="E2092" i="1"/>
  <c r="C2092" i="1"/>
  <c r="E2091" i="1"/>
  <c r="C2091" i="1"/>
  <c r="E2090" i="1"/>
  <c r="C2090" i="1"/>
  <c r="E2089" i="1"/>
  <c r="C2089" i="1"/>
  <c r="E2088" i="1"/>
  <c r="C2088" i="1"/>
  <c r="E2087" i="1"/>
  <c r="C2087" i="1"/>
  <c r="E2086" i="1"/>
  <c r="C2086" i="1"/>
  <c r="E2085" i="1"/>
  <c r="C2085" i="1"/>
  <c r="E2084" i="1"/>
  <c r="C2084" i="1"/>
  <c r="E2083" i="1"/>
  <c r="C2083" i="1"/>
  <c r="E2082" i="1"/>
  <c r="C2082" i="1"/>
  <c r="E2081" i="1"/>
  <c r="C2081" i="1"/>
  <c r="E2080" i="1"/>
  <c r="C2080" i="1"/>
  <c r="E2079" i="1"/>
  <c r="C2079" i="1"/>
  <c r="E2078" i="1"/>
  <c r="C2078" i="1"/>
  <c r="E2077" i="1"/>
  <c r="C2077" i="1"/>
  <c r="E2076" i="1"/>
  <c r="C2076" i="1"/>
  <c r="E2075" i="1"/>
  <c r="C2075" i="1"/>
  <c r="E2074" i="1"/>
  <c r="C2074" i="1"/>
  <c r="E2073" i="1"/>
  <c r="C2073" i="1"/>
  <c r="E2072" i="1"/>
  <c r="C2072" i="1"/>
  <c r="E2071" i="1"/>
  <c r="C2071" i="1"/>
  <c r="E2070" i="1"/>
  <c r="C2070" i="1"/>
  <c r="E2069" i="1"/>
  <c r="C2069" i="1"/>
  <c r="E2068" i="1"/>
  <c r="C2068" i="1"/>
  <c r="E2067" i="1"/>
  <c r="C2067" i="1"/>
  <c r="E2066" i="1"/>
  <c r="C2066" i="1"/>
  <c r="E2065" i="1"/>
  <c r="C2065" i="1"/>
  <c r="E2064" i="1"/>
  <c r="C2064" i="1"/>
  <c r="E2063" i="1"/>
  <c r="C2063" i="1"/>
  <c r="E2062" i="1"/>
  <c r="C2062" i="1"/>
  <c r="E2061" i="1"/>
  <c r="C2061" i="1"/>
  <c r="E2060" i="1"/>
  <c r="C2060" i="1"/>
  <c r="E2059" i="1"/>
  <c r="C2059" i="1"/>
  <c r="E2058" i="1"/>
  <c r="C2058" i="1"/>
  <c r="E2057" i="1"/>
  <c r="C2057" i="1"/>
  <c r="E2056" i="1"/>
  <c r="C2056" i="1"/>
  <c r="E2055" i="1"/>
  <c r="C2055" i="1"/>
  <c r="E2054" i="1"/>
  <c r="C2054" i="1"/>
  <c r="E2053" i="1"/>
  <c r="C2053" i="1"/>
  <c r="E2052" i="1"/>
  <c r="C2052" i="1"/>
  <c r="E2051" i="1"/>
  <c r="C2051" i="1"/>
  <c r="E2050" i="1"/>
  <c r="C2050" i="1"/>
  <c r="E2049" i="1"/>
  <c r="C2049" i="1"/>
  <c r="E2048" i="1"/>
  <c r="C2048" i="1"/>
  <c r="E2047" i="1"/>
  <c r="C2047" i="1"/>
  <c r="E2046" i="1"/>
  <c r="C2046" i="1"/>
  <c r="E2045" i="1"/>
  <c r="C2045" i="1"/>
  <c r="E2044" i="1"/>
  <c r="C2044" i="1"/>
  <c r="E2043" i="1"/>
  <c r="C2043" i="1"/>
  <c r="E2042" i="1"/>
  <c r="C2042" i="1"/>
  <c r="E2041" i="1"/>
  <c r="C2041" i="1"/>
  <c r="E2040" i="1"/>
  <c r="C2040" i="1"/>
  <c r="E2039" i="1"/>
  <c r="C2039" i="1"/>
  <c r="E2038" i="1"/>
  <c r="C2038" i="1"/>
  <c r="E2037" i="1"/>
  <c r="C2037" i="1"/>
  <c r="E2036" i="1"/>
  <c r="C2036" i="1"/>
  <c r="E2035" i="1"/>
  <c r="C2035" i="1"/>
  <c r="E2034" i="1"/>
  <c r="C2034" i="1"/>
  <c r="E2033" i="1"/>
  <c r="C2033" i="1"/>
  <c r="E2032" i="1"/>
  <c r="C2032" i="1"/>
  <c r="E2031" i="1"/>
  <c r="C2031" i="1"/>
  <c r="E2030" i="1"/>
  <c r="C2030" i="1"/>
  <c r="E2029" i="1"/>
  <c r="C2029" i="1"/>
  <c r="E2028" i="1"/>
  <c r="C2028" i="1"/>
  <c r="E2027" i="1"/>
  <c r="C2027" i="1"/>
  <c r="E2026" i="1"/>
  <c r="C2026" i="1"/>
  <c r="E2025" i="1"/>
  <c r="C2025" i="1"/>
  <c r="E2024" i="1"/>
  <c r="C2024" i="1"/>
  <c r="E2023" i="1"/>
  <c r="C2023" i="1"/>
  <c r="E2022" i="1"/>
  <c r="C2022" i="1"/>
  <c r="E2021" i="1"/>
  <c r="C2021" i="1"/>
  <c r="E2020" i="1"/>
  <c r="C2020" i="1"/>
  <c r="E2019" i="1"/>
  <c r="C2019" i="1"/>
  <c r="E2018" i="1"/>
  <c r="C2018" i="1"/>
  <c r="E2017" i="1"/>
  <c r="C2017" i="1"/>
  <c r="E2016" i="1"/>
  <c r="C2016" i="1"/>
  <c r="E2015" i="1"/>
  <c r="C2015" i="1"/>
  <c r="E2014" i="1"/>
  <c r="C2014" i="1"/>
  <c r="E2013" i="1"/>
  <c r="C2013" i="1"/>
  <c r="E2012" i="1"/>
  <c r="C2012" i="1"/>
  <c r="E2011" i="1"/>
  <c r="C2011" i="1"/>
  <c r="E2010" i="1"/>
  <c r="C2010" i="1"/>
  <c r="E2009" i="1"/>
  <c r="C2009" i="1"/>
  <c r="E2008" i="1"/>
  <c r="C2008" i="1"/>
  <c r="E2007" i="1"/>
  <c r="C2007" i="1"/>
  <c r="E2006" i="1"/>
  <c r="C2006" i="1"/>
  <c r="E2005" i="1"/>
  <c r="C2005" i="1"/>
  <c r="E2004" i="1"/>
  <c r="C2004" i="1"/>
  <c r="E2003" i="1"/>
  <c r="C2003" i="1"/>
  <c r="E2002" i="1"/>
  <c r="C2002" i="1"/>
  <c r="E2001" i="1"/>
  <c r="C2001" i="1"/>
  <c r="E2000" i="1"/>
  <c r="C2000" i="1"/>
  <c r="E1999" i="1"/>
  <c r="C1999" i="1"/>
  <c r="E1998" i="1"/>
  <c r="C1998" i="1"/>
  <c r="E1997" i="1"/>
  <c r="C1997" i="1"/>
  <c r="E1996" i="1"/>
  <c r="C1996" i="1"/>
  <c r="E1995" i="1"/>
  <c r="C1995" i="1"/>
  <c r="E1994" i="1"/>
  <c r="C1994" i="1"/>
  <c r="E1993" i="1"/>
  <c r="C1993" i="1"/>
  <c r="E1992" i="1"/>
  <c r="C1992" i="1"/>
  <c r="E1991" i="1"/>
  <c r="C1991" i="1"/>
  <c r="E1990" i="1"/>
  <c r="C1990" i="1"/>
  <c r="E1989" i="1"/>
  <c r="C1989" i="1"/>
  <c r="E1988" i="1"/>
  <c r="C1988" i="1"/>
  <c r="E1987" i="1"/>
  <c r="C1987" i="1"/>
  <c r="E1986" i="1"/>
  <c r="C1986" i="1"/>
  <c r="E1985" i="1"/>
  <c r="C1985" i="1"/>
  <c r="E1984" i="1"/>
  <c r="C1984" i="1"/>
  <c r="E1983" i="1"/>
  <c r="C1983" i="1"/>
  <c r="E1982" i="1"/>
  <c r="C1982" i="1"/>
  <c r="E1981" i="1"/>
  <c r="C1981" i="1"/>
  <c r="E1980" i="1"/>
  <c r="C1980" i="1"/>
  <c r="E1979" i="1"/>
  <c r="C1979" i="1"/>
  <c r="E1978" i="1"/>
  <c r="C1978" i="1"/>
  <c r="E1977" i="1"/>
  <c r="C1977" i="1"/>
  <c r="E1976" i="1"/>
  <c r="C1976" i="1"/>
  <c r="E1975" i="1"/>
  <c r="C1975" i="1"/>
  <c r="E1974" i="1"/>
  <c r="C1974" i="1"/>
  <c r="E1973" i="1"/>
  <c r="C1973" i="1"/>
  <c r="E1972" i="1"/>
  <c r="C1972" i="1"/>
  <c r="E1971" i="1"/>
  <c r="C1971" i="1"/>
  <c r="E1970" i="1"/>
  <c r="C1970" i="1"/>
  <c r="E1969" i="1"/>
  <c r="C1969" i="1"/>
  <c r="E1968" i="1"/>
  <c r="C1968" i="1"/>
  <c r="E1967" i="1"/>
  <c r="C1967" i="1"/>
  <c r="E1966" i="1"/>
  <c r="C1966" i="1"/>
  <c r="E1965" i="1"/>
  <c r="C1965" i="1"/>
  <c r="E1964" i="1"/>
  <c r="C1964" i="1"/>
  <c r="E1963" i="1"/>
  <c r="C1963" i="1"/>
  <c r="E1962" i="1"/>
  <c r="C1962" i="1"/>
  <c r="E1961" i="1"/>
  <c r="C1961" i="1"/>
  <c r="E1960" i="1"/>
  <c r="C1960" i="1"/>
  <c r="E1959" i="1"/>
  <c r="C1959" i="1"/>
  <c r="E1958" i="1"/>
  <c r="C1958" i="1"/>
  <c r="E1957" i="1"/>
  <c r="C1957" i="1"/>
  <c r="E1956" i="1"/>
  <c r="C1956" i="1"/>
  <c r="E1955" i="1"/>
  <c r="C1955" i="1"/>
  <c r="E1954" i="1"/>
  <c r="C1954" i="1"/>
  <c r="E1953" i="1"/>
  <c r="C1953" i="1"/>
  <c r="E1952" i="1"/>
  <c r="C1952" i="1"/>
  <c r="E1951" i="1"/>
  <c r="C1951" i="1"/>
  <c r="E1950" i="1"/>
  <c r="C1950" i="1"/>
  <c r="E1949" i="1"/>
  <c r="C1949" i="1"/>
  <c r="E1948" i="1"/>
  <c r="C1948" i="1"/>
  <c r="E1947" i="1"/>
  <c r="C1947" i="1"/>
  <c r="E1946" i="1"/>
  <c r="C1946" i="1"/>
  <c r="E1945" i="1"/>
  <c r="C1945" i="1"/>
  <c r="E1944" i="1"/>
  <c r="C1944" i="1"/>
  <c r="E1943" i="1"/>
  <c r="C1943" i="1"/>
  <c r="E1942" i="1"/>
  <c r="C1942" i="1"/>
  <c r="E1941" i="1"/>
  <c r="C1941" i="1"/>
  <c r="E1940" i="1"/>
  <c r="C1940" i="1"/>
  <c r="E1939" i="1"/>
  <c r="C1939" i="1"/>
  <c r="E1938" i="1"/>
  <c r="C1938" i="1"/>
  <c r="E1937" i="1"/>
  <c r="C1937" i="1"/>
  <c r="E1936" i="1"/>
  <c r="C1936" i="1"/>
  <c r="E1935" i="1"/>
  <c r="C1935" i="1"/>
  <c r="E1934" i="1"/>
  <c r="C1934" i="1"/>
  <c r="E1933" i="1"/>
  <c r="C1933" i="1"/>
  <c r="E1932" i="1"/>
  <c r="C1932" i="1"/>
  <c r="E1931" i="1"/>
  <c r="C1931" i="1"/>
  <c r="E1930" i="1"/>
  <c r="C1930" i="1"/>
  <c r="E1929" i="1"/>
  <c r="C1929" i="1"/>
  <c r="E1928" i="1"/>
  <c r="C1928" i="1"/>
  <c r="E1927" i="1"/>
  <c r="C1927" i="1"/>
  <c r="E1926" i="1"/>
  <c r="C1926" i="1"/>
  <c r="E1925" i="1"/>
  <c r="C1925" i="1"/>
  <c r="E1924" i="1"/>
  <c r="C1924" i="1"/>
  <c r="E1923" i="1"/>
  <c r="C1923" i="1"/>
  <c r="E1922" i="1"/>
  <c r="C1922" i="1"/>
  <c r="E1921" i="1"/>
  <c r="C1921" i="1"/>
  <c r="E1920" i="1"/>
  <c r="C1920" i="1"/>
  <c r="E1919" i="1"/>
  <c r="C1919" i="1"/>
  <c r="E1918" i="1"/>
  <c r="C1918" i="1"/>
  <c r="E1917" i="1"/>
  <c r="C1917" i="1"/>
  <c r="E1916" i="1"/>
  <c r="C1916" i="1"/>
  <c r="E1915" i="1"/>
  <c r="C1915" i="1"/>
  <c r="E1914" i="1"/>
  <c r="C1914" i="1"/>
  <c r="E1913" i="1"/>
  <c r="C1913" i="1"/>
  <c r="E1912" i="1"/>
  <c r="C1912" i="1"/>
  <c r="E1911" i="1"/>
  <c r="C1911" i="1"/>
  <c r="E1910" i="1"/>
  <c r="C1910" i="1"/>
  <c r="E1909" i="1"/>
  <c r="C1909" i="1"/>
  <c r="E1908" i="1"/>
  <c r="C1908" i="1"/>
  <c r="E1907" i="1"/>
  <c r="C1907" i="1"/>
  <c r="E1906" i="1"/>
  <c r="C1906" i="1"/>
  <c r="E1905" i="1"/>
  <c r="C1905" i="1"/>
  <c r="E1904" i="1"/>
  <c r="C1904" i="1"/>
  <c r="E1903" i="1"/>
  <c r="C1903" i="1"/>
  <c r="E1902" i="1"/>
  <c r="C1902" i="1"/>
  <c r="E1901" i="1"/>
  <c r="C1901" i="1"/>
  <c r="E1900" i="1"/>
  <c r="C1900" i="1"/>
  <c r="E1899" i="1"/>
  <c r="C1899" i="1"/>
  <c r="E1898" i="1"/>
  <c r="C1898" i="1"/>
  <c r="E1897" i="1"/>
  <c r="C1897" i="1"/>
  <c r="E1896" i="1"/>
  <c r="C1896" i="1"/>
  <c r="E1895" i="1"/>
  <c r="C1895" i="1"/>
  <c r="E1894" i="1"/>
  <c r="C1894" i="1"/>
  <c r="E1893" i="1"/>
  <c r="C1893" i="1"/>
  <c r="E1892" i="1"/>
  <c r="C1892" i="1"/>
  <c r="E1891" i="1"/>
  <c r="C1891" i="1"/>
  <c r="E1890" i="1"/>
  <c r="C1890" i="1"/>
  <c r="E1889" i="1"/>
  <c r="C1889" i="1"/>
  <c r="E1888" i="1"/>
  <c r="C1888" i="1"/>
  <c r="E1887" i="1"/>
  <c r="C1887" i="1"/>
  <c r="E1886" i="1"/>
  <c r="C1886" i="1"/>
  <c r="E1885" i="1"/>
  <c r="C1885" i="1"/>
  <c r="E1884" i="1"/>
  <c r="C1884" i="1"/>
  <c r="E1883" i="1"/>
  <c r="C1883" i="1"/>
  <c r="E1882" i="1"/>
  <c r="C1882" i="1"/>
  <c r="E1881" i="1"/>
  <c r="C1881" i="1"/>
  <c r="E1880" i="1"/>
  <c r="C1880" i="1"/>
  <c r="E1879" i="1"/>
  <c r="C1879" i="1"/>
  <c r="E1878" i="1"/>
  <c r="C1878" i="1"/>
  <c r="E1877" i="1"/>
  <c r="C1877" i="1"/>
  <c r="E1876" i="1"/>
  <c r="C1876" i="1"/>
  <c r="E1875" i="1"/>
  <c r="C1875" i="1"/>
  <c r="E1874" i="1"/>
  <c r="C1874" i="1"/>
  <c r="E1873" i="1"/>
  <c r="C1873" i="1"/>
  <c r="E1872" i="1"/>
  <c r="C1872" i="1"/>
  <c r="E1871" i="1"/>
  <c r="C1871" i="1"/>
  <c r="E1870" i="1"/>
  <c r="C1870" i="1"/>
  <c r="E1869" i="1"/>
  <c r="C1869" i="1"/>
  <c r="E1868" i="1"/>
  <c r="C1868" i="1"/>
  <c r="E1867" i="1"/>
  <c r="C1867" i="1"/>
  <c r="E1866" i="1"/>
  <c r="C1866" i="1"/>
  <c r="E1865" i="1"/>
  <c r="C1865" i="1"/>
  <c r="E1864" i="1"/>
  <c r="C1864" i="1"/>
  <c r="E1863" i="1"/>
  <c r="C1863" i="1"/>
  <c r="E1862" i="1"/>
  <c r="C1862" i="1"/>
  <c r="E1861" i="1"/>
  <c r="C1861" i="1"/>
  <c r="E1860" i="1"/>
  <c r="C1860" i="1"/>
  <c r="E1859" i="1"/>
  <c r="C1859" i="1"/>
  <c r="E1858" i="1"/>
  <c r="C1858" i="1"/>
  <c r="E1857" i="1"/>
  <c r="C1857" i="1"/>
  <c r="E1856" i="1"/>
  <c r="C1856" i="1"/>
  <c r="E1855" i="1"/>
  <c r="C1855" i="1"/>
  <c r="E1854" i="1"/>
  <c r="C1854" i="1"/>
  <c r="E1853" i="1"/>
  <c r="C1853" i="1"/>
  <c r="E1852" i="1"/>
  <c r="C1852" i="1"/>
  <c r="E1851" i="1"/>
  <c r="C1851" i="1"/>
  <c r="E1850" i="1"/>
  <c r="C1850" i="1"/>
  <c r="E1849" i="1"/>
  <c r="C1849" i="1"/>
  <c r="E1848" i="1"/>
  <c r="C1848" i="1"/>
  <c r="E1847" i="1"/>
  <c r="C1847" i="1"/>
  <c r="E1846" i="1"/>
  <c r="C1846" i="1"/>
  <c r="E1845" i="1"/>
  <c r="C1845" i="1"/>
  <c r="E1844" i="1"/>
  <c r="C1844" i="1"/>
  <c r="E1843" i="1"/>
  <c r="C1843" i="1"/>
  <c r="E1842" i="1"/>
  <c r="C1842" i="1"/>
  <c r="E1841" i="1"/>
  <c r="C1841" i="1"/>
  <c r="E1840" i="1"/>
  <c r="C1840" i="1"/>
  <c r="E1839" i="1"/>
  <c r="C1839" i="1"/>
  <c r="E1838" i="1"/>
  <c r="C1838" i="1"/>
  <c r="E1837" i="1"/>
  <c r="C1837" i="1"/>
  <c r="E1836" i="1"/>
  <c r="C1836" i="1"/>
  <c r="E1835" i="1"/>
  <c r="C1835" i="1"/>
  <c r="E1834" i="1"/>
  <c r="C1834" i="1"/>
  <c r="E1833" i="1"/>
  <c r="C1833" i="1"/>
  <c r="E1832" i="1"/>
  <c r="C1832" i="1"/>
  <c r="E1831" i="1"/>
  <c r="C1831" i="1"/>
  <c r="E1830" i="1"/>
  <c r="C1830" i="1"/>
  <c r="E1829" i="1"/>
  <c r="C1829" i="1"/>
  <c r="E1828" i="1"/>
  <c r="C1828" i="1"/>
  <c r="E1827" i="1"/>
  <c r="C1827" i="1"/>
  <c r="E1826" i="1"/>
  <c r="C1826" i="1"/>
  <c r="E1825" i="1"/>
  <c r="C1825" i="1"/>
  <c r="E1824" i="1"/>
  <c r="C1824" i="1"/>
  <c r="E1823" i="1"/>
  <c r="C1823" i="1"/>
  <c r="E1822" i="1"/>
  <c r="C1822" i="1"/>
  <c r="E1821" i="1"/>
  <c r="C1821" i="1"/>
  <c r="E1820" i="1"/>
  <c r="C1820" i="1"/>
  <c r="E1819" i="1"/>
  <c r="C1819" i="1"/>
  <c r="E1818" i="1"/>
  <c r="C1818" i="1"/>
  <c r="E1817" i="1"/>
  <c r="C1817" i="1"/>
  <c r="E1816" i="1"/>
  <c r="C1816" i="1"/>
  <c r="E1815" i="1"/>
  <c r="C1815" i="1"/>
  <c r="E1814" i="1"/>
  <c r="C1814" i="1"/>
  <c r="E1813" i="1"/>
  <c r="C1813" i="1"/>
  <c r="E1812" i="1"/>
  <c r="C1812" i="1"/>
  <c r="E1811" i="1"/>
  <c r="C1811" i="1"/>
  <c r="E1810" i="1"/>
  <c r="C1810" i="1"/>
  <c r="E1809" i="1"/>
  <c r="C1809" i="1"/>
  <c r="E1808" i="1"/>
  <c r="C1808" i="1"/>
  <c r="E1807" i="1"/>
  <c r="C1807" i="1"/>
  <c r="E1806" i="1"/>
  <c r="C1806" i="1"/>
  <c r="E1805" i="1"/>
  <c r="C1805" i="1"/>
  <c r="E1804" i="1"/>
  <c r="C1804" i="1"/>
  <c r="E1803" i="1"/>
  <c r="C1803" i="1"/>
  <c r="E1802" i="1"/>
  <c r="C1802" i="1"/>
  <c r="E1801" i="1"/>
  <c r="C1801" i="1"/>
  <c r="E1800" i="1"/>
  <c r="C1800" i="1"/>
  <c r="E1799" i="1"/>
  <c r="C1799" i="1"/>
  <c r="E1798" i="1"/>
  <c r="C1798" i="1"/>
  <c r="E1797" i="1"/>
  <c r="C1797" i="1"/>
  <c r="E1796" i="1"/>
  <c r="C1796" i="1"/>
  <c r="E1795" i="1"/>
  <c r="C1795" i="1"/>
  <c r="E1794" i="1"/>
  <c r="C1794" i="1"/>
  <c r="E1793" i="1"/>
  <c r="C1793" i="1"/>
  <c r="E1792" i="1"/>
  <c r="C1792" i="1"/>
  <c r="E1791" i="1"/>
  <c r="C1791" i="1"/>
  <c r="E1790" i="1"/>
  <c r="C1790" i="1"/>
  <c r="E1789" i="1"/>
  <c r="C1789" i="1"/>
  <c r="E1788" i="1"/>
  <c r="C1788" i="1"/>
  <c r="E1787" i="1"/>
  <c r="C1787" i="1"/>
  <c r="E1786" i="1"/>
  <c r="C1786" i="1"/>
  <c r="E1785" i="1"/>
  <c r="C1785" i="1"/>
  <c r="E1784" i="1"/>
  <c r="C1784" i="1"/>
  <c r="E1783" i="1"/>
  <c r="C1783" i="1"/>
  <c r="E1782" i="1"/>
  <c r="C1782" i="1"/>
  <c r="E1781" i="1"/>
  <c r="C1781" i="1"/>
  <c r="E1780" i="1"/>
  <c r="C1780" i="1"/>
  <c r="E1779" i="1"/>
  <c r="C1779" i="1"/>
  <c r="E1778" i="1"/>
  <c r="C1778" i="1"/>
  <c r="E1777" i="1"/>
  <c r="C1777" i="1"/>
  <c r="E1776" i="1"/>
  <c r="C1776" i="1"/>
  <c r="E1775" i="1"/>
  <c r="C1775" i="1"/>
  <c r="E1774" i="1"/>
  <c r="C1774" i="1"/>
  <c r="E1773" i="1"/>
  <c r="C1773" i="1"/>
  <c r="E1772" i="1"/>
  <c r="C1772" i="1"/>
  <c r="E1771" i="1"/>
  <c r="C1771" i="1"/>
  <c r="E1770" i="1"/>
  <c r="C1770" i="1"/>
  <c r="E1769" i="1"/>
  <c r="C1769" i="1"/>
  <c r="E1768" i="1"/>
  <c r="C1768" i="1"/>
  <c r="E1767" i="1"/>
  <c r="C1767" i="1"/>
  <c r="E1766" i="1"/>
  <c r="C1766" i="1"/>
  <c r="E1765" i="1"/>
  <c r="C1765" i="1"/>
  <c r="E1764" i="1"/>
  <c r="C1764" i="1"/>
  <c r="E1763" i="1"/>
  <c r="C1763" i="1"/>
  <c r="E1762" i="1"/>
  <c r="C1762" i="1"/>
  <c r="E1761" i="1"/>
  <c r="C1761" i="1"/>
  <c r="E1760" i="1"/>
  <c r="C1760" i="1"/>
  <c r="E1759" i="1"/>
  <c r="C1759" i="1"/>
  <c r="E1758" i="1"/>
  <c r="C1758" i="1"/>
  <c r="E1757" i="1"/>
  <c r="C1757" i="1"/>
  <c r="E1756" i="1"/>
  <c r="C1756" i="1"/>
  <c r="E1755" i="1"/>
  <c r="C1755" i="1"/>
  <c r="E1754" i="1"/>
  <c r="C1754" i="1"/>
  <c r="E1753" i="1"/>
  <c r="C1753" i="1"/>
  <c r="E1752" i="1"/>
  <c r="C1752" i="1"/>
  <c r="E1751" i="1"/>
  <c r="C1751" i="1"/>
  <c r="E1750" i="1"/>
  <c r="C1750" i="1"/>
  <c r="E1749" i="1"/>
  <c r="C1749" i="1"/>
  <c r="E1748" i="1"/>
  <c r="C1748" i="1"/>
  <c r="E1747" i="1"/>
  <c r="C1747" i="1"/>
  <c r="E1746" i="1"/>
  <c r="C1746" i="1"/>
  <c r="E1745" i="1"/>
  <c r="C1745" i="1"/>
  <c r="E1744" i="1"/>
  <c r="C1744" i="1"/>
  <c r="E1743" i="1"/>
  <c r="C1743" i="1"/>
  <c r="E1742" i="1"/>
  <c r="C1742" i="1"/>
  <c r="E1741" i="1"/>
  <c r="C1741" i="1"/>
  <c r="E1740" i="1"/>
  <c r="C1740" i="1"/>
  <c r="E1739" i="1"/>
  <c r="C1739" i="1"/>
  <c r="E1738" i="1"/>
  <c r="C1738" i="1"/>
  <c r="E1737" i="1"/>
  <c r="C1737" i="1"/>
  <c r="E1736" i="1"/>
  <c r="C1736" i="1"/>
  <c r="E1735" i="1"/>
  <c r="C1735" i="1"/>
  <c r="E1734" i="1"/>
  <c r="C1734" i="1"/>
  <c r="E1733" i="1"/>
  <c r="C1733" i="1"/>
  <c r="E1732" i="1"/>
  <c r="C1732" i="1"/>
  <c r="E1731" i="1"/>
  <c r="C1731" i="1"/>
  <c r="E1730" i="1"/>
  <c r="C1730" i="1"/>
  <c r="E1729" i="1"/>
  <c r="C1729" i="1"/>
  <c r="E1728" i="1"/>
  <c r="C1728" i="1"/>
  <c r="E1727" i="1"/>
  <c r="C1727" i="1"/>
  <c r="E1726" i="1"/>
  <c r="C1726" i="1"/>
  <c r="E1725" i="1"/>
  <c r="C1725" i="1"/>
  <c r="E1724" i="1"/>
  <c r="C1724" i="1"/>
  <c r="E1723" i="1"/>
  <c r="C1723" i="1"/>
  <c r="E1722" i="1"/>
  <c r="C1722" i="1"/>
  <c r="E1721" i="1"/>
  <c r="C1721" i="1"/>
  <c r="E1720" i="1"/>
  <c r="C1720" i="1"/>
  <c r="E1719" i="1"/>
  <c r="C1719" i="1"/>
  <c r="E1718" i="1"/>
  <c r="C1718" i="1"/>
  <c r="E1717" i="1"/>
  <c r="C1717" i="1"/>
  <c r="E1716" i="1"/>
  <c r="C1716" i="1"/>
  <c r="E1715" i="1"/>
  <c r="C1715" i="1"/>
  <c r="E1714" i="1"/>
  <c r="C1714" i="1"/>
  <c r="E1713" i="1"/>
  <c r="C1713" i="1"/>
  <c r="E1712" i="1"/>
  <c r="C1712" i="1"/>
  <c r="E1711" i="1"/>
  <c r="C1711" i="1"/>
  <c r="E1710" i="1"/>
  <c r="C1710" i="1"/>
  <c r="E1709" i="1"/>
  <c r="C1709" i="1"/>
  <c r="E1708" i="1"/>
  <c r="C1708" i="1"/>
  <c r="E1707" i="1"/>
  <c r="C1707" i="1"/>
  <c r="E1706" i="1"/>
  <c r="C1706" i="1"/>
  <c r="E1705" i="1"/>
  <c r="C1705" i="1"/>
  <c r="E1704" i="1"/>
  <c r="C1704" i="1"/>
  <c r="E1703" i="1"/>
  <c r="C1703" i="1"/>
  <c r="E1702" i="1"/>
  <c r="C1702" i="1"/>
  <c r="E1701" i="1"/>
  <c r="C1701" i="1"/>
  <c r="E1700" i="1"/>
  <c r="C1700" i="1"/>
  <c r="E1699" i="1"/>
  <c r="C1699" i="1"/>
  <c r="E1698" i="1"/>
  <c r="C1698" i="1"/>
  <c r="E1697" i="1"/>
  <c r="C1697" i="1"/>
  <c r="E1696" i="1"/>
  <c r="C1696" i="1"/>
  <c r="E1695" i="1"/>
  <c r="C1695" i="1"/>
  <c r="E1694" i="1"/>
  <c r="C1694" i="1"/>
  <c r="E1693" i="1"/>
  <c r="C1693" i="1"/>
  <c r="E1692" i="1"/>
  <c r="C1692" i="1"/>
  <c r="E1691" i="1"/>
  <c r="C1691" i="1"/>
  <c r="E1690" i="1"/>
  <c r="C1690" i="1"/>
  <c r="E1689" i="1"/>
  <c r="C1689" i="1"/>
  <c r="E1688" i="1"/>
  <c r="C1688" i="1"/>
  <c r="E1687" i="1"/>
  <c r="C1687" i="1"/>
  <c r="E1686" i="1"/>
  <c r="C1686" i="1"/>
  <c r="E1685" i="1"/>
  <c r="C1685" i="1"/>
  <c r="E1684" i="1"/>
  <c r="C1684" i="1"/>
  <c r="E1683" i="1"/>
  <c r="C1683" i="1"/>
  <c r="E1682" i="1"/>
  <c r="C1682" i="1"/>
  <c r="E1681" i="1"/>
  <c r="C1681" i="1"/>
  <c r="E1680" i="1"/>
  <c r="C1680" i="1"/>
  <c r="E1679" i="1"/>
  <c r="C1679" i="1"/>
  <c r="E1678" i="1"/>
  <c r="C1678" i="1"/>
  <c r="E1677" i="1"/>
  <c r="C1677" i="1"/>
  <c r="E1676" i="1"/>
  <c r="C1676" i="1"/>
  <c r="E1675" i="1"/>
  <c r="C1675" i="1"/>
  <c r="E1674" i="1"/>
  <c r="C1674" i="1"/>
  <c r="E1673" i="1"/>
  <c r="C1673" i="1"/>
  <c r="E1672" i="1"/>
  <c r="C1672" i="1"/>
  <c r="E1671" i="1"/>
  <c r="C1671" i="1"/>
  <c r="E1670" i="1"/>
  <c r="C1670" i="1"/>
  <c r="E1669" i="1"/>
  <c r="C1669" i="1"/>
  <c r="E1668" i="1"/>
  <c r="C1668" i="1"/>
  <c r="E1667" i="1"/>
  <c r="C1667" i="1"/>
  <c r="E1666" i="1"/>
  <c r="C1666" i="1"/>
  <c r="E1665" i="1"/>
  <c r="C1665" i="1"/>
  <c r="E1664" i="1"/>
  <c r="C1664" i="1"/>
  <c r="E1663" i="1"/>
  <c r="C1663" i="1"/>
  <c r="E1662" i="1"/>
  <c r="C1662" i="1"/>
  <c r="E1661" i="1"/>
  <c r="C1661" i="1"/>
  <c r="E1660" i="1"/>
  <c r="C1660" i="1"/>
  <c r="E1659" i="1"/>
  <c r="C1659" i="1"/>
  <c r="E1658" i="1"/>
  <c r="C1658" i="1"/>
  <c r="E1657" i="1"/>
  <c r="C1657" i="1"/>
  <c r="E1656" i="1"/>
  <c r="C1656" i="1"/>
  <c r="E1655" i="1"/>
  <c r="C1655" i="1"/>
  <c r="E1654" i="1"/>
  <c r="C1654" i="1"/>
  <c r="E1653" i="1"/>
  <c r="C1653" i="1"/>
  <c r="E1652" i="1"/>
  <c r="C1652" i="1"/>
  <c r="E1651" i="1"/>
  <c r="C1651" i="1"/>
  <c r="E1650" i="1"/>
  <c r="C1650" i="1"/>
  <c r="E1649" i="1"/>
  <c r="C1649" i="1"/>
  <c r="E1648" i="1"/>
  <c r="C1648" i="1"/>
  <c r="E1647" i="1"/>
  <c r="C1647" i="1"/>
  <c r="E1646" i="1"/>
  <c r="C1646" i="1"/>
  <c r="E1645" i="1"/>
  <c r="C1645" i="1"/>
  <c r="E1644" i="1"/>
  <c r="C1644" i="1"/>
  <c r="E1643" i="1"/>
  <c r="C1643" i="1"/>
  <c r="E1642" i="1"/>
  <c r="C1642" i="1"/>
  <c r="E1641" i="1"/>
  <c r="C1641" i="1"/>
  <c r="E1640" i="1"/>
  <c r="C1640" i="1"/>
  <c r="E1639" i="1"/>
  <c r="C1639" i="1"/>
  <c r="E1638" i="1"/>
  <c r="C1638" i="1"/>
  <c r="E1637" i="1"/>
  <c r="C1637" i="1"/>
  <c r="E1636" i="1"/>
  <c r="C1636" i="1"/>
  <c r="E1635" i="1"/>
  <c r="C1635" i="1"/>
  <c r="E1634" i="1"/>
  <c r="C1634" i="1"/>
  <c r="E1633" i="1"/>
  <c r="C1633" i="1"/>
  <c r="E1632" i="1"/>
  <c r="C1632" i="1"/>
  <c r="E1631" i="1"/>
  <c r="C1631" i="1"/>
  <c r="E1630" i="1"/>
  <c r="C1630" i="1"/>
  <c r="E1629" i="1"/>
  <c r="C1629" i="1"/>
  <c r="E1628" i="1"/>
  <c r="C1628" i="1"/>
  <c r="E1627" i="1"/>
  <c r="C1627" i="1"/>
  <c r="E1626" i="1"/>
  <c r="C1626" i="1"/>
  <c r="E1625" i="1"/>
  <c r="C1625" i="1"/>
  <c r="E1624" i="1"/>
  <c r="C1624" i="1"/>
  <c r="E1623" i="1"/>
  <c r="C1623" i="1"/>
  <c r="E1622" i="1"/>
  <c r="C1622" i="1"/>
  <c r="E1621" i="1"/>
  <c r="C1621" i="1"/>
  <c r="E1620" i="1"/>
  <c r="C1620" i="1"/>
  <c r="E1619" i="1"/>
  <c r="C1619" i="1"/>
  <c r="E1618" i="1"/>
  <c r="C1618" i="1"/>
  <c r="E1617" i="1"/>
  <c r="C1617" i="1"/>
  <c r="E1616" i="1"/>
  <c r="C1616" i="1"/>
  <c r="E1615" i="1"/>
  <c r="C1615" i="1"/>
  <c r="E1614" i="1"/>
  <c r="C1614" i="1"/>
  <c r="E1613" i="1"/>
  <c r="C1613" i="1"/>
  <c r="E1612" i="1"/>
  <c r="C1612" i="1"/>
  <c r="E1611" i="1"/>
  <c r="C1611" i="1"/>
  <c r="E1610" i="1"/>
  <c r="C1610" i="1"/>
  <c r="E1609" i="1"/>
  <c r="C1609" i="1"/>
  <c r="E1608" i="1"/>
  <c r="C1608" i="1"/>
  <c r="E1607" i="1"/>
  <c r="C1607" i="1"/>
  <c r="E1606" i="1"/>
  <c r="C1606" i="1"/>
  <c r="E1605" i="1"/>
  <c r="C1605" i="1"/>
  <c r="E1604" i="1"/>
  <c r="C1604" i="1"/>
  <c r="E1603" i="1"/>
  <c r="C1603" i="1"/>
  <c r="E1602" i="1"/>
  <c r="C1602" i="1"/>
  <c r="E1601" i="1"/>
  <c r="C1601" i="1"/>
  <c r="E1600" i="1"/>
  <c r="C1600" i="1"/>
  <c r="E1599" i="1"/>
  <c r="C1599" i="1"/>
  <c r="E1598" i="1"/>
  <c r="C1598" i="1"/>
  <c r="E1597" i="1"/>
  <c r="C1597" i="1"/>
  <c r="E1596" i="1"/>
  <c r="C1596" i="1"/>
  <c r="E1595" i="1"/>
  <c r="C1595" i="1"/>
  <c r="E1594" i="1"/>
  <c r="C1594" i="1"/>
  <c r="E1593" i="1"/>
  <c r="C1593" i="1"/>
  <c r="E1592" i="1"/>
  <c r="C1592" i="1"/>
  <c r="E1591" i="1"/>
  <c r="C1591" i="1"/>
  <c r="E1590" i="1"/>
  <c r="C1590" i="1"/>
  <c r="E1589" i="1"/>
  <c r="C1589" i="1"/>
  <c r="E1588" i="1"/>
  <c r="C1588" i="1"/>
  <c r="E1587" i="1"/>
  <c r="C1587" i="1"/>
  <c r="E1586" i="1"/>
  <c r="C1586" i="1"/>
  <c r="E1585" i="1"/>
  <c r="C1585" i="1"/>
  <c r="E1584" i="1"/>
  <c r="C1584" i="1"/>
  <c r="E1583" i="1"/>
  <c r="C1583" i="1"/>
  <c r="E1582" i="1"/>
  <c r="C1582" i="1"/>
  <c r="E1581" i="1"/>
  <c r="C1581" i="1"/>
  <c r="E1580" i="1"/>
  <c r="C1580" i="1"/>
  <c r="E1579" i="1"/>
  <c r="C1579" i="1"/>
  <c r="E1578" i="1"/>
  <c r="C1578" i="1"/>
  <c r="E1577" i="1"/>
  <c r="C1577" i="1"/>
  <c r="E1576" i="1"/>
  <c r="C1576" i="1"/>
  <c r="E1575" i="1"/>
  <c r="C1575" i="1"/>
  <c r="E1574" i="1"/>
  <c r="C1574" i="1"/>
  <c r="E1573" i="1"/>
  <c r="C1573" i="1"/>
  <c r="E1572" i="1"/>
  <c r="C1572" i="1"/>
  <c r="E1571" i="1"/>
  <c r="C1571" i="1"/>
  <c r="E1570" i="1"/>
  <c r="C1570" i="1"/>
  <c r="E1569" i="1"/>
  <c r="C1569" i="1"/>
  <c r="E1568" i="1"/>
  <c r="C1568" i="1"/>
  <c r="E1567" i="1"/>
  <c r="C1567" i="1"/>
  <c r="E1566" i="1"/>
  <c r="C1566" i="1"/>
  <c r="E1565" i="1"/>
  <c r="C1565" i="1"/>
  <c r="E1564" i="1"/>
  <c r="C1564" i="1"/>
  <c r="E1563" i="1"/>
  <c r="C1563" i="1"/>
  <c r="E1562" i="1"/>
  <c r="C1562" i="1"/>
  <c r="E1561" i="1"/>
  <c r="C1561" i="1"/>
  <c r="E1560" i="1"/>
  <c r="C1560" i="1"/>
  <c r="E1559" i="1"/>
  <c r="C1559" i="1"/>
  <c r="E1558" i="1"/>
  <c r="C1558" i="1"/>
  <c r="E1557" i="1"/>
  <c r="C1557" i="1"/>
  <c r="E1556" i="1"/>
  <c r="C1556" i="1"/>
  <c r="E1555" i="1"/>
  <c r="C1555" i="1"/>
  <c r="E1554" i="1"/>
  <c r="C1554" i="1"/>
  <c r="E1553" i="1"/>
  <c r="C1553" i="1"/>
  <c r="E1552" i="1"/>
  <c r="C1552" i="1"/>
  <c r="E1551" i="1"/>
  <c r="C1551" i="1"/>
  <c r="E1550" i="1"/>
  <c r="C1550" i="1"/>
  <c r="E1549" i="1"/>
  <c r="C1549" i="1"/>
  <c r="E1548" i="1"/>
  <c r="C1548" i="1"/>
  <c r="E1547" i="1"/>
  <c r="C1547" i="1"/>
  <c r="E1546" i="1"/>
  <c r="C1546" i="1"/>
  <c r="E1545" i="1"/>
  <c r="C1545" i="1"/>
  <c r="E1544" i="1"/>
  <c r="C1544" i="1"/>
  <c r="E1543" i="1"/>
  <c r="C1543" i="1"/>
  <c r="E1542" i="1"/>
  <c r="C1542" i="1"/>
  <c r="E1541" i="1"/>
  <c r="C1541" i="1"/>
  <c r="E1540" i="1"/>
  <c r="C1540" i="1"/>
  <c r="E1539" i="1"/>
  <c r="C1539" i="1"/>
  <c r="E1538" i="1"/>
  <c r="C1538" i="1"/>
  <c r="E1537" i="1"/>
  <c r="C1537" i="1"/>
  <c r="E1536" i="1"/>
  <c r="C1536" i="1"/>
  <c r="E1535" i="1"/>
  <c r="C1535" i="1"/>
  <c r="E1534" i="1"/>
  <c r="C1534" i="1"/>
  <c r="E1533" i="1"/>
  <c r="C1533" i="1"/>
  <c r="E1532" i="1"/>
  <c r="C1532" i="1"/>
  <c r="E1531" i="1"/>
  <c r="C1531" i="1"/>
  <c r="E1530" i="1"/>
  <c r="C1530" i="1"/>
  <c r="E1529" i="1"/>
  <c r="C1529" i="1"/>
  <c r="E1528" i="1"/>
  <c r="C1528" i="1"/>
  <c r="E1527" i="1"/>
  <c r="C1527" i="1"/>
  <c r="E1526" i="1"/>
  <c r="C1526" i="1"/>
  <c r="E1525" i="1"/>
  <c r="C1525" i="1"/>
  <c r="E1524" i="1"/>
  <c r="C1524" i="1"/>
  <c r="E1523" i="1"/>
  <c r="C1523" i="1"/>
  <c r="E1522" i="1"/>
  <c r="C1522" i="1"/>
  <c r="E1521" i="1"/>
  <c r="C1521" i="1"/>
  <c r="E1520" i="1"/>
  <c r="C1520" i="1"/>
  <c r="E1519" i="1"/>
  <c r="C1519" i="1"/>
  <c r="E1518" i="1"/>
  <c r="C1518" i="1"/>
  <c r="E1517" i="1"/>
  <c r="C1517" i="1"/>
  <c r="E1516" i="1"/>
  <c r="C1516" i="1"/>
  <c r="E1515" i="1"/>
  <c r="C1515" i="1"/>
  <c r="E1514" i="1"/>
  <c r="C1514" i="1"/>
  <c r="E1513" i="1"/>
  <c r="C1513" i="1"/>
  <c r="E1512" i="1"/>
  <c r="C1512" i="1"/>
  <c r="E1511" i="1"/>
  <c r="C1511" i="1"/>
  <c r="E1510" i="1"/>
  <c r="C1510" i="1"/>
  <c r="E1509" i="1"/>
  <c r="C1509" i="1"/>
  <c r="E1508" i="1"/>
  <c r="C1508" i="1"/>
  <c r="E1507" i="1"/>
  <c r="C1507" i="1"/>
  <c r="E1506" i="1"/>
  <c r="C1506" i="1"/>
  <c r="E1505" i="1"/>
  <c r="C1505" i="1"/>
  <c r="E1504" i="1"/>
  <c r="C1504" i="1"/>
  <c r="E1503" i="1"/>
  <c r="C1503" i="1"/>
  <c r="E1502" i="1"/>
  <c r="C1502" i="1"/>
  <c r="E1501" i="1"/>
  <c r="C1501" i="1"/>
  <c r="E1500" i="1"/>
  <c r="C1500" i="1"/>
  <c r="E1499" i="1"/>
  <c r="C1499" i="1"/>
  <c r="E1498" i="1"/>
  <c r="C1498" i="1"/>
  <c r="E1497" i="1"/>
  <c r="C1497" i="1"/>
  <c r="E1496" i="1"/>
  <c r="C1496" i="1"/>
  <c r="E1495" i="1"/>
  <c r="C1495" i="1"/>
  <c r="E1494" i="1"/>
  <c r="C1494" i="1"/>
  <c r="E1493" i="1"/>
  <c r="C1493" i="1"/>
  <c r="E1492" i="1"/>
  <c r="C1492" i="1"/>
  <c r="E1491" i="1"/>
  <c r="C1491" i="1"/>
  <c r="E1490" i="1"/>
  <c r="C1490" i="1"/>
  <c r="E1489" i="1"/>
  <c r="C1489" i="1"/>
  <c r="E1488" i="1"/>
  <c r="C1488" i="1"/>
  <c r="E1487" i="1"/>
  <c r="C1487" i="1"/>
  <c r="E1486" i="1"/>
  <c r="C1486" i="1"/>
  <c r="E1485" i="1"/>
  <c r="C1485" i="1"/>
  <c r="E1484" i="1"/>
  <c r="C1484" i="1"/>
  <c r="E1483" i="1"/>
  <c r="C1483" i="1"/>
  <c r="E1482" i="1"/>
  <c r="C1482" i="1"/>
  <c r="E1481" i="1"/>
  <c r="C1481" i="1"/>
  <c r="E1480" i="1"/>
  <c r="C1480" i="1"/>
  <c r="E1479" i="1"/>
  <c r="C1479" i="1"/>
  <c r="E1478" i="1"/>
  <c r="C1478" i="1"/>
  <c r="E1477" i="1"/>
  <c r="C1477" i="1"/>
  <c r="E1476" i="1"/>
  <c r="C1476" i="1"/>
  <c r="E1475" i="1"/>
  <c r="C1475" i="1"/>
  <c r="E1474" i="1"/>
  <c r="C1474" i="1"/>
  <c r="E1473" i="1"/>
  <c r="C1473" i="1"/>
  <c r="E1472" i="1"/>
  <c r="C1472" i="1"/>
  <c r="E1471" i="1"/>
  <c r="C1471" i="1"/>
  <c r="E1470" i="1"/>
  <c r="C1470" i="1"/>
  <c r="E1469" i="1"/>
  <c r="C1469" i="1"/>
  <c r="E1468" i="1"/>
  <c r="C1468" i="1"/>
  <c r="E1467" i="1"/>
  <c r="C1467" i="1"/>
  <c r="E1466" i="1"/>
  <c r="C1466" i="1"/>
  <c r="E1465" i="1"/>
  <c r="C1465" i="1"/>
  <c r="E1464" i="1"/>
  <c r="C1464" i="1"/>
  <c r="E1463" i="1"/>
  <c r="C1463" i="1"/>
  <c r="E1462" i="1"/>
  <c r="C1462" i="1"/>
  <c r="E1461" i="1"/>
  <c r="C1461" i="1"/>
  <c r="E1460" i="1"/>
  <c r="C1460" i="1"/>
  <c r="E1459" i="1"/>
  <c r="C1459" i="1"/>
  <c r="E1458" i="1"/>
  <c r="C1458" i="1"/>
  <c r="E1457" i="1"/>
  <c r="C1457" i="1"/>
  <c r="E1456" i="1"/>
  <c r="C1456" i="1"/>
  <c r="E1455" i="1"/>
  <c r="C1455" i="1"/>
  <c r="E1454" i="1"/>
  <c r="C1454" i="1"/>
  <c r="E1453" i="1"/>
  <c r="C1453" i="1"/>
  <c r="E1452" i="1"/>
  <c r="C1452" i="1"/>
  <c r="E1451" i="1"/>
  <c r="C1451" i="1"/>
  <c r="E1450" i="1"/>
  <c r="C1450" i="1"/>
  <c r="E1449" i="1"/>
  <c r="C1449" i="1"/>
  <c r="E1448" i="1"/>
  <c r="C1448" i="1"/>
  <c r="E1447" i="1"/>
  <c r="C1447" i="1"/>
  <c r="E1446" i="1"/>
  <c r="C1446" i="1"/>
  <c r="E1445" i="1"/>
  <c r="C1445" i="1"/>
  <c r="E1444" i="1"/>
  <c r="C1444" i="1"/>
  <c r="E1443" i="1"/>
  <c r="C1443" i="1"/>
  <c r="E1442" i="1"/>
  <c r="C1442" i="1"/>
  <c r="E1441" i="1"/>
  <c r="C1441" i="1"/>
  <c r="E1440" i="1"/>
  <c r="C1440" i="1"/>
  <c r="E1439" i="1"/>
  <c r="C1439" i="1"/>
  <c r="E1438" i="1"/>
  <c r="C1438" i="1"/>
  <c r="E1437" i="1"/>
  <c r="C1437" i="1"/>
  <c r="E1436" i="1"/>
  <c r="C1436" i="1"/>
  <c r="E1435" i="1"/>
  <c r="C1435" i="1"/>
  <c r="E1434" i="1"/>
  <c r="C1434" i="1"/>
  <c r="E1433" i="1"/>
  <c r="C1433" i="1"/>
  <c r="E1432" i="1"/>
  <c r="C1432" i="1"/>
  <c r="E1431" i="1"/>
  <c r="C1431" i="1"/>
  <c r="E1430" i="1"/>
  <c r="C1430" i="1"/>
  <c r="E1429" i="1"/>
  <c r="C1429" i="1"/>
  <c r="E1428" i="1"/>
  <c r="C1428" i="1"/>
  <c r="E1427" i="1"/>
  <c r="C1427" i="1"/>
  <c r="E1426" i="1"/>
  <c r="C1426" i="1"/>
  <c r="E1425" i="1"/>
  <c r="C1425" i="1"/>
  <c r="E1424" i="1"/>
  <c r="C1424" i="1"/>
  <c r="E1423" i="1"/>
  <c r="C1423" i="1"/>
  <c r="E1422" i="1"/>
  <c r="C1422" i="1"/>
  <c r="E1421" i="1"/>
  <c r="C1421" i="1"/>
  <c r="E1420" i="1"/>
  <c r="C1420" i="1"/>
  <c r="E1419" i="1"/>
  <c r="C1419" i="1"/>
  <c r="E1418" i="1"/>
  <c r="C1418" i="1"/>
  <c r="E1417" i="1"/>
  <c r="C1417" i="1"/>
  <c r="E1416" i="1"/>
  <c r="C1416" i="1"/>
  <c r="E1415" i="1"/>
  <c r="C1415" i="1"/>
  <c r="E1414" i="1"/>
  <c r="C1414" i="1"/>
  <c r="E1413" i="1"/>
  <c r="C1413" i="1"/>
  <c r="E1412" i="1"/>
  <c r="C1412" i="1"/>
  <c r="E1411" i="1"/>
  <c r="C1411" i="1"/>
  <c r="E1410" i="1"/>
  <c r="C1410" i="1"/>
  <c r="E1409" i="1"/>
  <c r="C1409" i="1"/>
  <c r="E1408" i="1"/>
  <c r="C1408" i="1"/>
  <c r="E1407" i="1"/>
  <c r="C1407" i="1"/>
  <c r="E1406" i="1"/>
  <c r="C1406" i="1"/>
  <c r="E1405" i="1"/>
  <c r="C1405" i="1"/>
  <c r="E1404" i="1"/>
  <c r="C1404" i="1"/>
  <c r="E1403" i="1"/>
  <c r="C1403" i="1"/>
  <c r="E1402" i="1"/>
  <c r="C1402" i="1"/>
  <c r="E1401" i="1"/>
  <c r="C1401" i="1"/>
  <c r="E1400" i="1"/>
  <c r="C1400" i="1"/>
  <c r="E1399" i="1"/>
  <c r="C1399" i="1"/>
  <c r="E1398" i="1"/>
  <c r="C1398" i="1"/>
  <c r="E1397" i="1"/>
  <c r="C1397" i="1"/>
  <c r="E1396" i="1"/>
  <c r="C1396" i="1"/>
  <c r="E1395" i="1"/>
  <c r="C1395" i="1"/>
  <c r="E1394" i="1"/>
  <c r="C1394" i="1"/>
  <c r="E1393" i="1"/>
  <c r="C1393" i="1"/>
  <c r="E1392" i="1"/>
  <c r="C1392" i="1"/>
  <c r="E1391" i="1"/>
  <c r="C1391" i="1"/>
  <c r="E1390" i="1"/>
  <c r="C1390" i="1"/>
  <c r="E1389" i="1"/>
  <c r="C1389" i="1"/>
  <c r="E1388" i="1"/>
  <c r="C1388" i="1"/>
  <c r="E1387" i="1"/>
  <c r="C1387" i="1"/>
  <c r="E1386" i="1"/>
  <c r="C1386" i="1"/>
  <c r="E1385" i="1"/>
  <c r="C1385" i="1"/>
  <c r="E1384" i="1"/>
  <c r="C1384" i="1"/>
  <c r="E1383" i="1"/>
  <c r="C1383" i="1"/>
  <c r="E1382" i="1"/>
  <c r="C1382" i="1"/>
  <c r="E1381" i="1"/>
  <c r="C1381" i="1"/>
  <c r="E1380" i="1"/>
  <c r="C1380" i="1"/>
  <c r="E1379" i="1"/>
  <c r="C1379" i="1"/>
  <c r="E1378" i="1"/>
  <c r="C1378" i="1"/>
  <c r="E1377" i="1"/>
  <c r="C1377" i="1"/>
  <c r="E1376" i="1"/>
  <c r="C1376" i="1"/>
  <c r="E1375" i="1"/>
  <c r="C1375" i="1"/>
  <c r="E1374" i="1"/>
  <c r="C1374" i="1"/>
  <c r="E1373" i="1"/>
  <c r="C1373" i="1"/>
  <c r="E1372" i="1"/>
  <c r="C1372" i="1"/>
  <c r="E1371" i="1"/>
  <c r="C1371" i="1"/>
  <c r="E1370" i="1"/>
  <c r="C1370" i="1"/>
  <c r="E1369" i="1"/>
  <c r="C1369" i="1"/>
  <c r="E1368" i="1"/>
  <c r="C1368" i="1"/>
  <c r="E1367" i="1"/>
  <c r="C1367" i="1"/>
  <c r="E1366" i="1"/>
  <c r="C1366" i="1"/>
  <c r="E1365" i="1"/>
  <c r="C1365" i="1"/>
  <c r="E1364" i="1"/>
  <c r="C1364" i="1"/>
  <c r="E1363" i="1"/>
  <c r="C1363" i="1"/>
  <c r="E1362" i="1"/>
  <c r="C1362" i="1"/>
  <c r="E1361" i="1"/>
  <c r="C1361" i="1"/>
  <c r="E1360" i="1"/>
  <c r="C1360" i="1"/>
  <c r="E1359" i="1"/>
  <c r="C1359" i="1"/>
  <c r="E1358" i="1"/>
  <c r="C1358" i="1"/>
  <c r="E1357" i="1"/>
  <c r="C1357" i="1"/>
  <c r="E1356" i="1"/>
  <c r="C1356" i="1"/>
  <c r="E1355" i="1"/>
  <c r="C1355" i="1"/>
  <c r="E1354" i="1"/>
  <c r="C1354" i="1"/>
  <c r="E1353" i="1"/>
  <c r="C1353" i="1"/>
  <c r="E1352" i="1"/>
  <c r="C1352" i="1"/>
  <c r="E1351" i="1"/>
  <c r="C1351" i="1"/>
  <c r="E1350" i="1"/>
  <c r="C1350" i="1"/>
  <c r="E1349" i="1"/>
  <c r="C1349" i="1"/>
  <c r="E1348" i="1"/>
  <c r="C1348" i="1"/>
  <c r="E1347" i="1"/>
  <c r="C1347" i="1"/>
  <c r="E1346" i="1"/>
  <c r="C1346" i="1"/>
  <c r="E1345" i="1"/>
  <c r="C1345" i="1"/>
  <c r="E1344" i="1"/>
  <c r="C1344" i="1"/>
  <c r="E1343" i="1"/>
  <c r="C1343" i="1"/>
  <c r="E1342" i="1"/>
  <c r="C1342" i="1"/>
  <c r="E1341" i="1"/>
  <c r="C1341" i="1"/>
  <c r="E1340" i="1"/>
  <c r="C1340" i="1"/>
  <c r="E1339" i="1"/>
  <c r="C1339" i="1"/>
  <c r="E1338" i="1"/>
  <c r="C1338" i="1"/>
  <c r="E1337" i="1"/>
  <c r="C1337" i="1"/>
  <c r="E1336" i="1"/>
  <c r="C1336" i="1"/>
  <c r="E1335" i="1"/>
  <c r="C1335" i="1"/>
  <c r="E1334" i="1"/>
  <c r="C1334" i="1"/>
  <c r="E1333" i="1"/>
  <c r="C1333" i="1"/>
  <c r="E1332" i="1"/>
  <c r="C1332" i="1"/>
  <c r="E1331" i="1"/>
  <c r="C1331" i="1"/>
  <c r="E1330" i="1"/>
  <c r="C1330" i="1"/>
  <c r="E1329" i="1"/>
  <c r="C1329" i="1"/>
  <c r="E1328" i="1"/>
  <c r="C1328" i="1"/>
  <c r="E1327" i="1"/>
  <c r="C1327" i="1"/>
  <c r="E1326" i="1"/>
  <c r="C1326" i="1"/>
  <c r="E1325" i="1"/>
  <c r="C1325" i="1"/>
  <c r="E1324" i="1"/>
  <c r="C1324" i="1"/>
  <c r="E1323" i="1"/>
  <c r="C1323" i="1"/>
  <c r="E1322" i="1"/>
  <c r="C1322" i="1"/>
  <c r="E1321" i="1"/>
  <c r="C1321" i="1"/>
  <c r="E1320" i="1"/>
  <c r="C1320" i="1"/>
  <c r="E1319" i="1"/>
  <c r="C1319" i="1"/>
  <c r="E1318" i="1"/>
  <c r="C1318" i="1"/>
  <c r="E1317" i="1"/>
  <c r="C1317" i="1"/>
  <c r="E1316" i="1"/>
  <c r="C1316" i="1"/>
  <c r="E1315" i="1"/>
  <c r="C1315" i="1"/>
  <c r="E1314" i="1"/>
  <c r="C1314" i="1"/>
  <c r="E1313" i="1"/>
  <c r="C1313" i="1"/>
  <c r="E1312" i="1"/>
  <c r="C1312" i="1"/>
  <c r="E1311" i="1"/>
  <c r="C1311" i="1"/>
  <c r="E1310" i="1"/>
  <c r="C1310" i="1"/>
  <c r="E1309" i="1"/>
  <c r="C1309" i="1"/>
  <c r="E1308" i="1"/>
  <c r="C1308" i="1"/>
  <c r="E1307" i="1"/>
  <c r="C1307" i="1"/>
  <c r="E1306" i="1"/>
  <c r="C1306" i="1"/>
  <c r="E1305" i="1"/>
  <c r="C1305" i="1"/>
  <c r="E1304" i="1"/>
  <c r="C1304" i="1"/>
  <c r="E1303" i="1"/>
  <c r="C1303" i="1"/>
  <c r="E1302" i="1"/>
  <c r="C1302" i="1"/>
  <c r="E1301" i="1"/>
  <c r="C1301" i="1"/>
  <c r="E1300" i="1"/>
  <c r="C1300" i="1"/>
  <c r="E1299" i="1"/>
  <c r="C1299" i="1"/>
  <c r="E1298" i="1"/>
  <c r="C1298" i="1"/>
  <c r="E1297" i="1"/>
  <c r="C1297" i="1"/>
  <c r="E1296" i="1"/>
  <c r="C1296" i="1"/>
  <c r="E1295" i="1"/>
  <c r="C1295" i="1"/>
  <c r="E1294" i="1"/>
  <c r="C1294" i="1"/>
  <c r="E1293" i="1"/>
  <c r="C1293" i="1"/>
  <c r="E1292" i="1"/>
  <c r="C1292" i="1"/>
  <c r="E1291" i="1"/>
  <c r="C1291" i="1"/>
  <c r="E1290" i="1"/>
  <c r="C1290" i="1"/>
  <c r="E1289" i="1"/>
  <c r="C1289" i="1"/>
  <c r="E1288" i="1"/>
  <c r="C1288" i="1"/>
  <c r="E1287" i="1"/>
  <c r="C1287" i="1"/>
  <c r="E1286" i="1"/>
  <c r="C1286" i="1"/>
  <c r="E1285" i="1"/>
  <c r="C1285" i="1"/>
  <c r="E1284" i="1"/>
  <c r="C1284" i="1"/>
  <c r="E1283" i="1"/>
  <c r="C1283" i="1"/>
  <c r="E1282" i="1"/>
  <c r="C1282" i="1"/>
  <c r="E1281" i="1"/>
  <c r="C1281" i="1"/>
  <c r="E1280" i="1"/>
  <c r="C1280" i="1"/>
  <c r="E1279" i="1"/>
  <c r="C1279" i="1"/>
  <c r="E1278" i="1"/>
  <c r="C1278" i="1"/>
  <c r="E1277" i="1"/>
  <c r="C1277" i="1"/>
  <c r="E1276" i="1"/>
  <c r="C1276" i="1"/>
  <c r="E1275" i="1"/>
  <c r="C1275" i="1"/>
  <c r="E1274" i="1"/>
  <c r="C1274" i="1"/>
  <c r="E1273" i="1"/>
  <c r="C1273" i="1"/>
  <c r="E1272" i="1"/>
  <c r="C1272" i="1"/>
  <c r="E1271" i="1"/>
  <c r="C1271" i="1"/>
  <c r="E1270" i="1"/>
  <c r="C1270" i="1"/>
  <c r="E1269" i="1"/>
  <c r="C1269" i="1"/>
  <c r="E1268" i="1"/>
  <c r="C1268" i="1"/>
  <c r="E1267" i="1"/>
  <c r="C1267" i="1"/>
  <c r="E1266" i="1"/>
  <c r="C1266" i="1"/>
  <c r="E1265" i="1"/>
  <c r="C1265" i="1"/>
  <c r="E1264" i="1"/>
  <c r="C1264" i="1"/>
  <c r="E1263" i="1"/>
  <c r="C1263" i="1"/>
  <c r="E1262" i="1"/>
  <c r="C1262" i="1"/>
  <c r="E1261" i="1"/>
  <c r="C1261" i="1"/>
  <c r="E1260" i="1"/>
  <c r="C1260" i="1"/>
  <c r="E1259" i="1"/>
  <c r="C1259" i="1"/>
  <c r="E1258" i="1"/>
  <c r="C1258" i="1"/>
  <c r="E1257" i="1"/>
  <c r="C1257" i="1"/>
  <c r="E1256" i="1"/>
  <c r="C1256" i="1"/>
  <c r="E1255" i="1"/>
  <c r="C1255" i="1"/>
  <c r="E1254" i="1"/>
  <c r="C1254" i="1"/>
  <c r="E1253" i="1"/>
  <c r="C1253" i="1"/>
  <c r="E1252" i="1"/>
  <c r="C1252" i="1"/>
  <c r="E1251" i="1"/>
  <c r="C1251" i="1"/>
  <c r="E1250" i="1"/>
  <c r="C1250" i="1"/>
  <c r="E1249" i="1"/>
  <c r="C1249" i="1"/>
  <c r="E1248" i="1"/>
  <c r="C1248" i="1"/>
  <c r="E1247" i="1"/>
  <c r="C1247" i="1"/>
  <c r="E1246" i="1"/>
  <c r="C1246" i="1"/>
  <c r="E1245" i="1"/>
  <c r="C1245" i="1"/>
  <c r="E1244" i="1"/>
  <c r="C1244" i="1"/>
  <c r="E1243" i="1"/>
  <c r="C1243" i="1"/>
  <c r="E1242" i="1"/>
  <c r="C1242" i="1"/>
  <c r="E1241" i="1"/>
  <c r="C1241" i="1"/>
  <c r="E1240" i="1"/>
  <c r="C1240" i="1"/>
  <c r="E1239" i="1"/>
  <c r="C1239" i="1"/>
  <c r="E1238" i="1"/>
  <c r="C1238" i="1"/>
  <c r="E1237" i="1"/>
  <c r="C1237" i="1"/>
  <c r="E1236" i="1"/>
  <c r="C1236" i="1"/>
  <c r="E1235" i="1"/>
  <c r="C1235" i="1"/>
  <c r="E1234" i="1"/>
  <c r="C1234" i="1"/>
  <c r="E1233" i="1"/>
  <c r="C1233" i="1"/>
  <c r="E1232" i="1"/>
  <c r="C1232" i="1"/>
  <c r="E1231" i="1"/>
  <c r="C1231" i="1"/>
  <c r="E1230" i="1"/>
  <c r="C1230" i="1"/>
  <c r="E1229" i="1"/>
  <c r="C1229" i="1"/>
  <c r="E1228" i="1"/>
  <c r="C1228" i="1"/>
  <c r="E1227" i="1"/>
  <c r="C1227" i="1"/>
  <c r="E1226" i="1"/>
  <c r="C1226" i="1"/>
  <c r="E1225" i="1"/>
  <c r="C1225" i="1"/>
  <c r="E1224" i="1"/>
  <c r="C1224" i="1"/>
  <c r="E1223" i="1"/>
  <c r="C1223" i="1"/>
  <c r="E1222" i="1"/>
  <c r="C1222" i="1"/>
  <c r="E1221" i="1"/>
  <c r="C1221" i="1"/>
  <c r="E1220" i="1"/>
  <c r="C1220" i="1"/>
  <c r="E1219" i="1"/>
  <c r="C1219" i="1"/>
  <c r="E1218" i="1"/>
  <c r="C1218" i="1"/>
  <c r="E1217" i="1"/>
  <c r="C1217" i="1"/>
  <c r="E1216" i="1"/>
  <c r="C1216" i="1"/>
  <c r="E1215" i="1"/>
  <c r="C1215" i="1"/>
  <c r="E1214" i="1"/>
  <c r="C1214" i="1"/>
  <c r="E1213" i="1"/>
  <c r="C1213" i="1"/>
  <c r="E1212" i="1"/>
  <c r="C1212" i="1"/>
  <c r="E1211" i="1"/>
  <c r="C1211" i="1"/>
  <c r="E1210" i="1"/>
  <c r="C1210" i="1"/>
  <c r="E1209" i="1"/>
  <c r="C1209" i="1"/>
  <c r="E1208" i="1"/>
  <c r="C1208" i="1"/>
  <c r="E1207" i="1"/>
  <c r="C1207" i="1"/>
  <c r="E1206" i="1"/>
  <c r="C1206" i="1"/>
  <c r="E1205" i="1"/>
  <c r="C1205" i="1"/>
  <c r="E1204" i="1"/>
  <c r="C1204" i="1"/>
  <c r="E1203" i="1"/>
  <c r="C1203" i="1"/>
  <c r="E1202" i="1"/>
  <c r="C1202" i="1"/>
  <c r="E1201" i="1"/>
  <c r="C1201" i="1"/>
  <c r="E1200" i="1"/>
  <c r="C1200" i="1"/>
  <c r="E1199" i="1"/>
  <c r="C1199" i="1"/>
  <c r="E1198" i="1"/>
  <c r="C1198" i="1"/>
  <c r="E1197" i="1"/>
  <c r="C1197" i="1"/>
  <c r="E1196" i="1"/>
  <c r="C1196" i="1"/>
  <c r="E1195" i="1"/>
  <c r="C1195" i="1"/>
  <c r="E1194" i="1"/>
  <c r="C1194" i="1"/>
  <c r="E1193" i="1"/>
  <c r="C1193" i="1"/>
  <c r="E1192" i="1"/>
  <c r="C1192" i="1"/>
  <c r="E1191" i="1"/>
  <c r="C1191" i="1"/>
  <c r="E1190" i="1"/>
  <c r="C1190" i="1"/>
  <c r="E1189" i="1"/>
  <c r="C1189" i="1"/>
  <c r="E1188" i="1"/>
  <c r="C1188" i="1"/>
  <c r="E1187" i="1"/>
  <c r="C1187" i="1"/>
  <c r="E1186" i="1"/>
  <c r="C1186" i="1"/>
  <c r="E1185" i="1"/>
  <c r="C1185" i="1"/>
  <c r="E1184" i="1"/>
  <c r="C1184" i="1"/>
  <c r="E1183" i="1"/>
  <c r="C1183" i="1"/>
  <c r="E1182" i="1"/>
  <c r="C1182" i="1"/>
  <c r="E1181" i="1"/>
  <c r="C1181" i="1"/>
  <c r="E1180" i="1"/>
  <c r="C1180" i="1"/>
  <c r="E1179" i="1"/>
  <c r="C1179" i="1"/>
  <c r="E1178" i="1"/>
  <c r="C1178" i="1"/>
  <c r="E1177" i="1"/>
  <c r="C1177" i="1"/>
  <c r="E1176" i="1"/>
  <c r="C1176" i="1"/>
  <c r="E1175" i="1"/>
  <c r="C1175" i="1"/>
  <c r="E1174" i="1"/>
  <c r="C1174" i="1"/>
  <c r="E1173" i="1"/>
  <c r="C1173" i="1"/>
  <c r="E1172" i="1"/>
  <c r="C1172" i="1"/>
  <c r="E1171" i="1"/>
  <c r="C1171" i="1"/>
  <c r="E1170" i="1"/>
  <c r="C1170" i="1"/>
  <c r="E1169" i="1"/>
  <c r="C1169" i="1"/>
  <c r="E1168" i="1"/>
  <c r="C1168" i="1"/>
  <c r="E1167" i="1"/>
  <c r="C1167" i="1"/>
  <c r="E1166" i="1"/>
  <c r="C1166" i="1"/>
  <c r="E1165" i="1"/>
  <c r="C1165" i="1"/>
  <c r="E1164" i="1"/>
  <c r="C1164" i="1"/>
  <c r="E1163" i="1"/>
  <c r="C1163" i="1"/>
  <c r="E1162" i="1"/>
  <c r="C1162" i="1"/>
  <c r="E1161" i="1"/>
  <c r="C1161" i="1"/>
  <c r="E1160" i="1"/>
  <c r="C1160" i="1"/>
  <c r="E1159" i="1"/>
  <c r="C1159" i="1"/>
  <c r="E1158" i="1"/>
  <c r="C1158" i="1"/>
  <c r="E1157" i="1"/>
  <c r="C1157" i="1"/>
  <c r="E1156" i="1"/>
  <c r="C1156" i="1"/>
  <c r="E1155" i="1"/>
  <c r="C1155" i="1"/>
  <c r="E1154" i="1"/>
  <c r="C1154" i="1"/>
  <c r="E1153" i="1"/>
  <c r="C1153" i="1"/>
  <c r="E1152" i="1"/>
  <c r="C1152" i="1"/>
  <c r="E1151" i="1"/>
  <c r="C1151" i="1"/>
  <c r="E1150" i="1"/>
  <c r="C1150" i="1"/>
  <c r="E1149" i="1"/>
  <c r="C1149" i="1"/>
  <c r="E1148" i="1"/>
  <c r="C1148" i="1"/>
  <c r="E1147" i="1"/>
  <c r="C1147" i="1"/>
  <c r="E1146" i="1"/>
  <c r="C1146" i="1"/>
  <c r="E1145" i="1"/>
  <c r="C1145" i="1"/>
  <c r="E1144" i="1"/>
  <c r="C1144" i="1"/>
  <c r="E1143" i="1"/>
  <c r="C1143" i="1"/>
  <c r="E1142" i="1"/>
  <c r="C1142" i="1"/>
  <c r="E1141" i="1"/>
  <c r="C1141" i="1"/>
  <c r="E1140" i="1"/>
  <c r="C1140" i="1"/>
  <c r="E1139" i="1"/>
  <c r="C1139" i="1"/>
  <c r="E1138" i="1"/>
  <c r="C1138" i="1"/>
  <c r="E1137" i="1"/>
  <c r="C1137" i="1"/>
  <c r="E1136" i="1"/>
  <c r="C1136" i="1"/>
  <c r="E1135" i="1"/>
  <c r="C1135" i="1"/>
  <c r="E1134" i="1"/>
  <c r="C1134" i="1"/>
  <c r="E1133" i="1"/>
  <c r="C1133" i="1"/>
  <c r="E1132" i="1"/>
  <c r="C1132" i="1"/>
  <c r="E1131" i="1"/>
  <c r="C1131" i="1"/>
  <c r="E1130" i="1"/>
  <c r="C1130" i="1"/>
  <c r="E1129" i="1"/>
  <c r="C1129" i="1"/>
  <c r="E1128" i="1"/>
  <c r="C1128" i="1"/>
  <c r="E1127" i="1"/>
  <c r="C1127" i="1"/>
  <c r="E1126" i="1"/>
  <c r="C1126" i="1"/>
  <c r="E1125" i="1"/>
  <c r="C1125" i="1"/>
  <c r="E1124" i="1"/>
  <c r="C1124" i="1"/>
  <c r="E1123" i="1"/>
  <c r="C1123" i="1"/>
  <c r="E1122" i="1"/>
  <c r="C1122" i="1"/>
  <c r="E1121" i="1"/>
  <c r="C1121" i="1"/>
  <c r="E1120" i="1"/>
  <c r="C1120" i="1"/>
  <c r="E1119" i="1"/>
  <c r="C1119" i="1"/>
  <c r="E1118" i="1"/>
  <c r="C1118" i="1"/>
  <c r="E1117" i="1"/>
  <c r="C1117" i="1"/>
  <c r="E1116" i="1"/>
  <c r="C1116" i="1"/>
  <c r="E1115" i="1"/>
  <c r="C1115" i="1"/>
  <c r="E1114" i="1"/>
  <c r="C1114" i="1"/>
  <c r="E1113" i="1"/>
  <c r="C1113" i="1"/>
  <c r="E1112" i="1"/>
  <c r="C1112" i="1"/>
  <c r="E1111" i="1"/>
  <c r="C1111" i="1"/>
  <c r="E1110" i="1"/>
  <c r="C1110" i="1"/>
  <c r="E1109" i="1"/>
  <c r="C1109" i="1"/>
  <c r="E1108" i="1"/>
  <c r="C1108" i="1"/>
  <c r="E1107" i="1"/>
  <c r="C1107" i="1"/>
  <c r="E1106" i="1"/>
  <c r="C1106" i="1"/>
  <c r="E1105" i="1"/>
  <c r="C1105" i="1"/>
  <c r="E1104" i="1"/>
  <c r="C1104" i="1"/>
  <c r="E1103" i="1"/>
  <c r="C1103" i="1"/>
  <c r="E1102" i="1"/>
  <c r="C1102" i="1"/>
  <c r="E1101" i="1"/>
  <c r="C1101" i="1"/>
  <c r="E1100" i="1"/>
  <c r="C1100" i="1"/>
  <c r="E1099" i="1"/>
  <c r="C1099" i="1"/>
  <c r="E1098" i="1"/>
  <c r="C1098" i="1"/>
  <c r="E1097" i="1"/>
  <c r="C1097" i="1"/>
  <c r="E1096" i="1"/>
  <c r="C1096" i="1"/>
  <c r="E1095" i="1"/>
  <c r="C1095" i="1"/>
  <c r="E1094" i="1"/>
  <c r="C1094" i="1"/>
  <c r="E1093" i="1"/>
  <c r="C1093" i="1"/>
  <c r="E1092" i="1"/>
  <c r="C1092" i="1"/>
  <c r="E1091" i="1"/>
  <c r="C1091" i="1"/>
  <c r="E1090" i="1"/>
  <c r="C1090" i="1"/>
  <c r="E1089" i="1"/>
  <c r="C1089" i="1"/>
  <c r="E1088" i="1"/>
  <c r="C1088" i="1"/>
  <c r="E1087" i="1"/>
  <c r="C1087" i="1"/>
  <c r="E1086" i="1"/>
  <c r="C1086" i="1"/>
  <c r="E1085" i="1"/>
  <c r="C1085" i="1"/>
  <c r="E1084" i="1"/>
  <c r="C1084" i="1"/>
  <c r="E1083" i="1"/>
  <c r="C1083" i="1"/>
  <c r="E1082" i="1"/>
  <c r="C1082" i="1"/>
  <c r="E1081" i="1"/>
  <c r="C1081" i="1"/>
  <c r="E1080" i="1"/>
  <c r="C1080" i="1"/>
  <c r="E1079" i="1"/>
  <c r="C1079" i="1"/>
  <c r="E1078" i="1"/>
  <c r="C1078" i="1"/>
  <c r="E1077" i="1"/>
  <c r="C1077" i="1"/>
  <c r="E1076" i="1"/>
  <c r="C1076" i="1"/>
  <c r="E1075" i="1"/>
  <c r="C1075" i="1"/>
  <c r="E1074" i="1"/>
  <c r="C1074" i="1"/>
  <c r="E1073" i="1"/>
  <c r="C1073" i="1"/>
  <c r="E1072" i="1"/>
  <c r="C1072" i="1"/>
  <c r="E1071" i="1"/>
  <c r="C1071" i="1"/>
  <c r="E1070" i="1"/>
  <c r="C1070" i="1"/>
  <c r="E1069" i="1"/>
  <c r="C1069" i="1"/>
  <c r="E1068" i="1"/>
  <c r="C1068" i="1"/>
  <c r="E1067" i="1"/>
  <c r="C1067" i="1"/>
  <c r="E1066" i="1"/>
  <c r="C1066" i="1"/>
  <c r="E1065" i="1"/>
  <c r="C1065" i="1"/>
  <c r="E1064" i="1"/>
  <c r="C1064" i="1"/>
  <c r="E1063" i="1"/>
  <c r="C1063" i="1"/>
  <c r="E1062" i="1"/>
  <c r="C1062" i="1"/>
  <c r="E1061" i="1"/>
  <c r="C1061" i="1"/>
  <c r="E1060" i="1"/>
  <c r="C1060" i="1"/>
  <c r="E1059" i="1"/>
  <c r="C1059" i="1"/>
  <c r="E1058" i="1"/>
  <c r="C1058" i="1"/>
  <c r="E1057" i="1"/>
  <c r="C1057" i="1"/>
  <c r="E1056" i="1"/>
  <c r="C1056" i="1"/>
  <c r="E1055" i="1"/>
  <c r="C1055" i="1"/>
  <c r="E1054" i="1"/>
  <c r="C1054" i="1"/>
  <c r="E1053" i="1"/>
  <c r="C1053" i="1"/>
  <c r="E1052" i="1"/>
  <c r="C1052" i="1"/>
  <c r="E1051" i="1"/>
  <c r="C1051" i="1"/>
  <c r="E1050" i="1"/>
  <c r="C1050" i="1"/>
  <c r="E1049" i="1"/>
  <c r="C1049" i="1"/>
  <c r="E1048" i="1"/>
  <c r="C1048" i="1"/>
  <c r="E1047" i="1"/>
  <c r="C1047" i="1"/>
  <c r="E1046" i="1"/>
  <c r="C1046" i="1"/>
  <c r="E1045" i="1"/>
  <c r="C1045" i="1"/>
  <c r="E1044" i="1"/>
  <c r="C1044" i="1"/>
  <c r="E1043" i="1"/>
  <c r="C1043" i="1"/>
  <c r="E1042" i="1"/>
  <c r="C1042" i="1"/>
  <c r="E1041" i="1"/>
  <c r="C1041" i="1"/>
  <c r="E1040" i="1"/>
  <c r="C1040" i="1"/>
  <c r="E1039" i="1"/>
  <c r="C1039" i="1"/>
  <c r="E1038" i="1"/>
  <c r="C1038" i="1"/>
  <c r="E1037" i="1"/>
  <c r="C1037" i="1"/>
  <c r="E1036" i="1"/>
  <c r="C1036" i="1"/>
  <c r="E1035" i="1"/>
  <c r="C1035" i="1"/>
  <c r="E1034" i="1"/>
  <c r="C1034" i="1"/>
  <c r="E1033" i="1"/>
  <c r="C1033" i="1"/>
  <c r="E1032" i="1"/>
  <c r="C1032" i="1"/>
  <c r="E1031" i="1"/>
  <c r="C1031" i="1"/>
  <c r="E1030" i="1"/>
  <c r="C1030" i="1"/>
  <c r="E1029" i="1"/>
  <c r="C1029" i="1"/>
  <c r="E1028" i="1"/>
  <c r="C1028" i="1"/>
  <c r="E1027" i="1"/>
  <c r="C1027" i="1"/>
  <c r="E1026" i="1"/>
  <c r="C1026" i="1"/>
  <c r="E1025" i="1"/>
  <c r="C1025" i="1"/>
  <c r="E1024" i="1"/>
  <c r="C1024" i="1"/>
  <c r="E1023" i="1"/>
  <c r="C1023" i="1"/>
  <c r="E1022" i="1"/>
  <c r="C1022" i="1"/>
  <c r="E1021" i="1"/>
  <c r="C1021" i="1"/>
  <c r="E1020" i="1"/>
  <c r="C1020" i="1"/>
  <c r="E1019" i="1"/>
  <c r="C1019" i="1"/>
  <c r="E1018" i="1"/>
  <c r="C1018" i="1"/>
  <c r="E1017" i="1"/>
  <c r="C1017" i="1"/>
  <c r="E1016" i="1"/>
  <c r="C1016" i="1"/>
  <c r="E1015" i="1"/>
  <c r="C1015" i="1"/>
  <c r="E1014" i="1"/>
  <c r="C1014" i="1"/>
  <c r="E1013" i="1"/>
  <c r="C1013" i="1"/>
  <c r="E1012" i="1"/>
  <c r="C1012" i="1"/>
  <c r="E1011" i="1"/>
  <c r="C1011" i="1"/>
  <c r="E1010" i="1"/>
  <c r="C1010" i="1"/>
  <c r="E1009" i="1"/>
  <c r="C1009" i="1"/>
  <c r="E1008" i="1"/>
  <c r="C1008" i="1"/>
  <c r="E1007" i="1"/>
  <c r="C1007" i="1"/>
  <c r="E1006" i="1"/>
  <c r="C1006" i="1"/>
  <c r="E1005" i="1"/>
  <c r="C1005" i="1"/>
  <c r="E1004" i="1"/>
  <c r="C1004" i="1"/>
  <c r="E1003" i="1"/>
  <c r="C1003" i="1"/>
  <c r="E1002" i="1"/>
  <c r="C1002" i="1"/>
  <c r="E1001" i="1"/>
  <c r="C1001" i="1"/>
  <c r="E1000" i="1"/>
  <c r="C1000" i="1"/>
  <c r="E999" i="1"/>
  <c r="C999" i="1"/>
  <c r="E998" i="1"/>
  <c r="C998" i="1"/>
  <c r="E997" i="1"/>
  <c r="C997" i="1"/>
  <c r="E996" i="1"/>
  <c r="C996" i="1"/>
  <c r="E995" i="1"/>
  <c r="C995" i="1"/>
  <c r="E994" i="1"/>
  <c r="C994" i="1"/>
  <c r="E993" i="1"/>
  <c r="C993" i="1"/>
  <c r="E992" i="1"/>
  <c r="C992" i="1"/>
  <c r="E991" i="1"/>
  <c r="C991" i="1"/>
  <c r="E990" i="1"/>
  <c r="C990" i="1"/>
  <c r="E989" i="1"/>
  <c r="C989" i="1"/>
  <c r="E988" i="1"/>
  <c r="C988" i="1"/>
  <c r="E987" i="1"/>
  <c r="C987" i="1"/>
  <c r="E986" i="1"/>
  <c r="C986" i="1"/>
  <c r="E985" i="1"/>
  <c r="C985" i="1"/>
  <c r="E984" i="1"/>
  <c r="C984" i="1"/>
  <c r="E983" i="1"/>
  <c r="C983" i="1"/>
  <c r="E982" i="1"/>
  <c r="C982" i="1"/>
  <c r="E981" i="1"/>
  <c r="C981" i="1"/>
  <c r="E980" i="1"/>
  <c r="C980" i="1"/>
  <c r="E979" i="1"/>
  <c r="C979" i="1"/>
  <c r="E978" i="1"/>
  <c r="C978" i="1"/>
  <c r="E977" i="1"/>
  <c r="C977" i="1"/>
  <c r="E976" i="1"/>
  <c r="C976" i="1"/>
  <c r="E975" i="1"/>
  <c r="C975" i="1"/>
  <c r="E974" i="1"/>
  <c r="C974" i="1"/>
  <c r="E973" i="1"/>
  <c r="C973" i="1"/>
  <c r="E972" i="1"/>
  <c r="C972" i="1"/>
  <c r="E971" i="1"/>
  <c r="C971" i="1"/>
  <c r="E970" i="1"/>
  <c r="C970" i="1"/>
  <c r="E969" i="1"/>
  <c r="C969" i="1"/>
  <c r="E968" i="1"/>
  <c r="C968" i="1"/>
  <c r="E967" i="1"/>
  <c r="C967" i="1"/>
  <c r="E966" i="1"/>
  <c r="C966" i="1"/>
  <c r="E965" i="1"/>
  <c r="C965" i="1"/>
  <c r="E964" i="1"/>
  <c r="C964" i="1"/>
  <c r="E963" i="1"/>
  <c r="C963" i="1"/>
  <c r="E962" i="1"/>
  <c r="C962" i="1"/>
  <c r="E961" i="1"/>
  <c r="C961" i="1"/>
  <c r="E960" i="1"/>
  <c r="C960" i="1"/>
  <c r="E959" i="1"/>
  <c r="C959" i="1"/>
  <c r="E958" i="1"/>
  <c r="C958" i="1"/>
  <c r="E957" i="1"/>
  <c r="C957" i="1"/>
  <c r="E956" i="1"/>
  <c r="C956" i="1"/>
  <c r="E955" i="1"/>
  <c r="C955" i="1"/>
  <c r="E954" i="1"/>
  <c r="C954" i="1"/>
  <c r="E953" i="1"/>
  <c r="C953" i="1"/>
  <c r="E952" i="1"/>
  <c r="C952" i="1"/>
  <c r="E951" i="1"/>
  <c r="C951" i="1"/>
  <c r="E950" i="1"/>
  <c r="C950" i="1"/>
  <c r="E949" i="1"/>
  <c r="C949" i="1"/>
  <c r="E948" i="1"/>
  <c r="C948" i="1"/>
  <c r="E947" i="1"/>
  <c r="C947" i="1"/>
  <c r="E946" i="1"/>
  <c r="C946" i="1"/>
  <c r="E945" i="1"/>
  <c r="C945" i="1"/>
  <c r="E944" i="1"/>
  <c r="C944" i="1"/>
  <c r="E943" i="1"/>
  <c r="C943" i="1"/>
  <c r="E942" i="1"/>
  <c r="C942" i="1"/>
  <c r="E941" i="1"/>
  <c r="C941" i="1"/>
  <c r="E940" i="1"/>
  <c r="C940" i="1"/>
  <c r="E939" i="1"/>
  <c r="C939" i="1"/>
  <c r="E938" i="1"/>
  <c r="C938" i="1"/>
  <c r="E937" i="1"/>
  <c r="C937" i="1"/>
  <c r="E936" i="1"/>
  <c r="C936" i="1"/>
  <c r="E935" i="1"/>
  <c r="C935" i="1"/>
  <c r="E934" i="1"/>
  <c r="C934" i="1"/>
  <c r="E933" i="1"/>
  <c r="C933" i="1"/>
  <c r="E932" i="1"/>
  <c r="C932" i="1"/>
  <c r="E931" i="1"/>
  <c r="C931" i="1"/>
  <c r="E930" i="1"/>
  <c r="C930" i="1"/>
  <c r="E929" i="1"/>
  <c r="C929" i="1"/>
  <c r="E928" i="1"/>
  <c r="C928" i="1"/>
  <c r="E927" i="1"/>
  <c r="C927" i="1"/>
  <c r="E926" i="1"/>
  <c r="C926" i="1"/>
  <c r="E925" i="1"/>
  <c r="C925" i="1"/>
  <c r="E924" i="1"/>
  <c r="C924" i="1"/>
  <c r="E923" i="1"/>
  <c r="C923" i="1"/>
  <c r="E922" i="1"/>
  <c r="C922" i="1"/>
  <c r="E921" i="1"/>
  <c r="C921" i="1"/>
  <c r="E920" i="1"/>
  <c r="C920" i="1"/>
  <c r="E919" i="1"/>
  <c r="C919" i="1"/>
  <c r="E918" i="1"/>
  <c r="C918" i="1"/>
  <c r="E917" i="1"/>
  <c r="C917" i="1"/>
  <c r="E916" i="1"/>
  <c r="C916" i="1"/>
  <c r="E915" i="1"/>
  <c r="C915" i="1"/>
  <c r="E914" i="1"/>
  <c r="C914" i="1"/>
  <c r="E913" i="1"/>
  <c r="C913" i="1"/>
  <c r="E912" i="1"/>
  <c r="C912" i="1"/>
  <c r="E911" i="1"/>
  <c r="C911" i="1"/>
  <c r="E910" i="1"/>
  <c r="C910" i="1"/>
  <c r="E909" i="1"/>
  <c r="C909" i="1"/>
  <c r="E908" i="1"/>
  <c r="C908" i="1"/>
  <c r="E907" i="1"/>
  <c r="C907" i="1"/>
  <c r="E906" i="1"/>
  <c r="C906" i="1"/>
  <c r="E905" i="1"/>
  <c r="C905" i="1"/>
  <c r="E904" i="1"/>
  <c r="C904" i="1"/>
  <c r="E903" i="1"/>
  <c r="C903" i="1"/>
  <c r="E902" i="1"/>
  <c r="C902" i="1"/>
  <c r="E901" i="1"/>
  <c r="C901" i="1"/>
  <c r="E900" i="1"/>
  <c r="C900" i="1"/>
  <c r="E899" i="1"/>
  <c r="C899" i="1"/>
  <c r="E898" i="1"/>
  <c r="C898" i="1"/>
  <c r="E897" i="1"/>
  <c r="C897" i="1"/>
  <c r="E896" i="1"/>
  <c r="C896" i="1"/>
  <c r="E895" i="1"/>
  <c r="C895" i="1"/>
  <c r="E894" i="1"/>
  <c r="C894" i="1"/>
  <c r="E893" i="1"/>
  <c r="C893" i="1"/>
  <c r="E892" i="1"/>
  <c r="C892" i="1"/>
  <c r="E891" i="1"/>
  <c r="C891" i="1"/>
  <c r="E890" i="1"/>
  <c r="C890" i="1"/>
  <c r="E889" i="1"/>
  <c r="C889" i="1"/>
  <c r="E888" i="1"/>
  <c r="C888" i="1"/>
  <c r="E887" i="1"/>
  <c r="C887" i="1"/>
  <c r="E886" i="1"/>
  <c r="C886" i="1"/>
  <c r="E885" i="1"/>
  <c r="C885" i="1"/>
  <c r="E884" i="1"/>
  <c r="C884" i="1"/>
  <c r="E883" i="1"/>
  <c r="C883" i="1"/>
  <c r="E882" i="1"/>
  <c r="C882" i="1"/>
  <c r="E881" i="1"/>
  <c r="C881" i="1"/>
  <c r="E880" i="1"/>
  <c r="C880" i="1"/>
  <c r="E879" i="1"/>
  <c r="C879" i="1"/>
  <c r="E878" i="1"/>
  <c r="C878" i="1"/>
  <c r="E877" i="1"/>
  <c r="C877" i="1"/>
  <c r="E876" i="1"/>
  <c r="C876" i="1"/>
  <c r="E875" i="1"/>
  <c r="C875" i="1"/>
  <c r="E874" i="1"/>
  <c r="C874" i="1"/>
  <c r="E873" i="1"/>
  <c r="C873" i="1"/>
  <c r="E872" i="1"/>
  <c r="C872" i="1"/>
  <c r="E871" i="1"/>
  <c r="C871" i="1"/>
  <c r="E870" i="1"/>
  <c r="C870" i="1"/>
  <c r="E869" i="1"/>
  <c r="C869" i="1"/>
  <c r="E868" i="1"/>
  <c r="C868" i="1"/>
  <c r="E867" i="1"/>
  <c r="C867" i="1"/>
  <c r="E866" i="1"/>
  <c r="C866" i="1"/>
  <c r="E865" i="1"/>
  <c r="C865" i="1"/>
  <c r="E864" i="1"/>
  <c r="C864" i="1"/>
  <c r="E863" i="1"/>
  <c r="C863" i="1"/>
  <c r="E862" i="1"/>
  <c r="C862" i="1"/>
  <c r="E861" i="1"/>
  <c r="C861" i="1"/>
  <c r="E860" i="1"/>
  <c r="C860" i="1"/>
  <c r="E859" i="1"/>
  <c r="C859" i="1"/>
  <c r="E858" i="1"/>
  <c r="C858" i="1"/>
  <c r="E857" i="1"/>
  <c r="C857" i="1"/>
  <c r="E856" i="1"/>
  <c r="C856" i="1"/>
  <c r="E855" i="1"/>
  <c r="C855" i="1"/>
  <c r="E854" i="1"/>
  <c r="C854" i="1"/>
  <c r="E853" i="1"/>
  <c r="C853" i="1"/>
  <c r="E852" i="1"/>
  <c r="C852" i="1"/>
  <c r="E851" i="1"/>
  <c r="C851" i="1"/>
  <c r="E850" i="1"/>
  <c r="C850" i="1"/>
  <c r="E849" i="1"/>
  <c r="C849" i="1"/>
  <c r="E848" i="1"/>
  <c r="C848" i="1"/>
  <c r="E847" i="1"/>
  <c r="C847" i="1"/>
  <c r="E846" i="1"/>
  <c r="C846" i="1"/>
  <c r="E845" i="1"/>
  <c r="C845" i="1"/>
  <c r="E844" i="1"/>
  <c r="C844" i="1"/>
  <c r="E843" i="1"/>
  <c r="C843" i="1"/>
  <c r="E842" i="1"/>
  <c r="C842" i="1"/>
  <c r="E841" i="1"/>
  <c r="C841" i="1"/>
  <c r="E840" i="1"/>
  <c r="C840" i="1"/>
  <c r="E839" i="1"/>
  <c r="C839" i="1"/>
  <c r="E838" i="1"/>
  <c r="C838" i="1"/>
  <c r="E837" i="1"/>
  <c r="C837" i="1"/>
  <c r="E836" i="1"/>
  <c r="C836" i="1"/>
  <c r="E835" i="1"/>
  <c r="C835" i="1"/>
  <c r="E834" i="1"/>
  <c r="C834" i="1"/>
  <c r="E833" i="1"/>
  <c r="C833" i="1"/>
  <c r="E832" i="1"/>
  <c r="C832" i="1"/>
  <c r="E831" i="1"/>
  <c r="C831" i="1"/>
  <c r="E830" i="1"/>
  <c r="C830" i="1"/>
  <c r="E829" i="1"/>
  <c r="C829" i="1"/>
  <c r="E828" i="1"/>
  <c r="C828" i="1"/>
  <c r="E827" i="1"/>
  <c r="C827" i="1"/>
  <c r="E826" i="1"/>
  <c r="C826" i="1"/>
  <c r="E825" i="1"/>
  <c r="C825" i="1"/>
  <c r="E824" i="1"/>
  <c r="C824" i="1"/>
  <c r="E823" i="1"/>
  <c r="C823" i="1"/>
  <c r="E822" i="1"/>
  <c r="C822" i="1"/>
  <c r="E821" i="1"/>
  <c r="C821" i="1"/>
  <c r="E820" i="1"/>
  <c r="C820" i="1"/>
  <c r="E819" i="1"/>
  <c r="C819" i="1"/>
  <c r="E818" i="1"/>
  <c r="C818" i="1"/>
  <c r="E817" i="1"/>
  <c r="C817" i="1"/>
  <c r="E816" i="1"/>
  <c r="C816" i="1"/>
  <c r="E815" i="1"/>
  <c r="C815" i="1"/>
  <c r="E814" i="1"/>
  <c r="C814" i="1"/>
  <c r="E813" i="1"/>
  <c r="C813" i="1"/>
  <c r="E812" i="1"/>
  <c r="C812" i="1"/>
  <c r="E811" i="1"/>
  <c r="C811" i="1"/>
  <c r="E810" i="1"/>
  <c r="C810" i="1"/>
  <c r="E809" i="1"/>
  <c r="C809" i="1"/>
  <c r="E808" i="1"/>
  <c r="C808" i="1"/>
  <c r="E807" i="1"/>
  <c r="C807" i="1"/>
  <c r="E806" i="1"/>
  <c r="C806" i="1"/>
  <c r="E805" i="1"/>
  <c r="C805" i="1"/>
  <c r="E804" i="1"/>
  <c r="C804" i="1"/>
  <c r="E803" i="1"/>
  <c r="C803" i="1"/>
  <c r="E802" i="1"/>
  <c r="C802" i="1"/>
  <c r="E801" i="1"/>
  <c r="C801" i="1"/>
  <c r="E800" i="1"/>
  <c r="C800" i="1"/>
  <c r="E799" i="1"/>
  <c r="C799" i="1"/>
  <c r="E798" i="1"/>
  <c r="C798" i="1"/>
  <c r="E797" i="1"/>
  <c r="C797" i="1"/>
  <c r="E796" i="1"/>
  <c r="C796" i="1"/>
  <c r="E795" i="1"/>
  <c r="C795" i="1"/>
  <c r="E794" i="1"/>
  <c r="C794" i="1"/>
  <c r="E793" i="1"/>
  <c r="C793" i="1"/>
  <c r="E792" i="1"/>
  <c r="C792" i="1"/>
  <c r="E791" i="1"/>
  <c r="C791" i="1"/>
  <c r="E790" i="1"/>
  <c r="C790" i="1"/>
  <c r="E789" i="1"/>
  <c r="C789" i="1"/>
  <c r="E788" i="1"/>
  <c r="C788" i="1"/>
  <c r="E787" i="1"/>
  <c r="C787" i="1"/>
  <c r="E786" i="1"/>
  <c r="C786" i="1"/>
  <c r="E785" i="1"/>
  <c r="C785" i="1"/>
  <c r="E784" i="1"/>
  <c r="C784" i="1"/>
  <c r="E783" i="1"/>
  <c r="C783" i="1"/>
  <c r="E782" i="1"/>
  <c r="C782" i="1"/>
  <c r="E781" i="1"/>
  <c r="C781" i="1"/>
  <c r="E780" i="1"/>
  <c r="C780" i="1"/>
  <c r="E779" i="1"/>
  <c r="C779" i="1"/>
  <c r="E778" i="1"/>
  <c r="C778" i="1"/>
  <c r="E777" i="1"/>
  <c r="C777" i="1"/>
  <c r="E776" i="1"/>
  <c r="C776" i="1"/>
  <c r="E775" i="1"/>
  <c r="C775" i="1"/>
  <c r="E774" i="1"/>
  <c r="C774" i="1"/>
  <c r="E773" i="1"/>
  <c r="C773" i="1"/>
  <c r="E772" i="1"/>
  <c r="C772" i="1"/>
  <c r="E771" i="1"/>
  <c r="C771" i="1"/>
  <c r="E770" i="1"/>
  <c r="C770" i="1"/>
  <c r="E769" i="1"/>
  <c r="C769" i="1"/>
  <c r="E768" i="1"/>
  <c r="C768" i="1"/>
  <c r="E767" i="1"/>
  <c r="C767" i="1"/>
  <c r="E766" i="1"/>
  <c r="C766" i="1"/>
  <c r="E765" i="1"/>
  <c r="C765" i="1"/>
  <c r="E764" i="1"/>
  <c r="C764" i="1"/>
  <c r="E763" i="1"/>
  <c r="C763" i="1"/>
  <c r="E762" i="1"/>
  <c r="C762" i="1"/>
  <c r="E761" i="1"/>
  <c r="C761" i="1"/>
  <c r="E760" i="1"/>
  <c r="C760" i="1"/>
  <c r="E759" i="1"/>
  <c r="C759" i="1"/>
  <c r="E758" i="1"/>
  <c r="C758" i="1"/>
  <c r="E757" i="1"/>
  <c r="C757" i="1"/>
  <c r="E756" i="1"/>
  <c r="C756" i="1"/>
  <c r="E755" i="1"/>
  <c r="C755" i="1"/>
  <c r="E754" i="1"/>
  <c r="C754" i="1"/>
  <c r="E753" i="1"/>
  <c r="C753" i="1"/>
  <c r="E752" i="1"/>
  <c r="C752" i="1"/>
  <c r="E751" i="1"/>
  <c r="C751" i="1"/>
  <c r="E750" i="1"/>
  <c r="C750" i="1"/>
  <c r="E749" i="1"/>
  <c r="C749" i="1"/>
  <c r="E748" i="1"/>
  <c r="C748" i="1"/>
  <c r="E747" i="1"/>
  <c r="C747" i="1"/>
  <c r="E746" i="1"/>
  <c r="C746" i="1"/>
  <c r="E745" i="1"/>
  <c r="C745" i="1"/>
  <c r="E744" i="1"/>
  <c r="C744" i="1"/>
  <c r="E743" i="1"/>
  <c r="C743" i="1"/>
  <c r="E742" i="1"/>
  <c r="C742" i="1"/>
  <c r="E741" i="1"/>
  <c r="C741" i="1"/>
  <c r="E740" i="1"/>
  <c r="C740" i="1"/>
  <c r="E739" i="1"/>
  <c r="C739" i="1"/>
  <c r="E738" i="1"/>
  <c r="C738" i="1"/>
  <c r="E737" i="1"/>
  <c r="C737" i="1"/>
  <c r="E736" i="1"/>
  <c r="C736" i="1"/>
  <c r="E735" i="1"/>
  <c r="C735" i="1"/>
  <c r="E734" i="1"/>
  <c r="C734" i="1"/>
  <c r="E733" i="1"/>
  <c r="C733" i="1"/>
  <c r="E732" i="1"/>
  <c r="C732" i="1"/>
  <c r="E731" i="1"/>
  <c r="C731" i="1"/>
  <c r="E730" i="1"/>
  <c r="C730" i="1"/>
  <c r="E729" i="1"/>
  <c r="C729" i="1"/>
  <c r="E728" i="1"/>
  <c r="C728" i="1"/>
  <c r="E727" i="1"/>
  <c r="C727" i="1"/>
  <c r="E726" i="1"/>
  <c r="C726" i="1"/>
  <c r="E725" i="1"/>
  <c r="C725" i="1"/>
  <c r="E724" i="1"/>
  <c r="C724" i="1"/>
  <c r="E723" i="1"/>
  <c r="C723" i="1"/>
  <c r="E722" i="1"/>
  <c r="C722" i="1"/>
  <c r="E721" i="1"/>
  <c r="C721" i="1"/>
  <c r="E720" i="1"/>
  <c r="C720" i="1"/>
  <c r="E719" i="1"/>
  <c r="C719" i="1"/>
  <c r="E718" i="1"/>
  <c r="C718" i="1"/>
  <c r="E717" i="1"/>
  <c r="C717" i="1"/>
  <c r="E716" i="1"/>
  <c r="C716" i="1"/>
  <c r="E715" i="1"/>
  <c r="C715" i="1"/>
  <c r="E714" i="1"/>
  <c r="C714" i="1"/>
  <c r="E713" i="1"/>
  <c r="C713" i="1"/>
  <c r="E712" i="1"/>
  <c r="C712" i="1"/>
  <c r="E711" i="1"/>
  <c r="C711" i="1"/>
  <c r="E710" i="1"/>
  <c r="C710" i="1"/>
  <c r="E709" i="1"/>
  <c r="C709" i="1"/>
  <c r="E708" i="1"/>
  <c r="C708" i="1"/>
  <c r="E707" i="1"/>
  <c r="C707" i="1"/>
  <c r="E706" i="1"/>
  <c r="C706" i="1"/>
  <c r="E705" i="1"/>
  <c r="C705" i="1"/>
  <c r="E704" i="1"/>
  <c r="C704" i="1"/>
  <c r="E703" i="1"/>
  <c r="C703" i="1"/>
  <c r="E702" i="1"/>
  <c r="C702" i="1"/>
  <c r="E701" i="1"/>
  <c r="C701" i="1"/>
  <c r="E700" i="1"/>
  <c r="C700" i="1"/>
  <c r="E699" i="1"/>
  <c r="C699" i="1"/>
  <c r="E698" i="1"/>
  <c r="C698" i="1"/>
  <c r="E697" i="1"/>
  <c r="C697" i="1"/>
  <c r="E696" i="1"/>
  <c r="C696" i="1"/>
  <c r="E695" i="1"/>
  <c r="C695" i="1"/>
  <c r="E694" i="1"/>
  <c r="C694" i="1"/>
  <c r="E693" i="1"/>
  <c r="C693" i="1"/>
  <c r="E692" i="1"/>
  <c r="C692" i="1"/>
  <c r="E691" i="1"/>
  <c r="C691" i="1"/>
  <c r="E690" i="1"/>
  <c r="C690" i="1"/>
  <c r="E689" i="1"/>
  <c r="C689" i="1"/>
  <c r="E688" i="1"/>
  <c r="C688" i="1"/>
  <c r="E687" i="1"/>
  <c r="C687" i="1"/>
  <c r="E686" i="1"/>
  <c r="C686" i="1"/>
  <c r="E685" i="1"/>
  <c r="C685" i="1"/>
  <c r="E684" i="1"/>
  <c r="C684" i="1"/>
  <c r="E683" i="1"/>
  <c r="C683" i="1"/>
  <c r="E682" i="1"/>
  <c r="C682" i="1"/>
  <c r="E681" i="1"/>
  <c r="C681" i="1"/>
  <c r="E680" i="1"/>
  <c r="C680" i="1"/>
  <c r="E679" i="1"/>
  <c r="C679" i="1"/>
  <c r="E678" i="1"/>
  <c r="C678" i="1"/>
  <c r="E677" i="1"/>
  <c r="C677" i="1"/>
  <c r="E676" i="1"/>
  <c r="C676" i="1"/>
  <c r="E675" i="1"/>
  <c r="C675" i="1"/>
  <c r="E674" i="1"/>
  <c r="C674" i="1"/>
  <c r="E673" i="1"/>
  <c r="C673" i="1"/>
  <c r="E672" i="1"/>
  <c r="C672" i="1"/>
  <c r="E671" i="1"/>
  <c r="C671" i="1"/>
  <c r="E670" i="1"/>
  <c r="C670" i="1"/>
  <c r="E669" i="1"/>
  <c r="C669" i="1"/>
  <c r="E668" i="1"/>
  <c r="C668" i="1"/>
  <c r="E667" i="1"/>
  <c r="C667" i="1"/>
  <c r="E666" i="1"/>
  <c r="C666" i="1"/>
  <c r="E665" i="1"/>
  <c r="C665" i="1"/>
  <c r="E664" i="1"/>
  <c r="C664" i="1"/>
  <c r="E663" i="1"/>
  <c r="C663" i="1"/>
  <c r="E662" i="1"/>
  <c r="C662" i="1"/>
  <c r="E661" i="1"/>
  <c r="C661" i="1"/>
  <c r="E660" i="1"/>
  <c r="C660" i="1"/>
  <c r="E659" i="1"/>
  <c r="C659" i="1"/>
  <c r="E658" i="1"/>
  <c r="C658" i="1"/>
  <c r="E657" i="1"/>
  <c r="C657" i="1"/>
  <c r="E656" i="1"/>
  <c r="C656" i="1"/>
  <c r="E655" i="1"/>
  <c r="C655" i="1"/>
  <c r="E654" i="1"/>
  <c r="C654" i="1"/>
  <c r="E653" i="1"/>
  <c r="C653" i="1"/>
  <c r="E652" i="1"/>
  <c r="C652" i="1"/>
  <c r="E651" i="1"/>
  <c r="C651" i="1"/>
  <c r="E650" i="1"/>
  <c r="C650" i="1"/>
  <c r="E649" i="1"/>
  <c r="C649" i="1"/>
  <c r="E648" i="1"/>
  <c r="C648" i="1"/>
  <c r="E647" i="1"/>
  <c r="C647" i="1"/>
  <c r="E646" i="1"/>
  <c r="C646" i="1"/>
  <c r="E645" i="1"/>
  <c r="C645" i="1"/>
  <c r="E644" i="1"/>
  <c r="C644" i="1"/>
  <c r="E643" i="1"/>
  <c r="C643" i="1"/>
  <c r="E642" i="1"/>
  <c r="C642" i="1"/>
  <c r="E641" i="1"/>
  <c r="C641" i="1"/>
  <c r="E640" i="1"/>
  <c r="C640" i="1"/>
  <c r="E639" i="1"/>
  <c r="C639" i="1"/>
  <c r="E638" i="1"/>
  <c r="C638" i="1"/>
  <c r="E637" i="1"/>
  <c r="C637" i="1"/>
  <c r="E636" i="1"/>
  <c r="C636" i="1"/>
  <c r="E635" i="1"/>
  <c r="C635" i="1"/>
  <c r="E634" i="1"/>
  <c r="C634" i="1"/>
  <c r="E633" i="1"/>
  <c r="C633" i="1"/>
  <c r="E632" i="1"/>
  <c r="C632" i="1"/>
  <c r="E631" i="1"/>
  <c r="C631" i="1"/>
  <c r="E630" i="1"/>
  <c r="C630" i="1"/>
  <c r="E629" i="1"/>
  <c r="C629" i="1"/>
  <c r="E628" i="1"/>
  <c r="C628" i="1"/>
  <c r="E627" i="1"/>
  <c r="C627" i="1"/>
  <c r="E626" i="1"/>
  <c r="C626" i="1"/>
  <c r="E625" i="1"/>
  <c r="C625" i="1"/>
  <c r="E624" i="1"/>
  <c r="C624" i="1"/>
  <c r="E623" i="1"/>
  <c r="C623" i="1"/>
  <c r="E622" i="1"/>
  <c r="C622" i="1"/>
  <c r="E621" i="1"/>
  <c r="C621" i="1"/>
  <c r="E620" i="1"/>
  <c r="C620" i="1"/>
  <c r="E619" i="1"/>
  <c r="C619" i="1"/>
  <c r="E618" i="1"/>
  <c r="C618" i="1"/>
  <c r="E617" i="1"/>
  <c r="C617" i="1"/>
  <c r="E616" i="1"/>
  <c r="C616" i="1"/>
  <c r="E615" i="1"/>
  <c r="C615" i="1"/>
  <c r="E614" i="1"/>
  <c r="C614" i="1"/>
  <c r="E613" i="1"/>
  <c r="C613" i="1"/>
  <c r="E612" i="1"/>
  <c r="C612" i="1"/>
  <c r="E611" i="1"/>
  <c r="C611" i="1"/>
  <c r="E610" i="1"/>
  <c r="C610" i="1"/>
  <c r="E609" i="1"/>
  <c r="C609" i="1"/>
  <c r="E608" i="1"/>
  <c r="C608" i="1"/>
  <c r="E607" i="1"/>
  <c r="C607" i="1"/>
  <c r="E606" i="1"/>
  <c r="C606" i="1"/>
  <c r="E605" i="1"/>
  <c r="C605" i="1"/>
  <c r="E604" i="1"/>
  <c r="C604" i="1"/>
  <c r="E603" i="1"/>
  <c r="C603" i="1"/>
  <c r="E602" i="1"/>
  <c r="C602" i="1"/>
  <c r="E601" i="1"/>
  <c r="C601" i="1"/>
  <c r="E600" i="1"/>
  <c r="C600" i="1"/>
  <c r="E599" i="1"/>
  <c r="C599" i="1"/>
  <c r="E598" i="1"/>
  <c r="C598" i="1"/>
  <c r="E597" i="1"/>
  <c r="C597" i="1"/>
  <c r="E596" i="1"/>
  <c r="C596" i="1"/>
  <c r="E595" i="1"/>
  <c r="C595" i="1"/>
  <c r="E594" i="1"/>
  <c r="C594" i="1"/>
  <c r="E593" i="1"/>
  <c r="C593" i="1"/>
  <c r="E592" i="1"/>
  <c r="C592" i="1"/>
  <c r="E591" i="1"/>
  <c r="C591" i="1"/>
  <c r="E590" i="1"/>
  <c r="C590" i="1"/>
  <c r="E589" i="1"/>
  <c r="C589" i="1"/>
  <c r="E588" i="1"/>
  <c r="C588" i="1"/>
  <c r="E587" i="1"/>
  <c r="C587" i="1"/>
  <c r="E586" i="1"/>
  <c r="C586" i="1"/>
  <c r="E585" i="1"/>
  <c r="C585" i="1"/>
  <c r="E584" i="1"/>
  <c r="C584" i="1"/>
  <c r="E583" i="1"/>
  <c r="C583" i="1"/>
  <c r="E582" i="1"/>
  <c r="C582" i="1"/>
  <c r="E581" i="1"/>
  <c r="C581" i="1"/>
  <c r="E580" i="1"/>
  <c r="C580" i="1"/>
  <c r="E579" i="1"/>
  <c r="C579" i="1"/>
  <c r="E578" i="1"/>
  <c r="C578" i="1"/>
  <c r="E577" i="1"/>
  <c r="C577" i="1"/>
  <c r="E576" i="1"/>
  <c r="C576" i="1"/>
  <c r="E575" i="1"/>
  <c r="C575" i="1"/>
  <c r="E574" i="1"/>
  <c r="C574" i="1"/>
  <c r="E573" i="1"/>
  <c r="C573" i="1"/>
  <c r="E572" i="1"/>
  <c r="C572" i="1"/>
  <c r="E571" i="1"/>
  <c r="C571" i="1"/>
  <c r="E570" i="1"/>
  <c r="C570" i="1"/>
  <c r="E569" i="1"/>
  <c r="C569" i="1"/>
  <c r="E568" i="1"/>
  <c r="C568" i="1"/>
  <c r="E567" i="1"/>
  <c r="C567" i="1"/>
  <c r="E566" i="1"/>
  <c r="C566" i="1"/>
  <c r="E565" i="1"/>
  <c r="C565" i="1"/>
  <c r="E564" i="1"/>
  <c r="C564" i="1"/>
  <c r="E563" i="1"/>
  <c r="C563" i="1"/>
  <c r="E562" i="1"/>
  <c r="C562" i="1"/>
  <c r="E561" i="1"/>
  <c r="C561" i="1"/>
  <c r="E560" i="1"/>
  <c r="C560" i="1"/>
  <c r="E559" i="1"/>
  <c r="C559" i="1"/>
  <c r="E558" i="1"/>
  <c r="C558" i="1"/>
  <c r="E557" i="1"/>
  <c r="C557" i="1"/>
  <c r="E556" i="1"/>
  <c r="C556" i="1"/>
  <c r="E555" i="1"/>
  <c r="C555" i="1"/>
  <c r="E554" i="1"/>
  <c r="C554" i="1"/>
  <c r="E553" i="1"/>
  <c r="C553" i="1"/>
  <c r="E552" i="1"/>
  <c r="C552" i="1"/>
  <c r="E551" i="1"/>
  <c r="C551" i="1"/>
  <c r="E550" i="1"/>
  <c r="C550" i="1"/>
  <c r="E549" i="1"/>
  <c r="C549" i="1"/>
  <c r="E548" i="1"/>
  <c r="C548" i="1"/>
  <c r="E547" i="1"/>
  <c r="C547" i="1"/>
  <c r="E546" i="1"/>
  <c r="C546" i="1"/>
  <c r="E545" i="1"/>
  <c r="C545" i="1"/>
  <c r="E544" i="1"/>
  <c r="C544" i="1"/>
  <c r="E543" i="1"/>
  <c r="C543" i="1"/>
  <c r="E542" i="1"/>
  <c r="C542" i="1"/>
  <c r="E541" i="1"/>
  <c r="C541" i="1"/>
  <c r="E540" i="1"/>
  <c r="C540" i="1"/>
  <c r="E539" i="1"/>
  <c r="C539" i="1"/>
  <c r="E538" i="1"/>
  <c r="C538" i="1"/>
  <c r="E537" i="1"/>
  <c r="C537" i="1"/>
  <c r="E536" i="1"/>
  <c r="C536" i="1"/>
  <c r="E535" i="1"/>
  <c r="C535" i="1"/>
  <c r="E534" i="1"/>
  <c r="C534" i="1"/>
  <c r="E533" i="1"/>
  <c r="C533" i="1"/>
  <c r="E532" i="1"/>
  <c r="C532" i="1"/>
  <c r="E531" i="1"/>
  <c r="C531" i="1"/>
  <c r="E530" i="1"/>
  <c r="C530" i="1"/>
  <c r="E529" i="1"/>
  <c r="C529" i="1"/>
  <c r="E528" i="1"/>
  <c r="C528" i="1"/>
  <c r="E527" i="1"/>
  <c r="C527" i="1"/>
  <c r="E526" i="1"/>
  <c r="C526" i="1"/>
  <c r="E525" i="1"/>
  <c r="C525" i="1"/>
  <c r="E524" i="1"/>
  <c r="C524" i="1"/>
  <c r="E523" i="1"/>
  <c r="C523" i="1"/>
  <c r="E522" i="1"/>
  <c r="C522" i="1"/>
  <c r="E521" i="1"/>
  <c r="C521" i="1"/>
  <c r="E520" i="1"/>
  <c r="C520" i="1"/>
  <c r="E519" i="1"/>
  <c r="C519" i="1"/>
  <c r="E518" i="1"/>
  <c r="C518" i="1"/>
  <c r="E517" i="1"/>
  <c r="C517" i="1"/>
  <c r="E516" i="1"/>
  <c r="C516" i="1"/>
  <c r="E515" i="1"/>
  <c r="C515" i="1"/>
  <c r="E514" i="1"/>
  <c r="C514" i="1"/>
  <c r="E513" i="1"/>
  <c r="C513" i="1"/>
  <c r="E512" i="1"/>
  <c r="C512" i="1"/>
  <c r="E511" i="1"/>
  <c r="C511" i="1"/>
  <c r="E510" i="1"/>
  <c r="C510" i="1"/>
  <c r="E509" i="1"/>
  <c r="C509" i="1"/>
  <c r="E508" i="1"/>
  <c r="C508" i="1"/>
  <c r="E507" i="1"/>
  <c r="C507" i="1"/>
  <c r="E506" i="1"/>
  <c r="C506" i="1"/>
  <c r="E505" i="1"/>
  <c r="C505" i="1"/>
  <c r="E504" i="1"/>
  <c r="C504" i="1"/>
  <c r="E503" i="1"/>
  <c r="C503" i="1"/>
  <c r="E502" i="1"/>
  <c r="C502" i="1"/>
  <c r="E501" i="1"/>
  <c r="C501" i="1"/>
  <c r="E500" i="1"/>
  <c r="C500" i="1"/>
  <c r="E499" i="1"/>
  <c r="C499" i="1"/>
  <c r="E498" i="1"/>
  <c r="C498" i="1"/>
  <c r="E497" i="1"/>
  <c r="C497" i="1"/>
  <c r="E496" i="1"/>
  <c r="C496" i="1"/>
  <c r="E495" i="1"/>
  <c r="C495" i="1"/>
  <c r="E494" i="1"/>
  <c r="C494" i="1"/>
  <c r="E493" i="1"/>
  <c r="C493" i="1"/>
  <c r="E492" i="1"/>
  <c r="C492" i="1"/>
  <c r="E491" i="1"/>
  <c r="C491" i="1"/>
  <c r="E490" i="1"/>
  <c r="C490" i="1"/>
  <c r="E489" i="1"/>
  <c r="C489" i="1"/>
  <c r="E488" i="1"/>
  <c r="C488" i="1"/>
  <c r="E487" i="1"/>
  <c r="C487" i="1"/>
  <c r="E486" i="1"/>
  <c r="C486" i="1"/>
  <c r="E485" i="1"/>
  <c r="C485" i="1"/>
  <c r="E484" i="1"/>
  <c r="C484" i="1"/>
  <c r="E483" i="1"/>
  <c r="C483" i="1"/>
  <c r="E482" i="1"/>
  <c r="C482" i="1"/>
  <c r="E481" i="1"/>
  <c r="C481" i="1"/>
  <c r="E480" i="1"/>
  <c r="C480" i="1"/>
  <c r="E479" i="1"/>
  <c r="C479" i="1"/>
  <c r="E478" i="1"/>
  <c r="C478" i="1"/>
  <c r="E477" i="1"/>
  <c r="C477" i="1"/>
  <c r="E476" i="1"/>
  <c r="C476" i="1"/>
  <c r="E475" i="1"/>
  <c r="C475" i="1"/>
  <c r="E474" i="1"/>
  <c r="C474" i="1"/>
  <c r="E473" i="1"/>
  <c r="C473" i="1"/>
  <c r="E472" i="1"/>
  <c r="C472" i="1"/>
  <c r="E471" i="1"/>
  <c r="C471" i="1"/>
  <c r="E470" i="1"/>
  <c r="C470" i="1"/>
  <c r="E469" i="1"/>
  <c r="C469" i="1"/>
  <c r="E468" i="1"/>
  <c r="C468" i="1"/>
  <c r="E467" i="1"/>
  <c r="C467" i="1"/>
  <c r="E466" i="1"/>
  <c r="C466" i="1"/>
  <c r="E465" i="1"/>
  <c r="C465" i="1"/>
  <c r="E464" i="1"/>
  <c r="C464" i="1"/>
  <c r="E463" i="1"/>
  <c r="C463" i="1"/>
  <c r="E462" i="1"/>
  <c r="C462" i="1"/>
  <c r="E461" i="1"/>
  <c r="C461" i="1"/>
  <c r="E460" i="1"/>
  <c r="C460" i="1"/>
  <c r="E459" i="1"/>
  <c r="C459" i="1"/>
  <c r="E458" i="1"/>
  <c r="C458" i="1"/>
  <c r="E457" i="1"/>
  <c r="C457" i="1"/>
  <c r="E456" i="1"/>
  <c r="C456" i="1"/>
  <c r="E455" i="1"/>
  <c r="C455" i="1"/>
  <c r="E454" i="1"/>
  <c r="C454" i="1"/>
  <c r="E453" i="1"/>
  <c r="C453" i="1"/>
  <c r="E452" i="1"/>
  <c r="C452" i="1"/>
  <c r="E451" i="1"/>
  <c r="C451" i="1"/>
  <c r="E450" i="1"/>
  <c r="C450" i="1"/>
  <c r="E449" i="1"/>
  <c r="C449" i="1"/>
  <c r="E448" i="1"/>
  <c r="C448" i="1"/>
  <c r="E447" i="1"/>
  <c r="C447" i="1"/>
  <c r="E446" i="1"/>
  <c r="C446" i="1"/>
  <c r="E445" i="1"/>
  <c r="C445" i="1"/>
  <c r="E444" i="1"/>
  <c r="C444" i="1"/>
  <c r="E443" i="1"/>
  <c r="C443" i="1"/>
  <c r="E442" i="1"/>
  <c r="C442" i="1"/>
  <c r="E441" i="1"/>
  <c r="C441" i="1"/>
  <c r="E440" i="1"/>
  <c r="C440" i="1"/>
  <c r="E439" i="1"/>
  <c r="C439" i="1"/>
  <c r="E438" i="1"/>
  <c r="C438" i="1"/>
  <c r="E437" i="1"/>
  <c r="C437" i="1"/>
  <c r="E436" i="1"/>
  <c r="C436" i="1"/>
  <c r="E435" i="1"/>
  <c r="C435" i="1"/>
  <c r="E434" i="1"/>
  <c r="C434" i="1"/>
  <c r="E433" i="1"/>
  <c r="C433" i="1"/>
  <c r="E432" i="1"/>
  <c r="C432" i="1"/>
  <c r="E431" i="1"/>
  <c r="C431" i="1"/>
  <c r="E430" i="1"/>
  <c r="C430" i="1"/>
  <c r="E429" i="1"/>
  <c r="C429" i="1"/>
  <c r="E428" i="1"/>
  <c r="C428" i="1"/>
  <c r="E427" i="1"/>
  <c r="C427" i="1"/>
  <c r="E426" i="1"/>
  <c r="C426" i="1"/>
  <c r="E425" i="1"/>
  <c r="C425" i="1"/>
  <c r="E424" i="1"/>
  <c r="C424" i="1"/>
  <c r="E423" i="1"/>
  <c r="C423" i="1"/>
  <c r="E422" i="1"/>
  <c r="C422" i="1"/>
  <c r="E421" i="1"/>
  <c r="C421" i="1"/>
  <c r="E420" i="1"/>
  <c r="C420" i="1"/>
  <c r="E419" i="1"/>
  <c r="C419" i="1"/>
  <c r="E418" i="1"/>
  <c r="C418" i="1"/>
  <c r="E417" i="1"/>
  <c r="C417" i="1"/>
  <c r="E416" i="1"/>
  <c r="C416" i="1"/>
  <c r="E415" i="1"/>
  <c r="C415" i="1"/>
  <c r="E414" i="1"/>
  <c r="C414" i="1"/>
  <c r="E413" i="1"/>
  <c r="C413" i="1"/>
  <c r="E412" i="1"/>
  <c r="C412" i="1"/>
  <c r="E411" i="1"/>
  <c r="C411" i="1"/>
  <c r="E410" i="1"/>
  <c r="C410" i="1"/>
  <c r="E409" i="1"/>
  <c r="C409" i="1"/>
  <c r="E408" i="1"/>
  <c r="C408" i="1"/>
  <c r="E407" i="1"/>
  <c r="C407" i="1"/>
  <c r="E406" i="1"/>
  <c r="C406" i="1"/>
  <c r="E405" i="1"/>
  <c r="C405" i="1"/>
  <c r="E404" i="1"/>
  <c r="C404" i="1"/>
  <c r="E403" i="1"/>
  <c r="C403" i="1"/>
  <c r="E402" i="1"/>
  <c r="C402" i="1"/>
  <c r="E401" i="1"/>
  <c r="C401" i="1"/>
  <c r="E400" i="1"/>
  <c r="C400" i="1"/>
  <c r="E399" i="1"/>
  <c r="C399" i="1"/>
  <c r="E398" i="1"/>
  <c r="C398" i="1"/>
  <c r="E397" i="1"/>
  <c r="C397" i="1"/>
  <c r="E396" i="1"/>
  <c r="C396" i="1"/>
  <c r="E395" i="1"/>
  <c r="C395" i="1"/>
  <c r="E394" i="1"/>
  <c r="C394" i="1"/>
  <c r="E393" i="1"/>
  <c r="C393" i="1"/>
  <c r="E392" i="1"/>
  <c r="C392" i="1"/>
  <c r="E391" i="1"/>
  <c r="C391" i="1"/>
  <c r="E390" i="1"/>
  <c r="C390" i="1"/>
  <c r="E389" i="1"/>
  <c r="C389" i="1"/>
  <c r="E388" i="1"/>
  <c r="C388" i="1"/>
  <c r="E387" i="1"/>
  <c r="C387" i="1"/>
  <c r="E386" i="1"/>
  <c r="C386" i="1"/>
  <c r="E385" i="1"/>
  <c r="C385" i="1"/>
  <c r="E384" i="1"/>
  <c r="C384" i="1"/>
  <c r="E383" i="1"/>
  <c r="C383" i="1"/>
  <c r="E382" i="1"/>
  <c r="C382" i="1"/>
  <c r="E381" i="1"/>
  <c r="C381" i="1"/>
  <c r="E380" i="1"/>
  <c r="C380" i="1"/>
  <c r="E379" i="1"/>
  <c r="C379" i="1"/>
  <c r="E378" i="1"/>
  <c r="C378" i="1"/>
  <c r="E377" i="1"/>
  <c r="C377" i="1"/>
  <c r="E376" i="1"/>
  <c r="C376" i="1"/>
  <c r="E375" i="1"/>
  <c r="C375" i="1"/>
  <c r="E374" i="1"/>
  <c r="C374" i="1"/>
  <c r="E373" i="1"/>
  <c r="C373" i="1"/>
  <c r="E372" i="1"/>
  <c r="C372" i="1"/>
  <c r="E371" i="1"/>
  <c r="C371" i="1"/>
  <c r="E370" i="1"/>
  <c r="C370" i="1"/>
  <c r="E369" i="1"/>
  <c r="C369" i="1"/>
  <c r="E368" i="1"/>
  <c r="C368" i="1"/>
  <c r="E367" i="1"/>
  <c r="C367" i="1"/>
  <c r="E366" i="1"/>
  <c r="C366" i="1"/>
  <c r="E365" i="1"/>
  <c r="C365" i="1"/>
  <c r="E364" i="1"/>
  <c r="C364" i="1"/>
  <c r="E363" i="1"/>
  <c r="C363" i="1"/>
  <c r="E362" i="1"/>
  <c r="C362" i="1"/>
  <c r="E361" i="1"/>
  <c r="C361" i="1"/>
  <c r="E360" i="1"/>
  <c r="C360" i="1"/>
  <c r="E359" i="1"/>
  <c r="C359" i="1"/>
  <c r="E358" i="1"/>
  <c r="C358" i="1"/>
  <c r="E357" i="1"/>
  <c r="C357" i="1"/>
  <c r="E356" i="1"/>
  <c r="C356" i="1"/>
  <c r="E355" i="1"/>
  <c r="C355" i="1"/>
  <c r="E354" i="1"/>
  <c r="C354" i="1"/>
  <c r="E353" i="1"/>
  <c r="C353" i="1"/>
  <c r="E352" i="1"/>
  <c r="C352" i="1"/>
  <c r="E351" i="1"/>
  <c r="C351" i="1"/>
  <c r="E350" i="1"/>
  <c r="C350" i="1"/>
  <c r="E349" i="1"/>
  <c r="C349" i="1"/>
  <c r="E348" i="1"/>
  <c r="C348" i="1"/>
  <c r="E347" i="1"/>
  <c r="C347" i="1"/>
  <c r="E346" i="1"/>
  <c r="C346" i="1"/>
  <c r="E345" i="1"/>
  <c r="C345" i="1"/>
  <c r="E344" i="1"/>
  <c r="C344" i="1"/>
  <c r="E343" i="1"/>
  <c r="C343" i="1"/>
  <c r="E342" i="1"/>
  <c r="C342" i="1"/>
  <c r="E341" i="1"/>
  <c r="C341" i="1"/>
  <c r="E340" i="1"/>
  <c r="C340" i="1"/>
  <c r="E339" i="1"/>
  <c r="C339" i="1"/>
  <c r="E338" i="1"/>
  <c r="C338" i="1"/>
  <c r="E337" i="1"/>
  <c r="C337" i="1"/>
  <c r="E336" i="1"/>
  <c r="C336" i="1"/>
  <c r="E335" i="1"/>
  <c r="C335" i="1"/>
  <c r="E334" i="1"/>
  <c r="C334" i="1"/>
  <c r="E333" i="1"/>
  <c r="C333" i="1"/>
  <c r="E332" i="1"/>
  <c r="C332" i="1"/>
  <c r="E331" i="1"/>
  <c r="C331" i="1"/>
  <c r="E330" i="1"/>
  <c r="C330" i="1"/>
  <c r="E329" i="1"/>
  <c r="C329" i="1"/>
  <c r="E328" i="1"/>
  <c r="C328" i="1"/>
  <c r="E327" i="1"/>
  <c r="C327" i="1"/>
  <c r="E326" i="1"/>
  <c r="C326" i="1"/>
  <c r="E325" i="1"/>
  <c r="C325" i="1"/>
  <c r="E324" i="1"/>
  <c r="C324" i="1"/>
  <c r="E323" i="1"/>
  <c r="C323" i="1"/>
  <c r="E322" i="1"/>
  <c r="C322" i="1"/>
  <c r="E321" i="1"/>
  <c r="C321" i="1"/>
  <c r="E320" i="1"/>
  <c r="C320" i="1"/>
  <c r="E319" i="1"/>
  <c r="C319" i="1"/>
  <c r="E318" i="1"/>
  <c r="C318" i="1"/>
  <c r="E317" i="1"/>
  <c r="C317" i="1"/>
  <c r="E316" i="1"/>
  <c r="C316" i="1"/>
  <c r="E315" i="1"/>
  <c r="C315" i="1"/>
  <c r="E314" i="1"/>
  <c r="C314" i="1"/>
  <c r="E313" i="1"/>
  <c r="C313" i="1"/>
  <c r="E312" i="1"/>
  <c r="C312" i="1"/>
  <c r="E311" i="1"/>
  <c r="C311" i="1"/>
  <c r="E310" i="1"/>
  <c r="C310" i="1"/>
  <c r="E309" i="1"/>
  <c r="C309" i="1"/>
  <c r="E308" i="1"/>
  <c r="C308" i="1"/>
  <c r="E307" i="1"/>
  <c r="C307" i="1"/>
  <c r="E306" i="1"/>
  <c r="C306" i="1"/>
  <c r="E305" i="1"/>
  <c r="C305" i="1"/>
  <c r="E304" i="1"/>
  <c r="C304" i="1"/>
  <c r="E303" i="1"/>
  <c r="C303" i="1"/>
  <c r="E302" i="1"/>
  <c r="C302" i="1"/>
  <c r="E301" i="1"/>
  <c r="C301" i="1"/>
  <c r="E300" i="1"/>
  <c r="C300" i="1"/>
  <c r="E299" i="1"/>
  <c r="C299" i="1"/>
  <c r="E298" i="1"/>
  <c r="C298" i="1"/>
  <c r="E297" i="1"/>
  <c r="C297" i="1"/>
  <c r="E296" i="1"/>
  <c r="C296" i="1"/>
  <c r="E295" i="1"/>
  <c r="C295" i="1"/>
  <c r="E294" i="1"/>
  <c r="C294" i="1"/>
  <c r="E293" i="1"/>
  <c r="C293" i="1"/>
  <c r="E292" i="1"/>
  <c r="C292" i="1"/>
  <c r="E291" i="1"/>
  <c r="C291" i="1"/>
  <c r="E290" i="1"/>
  <c r="C290" i="1"/>
  <c r="E289" i="1"/>
  <c r="C289" i="1"/>
  <c r="E288" i="1"/>
  <c r="C288" i="1"/>
  <c r="E287" i="1"/>
  <c r="C287" i="1"/>
  <c r="E286" i="1"/>
  <c r="C286" i="1"/>
  <c r="E285" i="1"/>
  <c r="C285" i="1"/>
  <c r="E284" i="1"/>
  <c r="C284" i="1"/>
  <c r="E283" i="1"/>
  <c r="C283" i="1"/>
  <c r="E282" i="1"/>
  <c r="C282" i="1"/>
  <c r="E281" i="1"/>
  <c r="C281" i="1"/>
  <c r="E280" i="1"/>
  <c r="C280" i="1"/>
  <c r="E279" i="1"/>
  <c r="C279" i="1"/>
  <c r="E278" i="1"/>
  <c r="C278" i="1"/>
  <c r="E277" i="1"/>
  <c r="C277" i="1"/>
  <c r="E276" i="1"/>
  <c r="C276" i="1"/>
  <c r="E275" i="1"/>
  <c r="C275" i="1"/>
  <c r="E274" i="1"/>
  <c r="C274" i="1"/>
  <c r="E273" i="1"/>
  <c r="C273" i="1"/>
  <c r="E272" i="1"/>
  <c r="C272" i="1"/>
  <c r="E271" i="1"/>
  <c r="C271" i="1"/>
  <c r="E270" i="1"/>
  <c r="C270" i="1"/>
  <c r="E269" i="1"/>
  <c r="C269" i="1"/>
  <c r="E268" i="1"/>
  <c r="C268" i="1"/>
  <c r="E267" i="1"/>
  <c r="C267" i="1"/>
  <c r="E266" i="1"/>
  <c r="C266" i="1"/>
  <c r="E265" i="1"/>
  <c r="C265" i="1"/>
  <c r="E264" i="1"/>
  <c r="C264" i="1"/>
  <c r="E263" i="1"/>
  <c r="C263" i="1"/>
  <c r="E262" i="1"/>
  <c r="C262" i="1"/>
  <c r="E261" i="1"/>
  <c r="C261" i="1"/>
  <c r="E260" i="1"/>
  <c r="C260" i="1"/>
  <c r="E259" i="1"/>
  <c r="C259" i="1"/>
  <c r="E258" i="1"/>
  <c r="C258" i="1"/>
  <c r="E257" i="1"/>
  <c r="C257" i="1"/>
  <c r="E256" i="1"/>
  <c r="C256" i="1"/>
  <c r="E255" i="1"/>
  <c r="C255" i="1"/>
  <c r="E254" i="1"/>
  <c r="C254" i="1"/>
  <c r="E253" i="1"/>
  <c r="C253" i="1"/>
  <c r="E252" i="1"/>
  <c r="C252" i="1"/>
  <c r="E251" i="1"/>
  <c r="C251" i="1"/>
  <c r="E250" i="1"/>
  <c r="C250" i="1"/>
  <c r="E249" i="1"/>
  <c r="C249" i="1"/>
  <c r="E248" i="1"/>
  <c r="C248" i="1"/>
  <c r="E247" i="1"/>
  <c r="C247" i="1"/>
  <c r="E246" i="1"/>
  <c r="C246" i="1"/>
  <c r="E245" i="1"/>
  <c r="C245" i="1"/>
  <c r="E244" i="1"/>
  <c r="C244" i="1"/>
  <c r="E243" i="1"/>
  <c r="C243" i="1"/>
  <c r="E242" i="1"/>
  <c r="C242" i="1"/>
  <c r="E241" i="1"/>
  <c r="C241" i="1"/>
  <c r="E240" i="1"/>
  <c r="C240" i="1"/>
  <c r="E239" i="1"/>
  <c r="C239" i="1"/>
  <c r="E238" i="1"/>
  <c r="C238" i="1"/>
  <c r="E237" i="1"/>
  <c r="C237" i="1"/>
  <c r="E236" i="1"/>
  <c r="C236" i="1"/>
  <c r="E235" i="1"/>
  <c r="C235" i="1"/>
  <c r="E234" i="1"/>
  <c r="C234" i="1"/>
  <c r="E233" i="1"/>
  <c r="C233" i="1"/>
  <c r="E232" i="1"/>
  <c r="C232" i="1"/>
  <c r="E231" i="1"/>
  <c r="C231" i="1"/>
  <c r="E230" i="1"/>
  <c r="C230" i="1"/>
  <c r="E229" i="1"/>
  <c r="C229" i="1"/>
  <c r="E228" i="1"/>
  <c r="C228" i="1"/>
  <c r="E227" i="1"/>
  <c r="C227" i="1"/>
  <c r="E226" i="1"/>
  <c r="C226" i="1"/>
  <c r="E225" i="1"/>
  <c r="C225" i="1"/>
  <c r="E224" i="1"/>
  <c r="C224" i="1"/>
  <c r="E223" i="1"/>
  <c r="C223" i="1"/>
  <c r="E222" i="1"/>
  <c r="C222" i="1"/>
  <c r="E221" i="1"/>
  <c r="C221" i="1"/>
  <c r="E220" i="1"/>
  <c r="C220" i="1"/>
  <c r="E219" i="1"/>
  <c r="C219" i="1"/>
  <c r="E218" i="1"/>
  <c r="C218" i="1"/>
  <c r="E217" i="1"/>
  <c r="C217" i="1"/>
  <c r="E216" i="1"/>
  <c r="C216" i="1"/>
  <c r="E215" i="1"/>
  <c r="C215" i="1"/>
  <c r="E214" i="1"/>
  <c r="C214" i="1"/>
  <c r="E213" i="1"/>
  <c r="C213" i="1"/>
  <c r="E212" i="1"/>
  <c r="C212" i="1"/>
  <c r="E211" i="1"/>
  <c r="C211" i="1"/>
  <c r="E210" i="1"/>
  <c r="C210" i="1"/>
  <c r="E209" i="1"/>
  <c r="C209" i="1"/>
  <c r="E208" i="1"/>
  <c r="C208" i="1"/>
  <c r="E207" i="1"/>
  <c r="C207" i="1"/>
  <c r="E206" i="1"/>
  <c r="C206" i="1"/>
  <c r="E205" i="1"/>
  <c r="C205" i="1"/>
  <c r="E204" i="1"/>
  <c r="C204" i="1"/>
  <c r="E203" i="1"/>
  <c r="C203" i="1"/>
  <c r="E202" i="1"/>
  <c r="C202" i="1"/>
  <c r="E201" i="1"/>
  <c r="C201" i="1"/>
  <c r="E200" i="1"/>
  <c r="C200" i="1"/>
  <c r="E199" i="1"/>
  <c r="C199" i="1"/>
  <c r="E198" i="1"/>
  <c r="C198" i="1"/>
  <c r="E197" i="1"/>
  <c r="C197" i="1"/>
  <c r="E196" i="1"/>
  <c r="C196" i="1"/>
  <c r="E195" i="1"/>
  <c r="C195" i="1"/>
  <c r="E194" i="1"/>
  <c r="C194" i="1"/>
  <c r="E193" i="1"/>
  <c r="C193" i="1"/>
  <c r="E192" i="1"/>
  <c r="C192" i="1"/>
  <c r="E191" i="1"/>
  <c r="C191" i="1"/>
  <c r="E190" i="1"/>
  <c r="C190" i="1"/>
  <c r="E189" i="1"/>
  <c r="C189" i="1"/>
  <c r="E188" i="1"/>
  <c r="C188" i="1"/>
  <c r="E187" i="1"/>
  <c r="C187" i="1"/>
  <c r="E186" i="1"/>
  <c r="C186" i="1"/>
  <c r="E185" i="1"/>
  <c r="C185" i="1"/>
  <c r="E184" i="1"/>
  <c r="C184" i="1"/>
  <c r="E183" i="1"/>
  <c r="C183" i="1"/>
  <c r="E182" i="1"/>
  <c r="C182" i="1"/>
  <c r="E181" i="1"/>
  <c r="C181" i="1"/>
  <c r="E180" i="1"/>
  <c r="C180" i="1"/>
  <c r="E179" i="1"/>
  <c r="C179" i="1"/>
  <c r="E178" i="1"/>
  <c r="C178" i="1"/>
  <c r="E177" i="1"/>
  <c r="C177" i="1"/>
  <c r="E176" i="1"/>
  <c r="C176" i="1"/>
  <c r="E175" i="1"/>
  <c r="C175" i="1"/>
  <c r="E174" i="1"/>
  <c r="C174" i="1"/>
  <c r="E173" i="1"/>
  <c r="C173" i="1"/>
  <c r="E172" i="1"/>
  <c r="C172" i="1"/>
  <c r="E171" i="1"/>
  <c r="C171" i="1"/>
  <c r="E170" i="1"/>
  <c r="C170" i="1"/>
  <c r="E169" i="1"/>
  <c r="C169" i="1"/>
  <c r="E168" i="1"/>
  <c r="C168" i="1"/>
  <c r="E167" i="1"/>
  <c r="C167" i="1"/>
  <c r="E166" i="1"/>
  <c r="C166" i="1"/>
  <c r="E165" i="1"/>
  <c r="C165" i="1"/>
  <c r="E164" i="1"/>
  <c r="C164" i="1"/>
  <c r="E163" i="1"/>
  <c r="C163" i="1"/>
  <c r="E162" i="1"/>
  <c r="C162" i="1"/>
  <c r="E161" i="1"/>
  <c r="C161" i="1"/>
  <c r="E160" i="1"/>
  <c r="C160" i="1"/>
  <c r="E159" i="1"/>
  <c r="C159" i="1"/>
  <c r="E158" i="1"/>
  <c r="C158" i="1"/>
  <c r="E157" i="1"/>
  <c r="C157" i="1"/>
  <c r="E156" i="1"/>
  <c r="C156" i="1"/>
  <c r="E155" i="1"/>
  <c r="C155" i="1"/>
  <c r="E154" i="1"/>
  <c r="C154" i="1"/>
  <c r="E153" i="1"/>
  <c r="C153" i="1"/>
  <c r="E152" i="1"/>
  <c r="C152" i="1"/>
  <c r="E151" i="1"/>
  <c r="C151" i="1"/>
  <c r="E150" i="1"/>
  <c r="C150" i="1"/>
  <c r="E149" i="1"/>
  <c r="C149" i="1"/>
  <c r="E148" i="1"/>
  <c r="C148" i="1"/>
  <c r="E147" i="1"/>
  <c r="C147" i="1"/>
  <c r="E146" i="1"/>
  <c r="C146" i="1"/>
  <c r="E145" i="1"/>
  <c r="C145" i="1"/>
  <c r="E144" i="1"/>
  <c r="C144" i="1"/>
  <c r="E143" i="1"/>
  <c r="C143" i="1"/>
  <c r="E142" i="1"/>
  <c r="C142" i="1"/>
  <c r="E141" i="1"/>
  <c r="C141" i="1"/>
  <c r="E140" i="1"/>
  <c r="C140" i="1"/>
  <c r="E139" i="1"/>
  <c r="C139" i="1"/>
  <c r="E138" i="1"/>
  <c r="C138" i="1"/>
  <c r="E137" i="1"/>
  <c r="C137" i="1"/>
  <c r="E136" i="1"/>
  <c r="C136" i="1"/>
  <c r="E135" i="1"/>
  <c r="C135" i="1"/>
  <c r="E134" i="1"/>
  <c r="C134" i="1"/>
  <c r="E133" i="1"/>
  <c r="C133" i="1"/>
  <c r="E132" i="1"/>
  <c r="C132" i="1"/>
  <c r="E131" i="1"/>
  <c r="C131" i="1"/>
  <c r="E130" i="1"/>
  <c r="C130" i="1"/>
  <c r="E129" i="1"/>
  <c r="C129" i="1"/>
  <c r="E128" i="1"/>
  <c r="C128" i="1"/>
  <c r="E127" i="1"/>
  <c r="C127" i="1"/>
  <c r="E126" i="1"/>
  <c r="C126" i="1"/>
  <c r="E125" i="1"/>
  <c r="C125" i="1"/>
  <c r="E124" i="1"/>
  <c r="C124" i="1"/>
  <c r="E123" i="1"/>
  <c r="C123" i="1"/>
  <c r="E122" i="1"/>
  <c r="C122" i="1"/>
  <c r="E121" i="1"/>
  <c r="C121" i="1"/>
  <c r="E120" i="1"/>
  <c r="C120" i="1"/>
  <c r="E119" i="1"/>
  <c r="C119" i="1"/>
  <c r="E118" i="1"/>
  <c r="C118" i="1"/>
  <c r="E117" i="1"/>
  <c r="C117" i="1"/>
  <c r="E116" i="1"/>
  <c r="C116" i="1"/>
  <c r="E115" i="1"/>
  <c r="C115" i="1"/>
  <c r="E114" i="1"/>
  <c r="C114" i="1"/>
  <c r="E113" i="1"/>
  <c r="C113" i="1"/>
  <c r="E112" i="1"/>
  <c r="C112" i="1"/>
  <c r="E111" i="1"/>
  <c r="C111" i="1"/>
  <c r="E110" i="1"/>
  <c r="C110" i="1"/>
  <c r="E109" i="1"/>
  <c r="C109" i="1"/>
  <c r="E108" i="1"/>
  <c r="C108" i="1"/>
  <c r="E107" i="1"/>
  <c r="C107" i="1"/>
  <c r="E106" i="1"/>
  <c r="C106" i="1"/>
  <c r="E105" i="1"/>
  <c r="C105" i="1"/>
  <c r="E104" i="1"/>
  <c r="C104" i="1"/>
  <c r="E103" i="1"/>
  <c r="C103" i="1"/>
  <c r="E102" i="1"/>
  <c r="C102" i="1"/>
  <c r="E101" i="1"/>
  <c r="C101" i="1"/>
  <c r="E100" i="1"/>
  <c r="C100" i="1"/>
  <c r="E99" i="1"/>
  <c r="C99" i="1"/>
  <c r="E98" i="1"/>
  <c r="C98" i="1"/>
  <c r="E97" i="1"/>
  <c r="C97" i="1"/>
  <c r="E96" i="1"/>
  <c r="C96" i="1"/>
  <c r="E95" i="1"/>
  <c r="C95" i="1"/>
  <c r="E94" i="1"/>
  <c r="C94" i="1"/>
  <c r="E93" i="1"/>
  <c r="C93" i="1"/>
  <c r="E92" i="1"/>
  <c r="C92" i="1"/>
  <c r="E91" i="1"/>
  <c r="C91" i="1"/>
  <c r="E90" i="1"/>
  <c r="C90" i="1"/>
  <c r="E89" i="1"/>
  <c r="C89" i="1"/>
  <c r="E88" i="1"/>
  <c r="C88" i="1"/>
  <c r="E87" i="1"/>
  <c r="C87" i="1"/>
  <c r="E86" i="1"/>
  <c r="C86" i="1"/>
  <c r="E85" i="1"/>
  <c r="C85" i="1"/>
  <c r="E84" i="1"/>
  <c r="C84" i="1"/>
  <c r="E83" i="1"/>
  <c r="C83" i="1"/>
  <c r="E82" i="1"/>
  <c r="C82" i="1"/>
  <c r="E81" i="1"/>
  <c r="C81" i="1"/>
  <c r="E80" i="1"/>
  <c r="C80" i="1"/>
  <c r="E79" i="1"/>
  <c r="C79" i="1"/>
  <c r="E78" i="1"/>
  <c r="C78" i="1"/>
  <c r="E77" i="1"/>
  <c r="C77" i="1"/>
  <c r="E76" i="1"/>
  <c r="C76" i="1"/>
  <c r="E75" i="1"/>
  <c r="C75" i="1"/>
  <c r="E74" i="1"/>
  <c r="C74" i="1"/>
  <c r="E73" i="1"/>
  <c r="C73" i="1"/>
  <c r="E72" i="1"/>
  <c r="C72" i="1"/>
  <c r="E71" i="1"/>
  <c r="C71" i="1"/>
  <c r="E70" i="1"/>
  <c r="C70" i="1"/>
  <c r="E69" i="1"/>
  <c r="C69" i="1"/>
  <c r="E68" i="1"/>
  <c r="C68" i="1"/>
  <c r="E67" i="1"/>
  <c r="C67" i="1"/>
  <c r="E66" i="1"/>
  <c r="C66" i="1"/>
  <c r="E65" i="1"/>
  <c r="C65" i="1"/>
  <c r="E64" i="1"/>
  <c r="C64" i="1"/>
  <c r="E63" i="1"/>
  <c r="C63" i="1"/>
  <c r="E62" i="1"/>
  <c r="C62" i="1"/>
  <c r="E61" i="1"/>
  <c r="C61" i="1"/>
  <c r="E60" i="1"/>
  <c r="C60" i="1"/>
  <c r="E59" i="1"/>
  <c r="C59" i="1"/>
  <c r="E58" i="1"/>
  <c r="C58" i="1"/>
  <c r="E57" i="1"/>
  <c r="C57" i="1"/>
  <c r="E56" i="1"/>
  <c r="C56" i="1"/>
  <c r="E55" i="1"/>
  <c r="C55" i="1"/>
  <c r="E54" i="1"/>
  <c r="C54" i="1"/>
  <c r="E53" i="1"/>
  <c r="C53" i="1"/>
  <c r="E52" i="1"/>
  <c r="C52" i="1"/>
  <c r="E51" i="1"/>
  <c r="C51" i="1"/>
  <c r="E50" i="1"/>
  <c r="C50" i="1"/>
  <c r="E49" i="1"/>
  <c r="C49" i="1"/>
  <c r="E48" i="1"/>
  <c r="C48" i="1"/>
  <c r="E47" i="1"/>
  <c r="C47" i="1"/>
  <c r="E46" i="1"/>
  <c r="C46" i="1"/>
  <c r="E45" i="1"/>
  <c r="C45" i="1"/>
  <c r="E44" i="1"/>
  <c r="C44" i="1"/>
  <c r="E43" i="1"/>
  <c r="C43" i="1"/>
  <c r="E42" i="1"/>
  <c r="C42" i="1"/>
  <c r="E41" i="1"/>
  <c r="C41" i="1"/>
  <c r="E40" i="1"/>
  <c r="C40" i="1"/>
  <c r="E39" i="1"/>
  <c r="C39" i="1"/>
  <c r="E38" i="1"/>
  <c r="C38" i="1"/>
  <c r="E37" i="1"/>
  <c r="C37" i="1"/>
  <c r="E36" i="1"/>
  <c r="C36" i="1"/>
  <c r="E35" i="1"/>
  <c r="C35" i="1"/>
  <c r="E34" i="1"/>
  <c r="C34" i="1"/>
  <c r="E33" i="1"/>
  <c r="C33" i="1"/>
  <c r="E32" i="1"/>
  <c r="C32" i="1"/>
  <c r="E31" i="1"/>
  <c r="C31" i="1"/>
  <c r="E30" i="1"/>
  <c r="C30" i="1"/>
  <c r="E29" i="1"/>
  <c r="C29" i="1"/>
  <c r="E28" i="1"/>
  <c r="C28" i="1"/>
  <c r="E27" i="1"/>
  <c r="C27" i="1"/>
  <c r="E26" i="1"/>
  <c r="C26" i="1"/>
  <c r="E25" i="1"/>
  <c r="C25" i="1"/>
  <c r="E24" i="1"/>
  <c r="C24" i="1"/>
  <c r="E23" i="1"/>
  <c r="C23" i="1"/>
  <c r="E22" i="1"/>
  <c r="C22" i="1"/>
  <c r="E21" i="1"/>
  <c r="C21" i="1"/>
  <c r="E20" i="1"/>
  <c r="C20" i="1"/>
  <c r="E19" i="1"/>
  <c r="C19" i="1"/>
  <c r="E18" i="1"/>
  <c r="C18" i="1"/>
  <c r="E17" i="1"/>
  <c r="C17" i="1"/>
  <c r="E16" i="1"/>
  <c r="C16" i="1"/>
  <c r="E15" i="1"/>
  <c r="C15" i="1"/>
  <c r="E14" i="1"/>
  <c r="C14" i="1"/>
  <c r="E13" i="1"/>
  <c r="C13" i="1"/>
  <c r="E12" i="1"/>
  <c r="C12" i="1"/>
  <c r="E11" i="1"/>
  <c r="C11" i="1"/>
  <c r="E10" i="1"/>
  <c r="C10" i="1"/>
  <c r="E9" i="1"/>
  <c r="C9" i="1"/>
  <c r="E8" i="1"/>
  <c r="C8" i="1"/>
  <c r="E7" i="1"/>
  <c r="C7" i="1"/>
  <c r="E6" i="1"/>
  <c r="C6" i="1"/>
  <c r="E5" i="1"/>
  <c r="C5" i="1"/>
  <c r="E4" i="1"/>
  <c r="C4" i="1"/>
  <c r="E3" i="1"/>
  <c r="C3" i="1"/>
  <c r="C2" i="1"/>
  <c r="B2" i="5" l="1"/>
  <c r="N2" i="2"/>
  <c r="G2" i="5"/>
  <c r="D2" i="3"/>
  <c r="B3" i="4" s="1"/>
  <c r="D3" i="4" s="1"/>
  <c r="D2" i="5" s="1"/>
  <c r="F2" i="5" l="1"/>
  <c r="H2" i="5" s="1"/>
  <c r="C2" i="6" s="1"/>
  <c r="K2" i="2"/>
  <c r="B8" i="5"/>
  <c r="B12" i="5"/>
  <c r="B9" i="5"/>
  <c r="B13" i="5"/>
  <c r="B3" i="5"/>
  <c r="B7" i="5"/>
  <c r="B6" i="5"/>
  <c r="B10" i="5"/>
  <c r="B4" i="5"/>
  <c r="B5" i="5"/>
  <c r="B11" i="5"/>
  <c r="G9" i="5"/>
  <c r="G6" i="5"/>
  <c r="D13" i="3"/>
  <c r="B14" i="4" s="1"/>
  <c r="D14" i="4" s="1"/>
  <c r="D13" i="5" s="1"/>
  <c r="D7" i="3"/>
  <c r="B8" i="4" s="1"/>
  <c r="D8" i="4" s="1"/>
  <c r="D7" i="5" s="1"/>
  <c r="D10" i="3"/>
  <c r="B11" i="4" s="1"/>
  <c r="D11" i="4" s="1"/>
  <c r="D10" i="5" s="1"/>
  <c r="D11" i="3"/>
  <c r="B12" i="4" s="1"/>
  <c r="D12" i="4" s="1"/>
  <c r="D11" i="5" s="1"/>
  <c r="D12" i="3"/>
  <c r="B13" i="4" s="1"/>
  <c r="D13" i="4" s="1"/>
  <c r="D12" i="5" s="1"/>
  <c r="D4" i="3"/>
  <c r="B5" i="4" s="1"/>
  <c r="D5" i="4" s="1"/>
  <c r="D4" i="5" s="1"/>
  <c r="D9" i="3"/>
  <c r="B10" i="4" s="1"/>
  <c r="D10" i="4" s="1"/>
  <c r="D9" i="5" s="1"/>
  <c r="D8" i="3"/>
  <c r="B9" i="4" s="1"/>
  <c r="D9" i="4" s="1"/>
  <c r="D8" i="5" s="1"/>
  <c r="D5" i="3"/>
  <c r="B6" i="4" s="1"/>
  <c r="D6" i="4" s="1"/>
  <c r="D5" i="5" s="1"/>
  <c r="G7" i="5"/>
  <c r="D6" i="3"/>
  <c r="B7" i="4" s="1"/>
  <c r="D7" i="4" s="1"/>
  <c r="D6" i="5" s="1"/>
  <c r="D3" i="3"/>
  <c r="B4" i="4" s="1"/>
  <c r="D4" i="4" s="1"/>
  <c r="D3" i="5" s="1"/>
  <c r="N11" i="2" l="1"/>
  <c r="N10" i="2"/>
  <c r="F8" i="5"/>
  <c r="N5" i="2"/>
  <c r="F4" i="5"/>
  <c r="N13" i="2"/>
  <c r="N12" i="2"/>
  <c r="F12" i="5"/>
  <c r="G12" i="5"/>
  <c r="F11" i="5"/>
  <c r="G11" i="5"/>
  <c r="F7" i="5"/>
  <c r="H7" i="5" s="1"/>
  <c r="N7" i="2"/>
  <c r="N4" i="2"/>
  <c r="F3" i="5"/>
  <c r="G3" i="5"/>
  <c r="B2" i="6"/>
  <c r="E2" i="6" s="1"/>
  <c r="F2" i="6" s="1"/>
  <c r="P2" i="2"/>
  <c r="N8" i="2"/>
  <c r="G13" i="5"/>
  <c r="G10" i="5"/>
  <c r="N9" i="2"/>
  <c r="F10" i="5"/>
  <c r="F13" i="5"/>
  <c r="G8" i="5"/>
  <c r="N3" i="2"/>
  <c r="G4" i="5"/>
  <c r="F6" i="5"/>
  <c r="H6" i="5" s="1"/>
  <c r="G5" i="5"/>
  <c r="F5" i="5"/>
  <c r="F9" i="5"/>
  <c r="H9" i="5" s="1"/>
  <c r="K10" i="2" l="1"/>
  <c r="P10" i="2" s="1"/>
  <c r="K9" i="2"/>
  <c r="P9" i="2" s="1"/>
  <c r="K6" i="2"/>
  <c r="P6" i="2" s="1"/>
  <c r="K12" i="2"/>
  <c r="P12" i="2" s="1"/>
  <c r="K8" i="2"/>
  <c r="P8" i="2" s="1"/>
  <c r="K7" i="2"/>
  <c r="P7" i="2" s="1"/>
  <c r="K3" i="2"/>
  <c r="B3" i="6" s="1"/>
  <c r="H8" i="5"/>
  <c r="H10" i="5"/>
  <c r="K11" i="2"/>
  <c r="P11" i="2" s="1"/>
  <c r="K13" i="2"/>
  <c r="P13" i="2" s="1"/>
  <c r="K5" i="2"/>
  <c r="P5" i="2" s="1"/>
  <c r="H4" i="5"/>
  <c r="C4" i="6" s="1"/>
  <c r="K4" i="2"/>
  <c r="B4" i="6" s="1"/>
  <c r="H3" i="5"/>
  <c r="C3" i="6" s="1"/>
  <c r="H11" i="5"/>
  <c r="H5" i="5"/>
  <c r="H13" i="5"/>
  <c r="H12" i="5"/>
  <c r="P3" i="2" l="1"/>
  <c r="E4" i="6"/>
  <c r="E3" i="6"/>
  <c r="F3" i="6" s="1"/>
  <c r="P4" i="2"/>
  <c r="H15" i="5"/>
  <c r="P16" i="2" l="1"/>
  <c r="F4" i="6"/>
</calcChain>
</file>

<file path=xl/sharedStrings.xml><?xml version="1.0" encoding="utf-8"?>
<sst xmlns="http://schemas.openxmlformats.org/spreadsheetml/2006/main" count="644" uniqueCount="553">
  <si>
    <t>Período</t>
  </si>
  <si>
    <t>Consumo</t>
  </si>
  <si>
    <t>Jan - 19</t>
  </si>
  <si>
    <t>Feb - 19</t>
  </si>
  <si>
    <t>Mar - 19</t>
  </si>
  <si>
    <t>Abr - 19</t>
  </si>
  <si>
    <t>Mai - 19</t>
  </si>
  <si>
    <t>Jun - 19</t>
  </si>
  <si>
    <t>Jul - 19</t>
  </si>
  <si>
    <t>Ago - 19</t>
  </si>
  <si>
    <t>Set - 19</t>
  </si>
  <si>
    <t>Out - 19</t>
  </si>
  <si>
    <t>Nov - 19</t>
  </si>
  <si>
    <t>Dez - 19</t>
  </si>
  <si>
    <t>Valor PIS/COFINS</t>
  </si>
  <si>
    <t>Valor Total Total Tarifa ACR</t>
  </si>
  <si>
    <t>Custo Mensal do Contrato</t>
  </si>
  <si>
    <t>Saldo</t>
  </si>
  <si>
    <t>CUSTOS MLP</t>
  </si>
  <si>
    <t>Custos MCP</t>
  </si>
  <si>
    <t>TUSD Valor</t>
  </si>
  <si>
    <t>PINS/COFINS</t>
  </si>
  <si>
    <t>Tarifa ACR</t>
  </si>
  <si>
    <t>Tarifa ACL</t>
  </si>
  <si>
    <t>Custo de Adesão</t>
  </si>
  <si>
    <t>Valor Final Tarifa ACL</t>
  </si>
  <si>
    <t>Taxa</t>
  </si>
  <si>
    <t>Bandeiras</t>
  </si>
  <si>
    <t>verde</t>
  </si>
  <si>
    <t>amarelo</t>
  </si>
  <si>
    <t>vermelho ptm I</t>
  </si>
  <si>
    <t>Valor TUSD</t>
  </si>
  <si>
    <t>Valor TE</t>
  </si>
  <si>
    <t>valor total</t>
  </si>
  <si>
    <t>icms</t>
  </si>
  <si>
    <t>Cosip</t>
  </si>
  <si>
    <t>Energia Contratada (kW)</t>
  </si>
  <si>
    <t>Dia</t>
  </si>
  <si>
    <t>Sem rede</t>
  </si>
  <si>
    <t>CORRELAÇÃO =</t>
  </si>
  <si>
    <t>1 de jan de 19</t>
  </si>
  <si>
    <t>2 de jan de 19</t>
  </si>
  <si>
    <t>3 de jan de 19</t>
  </si>
  <si>
    <t>4 de jan de 19</t>
  </si>
  <si>
    <t>5 de jan de 19</t>
  </si>
  <si>
    <t>6 de jan de 19</t>
  </si>
  <si>
    <t>7 de jan de 19</t>
  </si>
  <si>
    <t>8 de jan de 19</t>
  </si>
  <si>
    <t>9 de jan de 19</t>
  </si>
  <si>
    <t>10 de jan de 19</t>
  </si>
  <si>
    <t>11 de jan de 19</t>
  </si>
  <si>
    <t>12 de jan de 19</t>
  </si>
  <si>
    <t>13 de jan de 19</t>
  </si>
  <si>
    <t>14 de jan de 19</t>
  </si>
  <si>
    <t>15 de jan de 19</t>
  </si>
  <si>
    <t>16 de jan de 19</t>
  </si>
  <si>
    <t>17 de jan de 19</t>
  </si>
  <si>
    <t>18 de jan de 19</t>
  </si>
  <si>
    <t>19 de jan de 19</t>
  </si>
  <si>
    <t>20 de jan de 19</t>
  </si>
  <si>
    <t>21 de jan de 19</t>
  </si>
  <si>
    <t>22 de jan de 19</t>
  </si>
  <si>
    <t>23 de jan de 19</t>
  </si>
  <si>
    <t>24 de jan de 19</t>
  </si>
  <si>
    <t>25 de jan de 19</t>
  </si>
  <si>
    <t>26 de jan de 19</t>
  </si>
  <si>
    <t>27 de jan de 19</t>
  </si>
  <si>
    <t>28 de jan de 19</t>
  </si>
  <si>
    <t>29 de jan de 19</t>
  </si>
  <si>
    <t>30 de jan de 19</t>
  </si>
  <si>
    <t>31 de jan de 19</t>
  </si>
  <si>
    <t>1 de fev de 19</t>
  </si>
  <si>
    <t>2 de fev de 19</t>
  </si>
  <si>
    <t>3 de fev de 19</t>
  </si>
  <si>
    <t>4 de fev de 19</t>
  </si>
  <si>
    <t>5 de fev de 19</t>
  </si>
  <si>
    <t>6 de fev de 19</t>
  </si>
  <si>
    <t>7 de fev de 19</t>
  </si>
  <si>
    <t>8 de fev de 19</t>
  </si>
  <si>
    <t>9 de fev de 19</t>
  </si>
  <si>
    <t>10 de fev de 19</t>
  </si>
  <si>
    <t>11 de fev de 19</t>
  </si>
  <si>
    <t>12 de fev de 19</t>
  </si>
  <si>
    <t>13 de fev de 19</t>
  </si>
  <si>
    <t>14 de fev de 19</t>
  </si>
  <si>
    <t>15 de fev de 19</t>
  </si>
  <si>
    <t>16 de fev de 19</t>
  </si>
  <si>
    <t>17 de fev de 19</t>
  </si>
  <si>
    <t>18 de fev de 19</t>
  </si>
  <si>
    <t>19 de fev de 19</t>
  </si>
  <si>
    <t>20 de fev de 19</t>
  </si>
  <si>
    <t>21 de fev de 19</t>
  </si>
  <si>
    <t>22 de fev de 19</t>
  </si>
  <si>
    <t>23 de fev de 19</t>
  </si>
  <si>
    <t>24 de fev de 19</t>
  </si>
  <si>
    <t>25 de fev de 19</t>
  </si>
  <si>
    <t>26 de fev de 19</t>
  </si>
  <si>
    <t>27 de fev de 19</t>
  </si>
  <si>
    <t>28 de fev de 19</t>
  </si>
  <si>
    <t>1 de mar de 19</t>
  </si>
  <si>
    <t>2 de mar de 19</t>
  </si>
  <si>
    <t>3 de mar de 19</t>
  </si>
  <si>
    <t>4 de mar de 19</t>
  </si>
  <si>
    <t>5 de mar de 19</t>
  </si>
  <si>
    <t>6 de mar de 19</t>
  </si>
  <si>
    <t>7 de mar de 19</t>
  </si>
  <si>
    <t>8 de mar de 19</t>
  </si>
  <si>
    <t>9 de mar de 19</t>
  </si>
  <si>
    <t>10 de mar de 19</t>
  </si>
  <si>
    <t>11 de mar de 19</t>
  </si>
  <si>
    <t>12 de mar de 19</t>
  </si>
  <si>
    <t>13 de mar de 19</t>
  </si>
  <si>
    <t>14 de mar de 19</t>
  </si>
  <si>
    <t>15 de mar de 19</t>
  </si>
  <si>
    <t>16 de mar de 19</t>
  </si>
  <si>
    <t>17 de mar de 19</t>
  </si>
  <si>
    <t>18 de mar de 19</t>
  </si>
  <si>
    <t>19 de mar de 19</t>
  </si>
  <si>
    <t>20 de mar de 19</t>
  </si>
  <si>
    <t>21 de mar de 19</t>
  </si>
  <si>
    <t>22 de mar de 19</t>
  </si>
  <si>
    <t>23 de mar de 19</t>
  </si>
  <si>
    <t>24 de mar de 19</t>
  </si>
  <si>
    <t>25 de mar de 19</t>
  </si>
  <si>
    <t>26 de mar de 19</t>
  </si>
  <si>
    <t>27 de mar de 19</t>
  </si>
  <si>
    <t>28 de mar de 19</t>
  </si>
  <si>
    <t>29 de mar de 19</t>
  </si>
  <si>
    <t>30 de mar de 19</t>
  </si>
  <si>
    <t>31 de mar de 19</t>
  </si>
  <si>
    <t>1 de abr de 19</t>
  </si>
  <si>
    <t>2 de abr de 19</t>
  </si>
  <si>
    <t>3 de abr de 19</t>
  </si>
  <si>
    <t>4 de abr de 19</t>
  </si>
  <si>
    <t>5 de abr de 19</t>
  </si>
  <si>
    <t>6 de abr de 19</t>
  </si>
  <si>
    <t>7 de abr de 19</t>
  </si>
  <si>
    <t>8 de abr de 19</t>
  </si>
  <si>
    <t>9 de abr de 19</t>
  </si>
  <si>
    <t>10 de abr de 19</t>
  </si>
  <si>
    <t>11 de abr de 19</t>
  </si>
  <si>
    <t>12 de abr de 19</t>
  </si>
  <si>
    <t>13 de abr de 19</t>
  </si>
  <si>
    <t>14 de abr de 19</t>
  </si>
  <si>
    <t>15 de abr de 19</t>
  </si>
  <si>
    <t>16 de abr de 19</t>
  </si>
  <si>
    <t>17 de abr de 19</t>
  </si>
  <si>
    <t>18 de abr de 19</t>
  </si>
  <si>
    <t>19 de abr de 19</t>
  </si>
  <si>
    <t>20 de abr de 19</t>
  </si>
  <si>
    <t>21 de abr de 19</t>
  </si>
  <si>
    <t>22 de abr de 19</t>
  </si>
  <si>
    <t>23 de abr de 19</t>
  </si>
  <si>
    <t>24 de abr de 19</t>
  </si>
  <si>
    <t>25 de abr de 19</t>
  </si>
  <si>
    <t>26 de abr de 19</t>
  </si>
  <si>
    <t>27 de abr de 19</t>
  </si>
  <si>
    <t>28 de abr de 19</t>
  </si>
  <si>
    <t>29 de abr de 19</t>
  </si>
  <si>
    <t>30 de abr de 19</t>
  </si>
  <si>
    <t>1 de mai de 19</t>
  </si>
  <si>
    <t>2 de mai de 19</t>
  </si>
  <si>
    <t>3 de mai de 19</t>
  </si>
  <si>
    <t>4 de mai de 19</t>
  </si>
  <si>
    <t>5 de mai de 19</t>
  </si>
  <si>
    <t>6 de mai de 19</t>
  </si>
  <si>
    <t>7 de mai de 19</t>
  </si>
  <si>
    <t>8 de mai de 19</t>
  </si>
  <si>
    <t>9 de mai de 19</t>
  </si>
  <si>
    <t>10 de mai de 19</t>
  </si>
  <si>
    <t>11 de mai de 19</t>
  </si>
  <si>
    <t>12 de mai de 19</t>
  </si>
  <si>
    <t>13 de mai de 19</t>
  </si>
  <si>
    <t>14 de mai de 19</t>
  </si>
  <si>
    <t>15 de mai de 19</t>
  </si>
  <si>
    <t>16 de mai de 19</t>
  </si>
  <si>
    <t>17 de mai de 19</t>
  </si>
  <si>
    <t>18 de mai de 19</t>
  </si>
  <si>
    <t>19 de mai de 19</t>
  </si>
  <si>
    <t>20 de mai de 19</t>
  </si>
  <si>
    <t>21 de mai de 19</t>
  </si>
  <si>
    <t>22 de mai de 19</t>
  </si>
  <si>
    <t>23 de mai de 19</t>
  </si>
  <si>
    <t>24 de mai de 19</t>
  </si>
  <si>
    <t>25 de mai de 19</t>
  </si>
  <si>
    <t>26 de mai de 19</t>
  </si>
  <si>
    <t>27 de mai de 19</t>
  </si>
  <si>
    <t>28 de mai de 19</t>
  </si>
  <si>
    <t>29 de mai de 19</t>
  </si>
  <si>
    <t>30 de mai de 19</t>
  </si>
  <si>
    <t>31 de mai de 19</t>
  </si>
  <si>
    <t>1 de jun de 19</t>
  </si>
  <si>
    <t>2 de jun de 19</t>
  </si>
  <si>
    <t>3 de jun de 19</t>
  </si>
  <si>
    <t>4 de jun de 19</t>
  </si>
  <si>
    <t>5 de jun de 19</t>
  </si>
  <si>
    <t>6 de jun de 19</t>
  </si>
  <si>
    <t>7 de jun de 19</t>
  </si>
  <si>
    <t>8 de jun de 19</t>
  </si>
  <si>
    <t>9 de jun de 19</t>
  </si>
  <si>
    <t>10 de jun de 19</t>
  </si>
  <si>
    <t>11 de jun de 19</t>
  </si>
  <si>
    <t>12 de jun de 19</t>
  </si>
  <si>
    <t>13 de jun de 19</t>
  </si>
  <si>
    <t>14 de jun de 19</t>
  </si>
  <si>
    <t>15 de jun de 19</t>
  </si>
  <si>
    <t>16 de jun de 19</t>
  </si>
  <si>
    <t>17 de jun de 19</t>
  </si>
  <si>
    <t>18 de jun de 19</t>
  </si>
  <si>
    <t>19 de jun de 19</t>
  </si>
  <si>
    <t>20 de jun de 19</t>
  </si>
  <si>
    <t>21 de jun de 19</t>
  </si>
  <si>
    <t>22 de jun de 19</t>
  </si>
  <si>
    <t>23 de jun de 19</t>
  </si>
  <si>
    <t>24 de jun de 19</t>
  </si>
  <si>
    <t>25 de jun de 19</t>
  </si>
  <si>
    <t>26 de jun de 19</t>
  </si>
  <si>
    <t>27 de jun de 19</t>
  </si>
  <si>
    <t>28 de jun de 19</t>
  </si>
  <si>
    <t>29 de jun de 19</t>
  </si>
  <si>
    <t>30 de jun de 19</t>
  </si>
  <si>
    <t>1 de jul de 19</t>
  </si>
  <si>
    <t>2 de jul de 19</t>
  </si>
  <si>
    <t>3 de jul de 19</t>
  </si>
  <si>
    <t>4 de jul de 19</t>
  </si>
  <si>
    <t>5 de jul de 19</t>
  </si>
  <si>
    <t>6 de jul de 19</t>
  </si>
  <si>
    <t>7 de jul de 19</t>
  </si>
  <si>
    <t>8 de jul de 19</t>
  </si>
  <si>
    <t>9 de jul de 19</t>
  </si>
  <si>
    <t>10 de jul de 19</t>
  </si>
  <si>
    <t>11 de jul de 19</t>
  </si>
  <si>
    <t>12 de jul de 19</t>
  </si>
  <si>
    <t>13 de jul de 19</t>
  </si>
  <si>
    <t>14 de jul de 19</t>
  </si>
  <si>
    <t>15 de jul de 19</t>
  </si>
  <si>
    <t>16 de jul de 19</t>
  </si>
  <si>
    <t>17 de jul de 19</t>
  </si>
  <si>
    <t>18 de jul de 19</t>
  </si>
  <si>
    <t>19 de jul de 19</t>
  </si>
  <si>
    <t>20 de jul de 19</t>
  </si>
  <si>
    <t>21 de jul de 19</t>
  </si>
  <si>
    <t>22 de jul de 19</t>
  </si>
  <si>
    <t>23 de jul de 19</t>
  </si>
  <si>
    <t>24 de jul de 19</t>
  </si>
  <si>
    <t>25 de jul de 19</t>
  </si>
  <si>
    <t>26 de jul de 19</t>
  </si>
  <si>
    <t>27 de jul de 19</t>
  </si>
  <si>
    <t>28 de jul de 19</t>
  </si>
  <si>
    <t>29 de jul de 19</t>
  </si>
  <si>
    <t>30 de jul de 19</t>
  </si>
  <si>
    <t>31 de jul de 19</t>
  </si>
  <si>
    <t>1 de ago de 19</t>
  </si>
  <si>
    <t>2 de ago de 19</t>
  </si>
  <si>
    <t>3 de ago de 19</t>
  </si>
  <si>
    <t>4 de ago de 19</t>
  </si>
  <si>
    <t>5 de ago de 19</t>
  </si>
  <si>
    <t>6 de ago de 19</t>
  </si>
  <si>
    <t>7 de ago de 19</t>
  </si>
  <si>
    <t>8 de ago de 19</t>
  </si>
  <si>
    <t>9 de ago de 19</t>
  </si>
  <si>
    <t>10 de ago de 19</t>
  </si>
  <si>
    <t>11 de ago de 19</t>
  </si>
  <si>
    <t>12 de ago de 19</t>
  </si>
  <si>
    <t>13 de ago de 19</t>
  </si>
  <si>
    <t>14 de ago de 19</t>
  </si>
  <si>
    <t>15 de ago de 19</t>
  </si>
  <si>
    <t>16 de ago de 19</t>
  </si>
  <si>
    <t>17 de ago de 19</t>
  </si>
  <si>
    <t>18 de ago de 19</t>
  </si>
  <si>
    <t>19 de ago de 19</t>
  </si>
  <si>
    <t>20 de ago de 19</t>
  </si>
  <si>
    <t>21 de ago de 19</t>
  </si>
  <si>
    <t>22 de ago de 19</t>
  </si>
  <si>
    <t>23 de ago de 19</t>
  </si>
  <si>
    <t>24 de ago de 19</t>
  </si>
  <si>
    <t>25 de ago de 19</t>
  </si>
  <si>
    <t>26 de ago de 19</t>
  </si>
  <si>
    <t>27 de ago de 19</t>
  </si>
  <si>
    <t>28 de ago de 19</t>
  </si>
  <si>
    <t>29 de ago de 19</t>
  </si>
  <si>
    <t>30 de ago de 19</t>
  </si>
  <si>
    <t>31 de ago de 19</t>
  </si>
  <si>
    <t>1 de set de 19</t>
  </si>
  <si>
    <t>2 de set de 19</t>
  </si>
  <si>
    <t>3 de set de 19</t>
  </si>
  <si>
    <t>4 de set de 19</t>
  </si>
  <si>
    <t>5 de set de 19</t>
  </si>
  <si>
    <t>6 de set de 19</t>
  </si>
  <si>
    <t>7 de set de 19</t>
  </si>
  <si>
    <t>8 de set de 19</t>
  </si>
  <si>
    <t>9 de set de 19</t>
  </si>
  <si>
    <t>10 de set de 19</t>
  </si>
  <si>
    <t>11 de set de 19</t>
  </si>
  <si>
    <t>12 de set de 19</t>
  </si>
  <si>
    <t>13 de set de 19</t>
  </si>
  <si>
    <t>14 de set de 19</t>
  </si>
  <si>
    <t>15 de set de 19</t>
  </si>
  <si>
    <t>16 de set de 19</t>
  </si>
  <si>
    <t>17 de set de 19</t>
  </si>
  <si>
    <t>18 de set de 19</t>
  </si>
  <si>
    <t>19 de set de 19</t>
  </si>
  <si>
    <t>20 de set de 19</t>
  </si>
  <si>
    <t>21 de set de 19</t>
  </si>
  <si>
    <t>22 de set de 19</t>
  </si>
  <si>
    <t>23 de set de 19</t>
  </si>
  <si>
    <t>24 de set de 19</t>
  </si>
  <si>
    <t>25 de set de 19</t>
  </si>
  <si>
    <t>26 de set de 19</t>
  </si>
  <si>
    <t>27 de set de 19</t>
  </si>
  <si>
    <t>28 de set de 19</t>
  </si>
  <si>
    <t>29 de set de 19</t>
  </si>
  <si>
    <t>30 de set de 19</t>
  </si>
  <si>
    <t>1 de out de 19</t>
  </si>
  <si>
    <t>2 de out de 19</t>
  </si>
  <si>
    <t>3 de out de 19</t>
  </si>
  <si>
    <t>4 de out de 19</t>
  </si>
  <si>
    <t>5 de out de 19</t>
  </si>
  <si>
    <t>6 de out de 19</t>
  </si>
  <si>
    <t>7 de out de 19</t>
  </si>
  <si>
    <t>8 de out de 19</t>
  </si>
  <si>
    <t>9 de out de 19</t>
  </si>
  <si>
    <t>10 de out de 19</t>
  </si>
  <si>
    <t>11 de out de 19</t>
  </si>
  <si>
    <t>12 de out de 19</t>
  </si>
  <si>
    <t>13 de out de 19</t>
  </si>
  <si>
    <t>14 de out de 19</t>
  </si>
  <si>
    <t>15 de out de 19</t>
  </si>
  <si>
    <t>16 de out de 19</t>
  </si>
  <si>
    <t>17 de out de 19</t>
  </si>
  <si>
    <t>18 de out de 19</t>
  </si>
  <si>
    <t>19 de out de 19</t>
  </si>
  <si>
    <t>20 de out de 19</t>
  </si>
  <si>
    <t>21 de out de 19</t>
  </si>
  <si>
    <t>22 de out de 19</t>
  </si>
  <si>
    <t>23 de out de 19</t>
  </si>
  <si>
    <t>24 de out de 19</t>
  </si>
  <si>
    <t>25 de out de 19</t>
  </si>
  <si>
    <t>26 de out de 19</t>
  </si>
  <si>
    <t>27 de out de 19</t>
  </si>
  <si>
    <t>28 de out de 19</t>
  </si>
  <si>
    <t>29 de out de 19</t>
  </si>
  <si>
    <t>30 de out de 19</t>
  </si>
  <si>
    <t>31 de out de 19</t>
  </si>
  <si>
    <t>1 de nov de 19</t>
  </si>
  <si>
    <t>2 de nov de 19</t>
  </si>
  <si>
    <t>3 de nov de 19</t>
  </si>
  <si>
    <t>4 de nov de 19</t>
  </si>
  <si>
    <t>5 de nov de 19</t>
  </si>
  <si>
    <t>6 de nov de 19</t>
  </si>
  <si>
    <t>7 de nov de 19</t>
  </si>
  <si>
    <t>8 de nov de 19</t>
  </si>
  <si>
    <t>9 de nov de 19</t>
  </si>
  <si>
    <t>10 de nov de 19</t>
  </si>
  <si>
    <t>11 de nov de 19</t>
  </si>
  <si>
    <t>12 de nov de 19</t>
  </si>
  <si>
    <t>13 de nov de 19</t>
  </si>
  <si>
    <t>14 de nov de 19</t>
  </si>
  <si>
    <t>15 de nov de 19</t>
  </si>
  <si>
    <t>16 de nov de 19</t>
  </si>
  <si>
    <t>17 de nov de 19</t>
  </si>
  <si>
    <t>18 de nov de 19</t>
  </si>
  <si>
    <t>19 de nov de 19</t>
  </si>
  <si>
    <t>20 de nov de 19</t>
  </si>
  <si>
    <t>21 de nov de 19</t>
  </si>
  <si>
    <t>22 de nov de 19</t>
  </si>
  <si>
    <t>23 de nov de 19</t>
  </si>
  <si>
    <t>24 de nov de 19</t>
  </si>
  <si>
    <t>25 de nov de 19</t>
  </si>
  <si>
    <t>26 de nov de 19</t>
  </si>
  <si>
    <t>27 de nov de 19</t>
  </si>
  <si>
    <t>28 de nov de 19</t>
  </si>
  <si>
    <t>29 de nov de 19</t>
  </si>
  <si>
    <t>30 de nov de 19</t>
  </si>
  <si>
    <t>1 de dez de 19</t>
  </si>
  <si>
    <t>2 de dez de 19</t>
  </si>
  <si>
    <t>3 de dez de 19</t>
  </si>
  <si>
    <t>4 de dez de 19</t>
  </si>
  <si>
    <t>5 de dez de 19</t>
  </si>
  <si>
    <t>6 de dez de 19</t>
  </si>
  <si>
    <t>7 de dez de 19</t>
  </si>
  <si>
    <t>8 de dez de 19</t>
  </si>
  <si>
    <t>9 de dez de 19</t>
  </si>
  <si>
    <t>10 de dez de 19</t>
  </si>
  <si>
    <t>11 de dez de 19</t>
  </si>
  <si>
    <t>12 de dez de 19</t>
  </si>
  <si>
    <t>13 de dez de 19</t>
  </si>
  <si>
    <t>14 de dez de 19</t>
  </si>
  <si>
    <t>15 de dez de 19</t>
  </si>
  <si>
    <t>16 de dez de 19</t>
  </si>
  <si>
    <t>17 de dez de 19</t>
  </si>
  <si>
    <t>18 de dez de 19</t>
  </si>
  <si>
    <t>19 de dez de 19</t>
  </si>
  <si>
    <t>20 de dez de 19</t>
  </si>
  <si>
    <t>21 de dez de 19</t>
  </si>
  <si>
    <t>22 de dez de 19</t>
  </si>
  <si>
    <t>23 de dez de 19</t>
  </si>
  <si>
    <t>24 de dez de 19</t>
  </si>
  <si>
    <t>25 de dez de 19</t>
  </si>
  <si>
    <t>26 de dez de 19</t>
  </si>
  <si>
    <t>27 de dez de 19</t>
  </si>
  <si>
    <t>28 de dez de 19</t>
  </si>
  <si>
    <t>29 de dez de 19</t>
  </si>
  <si>
    <t>30 de dez de 19</t>
  </si>
  <si>
    <t>31 de dez de 19</t>
  </si>
  <si>
    <t>Jan de 2019</t>
  </si>
  <si>
    <t>Fev de 2019</t>
  </si>
  <si>
    <t>Mar de 2019</t>
  </si>
  <si>
    <t>Abr de 2019</t>
  </si>
  <si>
    <t>Mai de 2019</t>
  </si>
  <si>
    <t>Jun de 2019</t>
  </si>
  <si>
    <t>Jul de 2019</t>
  </si>
  <si>
    <t>Ago de 2019</t>
  </si>
  <si>
    <t>Set de 2019</t>
  </si>
  <si>
    <t>Out de 2019</t>
  </si>
  <si>
    <t>Nov de 2019</t>
  </si>
  <si>
    <t>Dez de 2019</t>
  </si>
  <si>
    <t>Jan de 2020</t>
  </si>
  <si>
    <t>CVAR MENSAL</t>
  </si>
  <si>
    <t>MÊS</t>
  </si>
  <si>
    <t>MÉDIA</t>
  </si>
  <si>
    <t>DESVIO PADRÃO</t>
  </si>
  <si>
    <t>CVAR</t>
  </si>
  <si>
    <t>ENA</t>
  </si>
  <si>
    <t>RETURN PLD (%)</t>
  </si>
  <si>
    <t>Preço para PLD (R$/MWh)</t>
  </si>
  <si>
    <t>ANÁLISE DE VIABILIDADE DO CONSUMIDOR DE BAIXA TENSÃO NO MERCADO LIVRE DE ENERGIA</t>
  </si>
  <si>
    <t>PREÇO DA ENERGIA (R/MVh):</t>
  </si>
  <si>
    <t>Custo da Enegia Contratada Mensal (R$/MVh)</t>
  </si>
  <si>
    <t>TOTAL:</t>
  </si>
  <si>
    <t>ENERGIA CONTRATADA (kWh):</t>
  </si>
  <si>
    <t>Comercialização MCP (R$/kW)</t>
  </si>
  <si>
    <t>PLD SOMBRA</t>
  </si>
  <si>
    <t>PLD SEMANAL</t>
  </si>
  <si>
    <t>29/12/2018</t>
  </si>
  <si>
    <t>19/01/2019</t>
  </si>
  <si>
    <t>26/01/2019</t>
  </si>
  <si>
    <t>16/02/2019</t>
  </si>
  <si>
    <t>23/02/2019</t>
  </si>
  <si>
    <t>16/03/2019</t>
  </si>
  <si>
    <t>23/03/2019</t>
  </si>
  <si>
    <t>30/03/2019</t>
  </si>
  <si>
    <t>13/04/2019</t>
  </si>
  <si>
    <t>20/04/2019</t>
  </si>
  <si>
    <t>27/04/2019</t>
  </si>
  <si>
    <t>18/05/2019</t>
  </si>
  <si>
    <t>25/05/2019</t>
  </si>
  <si>
    <t>15/06/2019</t>
  </si>
  <si>
    <t>22/06/2019</t>
  </si>
  <si>
    <t>29/06/2019</t>
  </si>
  <si>
    <t>13/07/2019</t>
  </si>
  <si>
    <t>20/07/2019</t>
  </si>
  <si>
    <t>27/07/2019</t>
  </si>
  <si>
    <t>17/08/2019</t>
  </si>
  <si>
    <t>24/08/2019</t>
  </si>
  <si>
    <t>31/08/2019</t>
  </si>
  <si>
    <t>14/09/2019</t>
  </si>
  <si>
    <t>21/09/2019</t>
  </si>
  <si>
    <t>28/09/2019</t>
  </si>
  <si>
    <t>19/10/2019</t>
  </si>
  <si>
    <t>26/10/2019</t>
  </si>
  <si>
    <t>16/11/2019</t>
  </si>
  <si>
    <t>23/11/2019</t>
  </si>
  <si>
    <t>30/11/2019</t>
  </si>
  <si>
    <t>14/12/2019</t>
  </si>
  <si>
    <t>21/12/2019</t>
  </si>
  <si>
    <t>28/12/2019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</si>
  <si>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</si>
  <si>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</si>
  <si>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</si>
  <si>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</si>
  <si>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</si>
  <si>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</si>
  <si>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</si>
  <si>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</si>
  <si>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</si>
  <si>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</si>
  <si>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</si>
  <si>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</si>
  <si>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Sombra</t>
  </si>
  <si>
    <t>Semanal</t>
  </si>
  <si>
    <t>Fechamento do mês</t>
  </si>
  <si>
    <t>Número de amostras:</t>
  </si>
  <si>
    <t>CVaR Compra</t>
  </si>
  <si>
    <t>CVaR Venda</t>
  </si>
  <si>
    <t>MODELOS PARA CONTRATAÇÃO</t>
  </si>
  <si>
    <t>Fuxo de caixa mensal</t>
  </si>
  <si>
    <t>Fluxo de caixa acumulado</t>
  </si>
  <si>
    <t>Mês</t>
  </si>
  <si>
    <t>Fev - 19</t>
  </si>
  <si>
    <t>Jun - 20</t>
  </si>
  <si>
    <t>Jul - 20</t>
  </si>
  <si>
    <t>Ago - 20</t>
  </si>
  <si>
    <t>Set - 20</t>
  </si>
  <si>
    <t>Out - 20</t>
  </si>
  <si>
    <t>Nov - 20</t>
  </si>
  <si>
    <t xml:space="preserve"> Jan - 19</t>
  </si>
  <si>
    <t xml:space="preserve"> Fev - 19</t>
  </si>
  <si>
    <t xml:space="preserve"> Mar - 19</t>
  </si>
  <si>
    <t xml:space="preserve"> Abr - 19</t>
  </si>
  <si>
    <t xml:space="preserve"> Mai - 19</t>
  </si>
  <si>
    <t xml:space="preserve"> Jun - 19</t>
  </si>
  <si>
    <t xml:space="preserve"> Jul - 19</t>
  </si>
  <si>
    <t xml:space="preserve"> Ago - 19</t>
  </si>
  <si>
    <t xml:space="preserve"> Set - 19</t>
  </si>
  <si>
    <t xml:space="preserve"> Out - 19</t>
  </si>
  <si>
    <t xml:space="preserve"> Nov - 19</t>
  </si>
  <si>
    <t xml:space="preserve"> Dez - 19</t>
  </si>
  <si>
    <t xml:space="preserve"> Jan - 20</t>
  </si>
  <si>
    <t xml:space="preserve"> Fev - 20</t>
  </si>
  <si>
    <t xml:space="preserve"> Mar - 20</t>
  </si>
  <si>
    <t xml:space="preserve"> Abr - 20</t>
  </si>
  <si>
    <t xml:space="preserve"> Mai - 20</t>
  </si>
  <si>
    <t xml:space="preserve"> Jul - 20</t>
  </si>
  <si>
    <t xml:space="preserve"> Ago - 20</t>
  </si>
  <si>
    <t xml:space="preserve"> Set - 20</t>
  </si>
  <si>
    <t xml:space="preserve"> Out - 20</t>
  </si>
  <si>
    <t>Dez -19</t>
  </si>
  <si>
    <t>Consumo Total(kW)</t>
  </si>
  <si>
    <t>TUSD</t>
  </si>
  <si>
    <t>TE</t>
  </si>
  <si>
    <t>Alíquota PIS/COFINS (%)</t>
  </si>
  <si>
    <t>Custo bandeira</t>
  </si>
  <si>
    <t>MODALIDADE</t>
  </si>
  <si>
    <t>CELESC</t>
  </si>
  <si>
    <t>CEEE</t>
  </si>
  <si>
    <t>COPEL</t>
  </si>
  <si>
    <t>SUBGRUPO</t>
  </si>
  <si>
    <t>POSTO</t>
  </si>
  <si>
    <t>B1</t>
  </si>
  <si>
    <t>BRANCA</t>
  </si>
  <si>
    <t>P</t>
  </si>
  <si>
    <t>INT</t>
  </si>
  <si>
    <t>FP</t>
  </si>
  <si>
    <t>CONVENCIONAL</t>
  </si>
  <si>
    <t>NA</t>
  </si>
  <si>
    <t>B2</t>
  </si>
  <si>
    <t>B3</t>
  </si>
  <si>
    <t xml:space="preserve">08/19-12/19 (REH 2.593) </t>
  </si>
  <si>
    <t>CONCESSIONÁRIA:</t>
  </si>
  <si>
    <t>SUBGRUPO:</t>
  </si>
  <si>
    <t>MODALIDADE TARIFÁRIA:</t>
  </si>
  <si>
    <t xml:space="preserve">11/19-12/19 (REH 2.640) </t>
  </si>
  <si>
    <t xml:space="preserve">01/19-07/19 (REH 2.436) </t>
  </si>
  <si>
    <t xml:space="preserve">01/19-10/19 (REH 2.484) </t>
  </si>
  <si>
    <t xml:space="preserve">01/19-05/19 (REH 2.402) </t>
  </si>
  <si>
    <t xml:space="preserve">06/19-12/19 (REH 2.559) </t>
  </si>
  <si>
    <t>243,70 273,91</t>
  </si>
  <si>
    <t>TUSD Total</t>
  </si>
  <si>
    <t>Tarifa Convencional</t>
  </si>
  <si>
    <t>Consumo (kWh)</t>
  </si>
  <si>
    <t>TUSD (R$/MWh)</t>
  </si>
  <si>
    <t>TE (R$/MWh)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</si>
</sst>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8" formatCode="&quot;$&quot;#,##0.00_);[Red]\(&quot;$&quot;#,##0.00\)"/>
    <numFmt numFmtId="44" formatCode="_(&quot;$&quot;* #,##0.00_);_(&quot;$&quot;* \(#,##0.00\);_(&quot;$&quot;* &quot;-&quot;??_);_(@_)"/>
    <numFmt numFmtId="164" formatCode="_-[$R$-416]\ * #,##0.00_-;\-[$R$-416]\ * #,##0.00_-;_-[$R$-416]\ * &quot;-&quot;??_-;_-@_-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2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b/>
      <sz val="11"/>
      <color rgb="FF000000"/>
      <name val="Calibri"/>
      <family val="2"/>
    </font>
    <font>
      <sz val="10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95B3D7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92">
    <xf numFmtId="0" fontId="0" fillId="0" borderId="0" xfId="0"/>
    <xf numFmtId="0" fontId="0" fillId="2" borderId="0" xfId="0" applyFill="1"/>
    <xf numFmtId="0" fontId="0" fillId="2" borderId="4" xfId="0" applyFill="1" applyBorder="1"/>
    <xf numFmtId="0" fontId="0" fillId="2" borderId="5" xfId="0" applyFill="1" applyBorder="1"/>
    <xf numFmtId="0" fontId="0" fillId="2" borderId="1" xfId="0" applyFill="1" applyBorder="1"/>
    <xf numFmtId="49" fontId="0" fillId="2" borderId="0" xfId="0" applyNumberFormat="1" applyFill="1"/>
    <xf numFmtId="0" fontId="1" fillId="3" borderId="2" xfId="0" applyFont="1" applyFill="1" applyBorder="1"/>
    <xf numFmtId="49" fontId="0" fillId="3" borderId="2" xfId="0" applyNumberFormat="1" applyFill="1" applyBorder="1"/>
    <xf numFmtId="0" fontId="1" fillId="3" borderId="4" xfId="0" applyFont="1" applyFill="1" applyBorder="1"/>
    <xf numFmtId="0" fontId="1" fillId="3" borderId="5" xfId="0" applyFont="1" applyFill="1" applyBorder="1"/>
    <xf numFmtId="0" fontId="1" fillId="3" borderId="7" xfId="0" applyFont="1" applyFill="1" applyBorder="1"/>
    <xf numFmtId="0" fontId="0" fillId="2" borderId="4" xfId="0" applyNumberFormat="1" applyFill="1" applyBorder="1"/>
    <xf numFmtId="0" fontId="0" fillId="2" borderId="0" xfId="0" applyNumberFormat="1" applyFill="1"/>
    <xf numFmtId="0" fontId="0" fillId="4" borderId="5" xfId="0" applyFill="1" applyBorder="1"/>
    <xf numFmtId="0" fontId="1" fillId="3" borderId="9" xfId="0" applyFont="1" applyFill="1" applyBorder="1"/>
    <xf numFmtId="0" fontId="1" fillId="2" borderId="1" xfId="0" applyFont="1" applyFill="1" applyBorder="1"/>
    <xf numFmtId="0" fontId="0" fillId="2" borderId="0" xfId="0" applyFill="1" applyAlignment="1">
      <alignment horizontal="left"/>
    </xf>
    <xf numFmtId="164" fontId="0" fillId="2" borderId="6" xfId="0" applyNumberFormat="1" applyFill="1" applyBorder="1"/>
    <xf numFmtId="164" fontId="1" fillId="3" borderId="6" xfId="0" applyNumberFormat="1" applyFont="1" applyFill="1" applyBorder="1"/>
    <xf numFmtId="164" fontId="0" fillId="2" borderId="0" xfId="0" applyNumberFormat="1" applyFill="1"/>
    <xf numFmtId="164" fontId="0" fillId="2" borderId="3" xfId="0" applyNumberFormat="1" applyFill="1" applyBorder="1"/>
    <xf numFmtId="4" fontId="0" fillId="5" borderId="7" xfId="0" applyNumberFormat="1" applyFill="1" applyBorder="1" applyAlignment="1">
      <alignment horizontal="center"/>
    </xf>
    <xf numFmtId="164" fontId="0" fillId="2" borderId="5" xfId="0" applyNumberFormat="1" applyFill="1" applyBorder="1"/>
    <xf numFmtId="0" fontId="0" fillId="4" borderId="7" xfId="0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164" fontId="0" fillId="2" borderId="7" xfId="0" applyNumberFormat="1" applyFill="1" applyBorder="1"/>
    <xf numFmtId="4" fontId="0" fillId="5" borderId="7" xfId="0" applyNumberFormat="1" applyFill="1" applyBorder="1"/>
    <xf numFmtId="4" fontId="0" fillId="5" borderId="1" xfId="0" applyNumberFormat="1" applyFill="1" applyBorder="1"/>
    <xf numFmtId="0" fontId="0" fillId="0" borderId="1" xfId="0" applyBorder="1"/>
    <xf numFmtId="0" fontId="1" fillId="0" borderId="14" xfId="0" applyFont="1" applyBorder="1"/>
    <xf numFmtId="0" fontId="0" fillId="0" borderId="15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0" xfId="0" applyBorder="1"/>
    <xf numFmtId="0" fontId="0" fillId="0" borderId="23" xfId="0" applyBorder="1"/>
    <xf numFmtId="0" fontId="1" fillId="0" borderId="24" xfId="0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14" fontId="0" fillId="0" borderId="26" xfId="0" applyNumberFormat="1" applyBorder="1"/>
    <xf numFmtId="14" fontId="0" fillId="0" borderId="27" xfId="0" applyNumberFormat="1" applyBorder="1"/>
    <xf numFmtId="0" fontId="0" fillId="0" borderId="28" xfId="0" applyBorder="1"/>
    <xf numFmtId="0" fontId="1" fillId="0" borderId="18" xfId="0" applyFont="1" applyBorder="1"/>
    <xf numFmtId="0" fontId="1" fillId="0" borderId="0" xfId="0" applyFont="1" applyBorder="1"/>
    <xf numFmtId="0" fontId="1" fillId="0" borderId="19" xfId="0" applyFont="1" applyBorder="1"/>
    <xf numFmtId="16" fontId="0" fillId="0" borderId="18" xfId="0" applyNumberFormat="1" applyBorder="1"/>
    <xf numFmtId="0" fontId="1" fillId="0" borderId="22" xfId="0" applyFont="1" applyBorder="1"/>
    <xf numFmtId="164" fontId="0" fillId="2" borderId="5" xfId="1" applyNumberFormat="1" applyFont="1" applyFill="1" applyBorder="1"/>
    <xf numFmtId="0" fontId="0" fillId="2" borderId="14" xfId="0" applyFill="1" applyBorder="1"/>
    <xf numFmtId="164" fontId="0" fillId="2" borderId="15" xfId="0" applyNumberFormat="1" applyFill="1" applyBorder="1"/>
    <xf numFmtId="0" fontId="0" fillId="2" borderId="0" xfId="0" applyFill="1" applyBorder="1"/>
    <xf numFmtId="0" fontId="1" fillId="2" borderId="0" xfId="0" applyFont="1" applyFill="1" applyBorder="1"/>
    <xf numFmtId="164" fontId="0" fillId="2" borderId="15" xfId="0" applyNumberFormat="1" applyFill="1" applyBorder="1" applyAlignment="1">
      <alignment horizontal="center" vertical="center"/>
    </xf>
    <xf numFmtId="0" fontId="0" fillId="2" borderId="14" xfId="0" applyFont="1" applyFill="1" applyBorder="1" applyAlignment="1">
      <alignment horizontal="center"/>
    </xf>
    <xf numFmtId="0" fontId="0" fillId="2" borderId="15" xfId="0" applyFill="1" applyBorder="1"/>
    <xf numFmtId="0" fontId="1" fillId="0" borderId="0" xfId="0" applyFont="1" applyBorder="1" applyAlignment="1"/>
    <xf numFmtId="0" fontId="1" fillId="0" borderId="19" xfId="0" applyFont="1" applyBorder="1" applyAlignment="1"/>
    <xf numFmtId="14" fontId="0" fillId="0" borderId="0" xfId="0" applyNumberFormat="1"/>
    <xf numFmtId="0" fontId="0" fillId="0" borderId="0" xfId="0" applyBorder="1" applyAlignment="1"/>
    <xf numFmtId="0" fontId="0" fillId="0" borderId="18" xfId="0" applyBorder="1" applyAlignment="1"/>
    <xf numFmtId="0" fontId="0" fillId="0" borderId="19" xfId="0" applyBorder="1" applyAlignment="1"/>
    <xf numFmtId="0" fontId="0" fillId="0" borderId="22" xfId="0" applyBorder="1" applyAlignment="1">
      <alignment vertical="center"/>
    </xf>
    <xf numFmtId="0" fontId="0" fillId="0" borderId="29" xfId="0" applyBorder="1"/>
    <xf numFmtId="0" fontId="0" fillId="0" borderId="15" xfId="0" applyBorder="1" applyAlignment="1">
      <alignment horizontal="left" vertical="center"/>
    </xf>
    <xf numFmtId="0" fontId="0" fillId="0" borderId="29" xfId="0" applyFill="1" applyBorder="1" applyAlignment="1"/>
    <xf numFmtId="0" fontId="0" fillId="0" borderId="30" xfId="0" applyBorder="1"/>
    <xf numFmtId="0" fontId="0" fillId="2" borderId="16" xfId="0" applyFill="1" applyBorder="1"/>
    <xf numFmtId="0" fontId="0" fillId="2" borderId="22" xfId="0" applyFill="1" applyBorder="1"/>
    <xf numFmtId="0" fontId="0" fillId="2" borderId="17" xfId="0" applyFill="1" applyBorder="1"/>
    <xf numFmtId="0" fontId="0" fillId="2" borderId="18" xfId="0" applyFill="1" applyBorder="1"/>
    <xf numFmtId="164" fontId="0" fillId="2" borderId="0" xfId="0" applyNumberFormat="1" applyFill="1" applyBorder="1"/>
    <xf numFmtId="164" fontId="0" fillId="2" borderId="19" xfId="0" applyNumberFormat="1" applyFill="1" applyBorder="1"/>
    <xf numFmtId="0" fontId="0" fillId="2" borderId="20" xfId="0" applyFill="1" applyBorder="1"/>
    <xf numFmtId="164" fontId="0" fillId="2" borderId="23" xfId="0" applyNumberFormat="1" applyFill="1" applyBorder="1"/>
    <xf numFmtId="164" fontId="0" fillId="2" borderId="21" xfId="0" applyNumberFormat="1" applyFill="1" applyBorder="1"/>
    <xf numFmtId="0" fontId="0" fillId="0" borderId="5" xfId="0" applyFill="1" applyBorder="1"/>
    <xf numFmtId="0" fontId="0" fillId="2" borderId="19" xfId="0" applyFill="1" applyBorder="1"/>
    <xf numFmtId="0" fontId="0" fillId="2" borderId="23" xfId="0" applyFill="1" applyBorder="1"/>
    <xf numFmtId="0" fontId="0" fillId="2" borderId="21" xfId="0" applyFill="1" applyBorder="1"/>
    <xf numFmtId="0" fontId="0" fillId="2" borderId="14" xfId="0" applyFill="1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8" fontId="0" fillId="2" borderId="0" xfId="0" applyNumberFormat="1" applyFill="1"/>
    <xf numFmtId="4" fontId="0" fillId="2" borderId="4" xfId="0" applyNumberFormat="1" applyFill="1" applyBorder="1" applyAlignment="1">
      <alignment horizontal="center"/>
    </xf>
    <xf numFmtId="4" fontId="0" fillId="2" borderId="7" xfId="0" applyNumberFormat="1" applyFill="1" applyBorder="1"/>
    <xf numFmtId="4" fontId="0" fillId="2" borderId="4" xfId="0" applyNumberFormat="1" applyFill="1" applyBorder="1"/>
    <xf numFmtId="2" fontId="0" fillId="0" borderId="30" xfId="0" applyNumberFormat="1" applyBorder="1"/>
    <xf numFmtId="2" fontId="0" fillId="0" borderId="1" xfId="0" applyNumberFormat="1" applyBorder="1"/>
    <xf numFmtId="164" fontId="0" fillId="2" borderId="1" xfId="0" applyNumberFormat="1" applyFill="1" applyBorder="1"/>
    <xf numFmtId="0" fontId="1" fillId="2" borderId="1" xfId="0" applyNumberFormat="1" applyFont="1" applyFill="1" applyBorder="1" applyAlignment="1">
      <alignment horizontal="left" vertical="top"/>
    </xf>
    <xf numFmtId="16" fontId="0" fillId="2" borderId="1" xfId="0" applyNumberFormat="1" applyFill="1" applyBorder="1" applyAlignment="1">
      <alignment horizontal="left" vertical="top"/>
    </xf>
    <xf numFmtId="0" fontId="0" fillId="2" borderId="1" xfId="0" applyNumberFormat="1" applyFill="1" applyBorder="1" applyAlignment="1">
      <alignment horizontal="left" vertical="top"/>
    </xf>
    <xf numFmtId="0" fontId="0" fillId="2" borderId="0" xfId="0" applyNumberFormat="1" applyFill="1" applyAlignment="1">
      <alignment horizontal="left" vertical="top"/>
    </xf>
    <xf numFmtId="9" fontId="1" fillId="2" borderId="1" xfId="0" applyNumberFormat="1" applyFont="1" applyFill="1" applyBorder="1"/>
    <xf numFmtId="9" fontId="0" fillId="2" borderId="0" xfId="0" applyNumberFormat="1" applyFill="1"/>
    <xf numFmtId="164" fontId="1" fillId="2" borderId="1" xfId="0" applyNumberFormat="1" applyFont="1" applyFill="1" applyBorder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164" fontId="1" fillId="2" borderId="1" xfId="0" applyNumberFormat="1" applyFont="1" applyFill="1" applyBorder="1"/>
    <xf numFmtId="9" fontId="0" fillId="2" borderId="1" xfId="0" applyNumberFormat="1" applyFill="1" applyBorder="1"/>
    <xf numFmtId="9" fontId="0" fillId="2" borderId="1" xfId="2" applyNumberFormat="1" applyFont="1" applyFill="1" applyBorder="1"/>
    <xf numFmtId="164" fontId="5" fillId="2" borderId="1" xfId="0" applyNumberFormat="1" applyFont="1" applyFill="1" applyBorder="1"/>
    <xf numFmtId="4" fontId="1" fillId="3" borderId="6" xfId="0" applyNumberFormat="1" applyFont="1" applyFill="1" applyBorder="1"/>
    <xf numFmtId="4" fontId="0" fillId="2" borderId="6" xfId="0" applyNumberFormat="1" applyFill="1" applyBorder="1"/>
    <xf numFmtId="4" fontId="0" fillId="2" borderId="0" xfId="0" applyNumberFormat="1" applyFill="1"/>
    <xf numFmtId="2" fontId="0" fillId="2" borderId="0" xfId="0" applyNumberFormat="1" applyFill="1"/>
    <xf numFmtId="4" fontId="0" fillId="2" borderId="0" xfId="0" applyNumberFormat="1" applyFill="1" applyBorder="1"/>
    <xf numFmtId="4" fontId="0" fillId="5" borderId="4" xfId="0" applyNumberFormat="1" applyFill="1" applyBorder="1"/>
    <xf numFmtId="164" fontId="0" fillId="2" borderId="31" xfId="0" applyNumberFormat="1" applyFill="1" applyBorder="1"/>
    <xf numFmtId="0" fontId="6" fillId="6" borderId="4" xfId="0" applyFont="1" applyFill="1" applyBorder="1" applyAlignment="1">
      <alignment horizontal="center" vertical="center"/>
    </xf>
    <xf numFmtId="0" fontId="0" fillId="5" borderId="4" xfId="0" applyFill="1" applyBorder="1"/>
    <xf numFmtId="0" fontId="4" fillId="7" borderId="4" xfId="0" applyFont="1" applyFill="1" applyBorder="1" applyAlignment="1">
      <alignment horizontal="center" vertical="center"/>
    </xf>
    <xf numFmtId="0" fontId="0" fillId="0" borderId="0" xfId="0" applyBorder="1"/>
    <xf numFmtId="0" fontId="0" fillId="0" borderId="18" xfId="0" applyBorder="1"/>
    <xf numFmtId="0" fontId="0" fillId="0" borderId="19" xfId="0" applyBorder="1"/>
    <xf numFmtId="0" fontId="0" fillId="0" borderId="0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3" xfId="0" applyBorder="1"/>
    <xf numFmtId="0" fontId="0" fillId="0" borderId="21" xfId="0" applyBorder="1"/>
    <xf numFmtId="0" fontId="0" fillId="0" borderId="16" xfId="0" applyBorder="1"/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0" fillId="0" borderId="22" xfId="0" applyBorder="1"/>
    <xf numFmtId="2" fontId="0" fillId="0" borderId="18" xfId="0" applyNumberFormat="1" applyBorder="1"/>
    <xf numFmtId="2" fontId="0" fillId="0" borderId="19" xfId="0" applyNumberFormat="1" applyBorder="1"/>
    <xf numFmtId="2" fontId="0" fillId="0" borderId="20" xfId="0" applyNumberFormat="1" applyBorder="1"/>
    <xf numFmtId="2" fontId="0" fillId="0" borderId="21" xfId="0" applyNumberFormat="1" applyBorder="1"/>
    <xf numFmtId="2" fontId="0" fillId="0" borderId="18" xfId="0" applyNumberFormat="1" applyBorder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4" fontId="1" fillId="3" borderId="4" xfId="0" applyNumberFormat="1" applyFont="1" applyFill="1" applyBorder="1"/>
    <xf numFmtId="0" fontId="0" fillId="2" borderId="0" xfId="0" applyFill="1"/>
    <xf numFmtId="4" fontId="0" fillId="2" borderId="4" xfId="0" applyNumberFormat="1" applyFill="1" applyBorder="1" applyAlignment="1">
      <alignment horizontal="center"/>
    </xf>
    <xf numFmtId="2" fontId="0" fillId="0" borderId="18" xfId="0" applyNumberFormat="1" applyBorder="1"/>
    <xf numFmtId="2" fontId="0" fillId="0" borderId="19" xfId="0" applyNumberFormat="1" applyBorder="1"/>
    <xf numFmtId="164" fontId="1" fillId="3" borderId="31" xfId="0" applyNumberFormat="1" applyFont="1" applyFill="1" applyBorder="1"/>
    <xf numFmtId="164" fontId="1" fillId="3" borderId="3" xfId="0" applyNumberFormat="1" applyFont="1" applyFill="1" applyBorder="1"/>
    <xf numFmtId="2" fontId="1" fillId="3" borderId="4" xfId="0" applyNumberFormat="1" applyFont="1" applyFill="1" applyBorder="1"/>
    <xf numFmtId="0" fontId="4" fillId="8" borderId="4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3" fillId="2" borderId="0" xfId="0" applyFont="1" applyFill="1" applyAlignment="1">
      <alignment horizontal="center" vertical="center"/>
    </xf>
    <xf numFmtId="2" fontId="0" fillId="0" borderId="1" xfId="0" applyNumberFormat="1" applyBorder="1" applyAlignment="1">
      <alignment horizontal="center"/>
    </xf>
    <xf numFmtId="0" fontId="1" fillId="0" borderId="16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1" fillId="0" borderId="16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14" xfId="0" applyBorder="1" applyAlignment="1">
      <alignment horizontal="center"/>
    </xf>
    <xf numFmtId="2" fontId="0" fillId="0" borderId="30" xfId="0" applyNumberFormat="1" applyBorder="1" applyAlignment="1">
      <alignment horizontal="center"/>
    </xf>
    <xf numFmtId="2" fontId="7" fillId="0" borderId="16" xfId="0" applyNumberFormat="1" applyFont="1" applyBorder="1" applyAlignment="1">
      <alignment horizontal="center" vertical="center"/>
    </xf>
    <xf numFmtId="2" fontId="7" fillId="0" borderId="17" xfId="0" applyNumberFormat="1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17" xfId="0" applyFont="1" applyFill="1" applyBorder="1" applyAlignment="1">
      <alignment horizontal="center" vertical="center"/>
    </xf>
    <xf numFmtId="0" fontId="1" fillId="0" borderId="19" xfId="0" applyFont="1" applyFill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49" fontId="0" fillId="2" borderId="20" xfId="0" applyNumberFormat="1" applyFill="1" applyBorder="1" applyAlignment="1">
      <alignment horizontal="left"/>
    </xf>
    <xf numFmtId="49" fontId="0" fillId="2" borderId="21" xfId="0" applyNumberForma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left"/>
    </xf>
    <xf numFmtId="49" fontId="1" fillId="3" borderId="17" xfId="0" applyNumberFormat="1" applyFont="1" applyFill="1" applyBorder="1" applyAlignment="1">
      <alignment horizontal="left"/>
    </xf>
    <xf numFmtId="49" fontId="0" fillId="2" borderId="33" xfId="0" applyNumberFormat="1" applyFill="1" applyBorder="1" applyAlignment="1">
      <alignment horizontal="left"/>
    </xf>
    <xf numFmtId="49" fontId="0" fillId="2" borderId="34" xfId="0" applyNumberFormat="1" applyFill="1" applyBorder="1" applyAlignment="1">
      <alignment horizontal="left"/>
    </xf>
    <xf numFmtId="49" fontId="1" fillId="3" borderId="35" xfId="0" applyNumberFormat="1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5" xfId="0" applyNumberFormat="1" applyFont="1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1" fillId="3" borderId="0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wrapText="1"/>
    </xf>
    <xf numFmtId="0" fontId="1" fillId="3" borderId="12" xfId="0" applyFont="1" applyFill="1" applyBorder="1" applyAlignment="1">
      <alignment horizontal="center" wrapText="1"/>
    </xf>
    <xf numFmtId="0" fontId="0" fillId="2" borderId="0" xfId="0" applyFill="1" applyAlignment="1">
      <alignment horizontal="center"/>
    </xf>
  </cellXfs>
  <cellStyles count="3">
    <cellStyle name="Moeda" xfId="1" builtinId="4"/>
    <cellStyle name="Normal" xfId="0" builtinId="0"/>
    <cellStyle name="Porcentagem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PLD Sombra</c:v>
          </c:tx>
          <c:marker>
            <c:symbol val="none"/>
          </c:marker>
          <c:cat>
            <c:numRef>
              <c:f>'ANÁLISE PLD'!$A$2:$A$9505</c:f>
              <c:numCache>
                <c:formatCode>m/d/yyyy</c:formatCode>
                <c:ptCount val="9504"/>
                <c:pt idx="0">
                  <c:v>43466</c:v>
                </c:pt>
                <c:pt idx="1">
                  <c:v>43466</c:v>
                </c:pt>
                <c:pt idx="2">
                  <c:v>43466</c:v>
                </c:pt>
                <c:pt idx="3">
                  <c:v>43466</c:v>
                </c:pt>
                <c:pt idx="4">
                  <c:v>43466</c:v>
                </c:pt>
                <c:pt idx="5">
                  <c:v>43466</c:v>
                </c:pt>
                <c:pt idx="6">
                  <c:v>43466</c:v>
                </c:pt>
                <c:pt idx="7">
                  <c:v>43466</c:v>
                </c:pt>
                <c:pt idx="8">
                  <c:v>43466</c:v>
                </c:pt>
                <c:pt idx="9">
                  <c:v>43466</c:v>
                </c:pt>
                <c:pt idx="10">
                  <c:v>43466</c:v>
                </c:pt>
                <c:pt idx="11">
                  <c:v>43466</c:v>
                </c:pt>
                <c:pt idx="12">
                  <c:v>43466</c:v>
                </c:pt>
                <c:pt idx="13">
                  <c:v>43466</c:v>
                </c:pt>
                <c:pt idx="14">
                  <c:v>43466</c:v>
                </c:pt>
                <c:pt idx="15">
                  <c:v>43466</c:v>
                </c:pt>
                <c:pt idx="16">
                  <c:v>43466</c:v>
                </c:pt>
                <c:pt idx="17">
                  <c:v>43466</c:v>
                </c:pt>
                <c:pt idx="18">
                  <c:v>43466</c:v>
                </c:pt>
                <c:pt idx="19">
                  <c:v>43466</c:v>
                </c:pt>
                <c:pt idx="20">
                  <c:v>43466</c:v>
                </c:pt>
                <c:pt idx="21">
                  <c:v>43466</c:v>
                </c:pt>
                <c:pt idx="22">
                  <c:v>43466</c:v>
                </c:pt>
                <c:pt idx="23">
                  <c:v>43466</c:v>
                </c:pt>
                <c:pt idx="24">
                  <c:v>43467</c:v>
                </c:pt>
                <c:pt idx="25">
                  <c:v>43467</c:v>
                </c:pt>
                <c:pt idx="26">
                  <c:v>43467</c:v>
                </c:pt>
                <c:pt idx="27">
                  <c:v>43467</c:v>
                </c:pt>
                <c:pt idx="28">
                  <c:v>43467</c:v>
                </c:pt>
                <c:pt idx="29">
                  <c:v>43467</c:v>
                </c:pt>
                <c:pt idx="30">
                  <c:v>43467</c:v>
                </c:pt>
                <c:pt idx="31">
                  <c:v>43467</c:v>
                </c:pt>
                <c:pt idx="32">
                  <c:v>43467</c:v>
                </c:pt>
                <c:pt idx="33">
                  <c:v>43467</c:v>
                </c:pt>
                <c:pt idx="34">
                  <c:v>43467</c:v>
                </c:pt>
                <c:pt idx="35">
                  <c:v>43467</c:v>
                </c:pt>
                <c:pt idx="36">
                  <c:v>43467</c:v>
                </c:pt>
                <c:pt idx="37">
                  <c:v>43467</c:v>
                </c:pt>
                <c:pt idx="38">
                  <c:v>43467</c:v>
                </c:pt>
                <c:pt idx="39">
                  <c:v>43467</c:v>
                </c:pt>
                <c:pt idx="40">
                  <c:v>43467</c:v>
                </c:pt>
                <c:pt idx="41">
                  <c:v>43467</c:v>
                </c:pt>
                <c:pt idx="42">
                  <c:v>43467</c:v>
                </c:pt>
                <c:pt idx="43">
                  <c:v>43467</c:v>
                </c:pt>
                <c:pt idx="44">
                  <c:v>43467</c:v>
                </c:pt>
                <c:pt idx="45">
                  <c:v>43467</c:v>
                </c:pt>
                <c:pt idx="46">
                  <c:v>43467</c:v>
                </c:pt>
                <c:pt idx="47">
                  <c:v>43467</c:v>
                </c:pt>
                <c:pt idx="48">
                  <c:v>43468</c:v>
                </c:pt>
                <c:pt idx="49">
                  <c:v>43468</c:v>
                </c:pt>
                <c:pt idx="50">
                  <c:v>43468</c:v>
                </c:pt>
                <c:pt idx="51">
                  <c:v>43468</c:v>
                </c:pt>
                <c:pt idx="52">
                  <c:v>43468</c:v>
                </c:pt>
                <c:pt idx="53">
                  <c:v>43468</c:v>
                </c:pt>
                <c:pt idx="54">
                  <c:v>43468</c:v>
                </c:pt>
                <c:pt idx="55">
                  <c:v>43468</c:v>
                </c:pt>
                <c:pt idx="56">
                  <c:v>43468</c:v>
                </c:pt>
                <c:pt idx="57">
                  <c:v>43468</c:v>
                </c:pt>
                <c:pt idx="58">
                  <c:v>43468</c:v>
                </c:pt>
                <c:pt idx="59">
                  <c:v>43468</c:v>
                </c:pt>
                <c:pt idx="60">
                  <c:v>43468</c:v>
                </c:pt>
                <c:pt idx="61">
                  <c:v>43468</c:v>
                </c:pt>
                <c:pt idx="62">
                  <c:v>43468</c:v>
                </c:pt>
                <c:pt idx="63">
                  <c:v>43468</c:v>
                </c:pt>
                <c:pt idx="64">
                  <c:v>43468</c:v>
                </c:pt>
                <c:pt idx="65">
                  <c:v>43468</c:v>
                </c:pt>
                <c:pt idx="66">
                  <c:v>43468</c:v>
                </c:pt>
                <c:pt idx="67">
                  <c:v>43468</c:v>
                </c:pt>
                <c:pt idx="68">
                  <c:v>43468</c:v>
                </c:pt>
                <c:pt idx="69">
                  <c:v>43468</c:v>
                </c:pt>
                <c:pt idx="70">
                  <c:v>43468</c:v>
                </c:pt>
                <c:pt idx="71">
                  <c:v>43468</c:v>
                </c:pt>
                <c:pt idx="72">
                  <c:v>43469</c:v>
                </c:pt>
                <c:pt idx="73">
                  <c:v>43469</c:v>
                </c:pt>
                <c:pt idx="74">
                  <c:v>43469</c:v>
                </c:pt>
                <c:pt idx="75">
                  <c:v>43469</c:v>
                </c:pt>
                <c:pt idx="76">
                  <c:v>43469</c:v>
                </c:pt>
                <c:pt idx="77">
                  <c:v>43469</c:v>
                </c:pt>
                <c:pt idx="78">
                  <c:v>43469</c:v>
                </c:pt>
                <c:pt idx="79">
                  <c:v>43469</c:v>
                </c:pt>
                <c:pt idx="80">
                  <c:v>43469</c:v>
                </c:pt>
                <c:pt idx="81">
                  <c:v>43469</c:v>
                </c:pt>
                <c:pt idx="82">
                  <c:v>43469</c:v>
                </c:pt>
                <c:pt idx="83">
                  <c:v>43469</c:v>
                </c:pt>
                <c:pt idx="84">
                  <c:v>43469</c:v>
                </c:pt>
                <c:pt idx="85">
                  <c:v>43469</c:v>
                </c:pt>
                <c:pt idx="86">
                  <c:v>43469</c:v>
                </c:pt>
                <c:pt idx="87">
                  <c:v>43469</c:v>
                </c:pt>
                <c:pt idx="88">
                  <c:v>43469</c:v>
                </c:pt>
                <c:pt idx="89">
                  <c:v>43469</c:v>
                </c:pt>
                <c:pt idx="90">
                  <c:v>43469</c:v>
                </c:pt>
                <c:pt idx="91">
                  <c:v>43469</c:v>
                </c:pt>
                <c:pt idx="92">
                  <c:v>43469</c:v>
                </c:pt>
                <c:pt idx="93">
                  <c:v>43469</c:v>
                </c:pt>
                <c:pt idx="94">
                  <c:v>43469</c:v>
                </c:pt>
                <c:pt idx="95">
                  <c:v>43469</c:v>
                </c:pt>
                <c:pt idx="96">
                  <c:v>43470</c:v>
                </c:pt>
                <c:pt idx="97">
                  <c:v>43470</c:v>
                </c:pt>
                <c:pt idx="98">
                  <c:v>43470</c:v>
                </c:pt>
                <c:pt idx="99">
                  <c:v>43470</c:v>
                </c:pt>
                <c:pt idx="100">
                  <c:v>43470</c:v>
                </c:pt>
                <c:pt idx="101">
                  <c:v>43470</c:v>
                </c:pt>
                <c:pt idx="102">
                  <c:v>43470</c:v>
                </c:pt>
                <c:pt idx="103">
                  <c:v>43470</c:v>
                </c:pt>
                <c:pt idx="104">
                  <c:v>43470</c:v>
                </c:pt>
                <c:pt idx="105">
                  <c:v>43470</c:v>
                </c:pt>
                <c:pt idx="106">
                  <c:v>43470</c:v>
                </c:pt>
                <c:pt idx="107">
                  <c:v>43470</c:v>
                </c:pt>
                <c:pt idx="108">
                  <c:v>43470</c:v>
                </c:pt>
                <c:pt idx="109">
                  <c:v>43470</c:v>
                </c:pt>
                <c:pt idx="110">
                  <c:v>43470</c:v>
                </c:pt>
                <c:pt idx="111">
                  <c:v>43470</c:v>
                </c:pt>
                <c:pt idx="112">
                  <c:v>43470</c:v>
                </c:pt>
                <c:pt idx="113">
                  <c:v>43470</c:v>
                </c:pt>
                <c:pt idx="114">
                  <c:v>43470</c:v>
                </c:pt>
                <c:pt idx="115">
                  <c:v>43470</c:v>
                </c:pt>
                <c:pt idx="116">
                  <c:v>43470</c:v>
                </c:pt>
                <c:pt idx="117">
                  <c:v>43470</c:v>
                </c:pt>
                <c:pt idx="118">
                  <c:v>43470</c:v>
                </c:pt>
                <c:pt idx="119">
                  <c:v>43470</c:v>
                </c:pt>
                <c:pt idx="120">
                  <c:v>43471</c:v>
                </c:pt>
                <c:pt idx="121">
                  <c:v>43471</c:v>
                </c:pt>
                <c:pt idx="122">
                  <c:v>43471</c:v>
                </c:pt>
                <c:pt idx="123">
                  <c:v>43471</c:v>
                </c:pt>
                <c:pt idx="124">
                  <c:v>43471</c:v>
                </c:pt>
                <c:pt idx="125">
                  <c:v>43471</c:v>
                </c:pt>
                <c:pt idx="126">
                  <c:v>43471</c:v>
                </c:pt>
                <c:pt idx="127">
                  <c:v>43471</c:v>
                </c:pt>
                <c:pt idx="128">
                  <c:v>43471</c:v>
                </c:pt>
                <c:pt idx="129">
                  <c:v>43471</c:v>
                </c:pt>
                <c:pt idx="130">
                  <c:v>43471</c:v>
                </c:pt>
                <c:pt idx="131">
                  <c:v>43471</c:v>
                </c:pt>
                <c:pt idx="132">
                  <c:v>43471</c:v>
                </c:pt>
                <c:pt idx="133">
                  <c:v>43471</c:v>
                </c:pt>
                <c:pt idx="134">
                  <c:v>43471</c:v>
                </c:pt>
                <c:pt idx="135">
                  <c:v>43471</c:v>
                </c:pt>
                <c:pt idx="136">
                  <c:v>43471</c:v>
                </c:pt>
                <c:pt idx="137">
                  <c:v>43471</c:v>
                </c:pt>
                <c:pt idx="138">
                  <c:v>43471</c:v>
                </c:pt>
                <c:pt idx="139">
                  <c:v>43471</c:v>
                </c:pt>
                <c:pt idx="140">
                  <c:v>43471</c:v>
                </c:pt>
                <c:pt idx="141">
                  <c:v>43471</c:v>
                </c:pt>
                <c:pt idx="142">
                  <c:v>43471</c:v>
                </c:pt>
                <c:pt idx="143">
                  <c:v>43471</c:v>
                </c:pt>
                <c:pt idx="144">
                  <c:v>43472</c:v>
                </c:pt>
                <c:pt idx="145">
                  <c:v>43472</c:v>
                </c:pt>
                <c:pt idx="146">
                  <c:v>43472</c:v>
                </c:pt>
                <c:pt idx="147">
                  <c:v>43472</c:v>
                </c:pt>
                <c:pt idx="148">
                  <c:v>43472</c:v>
                </c:pt>
                <c:pt idx="149">
                  <c:v>43472</c:v>
                </c:pt>
                <c:pt idx="150">
                  <c:v>43472</c:v>
                </c:pt>
                <c:pt idx="151">
                  <c:v>43472</c:v>
                </c:pt>
                <c:pt idx="152">
                  <c:v>43472</c:v>
                </c:pt>
                <c:pt idx="153">
                  <c:v>43472</c:v>
                </c:pt>
                <c:pt idx="154">
                  <c:v>43472</c:v>
                </c:pt>
                <c:pt idx="155">
                  <c:v>43472</c:v>
                </c:pt>
                <c:pt idx="156">
                  <c:v>43472</c:v>
                </c:pt>
                <c:pt idx="157">
                  <c:v>43472</c:v>
                </c:pt>
                <c:pt idx="158">
                  <c:v>43472</c:v>
                </c:pt>
                <c:pt idx="159">
                  <c:v>43472</c:v>
                </c:pt>
                <c:pt idx="160">
                  <c:v>43472</c:v>
                </c:pt>
                <c:pt idx="161">
                  <c:v>43472</c:v>
                </c:pt>
                <c:pt idx="162">
                  <c:v>43472</c:v>
                </c:pt>
                <c:pt idx="163">
                  <c:v>43472</c:v>
                </c:pt>
                <c:pt idx="164">
                  <c:v>43472</c:v>
                </c:pt>
                <c:pt idx="165">
                  <c:v>43472</c:v>
                </c:pt>
                <c:pt idx="166">
                  <c:v>43472</c:v>
                </c:pt>
                <c:pt idx="167">
                  <c:v>43472</c:v>
                </c:pt>
                <c:pt idx="168">
                  <c:v>43473</c:v>
                </c:pt>
                <c:pt idx="169">
                  <c:v>43473</c:v>
                </c:pt>
                <c:pt idx="170">
                  <c:v>43473</c:v>
                </c:pt>
                <c:pt idx="171">
                  <c:v>43473</c:v>
                </c:pt>
                <c:pt idx="172">
                  <c:v>43473</c:v>
                </c:pt>
                <c:pt idx="173">
                  <c:v>43473</c:v>
                </c:pt>
                <c:pt idx="174">
                  <c:v>43473</c:v>
                </c:pt>
                <c:pt idx="175">
                  <c:v>43473</c:v>
                </c:pt>
                <c:pt idx="176">
                  <c:v>43473</c:v>
                </c:pt>
                <c:pt idx="177">
                  <c:v>43473</c:v>
                </c:pt>
                <c:pt idx="178">
                  <c:v>43473</c:v>
                </c:pt>
                <c:pt idx="179">
                  <c:v>43473</c:v>
                </c:pt>
                <c:pt idx="180">
                  <c:v>43473</c:v>
                </c:pt>
                <c:pt idx="181">
                  <c:v>43473</c:v>
                </c:pt>
                <c:pt idx="182">
                  <c:v>43473</c:v>
                </c:pt>
                <c:pt idx="183">
                  <c:v>43473</c:v>
                </c:pt>
                <c:pt idx="184">
                  <c:v>43473</c:v>
                </c:pt>
                <c:pt idx="185">
                  <c:v>43473</c:v>
                </c:pt>
                <c:pt idx="186">
                  <c:v>43473</c:v>
                </c:pt>
                <c:pt idx="187">
                  <c:v>43473</c:v>
                </c:pt>
                <c:pt idx="188">
                  <c:v>43473</c:v>
                </c:pt>
                <c:pt idx="189">
                  <c:v>43473</c:v>
                </c:pt>
                <c:pt idx="190">
                  <c:v>43473</c:v>
                </c:pt>
                <c:pt idx="191">
                  <c:v>43473</c:v>
                </c:pt>
                <c:pt idx="192">
                  <c:v>43474</c:v>
                </c:pt>
                <c:pt idx="193">
                  <c:v>43474</c:v>
                </c:pt>
                <c:pt idx="194">
                  <c:v>43474</c:v>
                </c:pt>
                <c:pt idx="195">
                  <c:v>43474</c:v>
                </c:pt>
                <c:pt idx="196">
                  <c:v>43474</c:v>
                </c:pt>
                <c:pt idx="197">
                  <c:v>43474</c:v>
                </c:pt>
                <c:pt idx="198">
                  <c:v>43474</c:v>
                </c:pt>
                <c:pt idx="199">
                  <c:v>43474</c:v>
                </c:pt>
                <c:pt idx="200">
                  <c:v>43474</c:v>
                </c:pt>
                <c:pt idx="201">
                  <c:v>43474</c:v>
                </c:pt>
                <c:pt idx="202">
                  <c:v>43474</c:v>
                </c:pt>
                <c:pt idx="203">
                  <c:v>43474</c:v>
                </c:pt>
                <c:pt idx="204">
                  <c:v>43474</c:v>
                </c:pt>
                <c:pt idx="205">
                  <c:v>43474</c:v>
                </c:pt>
                <c:pt idx="206">
                  <c:v>43474</c:v>
                </c:pt>
                <c:pt idx="207">
                  <c:v>43474</c:v>
                </c:pt>
                <c:pt idx="208">
                  <c:v>43474</c:v>
                </c:pt>
                <c:pt idx="209">
                  <c:v>43474</c:v>
                </c:pt>
                <c:pt idx="210">
                  <c:v>43474</c:v>
                </c:pt>
                <c:pt idx="211">
                  <c:v>43474</c:v>
                </c:pt>
                <c:pt idx="212">
                  <c:v>43474</c:v>
                </c:pt>
                <c:pt idx="213">
                  <c:v>43474</c:v>
                </c:pt>
                <c:pt idx="214">
                  <c:v>43474</c:v>
                </c:pt>
                <c:pt idx="215">
                  <c:v>43474</c:v>
                </c:pt>
                <c:pt idx="216">
                  <c:v>43475</c:v>
                </c:pt>
                <c:pt idx="217">
                  <c:v>43475</c:v>
                </c:pt>
                <c:pt idx="218">
                  <c:v>43475</c:v>
                </c:pt>
                <c:pt idx="219">
                  <c:v>43475</c:v>
                </c:pt>
                <c:pt idx="220">
                  <c:v>43475</c:v>
                </c:pt>
                <c:pt idx="221">
                  <c:v>43475</c:v>
                </c:pt>
                <c:pt idx="222">
                  <c:v>43475</c:v>
                </c:pt>
                <c:pt idx="223">
                  <c:v>43475</c:v>
                </c:pt>
                <c:pt idx="224">
                  <c:v>43475</c:v>
                </c:pt>
                <c:pt idx="225">
                  <c:v>43475</c:v>
                </c:pt>
                <c:pt idx="226">
                  <c:v>43475</c:v>
                </c:pt>
                <c:pt idx="227">
                  <c:v>43475</c:v>
                </c:pt>
                <c:pt idx="228">
                  <c:v>43475</c:v>
                </c:pt>
                <c:pt idx="229">
                  <c:v>43475</c:v>
                </c:pt>
                <c:pt idx="230">
                  <c:v>43475</c:v>
                </c:pt>
                <c:pt idx="231">
                  <c:v>43475</c:v>
                </c:pt>
                <c:pt idx="232">
                  <c:v>43475</c:v>
                </c:pt>
                <c:pt idx="233">
                  <c:v>43475</c:v>
                </c:pt>
                <c:pt idx="234">
                  <c:v>43475</c:v>
                </c:pt>
                <c:pt idx="235">
                  <c:v>43475</c:v>
                </c:pt>
                <c:pt idx="236">
                  <c:v>43475</c:v>
                </c:pt>
                <c:pt idx="237">
                  <c:v>43475</c:v>
                </c:pt>
                <c:pt idx="238">
                  <c:v>43475</c:v>
                </c:pt>
                <c:pt idx="239">
                  <c:v>43475</c:v>
                </c:pt>
                <c:pt idx="240">
                  <c:v>43476</c:v>
                </c:pt>
                <c:pt idx="241">
                  <c:v>43476</c:v>
                </c:pt>
                <c:pt idx="242">
                  <c:v>43476</c:v>
                </c:pt>
                <c:pt idx="243">
                  <c:v>43476</c:v>
                </c:pt>
                <c:pt idx="244">
                  <c:v>43476</c:v>
                </c:pt>
                <c:pt idx="245">
                  <c:v>43476</c:v>
                </c:pt>
                <c:pt idx="246">
                  <c:v>43476</c:v>
                </c:pt>
                <c:pt idx="247">
                  <c:v>43476</c:v>
                </c:pt>
                <c:pt idx="248">
                  <c:v>43476</c:v>
                </c:pt>
                <c:pt idx="249">
                  <c:v>43476</c:v>
                </c:pt>
                <c:pt idx="250">
                  <c:v>43476</c:v>
                </c:pt>
                <c:pt idx="251">
                  <c:v>43476</c:v>
                </c:pt>
                <c:pt idx="252">
                  <c:v>43476</c:v>
                </c:pt>
                <c:pt idx="253">
                  <c:v>43476</c:v>
                </c:pt>
                <c:pt idx="254">
                  <c:v>43476</c:v>
                </c:pt>
                <c:pt idx="255">
                  <c:v>43476</c:v>
                </c:pt>
                <c:pt idx="256">
                  <c:v>43476</c:v>
                </c:pt>
                <c:pt idx="257">
                  <c:v>43476</c:v>
                </c:pt>
                <c:pt idx="258">
                  <c:v>43476</c:v>
                </c:pt>
                <c:pt idx="259">
                  <c:v>43476</c:v>
                </c:pt>
                <c:pt idx="260">
                  <c:v>43476</c:v>
                </c:pt>
                <c:pt idx="261">
                  <c:v>43476</c:v>
                </c:pt>
                <c:pt idx="262">
                  <c:v>43476</c:v>
                </c:pt>
                <c:pt idx="263">
                  <c:v>43476</c:v>
                </c:pt>
                <c:pt idx="264">
                  <c:v>43477</c:v>
                </c:pt>
                <c:pt idx="265">
                  <c:v>43477</c:v>
                </c:pt>
                <c:pt idx="266">
                  <c:v>43477</c:v>
                </c:pt>
                <c:pt idx="267">
                  <c:v>43477</c:v>
                </c:pt>
                <c:pt idx="268">
                  <c:v>43477</c:v>
                </c:pt>
                <c:pt idx="269">
                  <c:v>43477</c:v>
                </c:pt>
                <c:pt idx="270">
                  <c:v>43477</c:v>
                </c:pt>
                <c:pt idx="271">
                  <c:v>43477</c:v>
                </c:pt>
                <c:pt idx="272">
                  <c:v>43477</c:v>
                </c:pt>
                <c:pt idx="273">
                  <c:v>43477</c:v>
                </c:pt>
                <c:pt idx="274">
                  <c:v>43477</c:v>
                </c:pt>
                <c:pt idx="275">
                  <c:v>43477</c:v>
                </c:pt>
                <c:pt idx="276">
                  <c:v>43477</c:v>
                </c:pt>
                <c:pt idx="277">
                  <c:v>43477</c:v>
                </c:pt>
                <c:pt idx="278">
                  <c:v>43477</c:v>
                </c:pt>
                <c:pt idx="279">
                  <c:v>43477</c:v>
                </c:pt>
                <c:pt idx="280">
                  <c:v>43477</c:v>
                </c:pt>
                <c:pt idx="281">
                  <c:v>43477</c:v>
                </c:pt>
                <c:pt idx="282">
                  <c:v>43477</c:v>
                </c:pt>
                <c:pt idx="283">
                  <c:v>43477</c:v>
                </c:pt>
                <c:pt idx="284">
                  <c:v>43477</c:v>
                </c:pt>
                <c:pt idx="285">
                  <c:v>43477</c:v>
                </c:pt>
                <c:pt idx="286">
                  <c:v>43477</c:v>
                </c:pt>
                <c:pt idx="287">
                  <c:v>43477</c:v>
                </c:pt>
                <c:pt idx="288">
                  <c:v>43478</c:v>
                </c:pt>
                <c:pt idx="289">
                  <c:v>43478</c:v>
                </c:pt>
                <c:pt idx="290">
                  <c:v>43478</c:v>
                </c:pt>
                <c:pt idx="291">
                  <c:v>43478</c:v>
                </c:pt>
                <c:pt idx="292">
                  <c:v>43478</c:v>
                </c:pt>
                <c:pt idx="293">
                  <c:v>43478</c:v>
                </c:pt>
                <c:pt idx="294">
                  <c:v>43478</c:v>
                </c:pt>
                <c:pt idx="295">
                  <c:v>43478</c:v>
                </c:pt>
                <c:pt idx="296">
                  <c:v>43478</c:v>
                </c:pt>
                <c:pt idx="297">
                  <c:v>43478</c:v>
                </c:pt>
                <c:pt idx="298">
                  <c:v>43478</c:v>
                </c:pt>
                <c:pt idx="299">
                  <c:v>43478</c:v>
                </c:pt>
                <c:pt idx="300">
                  <c:v>43478</c:v>
                </c:pt>
                <c:pt idx="301">
                  <c:v>43478</c:v>
                </c:pt>
                <c:pt idx="302">
                  <c:v>43478</c:v>
                </c:pt>
                <c:pt idx="303">
                  <c:v>43478</c:v>
                </c:pt>
                <c:pt idx="304">
                  <c:v>43478</c:v>
                </c:pt>
                <c:pt idx="305">
                  <c:v>43478</c:v>
                </c:pt>
                <c:pt idx="306">
                  <c:v>43478</c:v>
                </c:pt>
                <c:pt idx="307">
                  <c:v>43478</c:v>
                </c:pt>
                <c:pt idx="308">
                  <c:v>43478</c:v>
                </c:pt>
                <c:pt idx="309">
                  <c:v>43478</c:v>
                </c:pt>
                <c:pt idx="310">
                  <c:v>43478</c:v>
                </c:pt>
                <c:pt idx="311">
                  <c:v>43478</c:v>
                </c:pt>
                <c:pt idx="312">
                  <c:v>43479</c:v>
                </c:pt>
                <c:pt idx="313">
                  <c:v>43479</c:v>
                </c:pt>
                <c:pt idx="314">
                  <c:v>43479</c:v>
                </c:pt>
                <c:pt idx="315">
                  <c:v>43479</c:v>
                </c:pt>
                <c:pt idx="316">
                  <c:v>43479</c:v>
                </c:pt>
                <c:pt idx="317">
                  <c:v>43479</c:v>
                </c:pt>
                <c:pt idx="318">
                  <c:v>43479</c:v>
                </c:pt>
                <c:pt idx="319">
                  <c:v>43479</c:v>
                </c:pt>
                <c:pt idx="320">
                  <c:v>43479</c:v>
                </c:pt>
                <c:pt idx="321">
                  <c:v>43479</c:v>
                </c:pt>
                <c:pt idx="322">
                  <c:v>43479</c:v>
                </c:pt>
                <c:pt idx="323">
                  <c:v>43479</c:v>
                </c:pt>
                <c:pt idx="324">
                  <c:v>43479</c:v>
                </c:pt>
                <c:pt idx="325">
                  <c:v>43479</c:v>
                </c:pt>
                <c:pt idx="326">
                  <c:v>43479</c:v>
                </c:pt>
                <c:pt idx="327">
                  <c:v>43479</c:v>
                </c:pt>
                <c:pt idx="328">
                  <c:v>43479</c:v>
                </c:pt>
                <c:pt idx="329">
                  <c:v>43479</c:v>
                </c:pt>
                <c:pt idx="330">
                  <c:v>43479</c:v>
                </c:pt>
                <c:pt idx="331">
                  <c:v>43479</c:v>
                </c:pt>
                <c:pt idx="332">
                  <c:v>43479</c:v>
                </c:pt>
                <c:pt idx="333">
                  <c:v>43479</c:v>
                </c:pt>
                <c:pt idx="334">
                  <c:v>43479</c:v>
                </c:pt>
                <c:pt idx="335">
                  <c:v>43479</c:v>
                </c:pt>
                <c:pt idx="336">
                  <c:v>43480</c:v>
                </c:pt>
                <c:pt idx="337">
                  <c:v>43480</c:v>
                </c:pt>
                <c:pt idx="338">
                  <c:v>43480</c:v>
                </c:pt>
                <c:pt idx="339">
                  <c:v>43480</c:v>
                </c:pt>
                <c:pt idx="340">
                  <c:v>43480</c:v>
                </c:pt>
                <c:pt idx="341">
                  <c:v>43480</c:v>
                </c:pt>
                <c:pt idx="342">
                  <c:v>43480</c:v>
                </c:pt>
                <c:pt idx="343">
                  <c:v>43480</c:v>
                </c:pt>
                <c:pt idx="344">
                  <c:v>43480</c:v>
                </c:pt>
                <c:pt idx="345">
                  <c:v>43480</c:v>
                </c:pt>
                <c:pt idx="346">
                  <c:v>43480</c:v>
                </c:pt>
                <c:pt idx="347">
                  <c:v>43480</c:v>
                </c:pt>
                <c:pt idx="348">
                  <c:v>43480</c:v>
                </c:pt>
                <c:pt idx="349">
                  <c:v>43480</c:v>
                </c:pt>
                <c:pt idx="350">
                  <c:v>43480</c:v>
                </c:pt>
                <c:pt idx="351">
                  <c:v>43480</c:v>
                </c:pt>
                <c:pt idx="352">
                  <c:v>43480</c:v>
                </c:pt>
                <c:pt idx="353">
                  <c:v>43480</c:v>
                </c:pt>
                <c:pt idx="354">
                  <c:v>43480</c:v>
                </c:pt>
                <c:pt idx="355">
                  <c:v>43480</c:v>
                </c:pt>
                <c:pt idx="356">
                  <c:v>43480</c:v>
                </c:pt>
                <c:pt idx="357">
                  <c:v>43480</c:v>
                </c:pt>
                <c:pt idx="358">
                  <c:v>43480</c:v>
                </c:pt>
                <c:pt idx="359">
                  <c:v>43480</c:v>
                </c:pt>
                <c:pt idx="360">
                  <c:v>43481</c:v>
                </c:pt>
                <c:pt idx="361">
                  <c:v>43481</c:v>
                </c:pt>
                <c:pt idx="362">
                  <c:v>43481</c:v>
                </c:pt>
                <c:pt idx="363">
                  <c:v>43481</c:v>
                </c:pt>
                <c:pt idx="364">
                  <c:v>43481</c:v>
                </c:pt>
                <c:pt idx="365">
                  <c:v>43481</c:v>
                </c:pt>
                <c:pt idx="366">
                  <c:v>43481</c:v>
                </c:pt>
                <c:pt idx="367">
                  <c:v>43481</c:v>
                </c:pt>
                <c:pt idx="368">
                  <c:v>43481</c:v>
                </c:pt>
                <c:pt idx="369">
                  <c:v>43481</c:v>
                </c:pt>
                <c:pt idx="370">
                  <c:v>43481</c:v>
                </c:pt>
                <c:pt idx="371">
                  <c:v>43481</c:v>
                </c:pt>
                <c:pt idx="372">
                  <c:v>43481</c:v>
                </c:pt>
                <c:pt idx="373">
                  <c:v>43481</c:v>
                </c:pt>
                <c:pt idx="374">
                  <c:v>43481</c:v>
                </c:pt>
                <c:pt idx="375">
                  <c:v>43481</c:v>
                </c:pt>
                <c:pt idx="376">
                  <c:v>43481</c:v>
                </c:pt>
                <c:pt idx="377">
                  <c:v>43481</c:v>
                </c:pt>
                <c:pt idx="378">
                  <c:v>43481</c:v>
                </c:pt>
                <c:pt idx="379">
                  <c:v>43481</c:v>
                </c:pt>
                <c:pt idx="380">
                  <c:v>43481</c:v>
                </c:pt>
                <c:pt idx="381">
                  <c:v>43481</c:v>
                </c:pt>
                <c:pt idx="382">
                  <c:v>43481</c:v>
                </c:pt>
                <c:pt idx="383">
                  <c:v>43481</c:v>
                </c:pt>
                <c:pt idx="384">
                  <c:v>43482</c:v>
                </c:pt>
                <c:pt idx="385">
                  <c:v>43482</c:v>
                </c:pt>
                <c:pt idx="386">
                  <c:v>43482</c:v>
                </c:pt>
                <c:pt idx="387">
                  <c:v>43482</c:v>
                </c:pt>
                <c:pt idx="388">
                  <c:v>43482</c:v>
                </c:pt>
                <c:pt idx="389">
                  <c:v>43482</c:v>
                </c:pt>
                <c:pt idx="390">
                  <c:v>43482</c:v>
                </c:pt>
                <c:pt idx="391">
                  <c:v>43482</c:v>
                </c:pt>
                <c:pt idx="392">
                  <c:v>43482</c:v>
                </c:pt>
                <c:pt idx="393">
                  <c:v>43482</c:v>
                </c:pt>
                <c:pt idx="394">
                  <c:v>43482</c:v>
                </c:pt>
                <c:pt idx="395">
                  <c:v>43482</c:v>
                </c:pt>
                <c:pt idx="396">
                  <c:v>43482</c:v>
                </c:pt>
                <c:pt idx="397">
                  <c:v>43482</c:v>
                </c:pt>
                <c:pt idx="398">
                  <c:v>43482</c:v>
                </c:pt>
                <c:pt idx="399">
                  <c:v>43482</c:v>
                </c:pt>
                <c:pt idx="400">
                  <c:v>43482</c:v>
                </c:pt>
                <c:pt idx="401">
                  <c:v>43482</c:v>
                </c:pt>
                <c:pt idx="402">
                  <c:v>43482</c:v>
                </c:pt>
                <c:pt idx="403">
                  <c:v>43482</c:v>
                </c:pt>
                <c:pt idx="404">
                  <c:v>43482</c:v>
                </c:pt>
                <c:pt idx="405">
                  <c:v>43482</c:v>
                </c:pt>
                <c:pt idx="406">
                  <c:v>43482</c:v>
                </c:pt>
                <c:pt idx="407">
                  <c:v>43482</c:v>
                </c:pt>
                <c:pt idx="408">
                  <c:v>43483</c:v>
                </c:pt>
                <c:pt idx="409">
                  <c:v>43483</c:v>
                </c:pt>
                <c:pt idx="410">
                  <c:v>43483</c:v>
                </c:pt>
                <c:pt idx="411">
                  <c:v>43483</c:v>
                </c:pt>
                <c:pt idx="412">
                  <c:v>43483</c:v>
                </c:pt>
                <c:pt idx="413">
                  <c:v>43483</c:v>
                </c:pt>
                <c:pt idx="414">
                  <c:v>43483</c:v>
                </c:pt>
                <c:pt idx="415">
                  <c:v>43483</c:v>
                </c:pt>
                <c:pt idx="416">
                  <c:v>43483</c:v>
                </c:pt>
                <c:pt idx="417">
                  <c:v>43483</c:v>
                </c:pt>
                <c:pt idx="418">
                  <c:v>43483</c:v>
                </c:pt>
                <c:pt idx="419">
                  <c:v>43483</c:v>
                </c:pt>
                <c:pt idx="420">
                  <c:v>43483</c:v>
                </c:pt>
                <c:pt idx="421">
                  <c:v>43483</c:v>
                </c:pt>
                <c:pt idx="422">
                  <c:v>43483</c:v>
                </c:pt>
                <c:pt idx="423">
                  <c:v>43483</c:v>
                </c:pt>
                <c:pt idx="424">
                  <c:v>43483</c:v>
                </c:pt>
                <c:pt idx="425">
                  <c:v>43483</c:v>
                </c:pt>
                <c:pt idx="426">
                  <c:v>43483</c:v>
                </c:pt>
                <c:pt idx="427">
                  <c:v>43483</c:v>
                </c:pt>
                <c:pt idx="428">
                  <c:v>43483</c:v>
                </c:pt>
                <c:pt idx="429">
                  <c:v>43483</c:v>
                </c:pt>
                <c:pt idx="430">
                  <c:v>43483</c:v>
                </c:pt>
                <c:pt idx="431">
                  <c:v>43483</c:v>
                </c:pt>
                <c:pt idx="432">
                  <c:v>43484</c:v>
                </c:pt>
                <c:pt idx="433">
                  <c:v>43484</c:v>
                </c:pt>
                <c:pt idx="434">
                  <c:v>43484</c:v>
                </c:pt>
                <c:pt idx="435">
                  <c:v>43484</c:v>
                </c:pt>
                <c:pt idx="436">
                  <c:v>43484</c:v>
                </c:pt>
                <c:pt idx="437">
                  <c:v>43484</c:v>
                </c:pt>
                <c:pt idx="438">
                  <c:v>43484</c:v>
                </c:pt>
                <c:pt idx="439">
                  <c:v>43484</c:v>
                </c:pt>
                <c:pt idx="440">
                  <c:v>43484</c:v>
                </c:pt>
                <c:pt idx="441">
                  <c:v>43484</c:v>
                </c:pt>
                <c:pt idx="442">
                  <c:v>43484</c:v>
                </c:pt>
                <c:pt idx="443">
                  <c:v>43484</c:v>
                </c:pt>
                <c:pt idx="444">
                  <c:v>43484</c:v>
                </c:pt>
                <c:pt idx="445">
                  <c:v>43484</c:v>
                </c:pt>
                <c:pt idx="446">
                  <c:v>43484</c:v>
                </c:pt>
                <c:pt idx="447">
                  <c:v>43484</c:v>
                </c:pt>
                <c:pt idx="448">
                  <c:v>43484</c:v>
                </c:pt>
                <c:pt idx="449">
                  <c:v>43484</c:v>
                </c:pt>
                <c:pt idx="450">
                  <c:v>43484</c:v>
                </c:pt>
                <c:pt idx="451">
                  <c:v>43484</c:v>
                </c:pt>
                <c:pt idx="452">
                  <c:v>43484</c:v>
                </c:pt>
                <c:pt idx="453">
                  <c:v>43484</c:v>
                </c:pt>
                <c:pt idx="454">
                  <c:v>43484</c:v>
                </c:pt>
                <c:pt idx="455">
                  <c:v>43484</c:v>
                </c:pt>
                <c:pt idx="456">
                  <c:v>43485</c:v>
                </c:pt>
                <c:pt idx="457">
                  <c:v>43485</c:v>
                </c:pt>
                <c:pt idx="458">
                  <c:v>43485</c:v>
                </c:pt>
                <c:pt idx="459">
                  <c:v>43485</c:v>
                </c:pt>
                <c:pt idx="460">
                  <c:v>43485</c:v>
                </c:pt>
                <c:pt idx="461">
                  <c:v>43485</c:v>
                </c:pt>
                <c:pt idx="462">
                  <c:v>43485</c:v>
                </c:pt>
                <c:pt idx="463">
                  <c:v>43485</c:v>
                </c:pt>
                <c:pt idx="464">
                  <c:v>43485</c:v>
                </c:pt>
                <c:pt idx="465">
                  <c:v>43485</c:v>
                </c:pt>
                <c:pt idx="466">
                  <c:v>43485</c:v>
                </c:pt>
                <c:pt idx="467">
                  <c:v>43485</c:v>
                </c:pt>
                <c:pt idx="468">
                  <c:v>43485</c:v>
                </c:pt>
                <c:pt idx="469">
                  <c:v>43485</c:v>
                </c:pt>
                <c:pt idx="470">
                  <c:v>43485</c:v>
                </c:pt>
                <c:pt idx="471">
                  <c:v>43485</c:v>
                </c:pt>
                <c:pt idx="472">
                  <c:v>43485</c:v>
                </c:pt>
                <c:pt idx="473">
                  <c:v>43485</c:v>
                </c:pt>
                <c:pt idx="474">
                  <c:v>43485</c:v>
                </c:pt>
                <c:pt idx="475">
                  <c:v>43485</c:v>
                </c:pt>
                <c:pt idx="476">
                  <c:v>43485</c:v>
                </c:pt>
                <c:pt idx="477">
                  <c:v>43485</c:v>
                </c:pt>
                <c:pt idx="478">
                  <c:v>43485</c:v>
                </c:pt>
                <c:pt idx="479">
                  <c:v>43485</c:v>
                </c:pt>
                <c:pt idx="480">
                  <c:v>43486</c:v>
                </c:pt>
                <c:pt idx="481">
                  <c:v>43486</c:v>
                </c:pt>
                <c:pt idx="482">
                  <c:v>43486</c:v>
                </c:pt>
                <c:pt idx="483">
                  <c:v>43486</c:v>
                </c:pt>
                <c:pt idx="484">
                  <c:v>43486</c:v>
                </c:pt>
                <c:pt idx="485">
                  <c:v>43486</c:v>
                </c:pt>
                <c:pt idx="486">
                  <c:v>43486</c:v>
                </c:pt>
                <c:pt idx="487">
                  <c:v>43486</c:v>
                </c:pt>
                <c:pt idx="488">
                  <c:v>43486</c:v>
                </c:pt>
                <c:pt idx="489">
                  <c:v>43486</c:v>
                </c:pt>
                <c:pt idx="490">
                  <c:v>43486</c:v>
                </c:pt>
                <c:pt idx="491">
                  <c:v>43486</c:v>
                </c:pt>
                <c:pt idx="492">
                  <c:v>43486</c:v>
                </c:pt>
                <c:pt idx="493">
                  <c:v>43486</c:v>
                </c:pt>
                <c:pt idx="494">
                  <c:v>43486</c:v>
                </c:pt>
                <c:pt idx="495">
                  <c:v>43486</c:v>
                </c:pt>
                <c:pt idx="496">
                  <c:v>43486</c:v>
                </c:pt>
                <c:pt idx="497">
                  <c:v>43486</c:v>
                </c:pt>
                <c:pt idx="498">
                  <c:v>43486</c:v>
                </c:pt>
                <c:pt idx="499">
                  <c:v>43486</c:v>
                </c:pt>
                <c:pt idx="500">
                  <c:v>43486</c:v>
                </c:pt>
                <c:pt idx="501">
                  <c:v>43486</c:v>
                </c:pt>
                <c:pt idx="502">
                  <c:v>43486</c:v>
                </c:pt>
                <c:pt idx="503">
                  <c:v>43486</c:v>
                </c:pt>
                <c:pt idx="504">
                  <c:v>43487</c:v>
                </c:pt>
                <c:pt idx="505">
                  <c:v>43487</c:v>
                </c:pt>
                <c:pt idx="506">
                  <c:v>43487</c:v>
                </c:pt>
                <c:pt idx="507">
                  <c:v>43487</c:v>
                </c:pt>
                <c:pt idx="508">
                  <c:v>43487</c:v>
                </c:pt>
                <c:pt idx="509">
                  <c:v>43487</c:v>
                </c:pt>
                <c:pt idx="510">
                  <c:v>43487</c:v>
                </c:pt>
                <c:pt idx="511">
                  <c:v>43487</c:v>
                </c:pt>
                <c:pt idx="512">
                  <c:v>43487</c:v>
                </c:pt>
                <c:pt idx="513">
                  <c:v>43487</c:v>
                </c:pt>
                <c:pt idx="514">
                  <c:v>43487</c:v>
                </c:pt>
                <c:pt idx="515">
                  <c:v>43487</c:v>
                </c:pt>
                <c:pt idx="516">
                  <c:v>43487</c:v>
                </c:pt>
                <c:pt idx="517">
                  <c:v>43487</c:v>
                </c:pt>
                <c:pt idx="518">
                  <c:v>43487</c:v>
                </c:pt>
                <c:pt idx="519">
                  <c:v>43487</c:v>
                </c:pt>
                <c:pt idx="520">
                  <c:v>43487</c:v>
                </c:pt>
                <c:pt idx="521">
                  <c:v>43487</c:v>
                </c:pt>
                <c:pt idx="522">
                  <c:v>43487</c:v>
                </c:pt>
                <c:pt idx="523">
                  <c:v>43487</c:v>
                </c:pt>
                <c:pt idx="524">
                  <c:v>43487</c:v>
                </c:pt>
                <c:pt idx="525">
                  <c:v>43487</c:v>
                </c:pt>
                <c:pt idx="526">
                  <c:v>43487</c:v>
                </c:pt>
                <c:pt idx="527">
                  <c:v>43487</c:v>
                </c:pt>
                <c:pt idx="528">
                  <c:v>43488</c:v>
                </c:pt>
                <c:pt idx="529">
                  <c:v>43488</c:v>
                </c:pt>
                <c:pt idx="530">
                  <c:v>43488</c:v>
                </c:pt>
                <c:pt idx="531">
                  <c:v>43488</c:v>
                </c:pt>
                <c:pt idx="532">
                  <c:v>43488</c:v>
                </c:pt>
                <c:pt idx="533">
                  <c:v>43488</c:v>
                </c:pt>
                <c:pt idx="534">
                  <c:v>43488</c:v>
                </c:pt>
                <c:pt idx="535">
                  <c:v>43488</c:v>
                </c:pt>
                <c:pt idx="536">
                  <c:v>43488</c:v>
                </c:pt>
                <c:pt idx="537">
                  <c:v>43488</c:v>
                </c:pt>
                <c:pt idx="538">
                  <c:v>43488</c:v>
                </c:pt>
                <c:pt idx="539">
                  <c:v>43488</c:v>
                </c:pt>
                <c:pt idx="540">
                  <c:v>43488</c:v>
                </c:pt>
                <c:pt idx="541">
                  <c:v>43488</c:v>
                </c:pt>
                <c:pt idx="542">
                  <c:v>43488</c:v>
                </c:pt>
                <c:pt idx="543">
                  <c:v>43488</c:v>
                </c:pt>
                <c:pt idx="544">
                  <c:v>43488</c:v>
                </c:pt>
                <c:pt idx="545">
                  <c:v>43488</c:v>
                </c:pt>
                <c:pt idx="546">
                  <c:v>43488</c:v>
                </c:pt>
                <c:pt idx="547">
                  <c:v>43488</c:v>
                </c:pt>
                <c:pt idx="548">
                  <c:v>43488</c:v>
                </c:pt>
                <c:pt idx="549">
                  <c:v>43488</c:v>
                </c:pt>
                <c:pt idx="550">
                  <c:v>43488</c:v>
                </c:pt>
                <c:pt idx="551">
                  <c:v>43488</c:v>
                </c:pt>
                <c:pt idx="552">
                  <c:v>43489</c:v>
                </c:pt>
                <c:pt idx="553">
                  <c:v>43489</c:v>
                </c:pt>
                <c:pt idx="554">
                  <c:v>43489</c:v>
                </c:pt>
                <c:pt idx="555">
                  <c:v>43489</c:v>
                </c:pt>
                <c:pt idx="556">
                  <c:v>43489</c:v>
                </c:pt>
                <c:pt idx="557">
                  <c:v>43489</c:v>
                </c:pt>
                <c:pt idx="558">
                  <c:v>43489</c:v>
                </c:pt>
                <c:pt idx="559">
                  <c:v>43489</c:v>
                </c:pt>
                <c:pt idx="560">
                  <c:v>43489</c:v>
                </c:pt>
                <c:pt idx="561">
                  <c:v>43489</c:v>
                </c:pt>
                <c:pt idx="562">
                  <c:v>43489</c:v>
                </c:pt>
                <c:pt idx="563">
                  <c:v>43489</c:v>
                </c:pt>
                <c:pt idx="564">
                  <c:v>43489</c:v>
                </c:pt>
                <c:pt idx="565">
                  <c:v>43489</c:v>
                </c:pt>
                <c:pt idx="566">
                  <c:v>43489</c:v>
                </c:pt>
                <c:pt idx="567">
                  <c:v>43489</c:v>
                </c:pt>
                <c:pt idx="568">
                  <c:v>43489</c:v>
                </c:pt>
                <c:pt idx="569">
                  <c:v>43489</c:v>
                </c:pt>
                <c:pt idx="570">
                  <c:v>43489</c:v>
                </c:pt>
                <c:pt idx="571">
                  <c:v>43489</c:v>
                </c:pt>
                <c:pt idx="572">
                  <c:v>43489</c:v>
                </c:pt>
                <c:pt idx="573">
                  <c:v>43489</c:v>
                </c:pt>
                <c:pt idx="574">
                  <c:v>43489</c:v>
                </c:pt>
                <c:pt idx="575">
                  <c:v>43489</c:v>
                </c:pt>
                <c:pt idx="576">
                  <c:v>43490</c:v>
                </c:pt>
                <c:pt idx="577">
                  <c:v>43490</c:v>
                </c:pt>
                <c:pt idx="578">
                  <c:v>43490</c:v>
                </c:pt>
                <c:pt idx="579">
                  <c:v>43490</c:v>
                </c:pt>
                <c:pt idx="580">
                  <c:v>43490</c:v>
                </c:pt>
                <c:pt idx="581">
                  <c:v>43490</c:v>
                </c:pt>
                <c:pt idx="582">
                  <c:v>43490</c:v>
                </c:pt>
                <c:pt idx="583">
                  <c:v>43490</c:v>
                </c:pt>
                <c:pt idx="584">
                  <c:v>43490</c:v>
                </c:pt>
                <c:pt idx="585">
                  <c:v>43490</c:v>
                </c:pt>
                <c:pt idx="586">
                  <c:v>43490</c:v>
                </c:pt>
                <c:pt idx="587">
                  <c:v>43490</c:v>
                </c:pt>
                <c:pt idx="588">
                  <c:v>43490</c:v>
                </c:pt>
                <c:pt idx="589">
                  <c:v>43490</c:v>
                </c:pt>
                <c:pt idx="590">
                  <c:v>43490</c:v>
                </c:pt>
                <c:pt idx="591">
                  <c:v>43490</c:v>
                </c:pt>
                <c:pt idx="592">
                  <c:v>43490</c:v>
                </c:pt>
                <c:pt idx="593">
                  <c:v>43490</c:v>
                </c:pt>
                <c:pt idx="594">
                  <c:v>43490</c:v>
                </c:pt>
                <c:pt idx="595">
                  <c:v>43490</c:v>
                </c:pt>
                <c:pt idx="596">
                  <c:v>43490</c:v>
                </c:pt>
                <c:pt idx="597">
                  <c:v>43490</c:v>
                </c:pt>
                <c:pt idx="598">
                  <c:v>43490</c:v>
                </c:pt>
                <c:pt idx="599">
                  <c:v>43490</c:v>
                </c:pt>
                <c:pt idx="600">
                  <c:v>43491</c:v>
                </c:pt>
                <c:pt idx="601">
                  <c:v>43491</c:v>
                </c:pt>
                <c:pt idx="602">
                  <c:v>43491</c:v>
                </c:pt>
                <c:pt idx="603">
                  <c:v>43491</c:v>
                </c:pt>
                <c:pt idx="604">
                  <c:v>43491</c:v>
                </c:pt>
                <c:pt idx="605">
                  <c:v>43491</c:v>
                </c:pt>
                <c:pt idx="606">
                  <c:v>43491</c:v>
                </c:pt>
                <c:pt idx="607">
                  <c:v>43491</c:v>
                </c:pt>
                <c:pt idx="608">
                  <c:v>43491</c:v>
                </c:pt>
                <c:pt idx="609">
                  <c:v>43491</c:v>
                </c:pt>
                <c:pt idx="610">
                  <c:v>43491</c:v>
                </c:pt>
                <c:pt idx="611">
                  <c:v>43491</c:v>
                </c:pt>
                <c:pt idx="612">
                  <c:v>43491</c:v>
                </c:pt>
                <c:pt idx="613">
                  <c:v>43491</c:v>
                </c:pt>
                <c:pt idx="614">
                  <c:v>43491</c:v>
                </c:pt>
                <c:pt idx="615">
                  <c:v>43491</c:v>
                </c:pt>
                <c:pt idx="616">
                  <c:v>43491</c:v>
                </c:pt>
                <c:pt idx="617">
                  <c:v>43491</c:v>
                </c:pt>
                <c:pt idx="618">
                  <c:v>43491</c:v>
                </c:pt>
                <c:pt idx="619">
                  <c:v>43491</c:v>
                </c:pt>
                <c:pt idx="620">
                  <c:v>43491</c:v>
                </c:pt>
                <c:pt idx="621">
                  <c:v>43491</c:v>
                </c:pt>
                <c:pt idx="622">
                  <c:v>43491</c:v>
                </c:pt>
                <c:pt idx="623">
                  <c:v>43491</c:v>
                </c:pt>
                <c:pt idx="624">
                  <c:v>43492</c:v>
                </c:pt>
                <c:pt idx="625">
                  <c:v>43492</c:v>
                </c:pt>
                <c:pt idx="626">
                  <c:v>43492</c:v>
                </c:pt>
                <c:pt idx="627">
                  <c:v>43492</c:v>
                </c:pt>
                <c:pt idx="628">
                  <c:v>43492</c:v>
                </c:pt>
                <c:pt idx="629">
                  <c:v>43492</c:v>
                </c:pt>
                <c:pt idx="630">
                  <c:v>43492</c:v>
                </c:pt>
                <c:pt idx="631">
                  <c:v>43492</c:v>
                </c:pt>
                <c:pt idx="632">
                  <c:v>43492</c:v>
                </c:pt>
                <c:pt idx="633">
                  <c:v>43492</c:v>
                </c:pt>
                <c:pt idx="634">
                  <c:v>43492</c:v>
                </c:pt>
                <c:pt idx="635">
                  <c:v>43492</c:v>
                </c:pt>
                <c:pt idx="636">
                  <c:v>43492</c:v>
                </c:pt>
                <c:pt idx="637">
                  <c:v>43492</c:v>
                </c:pt>
                <c:pt idx="638">
                  <c:v>43492</c:v>
                </c:pt>
                <c:pt idx="639">
                  <c:v>43492</c:v>
                </c:pt>
                <c:pt idx="640">
                  <c:v>43492</c:v>
                </c:pt>
                <c:pt idx="641">
                  <c:v>43492</c:v>
                </c:pt>
                <c:pt idx="642">
                  <c:v>43492</c:v>
                </c:pt>
                <c:pt idx="643">
                  <c:v>43492</c:v>
                </c:pt>
                <c:pt idx="644">
                  <c:v>43492</c:v>
                </c:pt>
                <c:pt idx="645">
                  <c:v>43492</c:v>
                </c:pt>
                <c:pt idx="646">
                  <c:v>43492</c:v>
                </c:pt>
                <c:pt idx="647">
                  <c:v>43492</c:v>
                </c:pt>
                <c:pt idx="648">
                  <c:v>43493</c:v>
                </c:pt>
                <c:pt idx="649">
                  <c:v>43493</c:v>
                </c:pt>
                <c:pt idx="650">
                  <c:v>43493</c:v>
                </c:pt>
                <c:pt idx="651">
                  <c:v>43493</c:v>
                </c:pt>
                <c:pt idx="652">
                  <c:v>43493</c:v>
                </c:pt>
                <c:pt idx="653">
                  <c:v>43493</c:v>
                </c:pt>
                <c:pt idx="654">
                  <c:v>43493</c:v>
                </c:pt>
                <c:pt idx="655">
                  <c:v>43493</c:v>
                </c:pt>
                <c:pt idx="656">
                  <c:v>43493</c:v>
                </c:pt>
                <c:pt idx="657">
                  <c:v>43493</c:v>
                </c:pt>
                <c:pt idx="658">
                  <c:v>43493</c:v>
                </c:pt>
                <c:pt idx="659">
                  <c:v>43493</c:v>
                </c:pt>
                <c:pt idx="660">
                  <c:v>43493</c:v>
                </c:pt>
                <c:pt idx="661">
                  <c:v>43493</c:v>
                </c:pt>
                <c:pt idx="662">
                  <c:v>43493</c:v>
                </c:pt>
                <c:pt idx="663">
                  <c:v>43493</c:v>
                </c:pt>
                <c:pt idx="664">
                  <c:v>43493</c:v>
                </c:pt>
                <c:pt idx="665">
                  <c:v>43493</c:v>
                </c:pt>
                <c:pt idx="666">
                  <c:v>43493</c:v>
                </c:pt>
                <c:pt idx="667">
                  <c:v>43493</c:v>
                </c:pt>
                <c:pt idx="668">
                  <c:v>43493</c:v>
                </c:pt>
                <c:pt idx="669">
                  <c:v>43493</c:v>
                </c:pt>
                <c:pt idx="670">
                  <c:v>43493</c:v>
                </c:pt>
                <c:pt idx="671">
                  <c:v>43493</c:v>
                </c:pt>
                <c:pt idx="672">
                  <c:v>43494</c:v>
                </c:pt>
                <c:pt idx="673">
                  <c:v>43494</c:v>
                </c:pt>
                <c:pt idx="674">
                  <c:v>43494</c:v>
                </c:pt>
                <c:pt idx="675">
                  <c:v>43494</c:v>
                </c:pt>
                <c:pt idx="676">
                  <c:v>43494</c:v>
                </c:pt>
                <c:pt idx="677">
                  <c:v>43494</c:v>
                </c:pt>
                <c:pt idx="678">
                  <c:v>43494</c:v>
                </c:pt>
                <c:pt idx="679">
                  <c:v>43494</c:v>
                </c:pt>
                <c:pt idx="680">
                  <c:v>43494</c:v>
                </c:pt>
                <c:pt idx="681">
                  <c:v>43494</c:v>
                </c:pt>
                <c:pt idx="682">
                  <c:v>43494</c:v>
                </c:pt>
                <c:pt idx="683">
                  <c:v>43494</c:v>
                </c:pt>
                <c:pt idx="684">
                  <c:v>43494</c:v>
                </c:pt>
                <c:pt idx="685">
                  <c:v>43494</c:v>
                </c:pt>
                <c:pt idx="686">
                  <c:v>43494</c:v>
                </c:pt>
                <c:pt idx="687">
                  <c:v>43494</c:v>
                </c:pt>
                <c:pt idx="688">
                  <c:v>43494</c:v>
                </c:pt>
                <c:pt idx="689">
                  <c:v>43494</c:v>
                </c:pt>
                <c:pt idx="690">
                  <c:v>43494</c:v>
                </c:pt>
                <c:pt idx="691">
                  <c:v>43494</c:v>
                </c:pt>
                <c:pt idx="692">
                  <c:v>43494</c:v>
                </c:pt>
                <c:pt idx="693">
                  <c:v>43494</c:v>
                </c:pt>
                <c:pt idx="694">
                  <c:v>43494</c:v>
                </c:pt>
                <c:pt idx="695">
                  <c:v>43494</c:v>
                </c:pt>
                <c:pt idx="696">
                  <c:v>43495</c:v>
                </c:pt>
                <c:pt idx="697">
                  <c:v>43495</c:v>
                </c:pt>
                <c:pt idx="698">
                  <c:v>43495</c:v>
                </c:pt>
                <c:pt idx="699">
                  <c:v>43495</c:v>
                </c:pt>
                <c:pt idx="700">
                  <c:v>43495</c:v>
                </c:pt>
                <c:pt idx="701">
                  <c:v>43495</c:v>
                </c:pt>
                <c:pt idx="702">
                  <c:v>43495</c:v>
                </c:pt>
                <c:pt idx="703">
                  <c:v>43495</c:v>
                </c:pt>
                <c:pt idx="704">
                  <c:v>43495</c:v>
                </c:pt>
                <c:pt idx="705">
                  <c:v>43495</c:v>
                </c:pt>
                <c:pt idx="706">
                  <c:v>43495</c:v>
                </c:pt>
                <c:pt idx="707">
                  <c:v>43495</c:v>
                </c:pt>
                <c:pt idx="708">
                  <c:v>43495</c:v>
                </c:pt>
                <c:pt idx="709">
                  <c:v>43495</c:v>
                </c:pt>
                <c:pt idx="710">
                  <c:v>43495</c:v>
                </c:pt>
                <c:pt idx="711">
                  <c:v>43495</c:v>
                </c:pt>
                <c:pt idx="712">
                  <c:v>43495</c:v>
                </c:pt>
                <c:pt idx="713">
                  <c:v>43495</c:v>
                </c:pt>
                <c:pt idx="714">
                  <c:v>43495</c:v>
                </c:pt>
                <c:pt idx="715">
                  <c:v>43495</c:v>
                </c:pt>
                <c:pt idx="716">
                  <c:v>43495</c:v>
                </c:pt>
                <c:pt idx="717">
                  <c:v>43495</c:v>
                </c:pt>
                <c:pt idx="718">
                  <c:v>43495</c:v>
                </c:pt>
                <c:pt idx="719">
                  <c:v>43495</c:v>
                </c:pt>
                <c:pt idx="720">
                  <c:v>43496</c:v>
                </c:pt>
                <c:pt idx="721">
                  <c:v>43496</c:v>
                </c:pt>
                <c:pt idx="722">
                  <c:v>43496</c:v>
                </c:pt>
                <c:pt idx="723">
                  <c:v>43496</c:v>
                </c:pt>
                <c:pt idx="724">
                  <c:v>43496</c:v>
                </c:pt>
                <c:pt idx="725">
                  <c:v>43496</c:v>
                </c:pt>
                <c:pt idx="726">
                  <c:v>43496</c:v>
                </c:pt>
                <c:pt idx="727">
                  <c:v>43496</c:v>
                </c:pt>
                <c:pt idx="728">
                  <c:v>43496</c:v>
                </c:pt>
                <c:pt idx="729">
                  <c:v>43496</c:v>
                </c:pt>
                <c:pt idx="730">
                  <c:v>43496</c:v>
                </c:pt>
                <c:pt idx="731">
                  <c:v>43496</c:v>
                </c:pt>
                <c:pt idx="732">
                  <c:v>43496</c:v>
                </c:pt>
                <c:pt idx="733">
                  <c:v>43496</c:v>
                </c:pt>
                <c:pt idx="734">
                  <c:v>43496</c:v>
                </c:pt>
                <c:pt idx="735">
                  <c:v>43496</c:v>
                </c:pt>
                <c:pt idx="736">
                  <c:v>43496</c:v>
                </c:pt>
                <c:pt idx="737">
                  <c:v>43496</c:v>
                </c:pt>
                <c:pt idx="738">
                  <c:v>43496</c:v>
                </c:pt>
                <c:pt idx="739">
                  <c:v>43496</c:v>
                </c:pt>
                <c:pt idx="740">
                  <c:v>43496</c:v>
                </c:pt>
                <c:pt idx="741">
                  <c:v>43496</c:v>
                </c:pt>
                <c:pt idx="742">
                  <c:v>43496</c:v>
                </c:pt>
                <c:pt idx="743">
                  <c:v>43496</c:v>
                </c:pt>
                <c:pt idx="744">
                  <c:v>43497</c:v>
                </c:pt>
                <c:pt idx="745">
                  <c:v>43497</c:v>
                </c:pt>
                <c:pt idx="746">
                  <c:v>43497</c:v>
                </c:pt>
                <c:pt idx="747">
                  <c:v>43497</c:v>
                </c:pt>
                <c:pt idx="748">
                  <c:v>43497</c:v>
                </c:pt>
                <c:pt idx="749">
                  <c:v>43497</c:v>
                </c:pt>
                <c:pt idx="750">
                  <c:v>43497</c:v>
                </c:pt>
                <c:pt idx="751">
                  <c:v>43497</c:v>
                </c:pt>
                <c:pt idx="752">
                  <c:v>43497</c:v>
                </c:pt>
                <c:pt idx="753">
                  <c:v>43497</c:v>
                </c:pt>
                <c:pt idx="754">
                  <c:v>43497</c:v>
                </c:pt>
                <c:pt idx="755">
                  <c:v>43497</c:v>
                </c:pt>
                <c:pt idx="756">
                  <c:v>43497</c:v>
                </c:pt>
                <c:pt idx="757">
                  <c:v>43497</c:v>
                </c:pt>
                <c:pt idx="758">
                  <c:v>43497</c:v>
                </c:pt>
                <c:pt idx="759">
                  <c:v>43497</c:v>
                </c:pt>
                <c:pt idx="760">
                  <c:v>43497</c:v>
                </c:pt>
                <c:pt idx="761">
                  <c:v>43497</c:v>
                </c:pt>
                <c:pt idx="762">
                  <c:v>43497</c:v>
                </c:pt>
                <c:pt idx="763">
                  <c:v>43497</c:v>
                </c:pt>
                <c:pt idx="764">
                  <c:v>43497</c:v>
                </c:pt>
                <c:pt idx="765">
                  <c:v>43497</c:v>
                </c:pt>
                <c:pt idx="766">
                  <c:v>43497</c:v>
                </c:pt>
                <c:pt idx="767">
                  <c:v>43497</c:v>
                </c:pt>
                <c:pt idx="768">
                  <c:v>43498</c:v>
                </c:pt>
                <c:pt idx="769">
                  <c:v>43498</c:v>
                </c:pt>
                <c:pt idx="770">
                  <c:v>43498</c:v>
                </c:pt>
                <c:pt idx="771">
                  <c:v>43498</c:v>
                </c:pt>
                <c:pt idx="772">
                  <c:v>43498</c:v>
                </c:pt>
                <c:pt idx="773">
                  <c:v>43498</c:v>
                </c:pt>
                <c:pt idx="774">
                  <c:v>43498</c:v>
                </c:pt>
                <c:pt idx="775">
                  <c:v>43498</c:v>
                </c:pt>
                <c:pt idx="776">
                  <c:v>43498</c:v>
                </c:pt>
                <c:pt idx="777">
                  <c:v>43498</c:v>
                </c:pt>
                <c:pt idx="778">
                  <c:v>43498</c:v>
                </c:pt>
                <c:pt idx="779">
                  <c:v>43498</c:v>
                </c:pt>
                <c:pt idx="780">
                  <c:v>43498</c:v>
                </c:pt>
                <c:pt idx="781">
                  <c:v>43498</c:v>
                </c:pt>
                <c:pt idx="782">
                  <c:v>43498</c:v>
                </c:pt>
                <c:pt idx="783">
                  <c:v>43498</c:v>
                </c:pt>
                <c:pt idx="784">
                  <c:v>43498</c:v>
                </c:pt>
                <c:pt idx="785">
                  <c:v>43498</c:v>
                </c:pt>
                <c:pt idx="786">
                  <c:v>43498</c:v>
                </c:pt>
                <c:pt idx="787">
                  <c:v>43498</c:v>
                </c:pt>
                <c:pt idx="788">
                  <c:v>43498</c:v>
                </c:pt>
                <c:pt idx="789">
                  <c:v>43498</c:v>
                </c:pt>
                <c:pt idx="790">
                  <c:v>43498</c:v>
                </c:pt>
                <c:pt idx="791">
                  <c:v>43498</c:v>
                </c:pt>
                <c:pt idx="792">
                  <c:v>43499</c:v>
                </c:pt>
                <c:pt idx="793">
                  <c:v>43499</c:v>
                </c:pt>
                <c:pt idx="794">
                  <c:v>43499</c:v>
                </c:pt>
                <c:pt idx="795">
                  <c:v>43499</c:v>
                </c:pt>
                <c:pt idx="796">
                  <c:v>43499</c:v>
                </c:pt>
                <c:pt idx="797">
                  <c:v>43499</c:v>
                </c:pt>
                <c:pt idx="798">
                  <c:v>43499</c:v>
                </c:pt>
                <c:pt idx="799">
                  <c:v>43499</c:v>
                </c:pt>
                <c:pt idx="800">
                  <c:v>43499</c:v>
                </c:pt>
                <c:pt idx="801">
                  <c:v>43499</c:v>
                </c:pt>
                <c:pt idx="802">
                  <c:v>43499</c:v>
                </c:pt>
                <c:pt idx="803">
                  <c:v>43499</c:v>
                </c:pt>
                <c:pt idx="804">
                  <c:v>43499</c:v>
                </c:pt>
                <c:pt idx="805">
                  <c:v>43499</c:v>
                </c:pt>
                <c:pt idx="806">
                  <c:v>43499</c:v>
                </c:pt>
                <c:pt idx="807">
                  <c:v>43499</c:v>
                </c:pt>
                <c:pt idx="808">
                  <c:v>43499</c:v>
                </c:pt>
                <c:pt idx="809">
                  <c:v>43499</c:v>
                </c:pt>
                <c:pt idx="810">
                  <c:v>43499</c:v>
                </c:pt>
                <c:pt idx="811">
                  <c:v>43499</c:v>
                </c:pt>
                <c:pt idx="812">
                  <c:v>43499</c:v>
                </c:pt>
                <c:pt idx="813">
                  <c:v>43499</c:v>
                </c:pt>
                <c:pt idx="814">
                  <c:v>43499</c:v>
                </c:pt>
                <c:pt idx="815">
                  <c:v>43499</c:v>
                </c:pt>
                <c:pt idx="816">
                  <c:v>43500</c:v>
                </c:pt>
                <c:pt idx="817">
                  <c:v>43500</c:v>
                </c:pt>
                <c:pt idx="818">
                  <c:v>43500</c:v>
                </c:pt>
                <c:pt idx="819">
                  <c:v>43500</c:v>
                </c:pt>
                <c:pt idx="820">
                  <c:v>43500</c:v>
                </c:pt>
                <c:pt idx="821">
                  <c:v>43500</c:v>
                </c:pt>
                <c:pt idx="822">
                  <c:v>43500</c:v>
                </c:pt>
                <c:pt idx="823">
                  <c:v>43500</c:v>
                </c:pt>
                <c:pt idx="824">
                  <c:v>43500</c:v>
                </c:pt>
                <c:pt idx="825">
                  <c:v>43500</c:v>
                </c:pt>
                <c:pt idx="826">
                  <c:v>43500</c:v>
                </c:pt>
                <c:pt idx="827">
                  <c:v>43500</c:v>
                </c:pt>
                <c:pt idx="828">
                  <c:v>43500</c:v>
                </c:pt>
                <c:pt idx="829">
                  <c:v>43500</c:v>
                </c:pt>
                <c:pt idx="830">
                  <c:v>43500</c:v>
                </c:pt>
                <c:pt idx="831">
                  <c:v>43500</c:v>
                </c:pt>
                <c:pt idx="832">
                  <c:v>43500</c:v>
                </c:pt>
                <c:pt idx="833">
                  <c:v>43500</c:v>
                </c:pt>
                <c:pt idx="834">
                  <c:v>43500</c:v>
                </c:pt>
                <c:pt idx="835">
                  <c:v>43500</c:v>
                </c:pt>
                <c:pt idx="836">
                  <c:v>43500</c:v>
                </c:pt>
                <c:pt idx="837">
                  <c:v>43500</c:v>
                </c:pt>
                <c:pt idx="838">
                  <c:v>43500</c:v>
                </c:pt>
                <c:pt idx="839">
                  <c:v>43500</c:v>
                </c:pt>
                <c:pt idx="840">
                  <c:v>43501</c:v>
                </c:pt>
                <c:pt idx="841">
                  <c:v>43501</c:v>
                </c:pt>
                <c:pt idx="842">
                  <c:v>43501</c:v>
                </c:pt>
                <c:pt idx="843">
                  <c:v>43501</c:v>
                </c:pt>
                <c:pt idx="844">
                  <c:v>43501</c:v>
                </c:pt>
                <c:pt idx="845">
                  <c:v>43501</c:v>
                </c:pt>
                <c:pt idx="846">
                  <c:v>43501</c:v>
                </c:pt>
                <c:pt idx="847">
                  <c:v>43501</c:v>
                </c:pt>
                <c:pt idx="848">
                  <c:v>43501</c:v>
                </c:pt>
                <c:pt idx="849">
                  <c:v>43501</c:v>
                </c:pt>
                <c:pt idx="850">
                  <c:v>43501</c:v>
                </c:pt>
                <c:pt idx="851">
                  <c:v>43501</c:v>
                </c:pt>
                <c:pt idx="852">
                  <c:v>43501</c:v>
                </c:pt>
                <c:pt idx="853">
                  <c:v>43501</c:v>
                </c:pt>
                <c:pt idx="854">
                  <c:v>43501</c:v>
                </c:pt>
                <c:pt idx="855">
                  <c:v>43501</c:v>
                </c:pt>
                <c:pt idx="856">
                  <c:v>43501</c:v>
                </c:pt>
                <c:pt idx="857">
                  <c:v>43501</c:v>
                </c:pt>
                <c:pt idx="858">
                  <c:v>43501</c:v>
                </c:pt>
                <c:pt idx="859">
                  <c:v>43501</c:v>
                </c:pt>
                <c:pt idx="860">
                  <c:v>43501</c:v>
                </c:pt>
                <c:pt idx="861">
                  <c:v>43501</c:v>
                </c:pt>
                <c:pt idx="862">
                  <c:v>43501</c:v>
                </c:pt>
                <c:pt idx="863">
                  <c:v>43501</c:v>
                </c:pt>
                <c:pt idx="864">
                  <c:v>43502</c:v>
                </c:pt>
                <c:pt idx="865">
                  <c:v>43502</c:v>
                </c:pt>
                <c:pt idx="866">
                  <c:v>43502</c:v>
                </c:pt>
                <c:pt idx="867">
                  <c:v>43502</c:v>
                </c:pt>
                <c:pt idx="868">
                  <c:v>43502</c:v>
                </c:pt>
                <c:pt idx="869">
                  <c:v>43502</c:v>
                </c:pt>
                <c:pt idx="870">
                  <c:v>43502</c:v>
                </c:pt>
                <c:pt idx="871">
                  <c:v>43502</c:v>
                </c:pt>
                <c:pt idx="872">
                  <c:v>43502</c:v>
                </c:pt>
                <c:pt idx="873">
                  <c:v>43502</c:v>
                </c:pt>
                <c:pt idx="874">
                  <c:v>43502</c:v>
                </c:pt>
                <c:pt idx="875">
                  <c:v>43502</c:v>
                </c:pt>
                <c:pt idx="876">
                  <c:v>43502</c:v>
                </c:pt>
                <c:pt idx="877">
                  <c:v>43502</c:v>
                </c:pt>
                <c:pt idx="878">
                  <c:v>43502</c:v>
                </c:pt>
                <c:pt idx="879">
                  <c:v>43502</c:v>
                </c:pt>
                <c:pt idx="880">
                  <c:v>43502</c:v>
                </c:pt>
                <c:pt idx="881">
                  <c:v>43502</c:v>
                </c:pt>
                <c:pt idx="882">
                  <c:v>43502</c:v>
                </c:pt>
                <c:pt idx="883">
                  <c:v>43502</c:v>
                </c:pt>
                <c:pt idx="884">
                  <c:v>43502</c:v>
                </c:pt>
                <c:pt idx="885">
                  <c:v>43502</c:v>
                </c:pt>
                <c:pt idx="886">
                  <c:v>43502</c:v>
                </c:pt>
                <c:pt idx="887">
                  <c:v>43502</c:v>
                </c:pt>
                <c:pt idx="888">
                  <c:v>43503</c:v>
                </c:pt>
                <c:pt idx="889">
                  <c:v>43503</c:v>
                </c:pt>
                <c:pt idx="890">
                  <c:v>43503</c:v>
                </c:pt>
                <c:pt idx="891">
                  <c:v>43503</c:v>
                </c:pt>
                <c:pt idx="892">
                  <c:v>43503</c:v>
                </c:pt>
                <c:pt idx="893">
                  <c:v>43503</c:v>
                </c:pt>
                <c:pt idx="894">
                  <c:v>43503</c:v>
                </c:pt>
                <c:pt idx="895">
                  <c:v>43503</c:v>
                </c:pt>
                <c:pt idx="896">
                  <c:v>43503</c:v>
                </c:pt>
                <c:pt idx="897">
                  <c:v>43503</c:v>
                </c:pt>
                <c:pt idx="898">
                  <c:v>43503</c:v>
                </c:pt>
                <c:pt idx="899">
                  <c:v>43503</c:v>
                </c:pt>
                <c:pt idx="900">
                  <c:v>43503</c:v>
                </c:pt>
                <c:pt idx="901">
                  <c:v>43503</c:v>
                </c:pt>
                <c:pt idx="902">
                  <c:v>43503</c:v>
                </c:pt>
                <c:pt idx="903">
                  <c:v>43503</c:v>
                </c:pt>
                <c:pt idx="904">
                  <c:v>43503</c:v>
                </c:pt>
                <c:pt idx="905">
                  <c:v>43503</c:v>
                </c:pt>
                <c:pt idx="906">
                  <c:v>43503</c:v>
                </c:pt>
                <c:pt idx="907">
                  <c:v>43503</c:v>
                </c:pt>
                <c:pt idx="908">
                  <c:v>43503</c:v>
                </c:pt>
                <c:pt idx="909">
                  <c:v>43503</c:v>
                </c:pt>
                <c:pt idx="910">
                  <c:v>43503</c:v>
                </c:pt>
                <c:pt idx="911">
                  <c:v>43503</c:v>
                </c:pt>
                <c:pt idx="912">
                  <c:v>43504</c:v>
                </c:pt>
                <c:pt idx="913">
                  <c:v>43504</c:v>
                </c:pt>
                <c:pt idx="914">
                  <c:v>43504</c:v>
                </c:pt>
                <c:pt idx="915">
                  <c:v>43504</c:v>
                </c:pt>
                <c:pt idx="916">
                  <c:v>43504</c:v>
                </c:pt>
                <c:pt idx="917">
                  <c:v>43504</c:v>
                </c:pt>
                <c:pt idx="918">
                  <c:v>43504</c:v>
                </c:pt>
                <c:pt idx="919">
                  <c:v>43504</c:v>
                </c:pt>
                <c:pt idx="920">
                  <c:v>43504</c:v>
                </c:pt>
                <c:pt idx="921">
                  <c:v>43504</c:v>
                </c:pt>
                <c:pt idx="922">
                  <c:v>43504</c:v>
                </c:pt>
                <c:pt idx="923">
                  <c:v>43504</c:v>
                </c:pt>
                <c:pt idx="924">
                  <c:v>43504</c:v>
                </c:pt>
                <c:pt idx="925">
                  <c:v>43504</c:v>
                </c:pt>
                <c:pt idx="926">
                  <c:v>43504</c:v>
                </c:pt>
                <c:pt idx="927">
                  <c:v>43504</c:v>
                </c:pt>
                <c:pt idx="928">
                  <c:v>43504</c:v>
                </c:pt>
                <c:pt idx="929">
                  <c:v>43504</c:v>
                </c:pt>
                <c:pt idx="930">
                  <c:v>43504</c:v>
                </c:pt>
                <c:pt idx="931">
                  <c:v>43504</c:v>
                </c:pt>
                <c:pt idx="932">
                  <c:v>43504</c:v>
                </c:pt>
                <c:pt idx="933">
                  <c:v>43504</c:v>
                </c:pt>
                <c:pt idx="934">
                  <c:v>43504</c:v>
                </c:pt>
                <c:pt idx="935">
                  <c:v>43504</c:v>
                </c:pt>
                <c:pt idx="936">
                  <c:v>43505</c:v>
                </c:pt>
                <c:pt idx="937">
                  <c:v>43505</c:v>
                </c:pt>
                <c:pt idx="938">
                  <c:v>43505</c:v>
                </c:pt>
                <c:pt idx="939">
                  <c:v>43505</c:v>
                </c:pt>
                <c:pt idx="940">
                  <c:v>43505</c:v>
                </c:pt>
                <c:pt idx="941">
                  <c:v>43505</c:v>
                </c:pt>
                <c:pt idx="942">
                  <c:v>43505</c:v>
                </c:pt>
                <c:pt idx="943">
                  <c:v>43505</c:v>
                </c:pt>
                <c:pt idx="944">
                  <c:v>43505</c:v>
                </c:pt>
                <c:pt idx="945">
                  <c:v>43505</c:v>
                </c:pt>
                <c:pt idx="946">
                  <c:v>43505</c:v>
                </c:pt>
                <c:pt idx="947">
                  <c:v>43505</c:v>
                </c:pt>
                <c:pt idx="948">
                  <c:v>43505</c:v>
                </c:pt>
                <c:pt idx="949">
                  <c:v>43505</c:v>
                </c:pt>
                <c:pt idx="950">
                  <c:v>43505</c:v>
                </c:pt>
                <c:pt idx="951">
                  <c:v>43505</c:v>
                </c:pt>
                <c:pt idx="952">
                  <c:v>43505</c:v>
                </c:pt>
                <c:pt idx="953">
                  <c:v>43505</c:v>
                </c:pt>
                <c:pt idx="954">
                  <c:v>43505</c:v>
                </c:pt>
                <c:pt idx="955">
                  <c:v>43505</c:v>
                </c:pt>
                <c:pt idx="956">
                  <c:v>43505</c:v>
                </c:pt>
                <c:pt idx="957">
                  <c:v>43505</c:v>
                </c:pt>
                <c:pt idx="958">
                  <c:v>43505</c:v>
                </c:pt>
                <c:pt idx="959">
                  <c:v>43505</c:v>
                </c:pt>
                <c:pt idx="960">
                  <c:v>43506</c:v>
                </c:pt>
                <c:pt idx="961">
                  <c:v>43506</c:v>
                </c:pt>
                <c:pt idx="962">
                  <c:v>43506</c:v>
                </c:pt>
                <c:pt idx="963">
                  <c:v>43506</c:v>
                </c:pt>
                <c:pt idx="964">
                  <c:v>43506</c:v>
                </c:pt>
                <c:pt idx="965">
                  <c:v>43506</c:v>
                </c:pt>
                <c:pt idx="966">
                  <c:v>43506</c:v>
                </c:pt>
                <c:pt idx="967">
                  <c:v>43506</c:v>
                </c:pt>
                <c:pt idx="968">
                  <c:v>43506</c:v>
                </c:pt>
                <c:pt idx="969">
                  <c:v>43506</c:v>
                </c:pt>
                <c:pt idx="970">
                  <c:v>43506</c:v>
                </c:pt>
                <c:pt idx="971">
                  <c:v>43506</c:v>
                </c:pt>
                <c:pt idx="972">
                  <c:v>43506</c:v>
                </c:pt>
                <c:pt idx="973">
                  <c:v>43506</c:v>
                </c:pt>
                <c:pt idx="974">
                  <c:v>43506</c:v>
                </c:pt>
                <c:pt idx="975">
                  <c:v>43506</c:v>
                </c:pt>
                <c:pt idx="976">
                  <c:v>43506</c:v>
                </c:pt>
                <c:pt idx="977">
                  <c:v>43506</c:v>
                </c:pt>
                <c:pt idx="978">
                  <c:v>43506</c:v>
                </c:pt>
                <c:pt idx="979">
                  <c:v>43506</c:v>
                </c:pt>
                <c:pt idx="980">
                  <c:v>43506</c:v>
                </c:pt>
                <c:pt idx="981">
                  <c:v>43506</c:v>
                </c:pt>
                <c:pt idx="982">
                  <c:v>43506</c:v>
                </c:pt>
                <c:pt idx="983">
                  <c:v>43506</c:v>
                </c:pt>
                <c:pt idx="984">
                  <c:v>43507</c:v>
                </c:pt>
                <c:pt idx="985">
                  <c:v>43507</c:v>
                </c:pt>
                <c:pt idx="986">
                  <c:v>43507</c:v>
                </c:pt>
                <c:pt idx="987">
                  <c:v>43507</c:v>
                </c:pt>
                <c:pt idx="988">
                  <c:v>43507</c:v>
                </c:pt>
                <c:pt idx="989">
                  <c:v>43507</c:v>
                </c:pt>
                <c:pt idx="990">
                  <c:v>43507</c:v>
                </c:pt>
                <c:pt idx="991">
                  <c:v>43507</c:v>
                </c:pt>
                <c:pt idx="992">
                  <c:v>43507</c:v>
                </c:pt>
                <c:pt idx="993">
                  <c:v>43507</c:v>
                </c:pt>
                <c:pt idx="994">
                  <c:v>43507</c:v>
                </c:pt>
                <c:pt idx="995">
                  <c:v>43507</c:v>
                </c:pt>
                <c:pt idx="996">
                  <c:v>43507</c:v>
                </c:pt>
                <c:pt idx="997">
                  <c:v>43507</c:v>
                </c:pt>
                <c:pt idx="998">
                  <c:v>43507</c:v>
                </c:pt>
                <c:pt idx="999">
                  <c:v>43507</c:v>
                </c:pt>
                <c:pt idx="1000">
                  <c:v>43507</c:v>
                </c:pt>
                <c:pt idx="1001">
                  <c:v>43507</c:v>
                </c:pt>
                <c:pt idx="1002">
                  <c:v>43507</c:v>
                </c:pt>
                <c:pt idx="1003">
                  <c:v>43507</c:v>
                </c:pt>
                <c:pt idx="1004">
                  <c:v>43507</c:v>
                </c:pt>
                <c:pt idx="1005">
                  <c:v>43507</c:v>
                </c:pt>
                <c:pt idx="1006">
                  <c:v>43507</c:v>
                </c:pt>
                <c:pt idx="1007">
                  <c:v>43507</c:v>
                </c:pt>
                <c:pt idx="1008">
                  <c:v>43508</c:v>
                </c:pt>
                <c:pt idx="1009">
                  <c:v>43508</c:v>
                </c:pt>
                <c:pt idx="1010">
                  <c:v>43508</c:v>
                </c:pt>
                <c:pt idx="1011">
                  <c:v>43508</c:v>
                </c:pt>
                <c:pt idx="1012">
                  <c:v>43508</c:v>
                </c:pt>
                <c:pt idx="1013">
                  <c:v>43508</c:v>
                </c:pt>
                <c:pt idx="1014">
                  <c:v>43508</c:v>
                </c:pt>
                <c:pt idx="1015">
                  <c:v>43508</c:v>
                </c:pt>
                <c:pt idx="1016">
                  <c:v>43508</c:v>
                </c:pt>
                <c:pt idx="1017">
                  <c:v>43508</c:v>
                </c:pt>
                <c:pt idx="1018">
                  <c:v>43508</c:v>
                </c:pt>
                <c:pt idx="1019">
                  <c:v>43508</c:v>
                </c:pt>
                <c:pt idx="1020">
                  <c:v>43508</c:v>
                </c:pt>
                <c:pt idx="1021">
                  <c:v>43508</c:v>
                </c:pt>
                <c:pt idx="1022">
                  <c:v>43508</c:v>
                </c:pt>
                <c:pt idx="1023">
                  <c:v>43508</c:v>
                </c:pt>
                <c:pt idx="1024">
                  <c:v>43508</c:v>
                </c:pt>
                <c:pt idx="1025">
                  <c:v>43508</c:v>
                </c:pt>
                <c:pt idx="1026">
                  <c:v>43508</c:v>
                </c:pt>
                <c:pt idx="1027">
                  <c:v>43508</c:v>
                </c:pt>
                <c:pt idx="1028">
                  <c:v>43508</c:v>
                </c:pt>
                <c:pt idx="1029">
                  <c:v>43508</c:v>
                </c:pt>
                <c:pt idx="1030">
                  <c:v>43508</c:v>
                </c:pt>
                <c:pt idx="1031">
                  <c:v>43508</c:v>
                </c:pt>
                <c:pt idx="1032">
                  <c:v>43509</c:v>
                </c:pt>
                <c:pt idx="1033">
                  <c:v>43509</c:v>
                </c:pt>
                <c:pt idx="1034">
                  <c:v>43509</c:v>
                </c:pt>
                <c:pt idx="1035">
                  <c:v>43509</c:v>
                </c:pt>
                <c:pt idx="1036">
                  <c:v>43509</c:v>
                </c:pt>
                <c:pt idx="1037">
                  <c:v>43509</c:v>
                </c:pt>
                <c:pt idx="1038">
                  <c:v>43509</c:v>
                </c:pt>
                <c:pt idx="1039">
                  <c:v>43509</c:v>
                </c:pt>
                <c:pt idx="1040">
                  <c:v>43509</c:v>
                </c:pt>
                <c:pt idx="1041">
                  <c:v>43509</c:v>
                </c:pt>
                <c:pt idx="1042">
                  <c:v>43509</c:v>
                </c:pt>
                <c:pt idx="1043">
                  <c:v>43509</c:v>
                </c:pt>
                <c:pt idx="1044">
                  <c:v>43509</c:v>
                </c:pt>
                <c:pt idx="1045">
                  <c:v>43509</c:v>
                </c:pt>
                <c:pt idx="1046">
                  <c:v>43509</c:v>
                </c:pt>
                <c:pt idx="1047">
                  <c:v>43509</c:v>
                </c:pt>
                <c:pt idx="1048">
                  <c:v>43509</c:v>
                </c:pt>
                <c:pt idx="1049">
                  <c:v>43509</c:v>
                </c:pt>
                <c:pt idx="1050">
                  <c:v>43509</c:v>
                </c:pt>
                <c:pt idx="1051">
                  <c:v>43509</c:v>
                </c:pt>
                <c:pt idx="1052">
                  <c:v>43509</c:v>
                </c:pt>
                <c:pt idx="1053">
                  <c:v>43509</c:v>
                </c:pt>
                <c:pt idx="1054">
                  <c:v>43509</c:v>
                </c:pt>
                <c:pt idx="1055">
                  <c:v>43509</c:v>
                </c:pt>
                <c:pt idx="1056">
                  <c:v>43510</c:v>
                </c:pt>
                <c:pt idx="1057">
                  <c:v>43510</c:v>
                </c:pt>
                <c:pt idx="1058">
                  <c:v>43510</c:v>
                </c:pt>
                <c:pt idx="1059">
                  <c:v>43510</c:v>
                </c:pt>
                <c:pt idx="1060">
                  <c:v>43510</c:v>
                </c:pt>
                <c:pt idx="1061">
                  <c:v>43510</c:v>
                </c:pt>
                <c:pt idx="1062">
                  <c:v>43510</c:v>
                </c:pt>
                <c:pt idx="1063">
                  <c:v>43510</c:v>
                </c:pt>
                <c:pt idx="1064">
                  <c:v>43510</c:v>
                </c:pt>
                <c:pt idx="1065">
                  <c:v>43510</c:v>
                </c:pt>
                <c:pt idx="1066">
                  <c:v>43510</c:v>
                </c:pt>
                <c:pt idx="1067">
                  <c:v>43510</c:v>
                </c:pt>
                <c:pt idx="1068">
                  <c:v>43510</c:v>
                </c:pt>
                <c:pt idx="1069">
                  <c:v>43510</c:v>
                </c:pt>
                <c:pt idx="1070">
                  <c:v>43510</c:v>
                </c:pt>
                <c:pt idx="1071">
                  <c:v>43510</c:v>
                </c:pt>
                <c:pt idx="1072">
                  <c:v>43510</c:v>
                </c:pt>
                <c:pt idx="1073">
                  <c:v>43510</c:v>
                </c:pt>
                <c:pt idx="1074">
                  <c:v>43510</c:v>
                </c:pt>
                <c:pt idx="1075">
                  <c:v>43510</c:v>
                </c:pt>
                <c:pt idx="1076">
                  <c:v>43510</c:v>
                </c:pt>
                <c:pt idx="1077">
                  <c:v>43510</c:v>
                </c:pt>
                <c:pt idx="1078">
                  <c:v>43510</c:v>
                </c:pt>
                <c:pt idx="1079">
                  <c:v>43510</c:v>
                </c:pt>
                <c:pt idx="1080">
                  <c:v>43511</c:v>
                </c:pt>
                <c:pt idx="1081">
                  <c:v>43511</c:v>
                </c:pt>
                <c:pt idx="1082">
                  <c:v>43511</c:v>
                </c:pt>
                <c:pt idx="1083">
                  <c:v>43511</c:v>
                </c:pt>
                <c:pt idx="1084">
                  <c:v>43511</c:v>
                </c:pt>
                <c:pt idx="1085">
                  <c:v>43511</c:v>
                </c:pt>
                <c:pt idx="1086">
                  <c:v>43511</c:v>
                </c:pt>
                <c:pt idx="1087">
                  <c:v>43511</c:v>
                </c:pt>
                <c:pt idx="1088">
                  <c:v>43511</c:v>
                </c:pt>
                <c:pt idx="1089">
                  <c:v>43511</c:v>
                </c:pt>
                <c:pt idx="1090">
                  <c:v>43511</c:v>
                </c:pt>
                <c:pt idx="1091">
                  <c:v>43511</c:v>
                </c:pt>
                <c:pt idx="1092">
                  <c:v>43511</c:v>
                </c:pt>
                <c:pt idx="1093">
                  <c:v>43511</c:v>
                </c:pt>
                <c:pt idx="1094">
                  <c:v>43511</c:v>
                </c:pt>
                <c:pt idx="1095">
                  <c:v>43511</c:v>
                </c:pt>
                <c:pt idx="1096">
                  <c:v>43511</c:v>
                </c:pt>
                <c:pt idx="1097">
                  <c:v>43511</c:v>
                </c:pt>
                <c:pt idx="1098">
                  <c:v>43511</c:v>
                </c:pt>
                <c:pt idx="1099">
                  <c:v>43511</c:v>
                </c:pt>
                <c:pt idx="1100">
                  <c:v>43511</c:v>
                </c:pt>
                <c:pt idx="1101">
                  <c:v>43511</c:v>
                </c:pt>
                <c:pt idx="1102">
                  <c:v>43511</c:v>
                </c:pt>
                <c:pt idx="1103">
                  <c:v>43511</c:v>
                </c:pt>
                <c:pt idx="1104">
                  <c:v>43512</c:v>
                </c:pt>
                <c:pt idx="1105">
                  <c:v>43512</c:v>
                </c:pt>
                <c:pt idx="1106">
                  <c:v>43512</c:v>
                </c:pt>
                <c:pt idx="1107">
                  <c:v>43512</c:v>
                </c:pt>
                <c:pt idx="1108">
                  <c:v>43512</c:v>
                </c:pt>
                <c:pt idx="1109">
                  <c:v>43512</c:v>
                </c:pt>
                <c:pt idx="1110">
                  <c:v>43512</c:v>
                </c:pt>
                <c:pt idx="1111">
                  <c:v>43512</c:v>
                </c:pt>
                <c:pt idx="1112">
                  <c:v>43512</c:v>
                </c:pt>
                <c:pt idx="1113">
                  <c:v>43512</c:v>
                </c:pt>
                <c:pt idx="1114">
                  <c:v>43512</c:v>
                </c:pt>
                <c:pt idx="1115">
                  <c:v>43512</c:v>
                </c:pt>
                <c:pt idx="1116">
                  <c:v>43512</c:v>
                </c:pt>
                <c:pt idx="1117">
                  <c:v>43512</c:v>
                </c:pt>
                <c:pt idx="1118">
                  <c:v>43512</c:v>
                </c:pt>
                <c:pt idx="1119">
                  <c:v>43512</c:v>
                </c:pt>
                <c:pt idx="1120">
                  <c:v>43512</c:v>
                </c:pt>
                <c:pt idx="1121">
                  <c:v>43512</c:v>
                </c:pt>
                <c:pt idx="1122">
                  <c:v>43512</c:v>
                </c:pt>
                <c:pt idx="1123">
                  <c:v>43512</c:v>
                </c:pt>
                <c:pt idx="1124">
                  <c:v>43512</c:v>
                </c:pt>
                <c:pt idx="1125">
                  <c:v>43512</c:v>
                </c:pt>
                <c:pt idx="1126">
                  <c:v>43512</c:v>
                </c:pt>
                <c:pt idx="1127">
                  <c:v>43512</c:v>
                </c:pt>
                <c:pt idx="1128">
                  <c:v>43513</c:v>
                </c:pt>
                <c:pt idx="1129">
                  <c:v>43513</c:v>
                </c:pt>
                <c:pt idx="1130">
                  <c:v>43513</c:v>
                </c:pt>
                <c:pt idx="1131">
                  <c:v>43513</c:v>
                </c:pt>
                <c:pt idx="1132">
                  <c:v>43513</c:v>
                </c:pt>
                <c:pt idx="1133">
                  <c:v>43513</c:v>
                </c:pt>
                <c:pt idx="1134">
                  <c:v>43513</c:v>
                </c:pt>
                <c:pt idx="1135">
                  <c:v>43513</c:v>
                </c:pt>
                <c:pt idx="1136">
                  <c:v>43513</c:v>
                </c:pt>
                <c:pt idx="1137">
                  <c:v>43513</c:v>
                </c:pt>
                <c:pt idx="1138">
                  <c:v>43513</c:v>
                </c:pt>
                <c:pt idx="1139">
                  <c:v>43513</c:v>
                </c:pt>
                <c:pt idx="1140">
                  <c:v>43513</c:v>
                </c:pt>
                <c:pt idx="1141">
                  <c:v>43513</c:v>
                </c:pt>
                <c:pt idx="1142">
                  <c:v>43513</c:v>
                </c:pt>
                <c:pt idx="1143">
                  <c:v>43513</c:v>
                </c:pt>
                <c:pt idx="1144">
                  <c:v>43513</c:v>
                </c:pt>
                <c:pt idx="1145">
                  <c:v>43513</c:v>
                </c:pt>
                <c:pt idx="1146">
                  <c:v>43513</c:v>
                </c:pt>
                <c:pt idx="1147">
                  <c:v>43513</c:v>
                </c:pt>
                <c:pt idx="1148">
                  <c:v>43513</c:v>
                </c:pt>
                <c:pt idx="1149">
                  <c:v>43513</c:v>
                </c:pt>
                <c:pt idx="1150">
                  <c:v>43513</c:v>
                </c:pt>
                <c:pt idx="1151">
                  <c:v>43513</c:v>
                </c:pt>
                <c:pt idx="1152">
                  <c:v>43514</c:v>
                </c:pt>
                <c:pt idx="1153">
                  <c:v>43514</c:v>
                </c:pt>
                <c:pt idx="1154">
                  <c:v>43514</c:v>
                </c:pt>
                <c:pt idx="1155">
                  <c:v>43514</c:v>
                </c:pt>
                <c:pt idx="1156">
                  <c:v>43514</c:v>
                </c:pt>
                <c:pt idx="1157">
                  <c:v>43514</c:v>
                </c:pt>
                <c:pt idx="1158">
                  <c:v>43514</c:v>
                </c:pt>
                <c:pt idx="1159">
                  <c:v>43514</c:v>
                </c:pt>
                <c:pt idx="1160">
                  <c:v>43514</c:v>
                </c:pt>
                <c:pt idx="1161">
                  <c:v>43514</c:v>
                </c:pt>
                <c:pt idx="1162">
                  <c:v>43514</c:v>
                </c:pt>
                <c:pt idx="1163">
                  <c:v>43514</c:v>
                </c:pt>
                <c:pt idx="1164">
                  <c:v>43514</c:v>
                </c:pt>
                <c:pt idx="1165">
                  <c:v>43514</c:v>
                </c:pt>
                <c:pt idx="1166">
                  <c:v>43514</c:v>
                </c:pt>
                <c:pt idx="1167">
                  <c:v>43514</c:v>
                </c:pt>
                <c:pt idx="1168">
                  <c:v>43514</c:v>
                </c:pt>
                <c:pt idx="1169">
                  <c:v>43514</c:v>
                </c:pt>
                <c:pt idx="1170">
                  <c:v>43514</c:v>
                </c:pt>
                <c:pt idx="1171">
                  <c:v>43514</c:v>
                </c:pt>
                <c:pt idx="1172">
                  <c:v>43514</c:v>
                </c:pt>
                <c:pt idx="1173">
                  <c:v>43514</c:v>
                </c:pt>
                <c:pt idx="1174">
                  <c:v>43514</c:v>
                </c:pt>
                <c:pt idx="1175">
                  <c:v>43514</c:v>
                </c:pt>
                <c:pt idx="1176">
                  <c:v>43515</c:v>
                </c:pt>
                <c:pt idx="1177">
                  <c:v>43515</c:v>
                </c:pt>
                <c:pt idx="1178">
                  <c:v>43515</c:v>
                </c:pt>
                <c:pt idx="1179">
                  <c:v>43515</c:v>
                </c:pt>
                <c:pt idx="1180">
                  <c:v>43515</c:v>
                </c:pt>
                <c:pt idx="1181">
                  <c:v>43515</c:v>
                </c:pt>
                <c:pt idx="1182">
                  <c:v>43515</c:v>
                </c:pt>
                <c:pt idx="1183">
                  <c:v>43515</c:v>
                </c:pt>
                <c:pt idx="1184">
                  <c:v>43515</c:v>
                </c:pt>
                <c:pt idx="1185">
                  <c:v>43515</c:v>
                </c:pt>
                <c:pt idx="1186">
                  <c:v>43515</c:v>
                </c:pt>
                <c:pt idx="1187">
                  <c:v>43515</c:v>
                </c:pt>
                <c:pt idx="1188">
                  <c:v>43515</c:v>
                </c:pt>
                <c:pt idx="1189">
                  <c:v>43515</c:v>
                </c:pt>
                <c:pt idx="1190">
                  <c:v>43515</c:v>
                </c:pt>
                <c:pt idx="1191">
                  <c:v>43515</c:v>
                </c:pt>
                <c:pt idx="1192">
                  <c:v>43515</c:v>
                </c:pt>
                <c:pt idx="1193">
                  <c:v>43515</c:v>
                </c:pt>
                <c:pt idx="1194">
                  <c:v>43515</c:v>
                </c:pt>
                <c:pt idx="1195">
                  <c:v>43515</c:v>
                </c:pt>
                <c:pt idx="1196">
                  <c:v>43515</c:v>
                </c:pt>
                <c:pt idx="1197">
                  <c:v>43515</c:v>
                </c:pt>
                <c:pt idx="1198">
                  <c:v>43515</c:v>
                </c:pt>
                <c:pt idx="1199">
                  <c:v>43515</c:v>
                </c:pt>
                <c:pt idx="1200">
                  <c:v>43516</c:v>
                </c:pt>
                <c:pt idx="1201">
                  <c:v>43516</c:v>
                </c:pt>
                <c:pt idx="1202">
                  <c:v>43516</c:v>
                </c:pt>
                <c:pt idx="1203">
                  <c:v>43516</c:v>
                </c:pt>
                <c:pt idx="1204">
                  <c:v>43516</c:v>
                </c:pt>
                <c:pt idx="1205">
                  <c:v>43516</c:v>
                </c:pt>
                <c:pt idx="1206">
                  <c:v>43516</c:v>
                </c:pt>
                <c:pt idx="1207">
                  <c:v>43516</c:v>
                </c:pt>
                <c:pt idx="1208">
                  <c:v>43516</c:v>
                </c:pt>
                <c:pt idx="1209">
                  <c:v>43516</c:v>
                </c:pt>
                <c:pt idx="1210">
                  <c:v>43516</c:v>
                </c:pt>
                <c:pt idx="1211">
                  <c:v>43516</c:v>
                </c:pt>
                <c:pt idx="1212">
                  <c:v>43516</c:v>
                </c:pt>
                <c:pt idx="1213">
                  <c:v>43516</c:v>
                </c:pt>
                <c:pt idx="1214">
                  <c:v>43516</c:v>
                </c:pt>
                <c:pt idx="1215">
                  <c:v>43516</c:v>
                </c:pt>
                <c:pt idx="1216">
                  <c:v>43516</c:v>
                </c:pt>
                <c:pt idx="1217">
                  <c:v>43516</c:v>
                </c:pt>
                <c:pt idx="1218">
                  <c:v>43516</c:v>
                </c:pt>
                <c:pt idx="1219">
                  <c:v>43516</c:v>
                </c:pt>
                <c:pt idx="1220">
                  <c:v>43516</c:v>
                </c:pt>
                <c:pt idx="1221">
                  <c:v>43516</c:v>
                </c:pt>
                <c:pt idx="1222">
                  <c:v>43516</c:v>
                </c:pt>
                <c:pt idx="1223">
                  <c:v>43516</c:v>
                </c:pt>
                <c:pt idx="1224">
                  <c:v>43517</c:v>
                </c:pt>
                <c:pt idx="1225">
                  <c:v>43517</c:v>
                </c:pt>
                <c:pt idx="1226">
                  <c:v>43517</c:v>
                </c:pt>
                <c:pt idx="1227">
                  <c:v>43517</c:v>
                </c:pt>
                <c:pt idx="1228">
                  <c:v>43517</c:v>
                </c:pt>
                <c:pt idx="1229">
                  <c:v>43517</c:v>
                </c:pt>
                <c:pt idx="1230">
                  <c:v>43517</c:v>
                </c:pt>
                <c:pt idx="1231">
                  <c:v>43517</c:v>
                </c:pt>
                <c:pt idx="1232">
                  <c:v>43517</c:v>
                </c:pt>
                <c:pt idx="1233">
                  <c:v>43517</c:v>
                </c:pt>
                <c:pt idx="1234">
                  <c:v>43517</c:v>
                </c:pt>
                <c:pt idx="1235">
                  <c:v>43517</c:v>
                </c:pt>
                <c:pt idx="1236">
                  <c:v>43517</c:v>
                </c:pt>
                <c:pt idx="1237">
                  <c:v>43517</c:v>
                </c:pt>
                <c:pt idx="1238">
                  <c:v>43517</c:v>
                </c:pt>
                <c:pt idx="1239">
                  <c:v>43517</c:v>
                </c:pt>
                <c:pt idx="1240">
                  <c:v>43517</c:v>
                </c:pt>
                <c:pt idx="1241">
                  <c:v>43517</c:v>
                </c:pt>
                <c:pt idx="1242">
                  <c:v>43517</c:v>
                </c:pt>
                <c:pt idx="1243">
                  <c:v>43517</c:v>
                </c:pt>
                <c:pt idx="1244">
                  <c:v>43517</c:v>
                </c:pt>
                <c:pt idx="1245">
                  <c:v>43517</c:v>
                </c:pt>
                <c:pt idx="1246">
                  <c:v>43517</c:v>
                </c:pt>
                <c:pt idx="1247">
                  <c:v>43517</c:v>
                </c:pt>
                <c:pt idx="1248">
                  <c:v>43518</c:v>
                </c:pt>
                <c:pt idx="1249">
                  <c:v>43518</c:v>
                </c:pt>
                <c:pt idx="1250">
                  <c:v>43518</c:v>
                </c:pt>
                <c:pt idx="1251">
                  <c:v>43518</c:v>
                </c:pt>
                <c:pt idx="1252">
                  <c:v>43518</c:v>
                </c:pt>
                <c:pt idx="1253">
                  <c:v>43518</c:v>
                </c:pt>
                <c:pt idx="1254">
                  <c:v>43518</c:v>
                </c:pt>
                <c:pt idx="1255">
                  <c:v>43518</c:v>
                </c:pt>
                <c:pt idx="1256">
                  <c:v>43518</c:v>
                </c:pt>
                <c:pt idx="1257">
                  <c:v>43518</c:v>
                </c:pt>
                <c:pt idx="1258">
                  <c:v>43518</c:v>
                </c:pt>
                <c:pt idx="1259">
                  <c:v>43518</c:v>
                </c:pt>
                <c:pt idx="1260">
                  <c:v>43518</c:v>
                </c:pt>
                <c:pt idx="1261">
                  <c:v>43518</c:v>
                </c:pt>
                <c:pt idx="1262">
                  <c:v>43518</c:v>
                </c:pt>
                <c:pt idx="1263">
                  <c:v>43518</c:v>
                </c:pt>
                <c:pt idx="1264">
                  <c:v>43518</c:v>
                </c:pt>
                <c:pt idx="1265">
                  <c:v>43518</c:v>
                </c:pt>
                <c:pt idx="1266">
                  <c:v>43518</c:v>
                </c:pt>
                <c:pt idx="1267">
                  <c:v>43518</c:v>
                </c:pt>
                <c:pt idx="1268">
                  <c:v>43518</c:v>
                </c:pt>
                <c:pt idx="1269">
                  <c:v>43518</c:v>
                </c:pt>
                <c:pt idx="1270">
                  <c:v>43518</c:v>
                </c:pt>
                <c:pt idx="1271">
                  <c:v>43518</c:v>
                </c:pt>
                <c:pt idx="1272">
                  <c:v>43519</c:v>
                </c:pt>
                <c:pt idx="1273">
                  <c:v>43519</c:v>
                </c:pt>
                <c:pt idx="1274">
                  <c:v>43519</c:v>
                </c:pt>
                <c:pt idx="1275">
                  <c:v>43519</c:v>
                </c:pt>
                <c:pt idx="1276">
                  <c:v>43519</c:v>
                </c:pt>
                <c:pt idx="1277">
                  <c:v>43519</c:v>
                </c:pt>
                <c:pt idx="1278">
                  <c:v>43519</c:v>
                </c:pt>
                <c:pt idx="1279">
                  <c:v>43519</c:v>
                </c:pt>
                <c:pt idx="1280">
                  <c:v>43519</c:v>
                </c:pt>
                <c:pt idx="1281">
                  <c:v>43519</c:v>
                </c:pt>
                <c:pt idx="1282">
                  <c:v>43519</c:v>
                </c:pt>
                <c:pt idx="1283">
                  <c:v>43519</c:v>
                </c:pt>
                <c:pt idx="1284">
                  <c:v>43519</c:v>
                </c:pt>
                <c:pt idx="1285">
                  <c:v>43519</c:v>
                </c:pt>
                <c:pt idx="1286">
                  <c:v>43519</c:v>
                </c:pt>
                <c:pt idx="1287">
                  <c:v>43519</c:v>
                </c:pt>
                <c:pt idx="1288">
                  <c:v>43519</c:v>
                </c:pt>
                <c:pt idx="1289">
                  <c:v>43519</c:v>
                </c:pt>
                <c:pt idx="1290">
                  <c:v>43519</c:v>
                </c:pt>
                <c:pt idx="1291">
                  <c:v>43519</c:v>
                </c:pt>
                <c:pt idx="1292">
                  <c:v>43519</c:v>
                </c:pt>
                <c:pt idx="1293">
                  <c:v>43519</c:v>
                </c:pt>
                <c:pt idx="1294">
                  <c:v>43519</c:v>
                </c:pt>
                <c:pt idx="1295">
                  <c:v>43519</c:v>
                </c:pt>
                <c:pt idx="1296">
                  <c:v>43520</c:v>
                </c:pt>
                <c:pt idx="1297">
                  <c:v>43520</c:v>
                </c:pt>
                <c:pt idx="1298">
                  <c:v>43520</c:v>
                </c:pt>
                <c:pt idx="1299">
                  <c:v>43520</c:v>
                </c:pt>
                <c:pt idx="1300">
                  <c:v>43520</c:v>
                </c:pt>
                <c:pt idx="1301">
                  <c:v>43520</c:v>
                </c:pt>
                <c:pt idx="1302">
                  <c:v>43520</c:v>
                </c:pt>
                <c:pt idx="1303">
                  <c:v>43520</c:v>
                </c:pt>
                <c:pt idx="1304">
                  <c:v>43520</c:v>
                </c:pt>
                <c:pt idx="1305">
                  <c:v>43520</c:v>
                </c:pt>
                <c:pt idx="1306">
                  <c:v>43520</c:v>
                </c:pt>
                <c:pt idx="1307">
                  <c:v>43520</c:v>
                </c:pt>
                <c:pt idx="1308">
                  <c:v>43520</c:v>
                </c:pt>
                <c:pt idx="1309">
                  <c:v>43520</c:v>
                </c:pt>
                <c:pt idx="1310">
                  <c:v>43520</c:v>
                </c:pt>
                <c:pt idx="1311">
                  <c:v>43520</c:v>
                </c:pt>
                <c:pt idx="1312">
                  <c:v>43520</c:v>
                </c:pt>
                <c:pt idx="1313">
                  <c:v>43520</c:v>
                </c:pt>
                <c:pt idx="1314">
                  <c:v>43520</c:v>
                </c:pt>
                <c:pt idx="1315">
                  <c:v>43520</c:v>
                </c:pt>
                <c:pt idx="1316">
                  <c:v>43520</c:v>
                </c:pt>
                <c:pt idx="1317">
                  <c:v>43520</c:v>
                </c:pt>
                <c:pt idx="1318">
                  <c:v>43520</c:v>
                </c:pt>
                <c:pt idx="1319">
                  <c:v>43520</c:v>
                </c:pt>
                <c:pt idx="1320">
                  <c:v>43521</c:v>
                </c:pt>
                <c:pt idx="1321">
                  <c:v>43521</c:v>
                </c:pt>
                <c:pt idx="1322">
                  <c:v>43521</c:v>
                </c:pt>
                <c:pt idx="1323">
                  <c:v>43521</c:v>
                </c:pt>
                <c:pt idx="1324">
                  <c:v>43521</c:v>
                </c:pt>
                <c:pt idx="1325">
                  <c:v>43521</c:v>
                </c:pt>
                <c:pt idx="1326">
                  <c:v>43521</c:v>
                </c:pt>
                <c:pt idx="1327">
                  <c:v>43521</c:v>
                </c:pt>
                <c:pt idx="1328">
                  <c:v>43521</c:v>
                </c:pt>
                <c:pt idx="1329">
                  <c:v>43521</c:v>
                </c:pt>
                <c:pt idx="1330">
                  <c:v>43521</c:v>
                </c:pt>
                <c:pt idx="1331">
                  <c:v>43521</c:v>
                </c:pt>
                <c:pt idx="1332">
                  <c:v>43521</c:v>
                </c:pt>
                <c:pt idx="1333">
                  <c:v>43521</c:v>
                </c:pt>
                <c:pt idx="1334">
                  <c:v>43521</c:v>
                </c:pt>
                <c:pt idx="1335">
                  <c:v>43521</c:v>
                </c:pt>
                <c:pt idx="1336">
                  <c:v>43521</c:v>
                </c:pt>
                <c:pt idx="1337">
                  <c:v>43521</c:v>
                </c:pt>
                <c:pt idx="1338">
                  <c:v>43521</c:v>
                </c:pt>
                <c:pt idx="1339">
                  <c:v>43521</c:v>
                </c:pt>
                <c:pt idx="1340">
                  <c:v>43521</c:v>
                </c:pt>
                <c:pt idx="1341">
                  <c:v>43521</c:v>
                </c:pt>
                <c:pt idx="1342">
                  <c:v>43521</c:v>
                </c:pt>
                <c:pt idx="1343">
                  <c:v>43521</c:v>
                </c:pt>
                <c:pt idx="1344">
                  <c:v>43522</c:v>
                </c:pt>
                <c:pt idx="1345">
                  <c:v>43522</c:v>
                </c:pt>
                <c:pt idx="1346">
                  <c:v>43522</c:v>
                </c:pt>
                <c:pt idx="1347">
                  <c:v>43522</c:v>
                </c:pt>
                <c:pt idx="1348">
                  <c:v>43522</c:v>
                </c:pt>
                <c:pt idx="1349">
                  <c:v>43522</c:v>
                </c:pt>
                <c:pt idx="1350">
                  <c:v>43522</c:v>
                </c:pt>
                <c:pt idx="1351">
                  <c:v>43522</c:v>
                </c:pt>
                <c:pt idx="1352">
                  <c:v>43522</c:v>
                </c:pt>
                <c:pt idx="1353">
                  <c:v>43522</c:v>
                </c:pt>
                <c:pt idx="1354">
                  <c:v>43522</c:v>
                </c:pt>
                <c:pt idx="1355">
                  <c:v>43522</c:v>
                </c:pt>
                <c:pt idx="1356">
                  <c:v>43522</c:v>
                </c:pt>
                <c:pt idx="1357">
                  <c:v>43522</c:v>
                </c:pt>
                <c:pt idx="1358">
                  <c:v>43522</c:v>
                </c:pt>
                <c:pt idx="1359">
                  <c:v>43522</c:v>
                </c:pt>
                <c:pt idx="1360">
                  <c:v>43522</c:v>
                </c:pt>
                <c:pt idx="1361">
                  <c:v>43522</c:v>
                </c:pt>
                <c:pt idx="1362">
                  <c:v>43522</c:v>
                </c:pt>
                <c:pt idx="1363">
                  <c:v>43522</c:v>
                </c:pt>
                <c:pt idx="1364">
                  <c:v>43522</c:v>
                </c:pt>
                <c:pt idx="1365">
                  <c:v>43522</c:v>
                </c:pt>
                <c:pt idx="1366">
                  <c:v>43522</c:v>
                </c:pt>
                <c:pt idx="1367">
                  <c:v>43522</c:v>
                </c:pt>
                <c:pt idx="1368">
                  <c:v>43523</c:v>
                </c:pt>
                <c:pt idx="1369">
                  <c:v>43523</c:v>
                </c:pt>
                <c:pt idx="1370">
                  <c:v>43523</c:v>
                </c:pt>
                <c:pt idx="1371">
                  <c:v>43523</c:v>
                </c:pt>
                <c:pt idx="1372">
                  <c:v>43523</c:v>
                </c:pt>
                <c:pt idx="1373">
                  <c:v>43523</c:v>
                </c:pt>
                <c:pt idx="1374">
                  <c:v>43523</c:v>
                </c:pt>
                <c:pt idx="1375">
                  <c:v>43523</c:v>
                </c:pt>
                <c:pt idx="1376">
                  <c:v>43523</c:v>
                </c:pt>
                <c:pt idx="1377">
                  <c:v>43523</c:v>
                </c:pt>
                <c:pt idx="1378">
                  <c:v>43523</c:v>
                </c:pt>
                <c:pt idx="1379">
                  <c:v>43523</c:v>
                </c:pt>
                <c:pt idx="1380">
                  <c:v>43523</c:v>
                </c:pt>
                <c:pt idx="1381">
                  <c:v>43523</c:v>
                </c:pt>
                <c:pt idx="1382">
                  <c:v>43523</c:v>
                </c:pt>
                <c:pt idx="1383">
                  <c:v>43523</c:v>
                </c:pt>
                <c:pt idx="1384">
                  <c:v>43523</c:v>
                </c:pt>
                <c:pt idx="1385">
                  <c:v>43523</c:v>
                </c:pt>
                <c:pt idx="1386">
                  <c:v>43523</c:v>
                </c:pt>
                <c:pt idx="1387">
                  <c:v>43523</c:v>
                </c:pt>
                <c:pt idx="1388">
                  <c:v>43523</c:v>
                </c:pt>
                <c:pt idx="1389">
                  <c:v>43523</c:v>
                </c:pt>
                <c:pt idx="1390">
                  <c:v>43523</c:v>
                </c:pt>
                <c:pt idx="1391">
                  <c:v>43523</c:v>
                </c:pt>
                <c:pt idx="1392">
                  <c:v>43524</c:v>
                </c:pt>
                <c:pt idx="1393">
                  <c:v>43524</c:v>
                </c:pt>
                <c:pt idx="1394">
                  <c:v>43524</c:v>
                </c:pt>
                <c:pt idx="1395">
                  <c:v>43524</c:v>
                </c:pt>
                <c:pt idx="1396">
                  <c:v>43524</c:v>
                </c:pt>
                <c:pt idx="1397">
                  <c:v>43524</c:v>
                </c:pt>
                <c:pt idx="1398">
                  <c:v>43524</c:v>
                </c:pt>
                <c:pt idx="1399">
                  <c:v>43524</c:v>
                </c:pt>
                <c:pt idx="1400">
                  <c:v>43524</c:v>
                </c:pt>
                <c:pt idx="1401">
                  <c:v>43524</c:v>
                </c:pt>
                <c:pt idx="1402">
                  <c:v>43524</c:v>
                </c:pt>
                <c:pt idx="1403">
                  <c:v>43524</c:v>
                </c:pt>
                <c:pt idx="1404">
                  <c:v>43524</c:v>
                </c:pt>
                <c:pt idx="1405">
                  <c:v>43524</c:v>
                </c:pt>
                <c:pt idx="1406">
                  <c:v>43524</c:v>
                </c:pt>
                <c:pt idx="1407">
                  <c:v>43524</c:v>
                </c:pt>
                <c:pt idx="1408">
                  <c:v>43524</c:v>
                </c:pt>
                <c:pt idx="1409">
                  <c:v>43524</c:v>
                </c:pt>
                <c:pt idx="1410">
                  <c:v>43524</c:v>
                </c:pt>
                <c:pt idx="1411">
                  <c:v>43524</c:v>
                </c:pt>
                <c:pt idx="1412">
                  <c:v>43524</c:v>
                </c:pt>
                <c:pt idx="1413">
                  <c:v>43524</c:v>
                </c:pt>
                <c:pt idx="1414">
                  <c:v>43524</c:v>
                </c:pt>
                <c:pt idx="1415">
                  <c:v>43524</c:v>
                </c:pt>
                <c:pt idx="1416">
                  <c:v>43525</c:v>
                </c:pt>
                <c:pt idx="1417">
                  <c:v>43525</c:v>
                </c:pt>
                <c:pt idx="1418">
                  <c:v>43525</c:v>
                </c:pt>
                <c:pt idx="1419">
                  <c:v>43525</c:v>
                </c:pt>
                <c:pt idx="1420">
                  <c:v>43525</c:v>
                </c:pt>
                <c:pt idx="1421">
                  <c:v>43525</c:v>
                </c:pt>
                <c:pt idx="1422">
                  <c:v>43525</c:v>
                </c:pt>
                <c:pt idx="1423">
                  <c:v>43525</c:v>
                </c:pt>
                <c:pt idx="1424">
                  <c:v>43525</c:v>
                </c:pt>
                <c:pt idx="1425">
                  <c:v>43525</c:v>
                </c:pt>
                <c:pt idx="1426">
                  <c:v>43525</c:v>
                </c:pt>
                <c:pt idx="1427">
                  <c:v>43525</c:v>
                </c:pt>
                <c:pt idx="1428">
                  <c:v>43525</c:v>
                </c:pt>
                <c:pt idx="1429">
                  <c:v>43525</c:v>
                </c:pt>
                <c:pt idx="1430">
                  <c:v>43525</c:v>
                </c:pt>
                <c:pt idx="1431">
                  <c:v>43525</c:v>
                </c:pt>
                <c:pt idx="1432">
                  <c:v>43525</c:v>
                </c:pt>
                <c:pt idx="1433">
                  <c:v>43525</c:v>
                </c:pt>
                <c:pt idx="1434">
                  <c:v>43525</c:v>
                </c:pt>
                <c:pt idx="1435">
                  <c:v>43525</c:v>
                </c:pt>
                <c:pt idx="1436">
                  <c:v>43525</c:v>
                </c:pt>
                <c:pt idx="1437">
                  <c:v>43525</c:v>
                </c:pt>
                <c:pt idx="1438">
                  <c:v>43525</c:v>
                </c:pt>
                <c:pt idx="1439">
                  <c:v>43525</c:v>
                </c:pt>
                <c:pt idx="1440">
                  <c:v>43526</c:v>
                </c:pt>
                <c:pt idx="1441">
                  <c:v>43526</c:v>
                </c:pt>
                <c:pt idx="1442">
                  <c:v>43526</c:v>
                </c:pt>
                <c:pt idx="1443">
                  <c:v>43526</c:v>
                </c:pt>
                <c:pt idx="1444">
                  <c:v>43526</c:v>
                </c:pt>
                <c:pt idx="1445">
                  <c:v>43526</c:v>
                </c:pt>
                <c:pt idx="1446">
                  <c:v>43526</c:v>
                </c:pt>
                <c:pt idx="1447">
                  <c:v>43526</c:v>
                </c:pt>
                <c:pt idx="1448">
                  <c:v>43526</c:v>
                </c:pt>
                <c:pt idx="1449">
                  <c:v>43526</c:v>
                </c:pt>
                <c:pt idx="1450">
                  <c:v>43526</c:v>
                </c:pt>
                <c:pt idx="1451">
                  <c:v>43526</c:v>
                </c:pt>
                <c:pt idx="1452">
                  <c:v>43526</c:v>
                </c:pt>
                <c:pt idx="1453">
                  <c:v>43526</c:v>
                </c:pt>
                <c:pt idx="1454">
                  <c:v>43526</c:v>
                </c:pt>
                <c:pt idx="1455">
                  <c:v>43526</c:v>
                </c:pt>
                <c:pt idx="1456">
                  <c:v>43526</c:v>
                </c:pt>
                <c:pt idx="1457">
                  <c:v>43526</c:v>
                </c:pt>
                <c:pt idx="1458">
                  <c:v>43526</c:v>
                </c:pt>
                <c:pt idx="1459">
                  <c:v>43526</c:v>
                </c:pt>
                <c:pt idx="1460">
                  <c:v>43526</c:v>
                </c:pt>
                <c:pt idx="1461">
                  <c:v>43526</c:v>
                </c:pt>
                <c:pt idx="1462">
                  <c:v>43526</c:v>
                </c:pt>
                <c:pt idx="1463">
                  <c:v>43526</c:v>
                </c:pt>
                <c:pt idx="1464">
                  <c:v>43527</c:v>
                </c:pt>
                <c:pt idx="1465">
                  <c:v>43527</c:v>
                </c:pt>
                <c:pt idx="1466">
                  <c:v>43527</c:v>
                </c:pt>
                <c:pt idx="1467">
                  <c:v>43527</c:v>
                </c:pt>
                <c:pt idx="1468">
                  <c:v>43527</c:v>
                </c:pt>
                <c:pt idx="1469">
                  <c:v>43527</c:v>
                </c:pt>
                <c:pt idx="1470">
                  <c:v>43527</c:v>
                </c:pt>
                <c:pt idx="1471">
                  <c:v>43527</c:v>
                </c:pt>
                <c:pt idx="1472">
                  <c:v>43527</c:v>
                </c:pt>
                <c:pt idx="1473">
                  <c:v>43527</c:v>
                </c:pt>
                <c:pt idx="1474">
                  <c:v>43527</c:v>
                </c:pt>
                <c:pt idx="1475">
                  <c:v>43527</c:v>
                </c:pt>
                <c:pt idx="1476">
                  <c:v>43527</c:v>
                </c:pt>
                <c:pt idx="1477">
                  <c:v>43527</c:v>
                </c:pt>
                <c:pt idx="1478">
                  <c:v>43527</c:v>
                </c:pt>
                <c:pt idx="1479">
                  <c:v>43527</c:v>
                </c:pt>
                <c:pt idx="1480">
                  <c:v>43527</c:v>
                </c:pt>
                <c:pt idx="1481">
                  <c:v>43527</c:v>
                </c:pt>
                <c:pt idx="1482">
                  <c:v>43527</c:v>
                </c:pt>
                <c:pt idx="1483">
                  <c:v>43527</c:v>
                </c:pt>
                <c:pt idx="1484">
                  <c:v>43527</c:v>
                </c:pt>
                <c:pt idx="1485">
                  <c:v>43527</c:v>
                </c:pt>
                <c:pt idx="1486">
                  <c:v>43527</c:v>
                </c:pt>
                <c:pt idx="1487">
                  <c:v>43527</c:v>
                </c:pt>
                <c:pt idx="1488">
                  <c:v>43528</c:v>
                </c:pt>
                <c:pt idx="1489">
                  <c:v>43528</c:v>
                </c:pt>
                <c:pt idx="1490">
                  <c:v>43528</c:v>
                </c:pt>
                <c:pt idx="1491">
                  <c:v>43528</c:v>
                </c:pt>
                <c:pt idx="1492">
                  <c:v>43528</c:v>
                </c:pt>
                <c:pt idx="1493">
                  <c:v>43528</c:v>
                </c:pt>
                <c:pt idx="1494">
                  <c:v>43528</c:v>
                </c:pt>
                <c:pt idx="1495">
                  <c:v>43528</c:v>
                </c:pt>
                <c:pt idx="1496">
                  <c:v>43528</c:v>
                </c:pt>
                <c:pt idx="1497">
                  <c:v>43528</c:v>
                </c:pt>
                <c:pt idx="1498">
                  <c:v>43528</c:v>
                </c:pt>
                <c:pt idx="1499">
                  <c:v>43528</c:v>
                </c:pt>
                <c:pt idx="1500">
                  <c:v>43528</c:v>
                </c:pt>
                <c:pt idx="1501">
                  <c:v>43528</c:v>
                </c:pt>
                <c:pt idx="1502">
                  <c:v>43528</c:v>
                </c:pt>
                <c:pt idx="1503">
                  <c:v>43528</c:v>
                </c:pt>
                <c:pt idx="1504">
                  <c:v>43528</c:v>
                </c:pt>
                <c:pt idx="1505">
                  <c:v>43528</c:v>
                </c:pt>
                <c:pt idx="1506">
                  <c:v>43528</c:v>
                </c:pt>
                <c:pt idx="1507">
                  <c:v>43528</c:v>
                </c:pt>
                <c:pt idx="1508">
                  <c:v>43528</c:v>
                </c:pt>
                <c:pt idx="1509">
                  <c:v>43528</c:v>
                </c:pt>
                <c:pt idx="1510">
                  <c:v>43528</c:v>
                </c:pt>
                <c:pt idx="1511">
                  <c:v>43528</c:v>
                </c:pt>
                <c:pt idx="1512">
                  <c:v>43529</c:v>
                </c:pt>
                <c:pt idx="1513">
                  <c:v>43529</c:v>
                </c:pt>
                <c:pt idx="1514">
                  <c:v>43529</c:v>
                </c:pt>
                <c:pt idx="1515">
                  <c:v>43529</c:v>
                </c:pt>
                <c:pt idx="1516">
                  <c:v>43529</c:v>
                </c:pt>
                <c:pt idx="1517">
                  <c:v>43529</c:v>
                </c:pt>
                <c:pt idx="1518">
                  <c:v>43529</c:v>
                </c:pt>
                <c:pt idx="1519">
                  <c:v>43529</c:v>
                </c:pt>
                <c:pt idx="1520">
                  <c:v>43529</c:v>
                </c:pt>
                <c:pt idx="1521">
                  <c:v>43529</c:v>
                </c:pt>
                <c:pt idx="1522">
                  <c:v>43529</c:v>
                </c:pt>
                <c:pt idx="1523">
                  <c:v>43529</c:v>
                </c:pt>
                <c:pt idx="1524">
                  <c:v>43529</c:v>
                </c:pt>
                <c:pt idx="1525">
                  <c:v>43529</c:v>
                </c:pt>
                <c:pt idx="1526">
                  <c:v>43529</c:v>
                </c:pt>
                <c:pt idx="1527">
                  <c:v>43529</c:v>
                </c:pt>
                <c:pt idx="1528">
                  <c:v>43529</c:v>
                </c:pt>
                <c:pt idx="1529">
                  <c:v>43529</c:v>
                </c:pt>
                <c:pt idx="1530">
                  <c:v>43529</c:v>
                </c:pt>
                <c:pt idx="1531">
                  <c:v>43529</c:v>
                </c:pt>
                <c:pt idx="1532">
                  <c:v>43529</c:v>
                </c:pt>
                <c:pt idx="1533">
                  <c:v>43529</c:v>
                </c:pt>
                <c:pt idx="1534">
                  <c:v>43529</c:v>
                </c:pt>
                <c:pt idx="1535">
                  <c:v>43529</c:v>
                </c:pt>
                <c:pt idx="1536">
                  <c:v>43530</c:v>
                </c:pt>
                <c:pt idx="1537">
                  <c:v>43530</c:v>
                </c:pt>
                <c:pt idx="1538">
                  <c:v>43530</c:v>
                </c:pt>
                <c:pt idx="1539">
                  <c:v>43530</c:v>
                </c:pt>
                <c:pt idx="1540">
                  <c:v>43530</c:v>
                </c:pt>
                <c:pt idx="1541">
                  <c:v>43530</c:v>
                </c:pt>
                <c:pt idx="1542">
                  <c:v>43530</c:v>
                </c:pt>
                <c:pt idx="1543">
                  <c:v>43530</c:v>
                </c:pt>
                <c:pt idx="1544">
                  <c:v>43530</c:v>
                </c:pt>
                <c:pt idx="1545">
                  <c:v>43530</c:v>
                </c:pt>
                <c:pt idx="1546">
                  <c:v>43530</c:v>
                </c:pt>
                <c:pt idx="1547">
                  <c:v>43530</c:v>
                </c:pt>
                <c:pt idx="1548">
                  <c:v>43530</c:v>
                </c:pt>
                <c:pt idx="1549">
                  <c:v>43530</c:v>
                </c:pt>
                <c:pt idx="1550">
                  <c:v>43530</c:v>
                </c:pt>
                <c:pt idx="1551">
                  <c:v>43530</c:v>
                </c:pt>
                <c:pt idx="1552">
                  <c:v>43530</c:v>
                </c:pt>
                <c:pt idx="1553">
                  <c:v>43530</c:v>
                </c:pt>
                <c:pt idx="1554">
                  <c:v>43530</c:v>
                </c:pt>
                <c:pt idx="1555">
                  <c:v>43530</c:v>
                </c:pt>
                <c:pt idx="1556">
                  <c:v>43530</c:v>
                </c:pt>
                <c:pt idx="1557">
                  <c:v>43530</c:v>
                </c:pt>
                <c:pt idx="1558">
                  <c:v>43530</c:v>
                </c:pt>
                <c:pt idx="1559">
                  <c:v>43530</c:v>
                </c:pt>
                <c:pt idx="1560">
                  <c:v>43531</c:v>
                </c:pt>
                <c:pt idx="1561">
                  <c:v>43531</c:v>
                </c:pt>
                <c:pt idx="1562">
                  <c:v>43531</c:v>
                </c:pt>
                <c:pt idx="1563">
                  <c:v>43531</c:v>
                </c:pt>
                <c:pt idx="1564">
                  <c:v>43531</c:v>
                </c:pt>
                <c:pt idx="1565">
                  <c:v>43531</c:v>
                </c:pt>
                <c:pt idx="1566">
                  <c:v>43531</c:v>
                </c:pt>
                <c:pt idx="1567">
                  <c:v>43531</c:v>
                </c:pt>
                <c:pt idx="1568">
                  <c:v>43531</c:v>
                </c:pt>
                <c:pt idx="1569">
                  <c:v>43531</c:v>
                </c:pt>
                <c:pt idx="1570">
                  <c:v>43531</c:v>
                </c:pt>
                <c:pt idx="1571">
                  <c:v>43531</c:v>
                </c:pt>
                <c:pt idx="1572">
                  <c:v>43531</c:v>
                </c:pt>
                <c:pt idx="1573">
                  <c:v>43531</c:v>
                </c:pt>
                <c:pt idx="1574">
                  <c:v>43531</c:v>
                </c:pt>
                <c:pt idx="1575">
                  <c:v>43531</c:v>
                </c:pt>
                <c:pt idx="1576">
                  <c:v>43531</c:v>
                </c:pt>
                <c:pt idx="1577">
                  <c:v>43531</c:v>
                </c:pt>
                <c:pt idx="1578">
                  <c:v>43531</c:v>
                </c:pt>
                <c:pt idx="1579">
                  <c:v>43531</c:v>
                </c:pt>
                <c:pt idx="1580">
                  <c:v>43531</c:v>
                </c:pt>
                <c:pt idx="1581">
                  <c:v>43531</c:v>
                </c:pt>
                <c:pt idx="1582">
                  <c:v>43531</c:v>
                </c:pt>
                <c:pt idx="1583">
                  <c:v>43531</c:v>
                </c:pt>
                <c:pt idx="1584">
                  <c:v>43532</c:v>
                </c:pt>
                <c:pt idx="1585">
                  <c:v>43532</c:v>
                </c:pt>
                <c:pt idx="1586">
                  <c:v>43532</c:v>
                </c:pt>
                <c:pt idx="1587">
                  <c:v>43532</c:v>
                </c:pt>
                <c:pt idx="1588">
                  <c:v>43532</c:v>
                </c:pt>
                <c:pt idx="1589">
                  <c:v>43532</c:v>
                </c:pt>
                <c:pt idx="1590">
                  <c:v>43532</c:v>
                </c:pt>
                <c:pt idx="1591">
                  <c:v>43532</c:v>
                </c:pt>
                <c:pt idx="1592">
                  <c:v>43532</c:v>
                </c:pt>
                <c:pt idx="1593">
                  <c:v>43532</c:v>
                </c:pt>
                <c:pt idx="1594">
                  <c:v>43532</c:v>
                </c:pt>
                <c:pt idx="1595">
                  <c:v>43532</c:v>
                </c:pt>
                <c:pt idx="1596">
                  <c:v>43532</c:v>
                </c:pt>
                <c:pt idx="1597">
                  <c:v>43532</c:v>
                </c:pt>
                <c:pt idx="1598">
                  <c:v>43532</c:v>
                </c:pt>
                <c:pt idx="1599">
                  <c:v>43532</c:v>
                </c:pt>
                <c:pt idx="1600">
                  <c:v>43532</c:v>
                </c:pt>
                <c:pt idx="1601">
                  <c:v>43532</c:v>
                </c:pt>
                <c:pt idx="1602">
                  <c:v>43532</c:v>
                </c:pt>
                <c:pt idx="1603">
                  <c:v>43532</c:v>
                </c:pt>
                <c:pt idx="1604">
                  <c:v>43532</c:v>
                </c:pt>
                <c:pt idx="1605">
                  <c:v>43532</c:v>
                </c:pt>
                <c:pt idx="1606">
                  <c:v>43532</c:v>
                </c:pt>
                <c:pt idx="1607">
                  <c:v>43532</c:v>
                </c:pt>
                <c:pt idx="1608">
                  <c:v>43533</c:v>
                </c:pt>
                <c:pt idx="1609">
                  <c:v>43533</c:v>
                </c:pt>
                <c:pt idx="1610">
                  <c:v>43533</c:v>
                </c:pt>
                <c:pt idx="1611">
                  <c:v>43533</c:v>
                </c:pt>
                <c:pt idx="1612">
                  <c:v>43533</c:v>
                </c:pt>
                <c:pt idx="1613">
                  <c:v>43533</c:v>
                </c:pt>
                <c:pt idx="1614">
                  <c:v>43533</c:v>
                </c:pt>
                <c:pt idx="1615">
                  <c:v>43533</c:v>
                </c:pt>
                <c:pt idx="1616">
                  <c:v>43533</c:v>
                </c:pt>
                <c:pt idx="1617">
                  <c:v>43533</c:v>
                </c:pt>
                <c:pt idx="1618">
                  <c:v>43533</c:v>
                </c:pt>
                <c:pt idx="1619">
                  <c:v>43533</c:v>
                </c:pt>
                <c:pt idx="1620">
                  <c:v>43533</c:v>
                </c:pt>
                <c:pt idx="1621">
                  <c:v>43533</c:v>
                </c:pt>
                <c:pt idx="1622">
                  <c:v>43533</c:v>
                </c:pt>
                <c:pt idx="1623">
                  <c:v>43533</c:v>
                </c:pt>
                <c:pt idx="1624">
                  <c:v>43533</c:v>
                </c:pt>
                <c:pt idx="1625">
                  <c:v>43533</c:v>
                </c:pt>
                <c:pt idx="1626">
                  <c:v>43533</c:v>
                </c:pt>
                <c:pt idx="1627">
                  <c:v>43533</c:v>
                </c:pt>
                <c:pt idx="1628">
                  <c:v>43533</c:v>
                </c:pt>
                <c:pt idx="1629">
                  <c:v>43533</c:v>
                </c:pt>
                <c:pt idx="1630">
                  <c:v>43533</c:v>
                </c:pt>
                <c:pt idx="1631">
                  <c:v>43533</c:v>
                </c:pt>
                <c:pt idx="1632">
                  <c:v>43534</c:v>
                </c:pt>
                <c:pt idx="1633">
                  <c:v>43534</c:v>
                </c:pt>
                <c:pt idx="1634">
                  <c:v>43534</c:v>
                </c:pt>
                <c:pt idx="1635">
                  <c:v>43534</c:v>
                </c:pt>
                <c:pt idx="1636">
                  <c:v>43534</c:v>
                </c:pt>
                <c:pt idx="1637">
                  <c:v>43534</c:v>
                </c:pt>
                <c:pt idx="1638">
                  <c:v>43534</c:v>
                </c:pt>
                <c:pt idx="1639">
                  <c:v>43534</c:v>
                </c:pt>
                <c:pt idx="1640">
                  <c:v>43534</c:v>
                </c:pt>
                <c:pt idx="1641">
                  <c:v>43534</c:v>
                </c:pt>
                <c:pt idx="1642">
                  <c:v>43534</c:v>
                </c:pt>
                <c:pt idx="1643">
                  <c:v>43534</c:v>
                </c:pt>
                <c:pt idx="1644">
                  <c:v>43534</c:v>
                </c:pt>
                <c:pt idx="1645">
                  <c:v>43534</c:v>
                </c:pt>
                <c:pt idx="1646">
                  <c:v>43534</c:v>
                </c:pt>
                <c:pt idx="1647">
                  <c:v>43534</c:v>
                </c:pt>
                <c:pt idx="1648">
                  <c:v>43534</c:v>
                </c:pt>
                <c:pt idx="1649">
                  <c:v>43534</c:v>
                </c:pt>
                <c:pt idx="1650">
                  <c:v>43534</c:v>
                </c:pt>
                <c:pt idx="1651">
                  <c:v>43534</c:v>
                </c:pt>
                <c:pt idx="1652">
                  <c:v>43534</c:v>
                </c:pt>
                <c:pt idx="1653">
                  <c:v>43534</c:v>
                </c:pt>
                <c:pt idx="1654">
                  <c:v>43534</c:v>
                </c:pt>
                <c:pt idx="1655">
                  <c:v>43534</c:v>
                </c:pt>
                <c:pt idx="1656">
                  <c:v>43535</c:v>
                </c:pt>
                <c:pt idx="1657">
                  <c:v>43535</c:v>
                </c:pt>
                <c:pt idx="1658">
                  <c:v>43535</c:v>
                </c:pt>
                <c:pt idx="1659">
                  <c:v>43535</c:v>
                </c:pt>
                <c:pt idx="1660">
                  <c:v>43535</c:v>
                </c:pt>
                <c:pt idx="1661">
                  <c:v>43535</c:v>
                </c:pt>
                <c:pt idx="1662">
                  <c:v>43535</c:v>
                </c:pt>
                <c:pt idx="1663">
                  <c:v>43535</c:v>
                </c:pt>
                <c:pt idx="1664">
                  <c:v>43535</c:v>
                </c:pt>
                <c:pt idx="1665">
                  <c:v>43535</c:v>
                </c:pt>
                <c:pt idx="1666">
                  <c:v>43535</c:v>
                </c:pt>
                <c:pt idx="1667">
                  <c:v>43535</c:v>
                </c:pt>
                <c:pt idx="1668">
                  <c:v>43535</c:v>
                </c:pt>
                <c:pt idx="1669">
                  <c:v>43535</c:v>
                </c:pt>
                <c:pt idx="1670">
                  <c:v>43535</c:v>
                </c:pt>
                <c:pt idx="1671">
                  <c:v>43535</c:v>
                </c:pt>
                <c:pt idx="1672">
                  <c:v>43535</c:v>
                </c:pt>
                <c:pt idx="1673">
                  <c:v>43535</c:v>
                </c:pt>
                <c:pt idx="1674">
                  <c:v>43535</c:v>
                </c:pt>
                <c:pt idx="1675">
                  <c:v>43535</c:v>
                </c:pt>
                <c:pt idx="1676">
                  <c:v>43535</c:v>
                </c:pt>
                <c:pt idx="1677">
                  <c:v>43535</c:v>
                </c:pt>
                <c:pt idx="1678">
                  <c:v>43535</c:v>
                </c:pt>
                <c:pt idx="1679">
                  <c:v>43535</c:v>
                </c:pt>
                <c:pt idx="1680">
                  <c:v>43536</c:v>
                </c:pt>
                <c:pt idx="1681">
                  <c:v>43536</c:v>
                </c:pt>
                <c:pt idx="1682">
                  <c:v>43536</c:v>
                </c:pt>
                <c:pt idx="1683">
                  <c:v>43536</c:v>
                </c:pt>
                <c:pt idx="1684">
                  <c:v>43536</c:v>
                </c:pt>
                <c:pt idx="1685">
                  <c:v>43536</c:v>
                </c:pt>
                <c:pt idx="1686">
                  <c:v>43536</c:v>
                </c:pt>
                <c:pt idx="1687">
                  <c:v>43536</c:v>
                </c:pt>
                <c:pt idx="1688">
                  <c:v>43536</c:v>
                </c:pt>
                <c:pt idx="1689">
                  <c:v>43536</c:v>
                </c:pt>
                <c:pt idx="1690">
                  <c:v>43536</c:v>
                </c:pt>
                <c:pt idx="1691">
                  <c:v>43536</c:v>
                </c:pt>
                <c:pt idx="1692">
                  <c:v>43536</c:v>
                </c:pt>
                <c:pt idx="1693">
                  <c:v>43536</c:v>
                </c:pt>
                <c:pt idx="1694">
                  <c:v>43536</c:v>
                </c:pt>
                <c:pt idx="1695">
                  <c:v>43536</c:v>
                </c:pt>
                <c:pt idx="1696">
                  <c:v>43536</c:v>
                </c:pt>
                <c:pt idx="1697">
                  <c:v>43536</c:v>
                </c:pt>
                <c:pt idx="1698">
                  <c:v>43536</c:v>
                </c:pt>
                <c:pt idx="1699">
                  <c:v>43536</c:v>
                </c:pt>
                <c:pt idx="1700">
                  <c:v>43536</c:v>
                </c:pt>
                <c:pt idx="1701">
                  <c:v>43536</c:v>
                </c:pt>
                <c:pt idx="1702">
                  <c:v>43536</c:v>
                </c:pt>
                <c:pt idx="1703">
                  <c:v>43536</c:v>
                </c:pt>
                <c:pt idx="1704">
                  <c:v>43537</c:v>
                </c:pt>
                <c:pt idx="1705">
                  <c:v>43537</c:v>
                </c:pt>
                <c:pt idx="1706">
                  <c:v>43537</c:v>
                </c:pt>
                <c:pt idx="1707">
                  <c:v>43537</c:v>
                </c:pt>
                <c:pt idx="1708">
                  <c:v>43537</c:v>
                </c:pt>
                <c:pt idx="1709">
                  <c:v>43537</c:v>
                </c:pt>
                <c:pt idx="1710">
                  <c:v>43537</c:v>
                </c:pt>
                <c:pt idx="1711">
                  <c:v>43537</c:v>
                </c:pt>
                <c:pt idx="1712">
                  <c:v>43537</c:v>
                </c:pt>
                <c:pt idx="1713">
                  <c:v>43537</c:v>
                </c:pt>
                <c:pt idx="1714">
                  <c:v>43537</c:v>
                </c:pt>
                <c:pt idx="1715">
                  <c:v>43537</c:v>
                </c:pt>
                <c:pt idx="1716">
                  <c:v>43537</c:v>
                </c:pt>
                <c:pt idx="1717">
                  <c:v>43537</c:v>
                </c:pt>
                <c:pt idx="1718">
                  <c:v>43537</c:v>
                </c:pt>
                <c:pt idx="1719">
                  <c:v>43537</c:v>
                </c:pt>
                <c:pt idx="1720">
                  <c:v>43537</c:v>
                </c:pt>
                <c:pt idx="1721">
                  <c:v>43537</c:v>
                </c:pt>
                <c:pt idx="1722">
                  <c:v>43537</c:v>
                </c:pt>
                <c:pt idx="1723">
                  <c:v>43537</c:v>
                </c:pt>
                <c:pt idx="1724">
                  <c:v>43537</c:v>
                </c:pt>
                <c:pt idx="1725">
                  <c:v>43537</c:v>
                </c:pt>
                <c:pt idx="1726">
                  <c:v>43537</c:v>
                </c:pt>
                <c:pt idx="1727">
                  <c:v>43537</c:v>
                </c:pt>
                <c:pt idx="1728">
                  <c:v>43538</c:v>
                </c:pt>
                <c:pt idx="1729">
                  <c:v>43538</c:v>
                </c:pt>
                <c:pt idx="1730">
                  <c:v>43538</c:v>
                </c:pt>
                <c:pt idx="1731">
                  <c:v>43538</c:v>
                </c:pt>
                <c:pt idx="1732">
                  <c:v>43538</c:v>
                </c:pt>
                <c:pt idx="1733">
                  <c:v>43538</c:v>
                </c:pt>
                <c:pt idx="1734">
                  <c:v>43538</c:v>
                </c:pt>
                <c:pt idx="1735">
                  <c:v>43538</c:v>
                </c:pt>
                <c:pt idx="1736">
                  <c:v>43538</c:v>
                </c:pt>
                <c:pt idx="1737">
                  <c:v>43538</c:v>
                </c:pt>
                <c:pt idx="1738">
                  <c:v>43538</c:v>
                </c:pt>
                <c:pt idx="1739">
                  <c:v>43538</c:v>
                </c:pt>
                <c:pt idx="1740">
                  <c:v>43538</c:v>
                </c:pt>
                <c:pt idx="1741">
                  <c:v>43538</c:v>
                </c:pt>
                <c:pt idx="1742">
                  <c:v>43538</c:v>
                </c:pt>
                <c:pt idx="1743">
                  <c:v>43538</c:v>
                </c:pt>
                <c:pt idx="1744">
                  <c:v>43538</c:v>
                </c:pt>
                <c:pt idx="1745">
                  <c:v>43538</c:v>
                </c:pt>
                <c:pt idx="1746">
                  <c:v>43538</c:v>
                </c:pt>
                <c:pt idx="1747">
                  <c:v>43538</c:v>
                </c:pt>
                <c:pt idx="1748">
                  <c:v>43538</c:v>
                </c:pt>
                <c:pt idx="1749">
                  <c:v>43538</c:v>
                </c:pt>
                <c:pt idx="1750">
                  <c:v>43538</c:v>
                </c:pt>
                <c:pt idx="1751">
                  <c:v>43538</c:v>
                </c:pt>
                <c:pt idx="1752">
                  <c:v>43539</c:v>
                </c:pt>
                <c:pt idx="1753">
                  <c:v>43539</c:v>
                </c:pt>
                <c:pt idx="1754">
                  <c:v>43539</c:v>
                </c:pt>
                <c:pt idx="1755">
                  <c:v>43539</c:v>
                </c:pt>
                <c:pt idx="1756">
                  <c:v>43539</c:v>
                </c:pt>
                <c:pt idx="1757">
                  <c:v>43539</c:v>
                </c:pt>
                <c:pt idx="1758">
                  <c:v>43539</c:v>
                </c:pt>
                <c:pt idx="1759">
                  <c:v>43539</c:v>
                </c:pt>
                <c:pt idx="1760">
                  <c:v>43539</c:v>
                </c:pt>
                <c:pt idx="1761">
                  <c:v>43539</c:v>
                </c:pt>
                <c:pt idx="1762">
                  <c:v>43539</c:v>
                </c:pt>
                <c:pt idx="1763">
                  <c:v>43539</c:v>
                </c:pt>
                <c:pt idx="1764">
                  <c:v>43539</c:v>
                </c:pt>
                <c:pt idx="1765">
                  <c:v>43539</c:v>
                </c:pt>
                <c:pt idx="1766">
                  <c:v>43539</c:v>
                </c:pt>
                <c:pt idx="1767">
                  <c:v>43539</c:v>
                </c:pt>
                <c:pt idx="1768">
                  <c:v>43539</c:v>
                </c:pt>
                <c:pt idx="1769">
                  <c:v>43539</c:v>
                </c:pt>
                <c:pt idx="1770">
                  <c:v>43539</c:v>
                </c:pt>
                <c:pt idx="1771">
                  <c:v>43539</c:v>
                </c:pt>
                <c:pt idx="1772">
                  <c:v>43539</c:v>
                </c:pt>
                <c:pt idx="1773">
                  <c:v>43539</c:v>
                </c:pt>
                <c:pt idx="1774">
                  <c:v>43539</c:v>
                </c:pt>
                <c:pt idx="1775">
                  <c:v>43539</c:v>
                </c:pt>
                <c:pt idx="1776">
                  <c:v>43540</c:v>
                </c:pt>
                <c:pt idx="1777">
                  <c:v>43540</c:v>
                </c:pt>
                <c:pt idx="1778">
                  <c:v>43540</c:v>
                </c:pt>
                <c:pt idx="1779">
                  <c:v>43540</c:v>
                </c:pt>
                <c:pt idx="1780">
                  <c:v>43540</c:v>
                </c:pt>
                <c:pt idx="1781">
                  <c:v>43540</c:v>
                </c:pt>
                <c:pt idx="1782">
                  <c:v>43540</c:v>
                </c:pt>
                <c:pt idx="1783">
                  <c:v>43540</c:v>
                </c:pt>
                <c:pt idx="1784">
                  <c:v>43540</c:v>
                </c:pt>
                <c:pt idx="1785">
                  <c:v>43540</c:v>
                </c:pt>
                <c:pt idx="1786">
                  <c:v>43540</c:v>
                </c:pt>
                <c:pt idx="1787">
                  <c:v>43540</c:v>
                </c:pt>
                <c:pt idx="1788">
                  <c:v>43540</c:v>
                </c:pt>
                <c:pt idx="1789">
                  <c:v>43540</c:v>
                </c:pt>
                <c:pt idx="1790">
                  <c:v>43540</c:v>
                </c:pt>
                <c:pt idx="1791">
                  <c:v>43540</c:v>
                </c:pt>
                <c:pt idx="1792">
                  <c:v>43540</c:v>
                </c:pt>
                <c:pt idx="1793">
                  <c:v>43540</c:v>
                </c:pt>
                <c:pt idx="1794">
                  <c:v>43540</c:v>
                </c:pt>
                <c:pt idx="1795">
                  <c:v>43540</c:v>
                </c:pt>
                <c:pt idx="1796">
                  <c:v>43540</c:v>
                </c:pt>
                <c:pt idx="1797">
                  <c:v>43540</c:v>
                </c:pt>
                <c:pt idx="1798">
                  <c:v>43540</c:v>
                </c:pt>
                <c:pt idx="1799">
                  <c:v>43540</c:v>
                </c:pt>
                <c:pt idx="1800">
                  <c:v>43541</c:v>
                </c:pt>
                <c:pt idx="1801">
                  <c:v>43541</c:v>
                </c:pt>
                <c:pt idx="1802">
                  <c:v>43541</c:v>
                </c:pt>
                <c:pt idx="1803">
                  <c:v>43541</c:v>
                </c:pt>
                <c:pt idx="1804">
                  <c:v>43541</c:v>
                </c:pt>
                <c:pt idx="1805">
                  <c:v>43541</c:v>
                </c:pt>
                <c:pt idx="1806">
                  <c:v>43541</c:v>
                </c:pt>
                <c:pt idx="1807">
                  <c:v>43541</c:v>
                </c:pt>
                <c:pt idx="1808">
                  <c:v>43541</c:v>
                </c:pt>
                <c:pt idx="1809">
                  <c:v>43541</c:v>
                </c:pt>
                <c:pt idx="1810">
                  <c:v>43541</c:v>
                </c:pt>
                <c:pt idx="1811">
                  <c:v>43541</c:v>
                </c:pt>
                <c:pt idx="1812">
                  <c:v>43541</c:v>
                </c:pt>
                <c:pt idx="1813">
                  <c:v>43541</c:v>
                </c:pt>
                <c:pt idx="1814">
                  <c:v>43541</c:v>
                </c:pt>
                <c:pt idx="1815">
                  <c:v>43541</c:v>
                </c:pt>
                <c:pt idx="1816">
                  <c:v>43541</c:v>
                </c:pt>
                <c:pt idx="1817">
                  <c:v>43541</c:v>
                </c:pt>
                <c:pt idx="1818">
                  <c:v>43541</c:v>
                </c:pt>
                <c:pt idx="1819">
                  <c:v>43541</c:v>
                </c:pt>
                <c:pt idx="1820">
                  <c:v>43541</c:v>
                </c:pt>
                <c:pt idx="1821">
                  <c:v>43541</c:v>
                </c:pt>
                <c:pt idx="1822">
                  <c:v>43541</c:v>
                </c:pt>
                <c:pt idx="1823">
                  <c:v>43541</c:v>
                </c:pt>
                <c:pt idx="1824">
                  <c:v>43542</c:v>
                </c:pt>
                <c:pt idx="1825">
                  <c:v>43542</c:v>
                </c:pt>
                <c:pt idx="1826">
                  <c:v>43542</c:v>
                </c:pt>
                <c:pt idx="1827">
                  <c:v>43542</c:v>
                </c:pt>
                <c:pt idx="1828">
                  <c:v>43542</c:v>
                </c:pt>
                <c:pt idx="1829">
                  <c:v>43542</c:v>
                </c:pt>
                <c:pt idx="1830">
                  <c:v>43542</c:v>
                </c:pt>
                <c:pt idx="1831">
                  <c:v>43542</c:v>
                </c:pt>
                <c:pt idx="1832">
                  <c:v>43542</c:v>
                </c:pt>
                <c:pt idx="1833">
                  <c:v>43542</c:v>
                </c:pt>
                <c:pt idx="1834">
                  <c:v>43542</c:v>
                </c:pt>
                <c:pt idx="1835">
                  <c:v>43542</c:v>
                </c:pt>
                <c:pt idx="1836">
                  <c:v>43542</c:v>
                </c:pt>
                <c:pt idx="1837">
                  <c:v>43542</c:v>
                </c:pt>
                <c:pt idx="1838">
                  <c:v>43542</c:v>
                </c:pt>
                <c:pt idx="1839">
                  <c:v>43542</c:v>
                </c:pt>
                <c:pt idx="1840">
                  <c:v>43542</c:v>
                </c:pt>
                <c:pt idx="1841">
                  <c:v>43542</c:v>
                </c:pt>
                <c:pt idx="1842">
                  <c:v>43542</c:v>
                </c:pt>
                <c:pt idx="1843">
                  <c:v>43542</c:v>
                </c:pt>
                <c:pt idx="1844">
                  <c:v>43542</c:v>
                </c:pt>
                <c:pt idx="1845">
                  <c:v>43542</c:v>
                </c:pt>
                <c:pt idx="1846">
                  <c:v>43542</c:v>
                </c:pt>
                <c:pt idx="1847">
                  <c:v>43542</c:v>
                </c:pt>
                <c:pt idx="1848">
                  <c:v>43543</c:v>
                </c:pt>
                <c:pt idx="1849">
                  <c:v>43543</c:v>
                </c:pt>
                <c:pt idx="1850">
                  <c:v>43543</c:v>
                </c:pt>
                <c:pt idx="1851">
                  <c:v>43543</c:v>
                </c:pt>
                <c:pt idx="1852">
                  <c:v>43543</c:v>
                </c:pt>
                <c:pt idx="1853">
                  <c:v>43543</c:v>
                </c:pt>
                <c:pt idx="1854">
                  <c:v>43543</c:v>
                </c:pt>
                <c:pt idx="1855">
                  <c:v>43543</c:v>
                </c:pt>
                <c:pt idx="1856">
                  <c:v>43543</c:v>
                </c:pt>
                <c:pt idx="1857">
                  <c:v>43543</c:v>
                </c:pt>
                <c:pt idx="1858">
                  <c:v>43543</c:v>
                </c:pt>
                <c:pt idx="1859">
                  <c:v>43543</c:v>
                </c:pt>
                <c:pt idx="1860">
                  <c:v>43543</c:v>
                </c:pt>
                <c:pt idx="1861">
                  <c:v>43543</c:v>
                </c:pt>
                <c:pt idx="1862">
                  <c:v>43543</c:v>
                </c:pt>
                <c:pt idx="1863">
                  <c:v>43543</c:v>
                </c:pt>
                <c:pt idx="1864">
                  <c:v>43543</c:v>
                </c:pt>
                <c:pt idx="1865">
                  <c:v>43543</c:v>
                </c:pt>
                <c:pt idx="1866">
                  <c:v>43543</c:v>
                </c:pt>
                <c:pt idx="1867">
                  <c:v>43543</c:v>
                </c:pt>
                <c:pt idx="1868">
                  <c:v>43543</c:v>
                </c:pt>
                <c:pt idx="1869">
                  <c:v>43543</c:v>
                </c:pt>
                <c:pt idx="1870">
                  <c:v>43543</c:v>
                </c:pt>
                <c:pt idx="1871">
                  <c:v>43543</c:v>
                </c:pt>
                <c:pt idx="1872">
                  <c:v>43544</c:v>
                </c:pt>
                <c:pt idx="1873">
                  <c:v>43544</c:v>
                </c:pt>
                <c:pt idx="1874">
                  <c:v>43544</c:v>
                </c:pt>
                <c:pt idx="1875">
                  <c:v>43544</c:v>
                </c:pt>
                <c:pt idx="1876">
                  <c:v>43544</c:v>
                </c:pt>
                <c:pt idx="1877">
                  <c:v>43544</c:v>
                </c:pt>
                <c:pt idx="1878">
                  <c:v>43544</c:v>
                </c:pt>
                <c:pt idx="1879">
                  <c:v>43544</c:v>
                </c:pt>
                <c:pt idx="1880">
                  <c:v>43544</c:v>
                </c:pt>
                <c:pt idx="1881">
                  <c:v>43544</c:v>
                </c:pt>
                <c:pt idx="1882">
                  <c:v>43544</c:v>
                </c:pt>
                <c:pt idx="1883">
                  <c:v>43544</c:v>
                </c:pt>
                <c:pt idx="1884">
                  <c:v>43544</c:v>
                </c:pt>
                <c:pt idx="1885">
                  <c:v>43544</c:v>
                </c:pt>
                <c:pt idx="1886">
                  <c:v>43544</c:v>
                </c:pt>
                <c:pt idx="1887">
                  <c:v>43544</c:v>
                </c:pt>
                <c:pt idx="1888">
                  <c:v>43544</c:v>
                </c:pt>
                <c:pt idx="1889">
                  <c:v>43544</c:v>
                </c:pt>
                <c:pt idx="1890">
                  <c:v>43544</c:v>
                </c:pt>
                <c:pt idx="1891">
                  <c:v>43544</c:v>
                </c:pt>
                <c:pt idx="1892">
                  <c:v>43544</c:v>
                </c:pt>
                <c:pt idx="1893">
                  <c:v>43544</c:v>
                </c:pt>
                <c:pt idx="1894">
                  <c:v>43544</c:v>
                </c:pt>
                <c:pt idx="1895">
                  <c:v>43544</c:v>
                </c:pt>
                <c:pt idx="1896">
                  <c:v>43545</c:v>
                </c:pt>
                <c:pt idx="1897">
                  <c:v>43545</c:v>
                </c:pt>
                <c:pt idx="1898">
                  <c:v>43545</c:v>
                </c:pt>
                <c:pt idx="1899">
                  <c:v>43545</c:v>
                </c:pt>
                <c:pt idx="1900">
                  <c:v>43545</c:v>
                </c:pt>
                <c:pt idx="1901">
                  <c:v>43545</c:v>
                </c:pt>
                <c:pt idx="1902">
                  <c:v>43545</c:v>
                </c:pt>
                <c:pt idx="1903">
                  <c:v>43545</c:v>
                </c:pt>
                <c:pt idx="1904">
                  <c:v>43545</c:v>
                </c:pt>
                <c:pt idx="1905">
                  <c:v>43545</c:v>
                </c:pt>
                <c:pt idx="1906">
                  <c:v>43545</c:v>
                </c:pt>
                <c:pt idx="1907">
                  <c:v>43545</c:v>
                </c:pt>
                <c:pt idx="1908">
                  <c:v>43545</c:v>
                </c:pt>
                <c:pt idx="1909">
                  <c:v>43545</c:v>
                </c:pt>
                <c:pt idx="1910">
                  <c:v>43545</c:v>
                </c:pt>
                <c:pt idx="1911">
                  <c:v>43545</c:v>
                </c:pt>
                <c:pt idx="1912">
                  <c:v>43545</c:v>
                </c:pt>
                <c:pt idx="1913">
                  <c:v>43545</c:v>
                </c:pt>
                <c:pt idx="1914">
                  <c:v>43545</c:v>
                </c:pt>
                <c:pt idx="1915">
                  <c:v>43545</c:v>
                </c:pt>
                <c:pt idx="1916">
                  <c:v>43545</c:v>
                </c:pt>
                <c:pt idx="1917">
                  <c:v>43545</c:v>
                </c:pt>
                <c:pt idx="1918">
                  <c:v>43545</c:v>
                </c:pt>
                <c:pt idx="1919">
                  <c:v>43545</c:v>
                </c:pt>
                <c:pt idx="1920">
                  <c:v>43546</c:v>
                </c:pt>
                <c:pt idx="1921">
                  <c:v>43546</c:v>
                </c:pt>
                <c:pt idx="1922">
                  <c:v>43546</c:v>
                </c:pt>
                <c:pt idx="1923">
                  <c:v>43546</c:v>
                </c:pt>
                <c:pt idx="1924">
                  <c:v>43546</c:v>
                </c:pt>
                <c:pt idx="1925">
                  <c:v>43546</c:v>
                </c:pt>
                <c:pt idx="1926">
                  <c:v>43546</c:v>
                </c:pt>
                <c:pt idx="1927">
                  <c:v>43546</c:v>
                </c:pt>
                <c:pt idx="1928">
                  <c:v>43546</c:v>
                </c:pt>
                <c:pt idx="1929">
                  <c:v>43546</c:v>
                </c:pt>
                <c:pt idx="1930">
                  <c:v>43546</c:v>
                </c:pt>
                <c:pt idx="1931">
                  <c:v>43546</c:v>
                </c:pt>
                <c:pt idx="1932">
                  <c:v>43546</c:v>
                </c:pt>
                <c:pt idx="1933">
                  <c:v>43546</c:v>
                </c:pt>
                <c:pt idx="1934">
                  <c:v>43546</c:v>
                </c:pt>
                <c:pt idx="1935">
                  <c:v>43546</c:v>
                </c:pt>
                <c:pt idx="1936">
                  <c:v>43546</c:v>
                </c:pt>
                <c:pt idx="1937">
                  <c:v>43546</c:v>
                </c:pt>
                <c:pt idx="1938">
                  <c:v>43546</c:v>
                </c:pt>
                <c:pt idx="1939">
                  <c:v>43546</c:v>
                </c:pt>
                <c:pt idx="1940">
                  <c:v>43546</c:v>
                </c:pt>
                <c:pt idx="1941">
                  <c:v>43546</c:v>
                </c:pt>
                <c:pt idx="1942">
                  <c:v>43546</c:v>
                </c:pt>
                <c:pt idx="1943">
                  <c:v>43546</c:v>
                </c:pt>
                <c:pt idx="1944">
                  <c:v>43547</c:v>
                </c:pt>
                <c:pt idx="1945">
                  <c:v>43547</c:v>
                </c:pt>
                <c:pt idx="1946">
                  <c:v>43547</c:v>
                </c:pt>
                <c:pt idx="1947">
                  <c:v>43547</c:v>
                </c:pt>
                <c:pt idx="1948">
                  <c:v>43547</c:v>
                </c:pt>
                <c:pt idx="1949">
                  <c:v>43547</c:v>
                </c:pt>
                <c:pt idx="1950">
                  <c:v>43547</c:v>
                </c:pt>
                <c:pt idx="1951">
                  <c:v>43547</c:v>
                </c:pt>
                <c:pt idx="1952">
                  <c:v>43547</c:v>
                </c:pt>
                <c:pt idx="1953">
                  <c:v>43547</c:v>
                </c:pt>
                <c:pt idx="1954">
                  <c:v>43547</c:v>
                </c:pt>
                <c:pt idx="1955">
                  <c:v>43547</c:v>
                </c:pt>
                <c:pt idx="1956">
                  <c:v>43547</c:v>
                </c:pt>
                <c:pt idx="1957">
                  <c:v>43547</c:v>
                </c:pt>
                <c:pt idx="1958">
                  <c:v>43547</c:v>
                </c:pt>
                <c:pt idx="1959">
                  <c:v>43547</c:v>
                </c:pt>
                <c:pt idx="1960">
                  <c:v>43547</c:v>
                </c:pt>
                <c:pt idx="1961">
                  <c:v>43547</c:v>
                </c:pt>
                <c:pt idx="1962">
                  <c:v>43547</c:v>
                </c:pt>
                <c:pt idx="1963">
                  <c:v>43547</c:v>
                </c:pt>
                <c:pt idx="1964">
                  <c:v>43547</c:v>
                </c:pt>
                <c:pt idx="1965">
                  <c:v>43547</c:v>
                </c:pt>
                <c:pt idx="1966">
                  <c:v>43547</c:v>
                </c:pt>
                <c:pt idx="1967">
                  <c:v>43547</c:v>
                </c:pt>
                <c:pt idx="1968">
                  <c:v>43548</c:v>
                </c:pt>
                <c:pt idx="1969">
                  <c:v>43548</c:v>
                </c:pt>
                <c:pt idx="1970">
                  <c:v>43548</c:v>
                </c:pt>
                <c:pt idx="1971">
                  <c:v>43548</c:v>
                </c:pt>
                <c:pt idx="1972">
                  <c:v>43548</c:v>
                </c:pt>
                <c:pt idx="1973">
                  <c:v>43548</c:v>
                </c:pt>
                <c:pt idx="1974">
                  <c:v>43548</c:v>
                </c:pt>
                <c:pt idx="1975">
                  <c:v>43548</c:v>
                </c:pt>
                <c:pt idx="1976">
                  <c:v>43548</c:v>
                </c:pt>
                <c:pt idx="1977">
                  <c:v>43548</c:v>
                </c:pt>
                <c:pt idx="1978">
                  <c:v>43548</c:v>
                </c:pt>
                <c:pt idx="1979">
                  <c:v>43548</c:v>
                </c:pt>
                <c:pt idx="1980">
                  <c:v>43548</c:v>
                </c:pt>
                <c:pt idx="1981">
                  <c:v>43548</c:v>
                </c:pt>
                <c:pt idx="1982">
                  <c:v>43548</c:v>
                </c:pt>
                <c:pt idx="1983">
                  <c:v>43548</c:v>
                </c:pt>
                <c:pt idx="1984">
                  <c:v>43548</c:v>
                </c:pt>
                <c:pt idx="1985">
                  <c:v>43548</c:v>
                </c:pt>
                <c:pt idx="1986">
                  <c:v>43548</c:v>
                </c:pt>
                <c:pt idx="1987">
                  <c:v>43548</c:v>
                </c:pt>
                <c:pt idx="1988">
                  <c:v>43548</c:v>
                </c:pt>
                <c:pt idx="1989">
                  <c:v>43548</c:v>
                </c:pt>
                <c:pt idx="1990">
                  <c:v>43548</c:v>
                </c:pt>
                <c:pt idx="1991">
                  <c:v>43548</c:v>
                </c:pt>
                <c:pt idx="1992">
                  <c:v>43549</c:v>
                </c:pt>
                <c:pt idx="1993">
                  <c:v>43549</c:v>
                </c:pt>
                <c:pt idx="1994">
                  <c:v>43549</c:v>
                </c:pt>
                <c:pt idx="1995">
                  <c:v>43549</c:v>
                </c:pt>
                <c:pt idx="1996">
                  <c:v>43549</c:v>
                </c:pt>
                <c:pt idx="1997">
                  <c:v>43549</c:v>
                </c:pt>
                <c:pt idx="1998">
                  <c:v>43549</c:v>
                </c:pt>
                <c:pt idx="1999">
                  <c:v>43549</c:v>
                </c:pt>
                <c:pt idx="2000">
                  <c:v>43549</c:v>
                </c:pt>
                <c:pt idx="2001">
                  <c:v>43549</c:v>
                </c:pt>
                <c:pt idx="2002">
                  <c:v>43549</c:v>
                </c:pt>
                <c:pt idx="2003">
                  <c:v>43549</c:v>
                </c:pt>
                <c:pt idx="2004">
                  <c:v>43549</c:v>
                </c:pt>
                <c:pt idx="2005">
                  <c:v>43549</c:v>
                </c:pt>
                <c:pt idx="2006">
                  <c:v>43549</c:v>
                </c:pt>
                <c:pt idx="2007">
                  <c:v>43549</c:v>
                </c:pt>
                <c:pt idx="2008">
                  <c:v>43549</c:v>
                </c:pt>
                <c:pt idx="2009">
                  <c:v>43549</c:v>
                </c:pt>
                <c:pt idx="2010">
                  <c:v>43549</c:v>
                </c:pt>
                <c:pt idx="2011">
                  <c:v>43549</c:v>
                </c:pt>
                <c:pt idx="2012">
                  <c:v>43549</c:v>
                </c:pt>
                <c:pt idx="2013">
                  <c:v>43549</c:v>
                </c:pt>
                <c:pt idx="2014">
                  <c:v>43549</c:v>
                </c:pt>
                <c:pt idx="2015">
                  <c:v>43549</c:v>
                </c:pt>
                <c:pt idx="2016">
                  <c:v>43550</c:v>
                </c:pt>
                <c:pt idx="2017">
                  <c:v>43550</c:v>
                </c:pt>
                <c:pt idx="2018">
                  <c:v>43550</c:v>
                </c:pt>
                <c:pt idx="2019">
                  <c:v>43550</c:v>
                </c:pt>
                <c:pt idx="2020">
                  <c:v>43550</c:v>
                </c:pt>
                <c:pt idx="2021">
                  <c:v>43550</c:v>
                </c:pt>
                <c:pt idx="2022">
                  <c:v>43550</c:v>
                </c:pt>
                <c:pt idx="2023">
                  <c:v>43550</c:v>
                </c:pt>
                <c:pt idx="2024">
                  <c:v>43550</c:v>
                </c:pt>
                <c:pt idx="2025">
                  <c:v>43550</c:v>
                </c:pt>
                <c:pt idx="2026">
                  <c:v>43550</c:v>
                </c:pt>
                <c:pt idx="2027">
                  <c:v>43550</c:v>
                </c:pt>
                <c:pt idx="2028">
                  <c:v>43550</c:v>
                </c:pt>
                <c:pt idx="2029">
                  <c:v>43550</c:v>
                </c:pt>
                <c:pt idx="2030">
                  <c:v>43550</c:v>
                </c:pt>
                <c:pt idx="2031">
                  <c:v>43550</c:v>
                </c:pt>
                <c:pt idx="2032">
                  <c:v>43550</c:v>
                </c:pt>
                <c:pt idx="2033">
                  <c:v>43550</c:v>
                </c:pt>
                <c:pt idx="2034">
                  <c:v>43550</c:v>
                </c:pt>
                <c:pt idx="2035">
                  <c:v>43550</c:v>
                </c:pt>
                <c:pt idx="2036">
                  <c:v>43550</c:v>
                </c:pt>
                <c:pt idx="2037">
                  <c:v>43550</c:v>
                </c:pt>
                <c:pt idx="2038">
                  <c:v>43550</c:v>
                </c:pt>
                <c:pt idx="2039">
                  <c:v>43550</c:v>
                </c:pt>
                <c:pt idx="2040">
                  <c:v>43551</c:v>
                </c:pt>
                <c:pt idx="2041">
                  <c:v>43551</c:v>
                </c:pt>
                <c:pt idx="2042">
                  <c:v>43551</c:v>
                </c:pt>
                <c:pt idx="2043">
                  <c:v>43551</c:v>
                </c:pt>
                <c:pt idx="2044">
                  <c:v>43551</c:v>
                </c:pt>
                <c:pt idx="2045">
                  <c:v>43551</c:v>
                </c:pt>
                <c:pt idx="2046">
                  <c:v>43551</c:v>
                </c:pt>
                <c:pt idx="2047">
                  <c:v>43551</c:v>
                </c:pt>
                <c:pt idx="2048">
                  <c:v>43551</c:v>
                </c:pt>
                <c:pt idx="2049">
                  <c:v>43551</c:v>
                </c:pt>
                <c:pt idx="2050">
                  <c:v>43551</c:v>
                </c:pt>
                <c:pt idx="2051">
                  <c:v>43551</c:v>
                </c:pt>
                <c:pt idx="2052">
                  <c:v>43551</c:v>
                </c:pt>
                <c:pt idx="2053">
                  <c:v>43551</c:v>
                </c:pt>
                <c:pt idx="2054">
                  <c:v>43551</c:v>
                </c:pt>
                <c:pt idx="2055">
                  <c:v>43551</c:v>
                </c:pt>
                <c:pt idx="2056">
                  <c:v>43551</c:v>
                </c:pt>
                <c:pt idx="2057">
                  <c:v>43551</c:v>
                </c:pt>
                <c:pt idx="2058">
                  <c:v>43551</c:v>
                </c:pt>
                <c:pt idx="2059">
                  <c:v>43551</c:v>
                </c:pt>
                <c:pt idx="2060">
                  <c:v>43551</c:v>
                </c:pt>
                <c:pt idx="2061">
                  <c:v>43551</c:v>
                </c:pt>
                <c:pt idx="2062">
                  <c:v>43551</c:v>
                </c:pt>
                <c:pt idx="2063">
                  <c:v>43551</c:v>
                </c:pt>
                <c:pt idx="2064">
                  <c:v>43552</c:v>
                </c:pt>
                <c:pt idx="2065">
                  <c:v>43552</c:v>
                </c:pt>
                <c:pt idx="2066">
                  <c:v>43552</c:v>
                </c:pt>
                <c:pt idx="2067">
                  <c:v>43552</c:v>
                </c:pt>
                <c:pt idx="2068">
                  <c:v>43552</c:v>
                </c:pt>
                <c:pt idx="2069">
                  <c:v>43552</c:v>
                </c:pt>
                <c:pt idx="2070">
                  <c:v>43552</c:v>
                </c:pt>
                <c:pt idx="2071">
                  <c:v>43552</c:v>
                </c:pt>
                <c:pt idx="2072">
                  <c:v>43552</c:v>
                </c:pt>
                <c:pt idx="2073">
                  <c:v>43552</c:v>
                </c:pt>
                <c:pt idx="2074">
                  <c:v>43552</c:v>
                </c:pt>
                <c:pt idx="2075">
                  <c:v>43552</c:v>
                </c:pt>
                <c:pt idx="2076">
                  <c:v>43552</c:v>
                </c:pt>
                <c:pt idx="2077">
                  <c:v>43552</c:v>
                </c:pt>
                <c:pt idx="2078">
                  <c:v>43552</c:v>
                </c:pt>
                <c:pt idx="2079">
                  <c:v>43552</c:v>
                </c:pt>
                <c:pt idx="2080">
                  <c:v>43552</c:v>
                </c:pt>
                <c:pt idx="2081">
                  <c:v>43552</c:v>
                </c:pt>
                <c:pt idx="2082">
                  <c:v>43552</c:v>
                </c:pt>
                <c:pt idx="2083">
                  <c:v>43552</c:v>
                </c:pt>
                <c:pt idx="2084">
                  <c:v>43552</c:v>
                </c:pt>
                <c:pt idx="2085">
                  <c:v>43552</c:v>
                </c:pt>
                <c:pt idx="2086">
                  <c:v>43552</c:v>
                </c:pt>
                <c:pt idx="2087">
                  <c:v>43552</c:v>
                </c:pt>
                <c:pt idx="2088">
                  <c:v>43553</c:v>
                </c:pt>
                <c:pt idx="2089">
                  <c:v>43553</c:v>
                </c:pt>
                <c:pt idx="2090">
                  <c:v>43553</c:v>
                </c:pt>
                <c:pt idx="2091">
                  <c:v>43553</c:v>
                </c:pt>
                <c:pt idx="2092">
                  <c:v>43553</c:v>
                </c:pt>
                <c:pt idx="2093">
                  <c:v>43553</c:v>
                </c:pt>
                <c:pt idx="2094">
                  <c:v>43553</c:v>
                </c:pt>
                <c:pt idx="2095">
                  <c:v>43553</c:v>
                </c:pt>
                <c:pt idx="2096">
                  <c:v>43553</c:v>
                </c:pt>
                <c:pt idx="2097">
                  <c:v>43553</c:v>
                </c:pt>
                <c:pt idx="2098">
                  <c:v>43553</c:v>
                </c:pt>
                <c:pt idx="2099">
                  <c:v>43553</c:v>
                </c:pt>
                <c:pt idx="2100">
                  <c:v>43553</c:v>
                </c:pt>
                <c:pt idx="2101">
                  <c:v>43553</c:v>
                </c:pt>
                <c:pt idx="2102">
                  <c:v>43553</c:v>
                </c:pt>
                <c:pt idx="2103">
                  <c:v>43553</c:v>
                </c:pt>
                <c:pt idx="2104">
                  <c:v>43553</c:v>
                </c:pt>
                <c:pt idx="2105">
                  <c:v>43553</c:v>
                </c:pt>
                <c:pt idx="2106">
                  <c:v>43553</c:v>
                </c:pt>
                <c:pt idx="2107">
                  <c:v>43553</c:v>
                </c:pt>
                <c:pt idx="2108">
                  <c:v>43553</c:v>
                </c:pt>
                <c:pt idx="2109">
                  <c:v>43553</c:v>
                </c:pt>
                <c:pt idx="2110">
                  <c:v>43553</c:v>
                </c:pt>
                <c:pt idx="2111">
                  <c:v>43553</c:v>
                </c:pt>
                <c:pt idx="2112">
                  <c:v>43554</c:v>
                </c:pt>
                <c:pt idx="2113">
                  <c:v>43554</c:v>
                </c:pt>
                <c:pt idx="2114">
                  <c:v>43554</c:v>
                </c:pt>
                <c:pt idx="2115">
                  <c:v>43554</c:v>
                </c:pt>
                <c:pt idx="2116">
                  <c:v>43554</c:v>
                </c:pt>
                <c:pt idx="2117">
                  <c:v>43554</c:v>
                </c:pt>
                <c:pt idx="2118">
                  <c:v>43554</c:v>
                </c:pt>
                <c:pt idx="2119">
                  <c:v>43554</c:v>
                </c:pt>
                <c:pt idx="2120">
                  <c:v>43554</c:v>
                </c:pt>
                <c:pt idx="2121">
                  <c:v>43554</c:v>
                </c:pt>
                <c:pt idx="2122">
                  <c:v>43554</c:v>
                </c:pt>
                <c:pt idx="2123">
                  <c:v>43554</c:v>
                </c:pt>
                <c:pt idx="2124">
                  <c:v>43554</c:v>
                </c:pt>
                <c:pt idx="2125">
                  <c:v>43554</c:v>
                </c:pt>
                <c:pt idx="2126">
                  <c:v>43554</c:v>
                </c:pt>
                <c:pt idx="2127">
                  <c:v>43554</c:v>
                </c:pt>
                <c:pt idx="2128">
                  <c:v>43554</c:v>
                </c:pt>
                <c:pt idx="2129">
                  <c:v>43554</c:v>
                </c:pt>
                <c:pt idx="2130">
                  <c:v>43554</c:v>
                </c:pt>
                <c:pt idx="2131">
                  <c:v>43554</c:v>
                </c:pt>
                <c:pt idx="2132">
                  <c:v>43554</c:v>
                </c:pt>
                <c:pt idx="2133">
                  <c:v>43554</c:v>
                </c:pt>
                <c:pt idx="2134">
                  <c:v>43554</c:v>
                </c:pt>
                <c:pt idx="2135">
                  <c:v>43554</c:v>
                </c:pt>
                <c:pt idx="2136">
                  <c:v>43555</c:v>
                </c:pt>
                <c:pt idx="2137">
                  <c:v>43555</c:v>
                </c:pt>
                <c:pt idx="2138">
                  <c:v>43555</c:v>
                </c:pt>
                <c:pt idx="2139">
                  <c:v>43555</c:v>
                </c:pt>
                <c:pt idx="2140">
                  <c:v>43555</c:v>
                </c:pt>
                <c:pt idx="2141">
                  <c:v>43555</c:v>
                </c:pt>
                <c:pt idx="2142">
                  <c:v>43555</c:v>
                </c:pt>
                <c:pt idx="2143">
                  <c:v>43555</c:v>
                </c:pt>
                <c:pt idx="2144">
                  <c:v>43555</c:v>
                </c:pt>
                <c:pt idx="2145">
                  <c:v>43555</c:v>
                </c:pt>
                <c:pt idx="2146">
                  <c:v>43555</c:v>
                </c:pt>
                <c:pt idx="2147">
                  <c:v>43555</c:v>
                </c:pt>
                <c:pt idx="2148">
                  <c:v>43555</c:v>
                </c:pt>
                <c:pt idx="2149">
                  <c:v>43555</c:v>
                </c:pt>
                <c:pt idx="2150">
                  <c:v>43555</c:v>
                </c:pt>
                <c:pt idx="2151">
                  <c:v>43555</c:v>
                </c:pt>
                <c:pt idx="2152">
                  <c:v>43555</c:v>
                </c:pt>
                <c:pt idx="2153">
                  <c:v>43555</c:v>
                </c:pt>
                <c:pt idx="2154">
                  <c:v>43555</c:v>
                </c:pt>
                <c:pt idx="2155">
                  <c:v>43555</c:v>
                </c:pt>
                <c:pt idx="2156">
                  <c:v>43555</c:v>
                </c:pt>
                <c:pt idx="2157">
                  <c:v>43555</c:v>
                </c:pt>
                <c:pt idx="2158">
                  <c:v>43555</c:v>
                </c:pt>
                <c:pt idx="2159">
                  <c:v>43555</c:v>
                </c:pt>
                <c:pt idx="2160">
                  <c:v>43556</c:v>
                </c:pt>
                <c:pt idx="2161">
                  <c:v>43556</c:v>
                </c:pt>
                <c:pt idx="2162">
                  <c:v>43556</c:v>
                </c:pt>
                <c:pt idx="2163">
                  <c:v>43556</c:v>
                </c:pt>
                <c:pt idx="2164">
                  <c:v>43556</c:v>
                </c:pt>
                <c:pt idx="2165">
                  <c:v>43556</c:v>
                </c:pt>
                <c:pt idx="2166">
                  <c:v>43556</c:v>
                </c:pt>
                <c:pt idx="2167">
                  <c:v>43556</c:v>
                </c:pt>
                <c:pt idx="2168">
                  <c:v>43556</c:v>
                </c:pt>
                <c:pt idx="2169">
                  <c:v>43556</c:v>
                </c:pt>
                <c:pt idx="2170">
                  <c:v>43556</c:v>
                </c:pt>
                <c:pt idx="2171">
                  <c:v>43556</c:v>
                </c:pt>
                <c:pt idx="2172">
                  <c:v>43556</c:v>
                </c:pt>
                <c:pt idx="2173">
                  <c:v>43556</c:v>
                </c:pt>
                <c:pt idx="2174">
                  <c:v>43556</c:v>
                </c:pt>
                <c:pt idx="2175">
                  <c:v>43556</c:v>
                </c:pt>
                <c:pt idx="2176">
                  <c:v>43556</c:v>
                </c:pt>
                <c:pt idx="2177">
                  <c:v>43556</c:v>
                </c:pt>
                <c:pt idx="2178">
                  <c:v>43556</c:v>
                </c:pt>
                <c:pt idx="2179">
                  <c:v>43556</c:v>
                </c:pt>
                <c:pt idx="2180">
                  <c:v>43556</c:v>
                </c:pt>
                <c:pt idx="2181">
                  <c:v>43556</c:v>
                </c:pt>
                <c:pt idx="2182">
                  <c:v>43556</c:v>
                </c:pt>
                <c:pt idx="2183">
                  <c:v>43556</c:v>
                </c:pt>
                <c:pt idx="2184">
                  <c:v>43557</c:v>
                </c:pt>
                <c:pt idx="2185">
                  <c:v>43557</c:v>
                </c:pt>
                <c:pt idx="2186">
                  <c:v>43557</c:v>
                </c:pt>
                <c:pt idx="2187">
                  <c:v>43557</c:v>
                </c:pt>
                <c:pt idx="2188">
                  <c:v>43557</c:v>
                </c:pt>
                <c:pt idx="2189">
                  <c:v>43557</c:v>
                </c:pt>
                <c:pt idx="2190">
                  <c:v>43557</c:v>
                </c:pt>
                <c:pt idx="2191">
                  <c:v>43557</c:v>
                </c:pt>
                <c:pt idx="2192">
                  <c:v>43557</c:v>
                </c:pt>
                <c:pt idx="2193">
                  <c:v>43557</c:v>
                </c:pt>
                <c:pt idx="2194">
                  <c:v>43557</c:v>
                </c:pt>
                <c:pt idx="2195">
                  <c:v>43557</c:v>
                </c:pt>
                <c:pt idx="2196">
                  <c:v>43557</c:v>
                </c:pt>
                <c:pt idx="2197">
                  <c:v>43557</c:v>
                </c:pt>
                <c:pt idx="2198">
                  <c:v>43557</c:v>
                </c:pt>
                <c:pt idx="2199">
                  <c:v>43557</c:v>
                </c:pt>
                <c:pt idx="2200">
                  <c:v>43557</c:v>
                </c:pt>
                <c:pt idx="2201">
                  <c:v>43557</c:v>
                </c:pt>
                <c:pt idx="2202">
                  <c:v>43557</c:v>
                </c:pt>
                <c:pt idx="2203">
                  <c:v>43557</c:v>
                </c:pt>
                <c:pt idx="2204">
                  <c:v>43557</c:v>
                </c:pt>
                <c:pt idx="2205">
                  <c:v>43557</c:v>
                </c:pt>
                <c:pt idx="2206">
                  <c:v>43557</c:v>
                </c:pt>
                <c:pt idx="2207">
                  <c:v>43557</c:v>
                </c:pt>
                <c:pt idx="2208">
                  <c:v>43558</c:v>
                </c:pt>
                <c:pt idx="2209">
                  <c:v>43558</c:v>
                </c:pt>
                <c:pt idx="2210">
                  <c:v>43558</c:v>
                </c:pt>
                <c:pt idx="2211">
                  <c:v>43558</c:v>
                </c:pt>
                <c:pt idx="2212">
                  <c:v>43558</c:v>
                </c:pt>
                <c:pt idx="2213">
                  <c:v>43558</c:v>
                </c:pt>
                <c:pt idx="2214">
                  <c:v>43558</c:v>
                </c:pt>
                <c:pt idx="2215">
                  <c:v>43558</c:v>
                </c:pt>
                <c:pt idx="2216">
                  <c:v>43558</c:v>
                </c:pt>
                <c:pt idx="2217">
                  <c:v>43558</c:v>
                </c:pt>
                <c:pt idx="2218">
                  <c:v>43558</c:v>
                </c:pt>
                <c:pt idx="2219">
                  <c:v>43558</c:v>
                </c:pt>
                <c:pt idx="2220">
                  <c:v>43558</c:v>
                </c:pt>
                <c:pt idx="2221">
                  <c:v>43558</c:v>
                </c:pt>
                <c:pt idx="2222">
                  <c:v>43558</c:v>
                </c:pt>
                <c:pt idx="2223">
                  <c:v>43558</c:v>
                </c:pt>
                <c:pt idx="2224">
                  <c:v>43558</c:v>
                </c:pt>
                <c:pt idx="2225">
                  <c:v>43558</c:v>
                </c:pt>
                <c:pt idx="2226">
                  <c:v>43558</c:v>
                </c:pt>
                <c:pt idx="2227">
                  <c:v>43558</c:v>
                </c:pt>
                <c:pt idx="2228">
                  <c:v>43558</c:v>
                </c:pt>
                <c:pt idx="2229">
                  <c:v>43558</c:v>
                </c:pt>
                <c:pt idx="2230">
                  <c:v>43558</c:v>
                </c:pt>
                <c:pt idx="2231">
                  <c:v>43558</c:v>
                </c:pt>
                <c:pt idx="2232">
                  <c:v>43559</c:v>
                </c:pt>
                <c:pt idx="2233">
                  <c:v>43559</c:v>
                </c:pt>
                <c:pt idx="2234">
                  <c:v>43559</c:v>
                </c:pt>
                <c:pt idx="2235">
                  <c:v>43559</c:v>
                </c:pt>
                <c:pt idx="2236">
                  <c:v>43559</c:v>
                </c:pt>
                <c:pt idx="2237">
                  <c:v>43559</c:v>
                </c:pt>
                <c:pt idx="2238">
                  <c:v>43559</c:v>
                </c:pt>
                <c:pt idx="2239">
                  <c:v>43559</c:v>
                </c:pt>
                <c:pt idx="2240">
                  <c:v>43559</c:v>
                </c:pt>
                <c:pt idx="2241">
                  <c:v>43559</c:v>
                </c:pt>
                <c:pt idx="2242">
                  <c:v>43559</c:v>
                </c:pt>
                <c:pt idx="2243">
                  <c:v>43559</c:v>
                </c:pt>
                <c:pt idx="2244">
                  <c:v>43559</c:v>
                </c:pt>
                <c:pt idx="2245">
                  <c:v>43559</c:v>
                </c:pt>
                <c:pt idx="2246">
                  <c:v>43559</c:v>
                </c:pt>
                <c:pt idx="2247">
                  <c:v>43559</c:v>
                </c:pt>
                <c:pt idx="2248">
                  <c:v>43559</c:v>
                </c:pt>
                <c:pt idx="2249">
                  <c:v>43559</c:v>
                </c:pt>
                <c:pt idx="2250">
                  <c:v>43559</c:v>
                </c:pt>
                <c:pt idx="2251">
                  <c:v>43559</c:v>
                </c:pt>
                <c:pt idx="2252">
                  <c:v>43559</c:v>
                </c:pt>
                <c:pt idx="2253">
                  <c:v>43559</c:v>
                </c:pt>
                <c:pt idx="2254">
                  <c:v>43559</c:v>
                </c:pt>
                <c:pt idx="2255">
                  <c:v>43559</c:v>
                </c:pt>
                <c:pt idx="2256">
                  <c:v>43560</c:v>
                </c:pt>
                <c:pt idx="2257">
                  <c:v>43560</c:v>
                </c:pt>
                <c:pt idx="2258">
                  <c:v>43560</c:v>
                </c:pt>
                <c:pt idx="2259">
                  <c:v>43560</c:v>
                </c:pt>
                <c:pt idx="2260">
                  <c:v>43560</c:v>
                </c:pt>
                <c:pt idx="2261">
                  <c:v>43560</c:v>
                </c:pt>
                <c:pt idx="2262">
                  <c:v>43560</c:v>
                </c:pt>
                <c:pt idx="2263">
                  <c:v>43560</c:v>
                </c:pt>
                <c:pt idx="2264">
                  <c:v>43560</c:v>
                </c:pt>
                <c:pt idx="2265">
                  <c:v>43560</c:v>
                </c:pt>
                <c:pt idx="2266">
                  <c:v>43560</c:v>
                </c:pt>
                <c:pt idx="2267">
                  <c:v>43560</c:v>
                </c:pt>
                <c:pt idx="2268">
                  <c:v>43560</c:v>
                </c:pt>
                <c:pt idx="2269">
                  <c:v>43560</c:v>
                </c:pt>
                <c:pt idx="2270">
                  <c:v>43560</c:v>
                </c:pt>
                <c:pt idx="2271">
                  <c:v>43560</c:v>
                </c:pt>
                <c:pt idx="2272">
                  <c:v>43560</c:v>
                </c:pt>
                <c:pt idx="2273">
                  <c:v>43560</c:v>
                </c:pt>
                <c:pt idx="2274">
                  <c:v>43560</c:v>
                </c:pt>
                <c:pt idx="2275">
                  <c:v>43560</c:v>
                </c:pt>
                <c:pt idx="2276">
                  <c:v>43560</c:v>
                </c:pt>
                <c:pt idx="2277">
                  <c:v>43560</c:v>
                </c:pt>
                <c:pt idx="2278">
                  <c:v>43560</c:v>
                </c:pt>
                <c:pt idx="2279">
                  <c:v>43560</c:v>
                </c:pt>
                <c:pt idx="2280">
                  <c:v>43561</c:v>
                </c:pt>
                <c:pt idx="2281">
                  <c:v>43561</c:v>
                </c:pt>
                <c:pt idx="2282">
                  <c:v>43561</c:v>
                </c:pt>
                <c:pt idx="2283">
                  <c:v>43561</c:v>
                </c:pt>
                <c:pt idx="2284">
                  <c:v>43561</c:v>
                </c:pt>
                <c:pt idx="2285">
                  <c:v>43561</c:v>
                </c:pt>
                <c:pt idx="2286">
                  <c:v>43561</c:v>
                </c:pt>
                <c:pt idx="2287">
                  <c:v>43561</c:v>
                </c:pt>
                <c:pt idx="2288">
                  <c:v>43561</c:v>
                </c:pt>
                <c:pt idx="2289">
                  <c:v>43561</c:v>
                </c:pt>
                <c:pt idx="2290">
                  <c:v>43561</c:v>
                </c:pt>
                <c:pt idx="2291">
                  <c:v>43561</c:v>
                </c:pt>
                <c:pt idx="2292">
                  <c:v>43561</c:v>
                </c:pt>
                <c:pt idx="2293">
                  <c:v>43561</c:v>
                </c:pt>
                <c:pt idx="2294">
                  <c:v>43561</c:v>
                </c:pt>
                <c:pt idx="2295">
                  <c:v>43561</c:v>
                </c:pt>
                <c:pt idx="2296">
                  <c:v>43561</c:v>
                </c:pt>
                <c:pt idx="2297">
                  <c:v>43561</c:v>
                </c:pt>
                <c:pt idx="2298">
                  <c:v>43561</c:v>
                </c:pt>
                <c:pt idx="2299">
                  <c:v>43561</c:v>
                </c:pt>
                <c:pt idx="2300">
                  <c:v>43561</c:v>
                </c:pt>
                <c:pt idx="2301">
                  <c:v>43561</c:v>
                </c:pt>
                <c:pt idx="2302">
                  <c:v>43561</c:v>
                </c:pt>
                <c:pt idx="2303">
                  <c:v>43561</c:v>
                </c:pt>
                <c:pt idx="2304">
                  <c:v>43562</c:v>
                </c:pt>
                <c:pt idx="2305">
                  <c:v>43562</c:v>
                </c:pt>
                <c:pt idx="2306">
                  <c:v>43562</c:v>
                </c:pt>
                <c:pt idx="2307">
                  <c:v>43562</c:v>
                </c:pt>
                <c:pt idx="2308">
                  <c:v>43562</c:v>
                </c:pt>
                <c:pt idx="2309">
                  <c:v>43562</c:v>
                </c:pt>
                <c:pt idx="2310">
                  <c:v>43562</c:v>
                </c:pt>
                <c:pt idx="2311">
                  <c:v>43562</c:v>
                </c:pt>
                <c:pt idx="2312">
                  <c:v>43562</c:v>
                </c:pt>
                <c:pt idx="2313">
                  <c:v>43562</c:v>
                </c:pt>
                <c:pt idx="2314">
                  <c:v>43562</c:v>
                </c:pt>
                <c:pt idx="2315">
                  <c:v>43562</c:v>
                </c:pt>
                <c:pt idx="2316">
                  <c:v>43562</c:v>
                </c:pt>
                <c:pt idx="2317">
                  <c:v>43562</c:v>
                </c:pt>
                <c:pt idx="2318">
                  <c:v>43562</c:v>
                </c:pt>
                <c:pt idx="2319">
                  <c:v>43562</c:v>
                </c:pt>
                <c:pt idx="2320">
                  <c:v>43562</c:v>
                </c:pt>
                <c:pt idx="2321">
                  <c:v>43562</c:v>
                </c:pt>
                <c:pt idx="2322">
                  <c:v>43562</c:v>
                </c:pt>
                <c:pt idx="2323">
                  <c:v>43562</c:v>
                </c:pt>
                <c:pt idx="2324">
                  <c:v>43562</c:v>
                </c:pt>
                <c:pt idx="2325">
                  <c:v>43562</c:v>
                </c:pt>
                <c:pt idx="2326">
                  <c:v>43562</c:v>
                </c:pt>
                <c:pt idx="2327">
                  <c:v>43562</c:v>
                </c:pt>
                <c:pt idx="2328">
                  <c:v>43563</c:v>
                </c:pt>
                <c:pt idx="2329">
                  <c:v>43563</c:v>
                </c:pt>
                <c:pt idx="2330">
                  <c:v>43563</c:v>
                </c:pt>
                <c:pt idx="2331">
                  <c:v>43563</c:v>
                </c:pt>
                <c:pt idx="2332">
                  <c:v>43563</c:v>
                </c:pt>
                <c:pt idx="2333">
                  <c:v>43563</c:v>
                </c:pt>
                <c:pt idx="2334">
                  <c:v>43563</c:v>
                </c:pt>
                <c:pt idx="2335">
                  <c:v>43563</c:v>
                </c:pt>
                <c:pt idx="2336">
                  <c:v>43563</c:v>
                </c:pt>
                <c:pt idx="2337">
                  <c:v>43563</c:v>
                </c:pt>
                <c:pt idx="2338">
                  <c:v>43563</c:v>
                </c:pt>
                <c:pt idx="2339">
                  <c:v>43563</c:v>
                </c:pt>
                <c:pt idx="2340">
                  <c:v>43563</c:v>
                </c:pt>
                <c:pt idx="2341">
                  <c:v>43563</c:v>
                </c:pt>
                <c:pt idx="2342">
                  <c:v>43563</c:v>
                </c:pt>
                <c:pt idx="2343">
                  <c:v>43563</c:v>
                </c:pt>
                <c:pt idx="2344">
                  <c:v>43563</c:v>
                </c:pt>
                <c:pt idx="2345">
                  <c:v>43563</c:v>
                </c:pt>
                <c:pt idx="2346">
                  <c:v>43563</c:v>
                </c:pt>
                <c:pt idx="2347">
                  <c:v>43563</c:v>
                </c:pt>
                <c:pt idx="2348">
                  <c:v>43563</c:v>
                </c:pt>
                <c:pt idx="2349">
                  <c:v>43563</c:v>
                </c:pt>
                <c:pt idx="2350">
                  <c:v>43563</c:v>
                </c:pt>
                <c:pt idx="2351">
                  <c:v>43563</c:v>
                </c:pt>
                <c:pt idx="2352">
                  <c:v>43564</c:v>
                </c:pt>
                <c:pt idx="2353">
                  <c:v>43564</c:v>
                </c:pt>
                <c:pt idx="2354">
                  <c:v>43564</c:v>
                </c:pt>
                <c:pt idx="2355">
                  <c:v>43564</c:v>
                </c:pt>
                <c:pt idx="2356">
                  <c:v>43564</c:v>
                </c:pt>
                <c:pt idx="2357">
                  <c:v>43564</c:v>
                </c:pt>
                <c:pt idx="2358">
                  <c:v>43564</c:v>
                </c:pt>
                <c:pt idx="2359">
                  <c:v>43564</c:v>
                </c:pt>
                <c:pt idx="2360">
                  <c:v>43564</c:v>
                </c:pt>
                <c:pt idx="2361">
                  <c:v>43564</c:v>
                </c:pt>
                <c:pt idx="2362">
                  <c:v>43564</c:v>
                </c:pt>
                <c:pt idx="2363">
                  <c:v>43564</c:v>
                </c:pt>
                <c:pt idx="2364">
                  <c:v>43564</c:v>
                </c:pt>
                <c:pt idx="2365">
                  <c:v>43564</c:v>
                </c:pt>
                <c:pt idx="2366">
                  <c:v>43564</c:v>
                </c:pt>
                <c:pt idx="2367">
                  <c:v>43564</c:v>
                </c:pt>
                <c:pt idx="2368">
                  <c:v>43564</c:v>
                </c:pt>
                <c:pt idx="2369">
                  <c:v>43564</c:v>
                </c:pt>
                <c:pt idx="2370">
                  <c:v>43564</c:v>
                </c:pt>
                <c:pt idx="2371">
                  <c:v>43564</c:v>
                </c:pt>
                <c:pt idx="2372">
                  <c:v>43564</c:v>
                </c:pt>
                <c:pt idx="2373">
                  <c:v>43564</c:v>
                </c:pt>
                <c:pt idx="2374">
                  <c:v>43564</c:v>
                </c:pt>
                <c:pt idx="2375">
                  <c:v>43564</c:v>
                </c:pt>
                <c:pt idx="2376">
                  <c:v>43565</c:v>
                </c:pt>
                <c:pt idx="2377">
                  <c:v>43565</c:v>
                </c:pt>
                <c:pt idx="2378">
                  <c:v>43565</c:v>
                </c:pt>
                <c:pt idx="2379">
                  <c:v>43565</c:v>
                </c:pt>
                <c:pt idx="2380">
                  <c:v>43565</c:v>
                </c:pt>
                <c:pt idx="2381">
                  <c:v>43565</c:v>
                </c:pt>
                <c:pt idx="2382">
                  <c:v>43565</c:v>
                </c:pt>
                <c:pt idx="2383">
                  <c:v>43565</c:v>
                </c:pt>
                <c:pt idx="2384">
                  <c:v>43565</c:v>
                </c:pt>
                <c:pt idx="2385">
                  <c:v>43565</c:v>
                </c:pt>
                <c:pt idx="2386">
                  <c:v>43565</c:v>
                </c:pt>
                <c:pt idx="2387">
                  <c:v>43565</c:v>
                </c:pt>
                <c:pt idx="2388">
                  <c:v>43565</c:v>
                </c:pt>
                <c:pt idx="2389">
                  <c:v>43565</c:v>
                </c:pt>
                <c:pt idx="2390">
                  <c:v>43565</c:v>
                </c:pt>
                <c:pt idx="2391">
                  <c:v>43565</c:v>
                </c:pt>
                <c:pt idx="2392">
                  <c:v>43565</c:v>
                </c:pt>
                <c:pt idx="2393">
                  <c:v>43565</c:v>
                </c:pt>
                <c:pt idx="2394">
                  <c:v>43565</c:v>
                </c:pt>
                <c:pt idx="2395">
                  <c:v>43565</c:v>
                </c:pt>
                <c:pt idx="2396">
                  <c:v>43565</c:v>
                </c:pt>
                <c:pt idx="2397">
                  <c:v>43565</c:v>
                </c:pt>
                <c:pt idx="2398">
                  <c:v>43565</c:v>
                </c:pt>
                <c:pt idx="2399">
                  <c:v>43565</c:v>
                </c:pt>
                <c:pt idx="2400">
                  <c:v>43566</c:v>
                </c:pt>
                <c:pt idx="2401">
                  <c:v>43566</c:v>
                </c:pt>
                <c:pt idx="2402">
                  <c:v>43566</c:v>
                </c:pt>
                <c:pt idx="2403">
                  <c:v>43566</c:v>
                </c:pt>
                <c:pt idx="2404">
                  <c:v>43566</c:v>
                </c:pt>
                <c:pt idx="2405">
                  <c:v>43566</c:v>
                </c:pt>
                <c:pt idx="2406">
                  <c:v>43566</c:v>
                </c:pt>
                <c:pt idx="2407">
                  <c:v>43566</c:v>
                </c:pt>
                <c:pt idx="2408">
                  <c:v>43566</c:v>
                </c:pt>
                <c:pt idx="2409">
                  <c:v>43566</c:v>
                </c:pt>
                <c:pt idx="2410">
                  <c:v>43566</c:v>
                </c:pt>
                <c:pt idx="2411">
                  <c:v>43566</c:v>
                </c:pt>
                <c:pt idx="2412">
                  <c:v>43566</c:v>
                </c:pt>
                <c:pt idx="2413">
                  <c:v>43566</c:v>
                </c:pt>
                <c:pt idx="2414">
                  <c:v>43566</c:v>
                </c:pt>
                <c:pt idx="2415">
                  <c:v>43566</c:v>
                </c:pt>
                <c:pt idx="2416">
                  <c:v>43566</c:v>
                </c:pt>
                <c:pt idx="2417">
                  <c:v>43566</c:v>
                </c:pt>
                <c:pt idx="2418">
                  <c:v>43566</c:v>
                </c:pt>
                <c:pt idx="2419">
                  <c:v>43566</c:v>
                </c:pt>
                <c:pt idx="2420">
                  <c:v>43566</c:v>
                </c:pt>
                <c:pt idx="2421">
                  <c:v>43566</c:v>
                </c:pt>
                <c:pt idx="2422">
                  <c:v>43566</c:v>
                </c:pt>
                <c:pt idx="2423">
                  <c:v>43566</c:v>
                </c:pt>
                <c:pt idx="2424">
                  <c:v>43567</c:v>
                </c:pt>
                <c:pt idx="2425">
                  <c:v>43567</c:v>
                </c:pt>
                <c:pt idx="2426">
                  <c:v>43567</c:v>
                </c:pt>
                <c:pt idx="2427">
                  <c:v>43567</c:v>
                </c:pt>
                <c:pt idx="2428">
                  <c:v>43567</c:v>
                </c:pt>
                <c:pt idx="2429">
                  <c:v>43567</c:v>
                </c:pt>
                <c:pt idx="2430">
                  <c:v>43567</c:v>
                </c:pt>
                <c:pt idx="2431">
                  <c:v>43567</c:v>
                </c:pt>
                <c:pt idx="2432">
                  <c:v>43567</c:v>
                </c:pt>
                <c:pt idx="2433">
                  <c:v>43567</c:v>
                </c:pt>
                <c:pt idx="2434">
                  <c:v>43567</c:v>
                </c:pt>
                <c:pt idx="2435">
                  <c:v>43567</c:v>
                </c:pt>
                <c:pt idx="2436">
                  <c:v>43567</c:v>
                </c:pt>
                <c:pt idx="2437">
                  <c:v>43567</c:v>
                </c:pt>
                <c:pt idx="2438">
                  <c:v>43567</c:v>
                </c:pt>
                <c:pt idx="2439">
                  <c:v>43567</c:v>
                </c:pt>
                <c:pt idx="2440">
                  <c:v>43567</c:v>
                </c:pt>
                <c:pt idx="2441">
                  <c:v>43567</c:v>
                </c:pt>
                <c:pt idx="2442">
                  <c:v>43567</c:v>
                </c:pt>
                <c:pt idx="2443">
                  <c:v>43567</c:v>
                </c:pt>
                <c:pt idx="2444">
                  <c:v>43567</c:v>
                </c:pt>
                <c:pt idx="2445">
                  <c:v>43567</c:v>
                </c:pt>
                <c:pt idx="2446">
                  <c:v>43567</c:v>
                </c:pt>
                <c:pt idx="2447">
                  <c:v>43567</c:v>
                </c:pt>
                <c:pt idx="2448">
                  <c:v>43568</c:v>
                </c:pt>
                <c:pt idx="2449">
                  <c:v>43568</c:v>
                </c:pt>
                <c:pt idx="2450">
                  <c:v>43568</c:v>
                </c:pt>
                <c:pt idx="2451">
                  <c:v>43568</c:v>
                </c:pt>
                <c:pt idx="2452">
                  <c:v>43568</c:v>
                </c:pt>
                <c:pt idx="2453">
                  <c:v>43568</c:v>
                </c:pt>
                <c:pt idx="2454">
                  <c:v>43568</c:v>
                </c:pt>
                <c:pt idx="2455">
                  <c:v>43568</c:v>
                </c:pt>
                <c:pt idx="2456">
                  <c:v>43568</c:v>
                </c:pt>
                <c:pt idx="2457">
                  <c:v>43568</c:v>
                </c:pt>
                <c:pt idx="2458">
                  <c:v>43568</c:v>
                </c:pt>
                <c:pt idx="2459">
                  <c:v>43568</c:v>
                </c:pt>
                <c:pt idx="2460">
                  <c:v>43568</c:v>
                </c:pt>
                <c:pt idx="2461">
                  <c:v>43568</c:v>
                </c:pt>
                <c:pt idx="2462">
                  <c:v>43568</c:v>
                </c:pt>
                <c:pt idx="2463">
                  <c:v>43568</c:v>
                </c:pt>
                <c:pt idx="2464">
                  <c:v>43568</c:v>
                </c:pt>
                <c:pt idx="2465">
                  <c:v>43568</c:v>
                </c:pt>
                <c:pt idx="2466">
                  <c:v>43568</c:v>
                </c:pt>
                <c:pt idx="2467">
                  <c:v>43568</c:v>
                </c:pt>
                <c:pt idx="2468">
                  <c:v>43568</c:v>
                </c:pt>
                <c:pt idx="2469">
                  <c:v>43568</c:v>
                </c:pt>
                <c:pt idx="2470">
                  <c:v>43568</c:v>
                </c:pt>
                <c:pt idx="2471">
                  <c:v>43568</c:v>
                </c:pt>
                <c:pt idx="2472">
                  <c:v>43569</c:v>
                </c:pt>
                <c:pt idx="2473">
                  <c:v>43569</c:v>
                </c:pt>
                <c:pt idx="2474">
                  <c:v>43569</c:v>
                </c:pt>
                <c:pt idx="2475">
                  <c:v>43569</c:v>
                </c:pt>
                <c:pt idx="2476">
                  <c:v>43569</c:v>
                </c:pt>
                <c:pt idx="2477">
                  <c:v>43569</c:v>
                </c:pt>
                <c:pt idx="2478">
                  <c:v>43569</c:v>
                </c:pt>
                <c:pt idx="2479">
                  <c:v>43569</c:v>
                </c:pt>
                <c:pt idx="2480">
                  <c:v>43569</c:v>
                </c:pt>
                <c:pt idx="2481">
                  <c:v>43569</c:v>
                </c:pt>
                <c:pt idx="2482">
                  <c:v>43569</c:v>
                </c:pt>
                <c:pt idx="2483">
                  <c:v>43569</c:v>
                </c:pt>
                <c:pt idx="2484">
                  <c:v>43569</c:v>
                </c:pt>
                <c:pt idx="2485">
                  <c:v>43569</c:v>
                </c:pt>
                <c:pt idx="2486">
                  <c:v>43569</c:v>
                </c:pt>
                <c:pt idx="2487">
                  <c:v>43569</c:v>
                </c:pt>
                <c:pt idx="2488">
                  <c:v>43569</c:v>
                </c:pt>
                <c:pt idx="2489">
                  <c:v>43569</c:v>
                </c:pt>
                <c:pt idx="2490">
                  <c:v>43569</c:v>
                </c:pt>
                <c:pt idx="2491">
                  <c:v>43569</c:v>
                </c:pt>
                <c:pt idx="2492">
                  <c:v>43569</c:v>
                </c:pt>
                <c:pt idx="2493">
                  <c:v>43569</c:v>
                </c:pt>
                <c:pt idx="2494">
                  <c:v>43569</c:v>
                </c:pt>
                <c:pt idx="2495">
                  <c:v>43569</c:v>
                </c:pt>
                <c:pt idx="2496">
                  <c:v>43570</c:v>
                </c:pt>
                <c:pt idx="2497">
                  <c:v>43570</c:v>
                </c:pt>
                <c:pt idx="2498">
                  <c:v>43570</c:v>
                </c:pt>
                <c:pt idx="2499">
                  <c:v>43570</c:v>
                </c:pt>
                <c:pt idx="2500">
                  <c:v>43570</c:v>
                </c:pt>
                <c:pt idx="2501">
                  <c:v>43570</c:v>
                </c:pt>
                <c:pt idx="2502">
                  <c:v>43570</c:v>
                </c:pt>
                <c:pt idx="2503">
                  <c:v>43570</c:v>
                </c:pt>
                <c:pt idx="2504">
                  <c:v>43570</c:v>
                </c:pt>
                <c:pt idx="2505">
                  <c:v>43570</c:v>
                </c:pt>
                <c:pt idx="2506">
                  <c:v>43570</c:v>
                </c:pt>
                <c:pt idx="2507">
                  <c:v>43570</c:v>
                </c:pt>
                <c:pt idx="2508">
                  <c:v>43570</c:v>
                </c:pt>
                <c:pt idx="2509">
                  <c:v>43570</c:v>
                </c:pt>
                <c:pt idx="2510">
                  <c:v>43570</c:v>
                </c:pt>
                <c:pt idx="2511">
                  <c:v>43570</c:v>
                </c:pt>
                <c:pt idx="2512">
                  <c:v>43570</c:v>
                </c:pt>
                <c:pt idx="2513">
                  <c:v>43570</c:v>
                </c:pt>
                <c:pt idx="2514">
                  <c:v>43570</c:v>
                </c:pt>
                <c:pt idx="2515">
                  <c:v>43570</c:v>
                </c:pt>
                <c:pt idx="2516">
                  <c:v>43570</c:v>
                </c:pt>
                <c:pt idx="2517">
                  <c:v>43570</c:v>
                </c:pt>
                <c:pt idx="2518">
                  <c:v>43570</c:v>
                </c:pt>
                <c:pt idx="2519">
                  <c:v>43570</c:v>
                </c:pt>
                <c:pt idx="2520">
                  <c:v>43571</c:v>
                </c:pt>
                <c:pt idx="2521">
                  <c:v>43571</c:v>
                </c:pt>
                <c:pt idx="2522">
                  <c:v>43571</c:v>
                </c:pt>
                <c:pt idx="2523">
                  <c:v>43571</c:v>
                </c:pt>
                <c:pt idx="2524">
                  <c:v>43571</c:v>
                </c:pt>
                <c:pt idx="2525">
                  <c:v>43571</c:v>
                </c:pt>
                <c:pt idx="2526">
                  <c:v>43571</c:v>
                </c:pt>
                <c:pt idx="2527">
                  <c:v>43571</c:v>
                </c:pt>
                <c:pt idx="2528">
                  <c:v>43571</c:v>
                </c:pt>
                <c:pt idx="2529">
                  <c:v>43571</c:v>
                </c:pt>
                <c:pt idx="2530">
                  <c:v>43571</c:v>
                </c:pt>
                <c:pt idx="2531">
                  <c:v>43571</c:v>
                </c:pt>
                <c:pt idx="2532">
                  <c:v>43571</c:v>
                </c:pt>
                <c:pt idx="2533">
                  <c:v>43571</c:v>
                </c:pt>
                <c:pt idx="2534">
                  <c:v>43571</c:v>
                </c:pt>
                <c:pt idx="2535">
                  <c:v>43571</c:v>
                </c:pt>
                <c:pt idx="2536">
                  <c:v>43571</c:v>
                </c:pt>
                <c:pt idx="2537">
                  <c:v>43571</c:v>
                </c:pt>
                <c:pt idx="2538">
                  <c:v>43571</c:v>
                </c:pt>
                <c:pt idx="2539">
                  <c:v>43571</c:v>
                </c:pt>
                <c:pt idx="2540">
                  <c:v>43571</c:v>
                </c:pt>
                <c:pt idx="2541">
                  <c:v>43571</c:v>
                </c:pt>
                <c:pt idx="2542">
                  <c:v>43571</c:v>
                </c:pt>
                <c:pt idx="2543">
                  <c:v>43571</c:v>
                </c:pt>
                <c:pt idx="2544">
                  <c:v>43572</c:v>
                </c:pt>
                <c:pt idx="2545">
                  <c:v>43572</c:v>
                </c:pt>
                <c:pt idx="2546">
                  <c:v>43572</c:v>
                </c:pt>
                <c:pt idx="2547">
                  <c:v>43572</c:v>
                </c:pt>
                <c:pt idx="2548">
                  <c:v>43572</c:v>
                </c:pt>
                <c:pt idx="2549">
                  <c:v>43572</c:v>
                </c:pt>
                <c:pt idx="2550">
                  <c:v>43572</c:v>
                </c:pt>
                <c:pt idx="2551">
                  <c:v>43572</c:v>
                </c:pt>
                <c:pt idx="2552">
                  <c:v>43572</c:v>
                </c:pt>
                <c:pt idx="2553">
                  <c:v>43572</c:v>
                </c:pt>
                <c:pt idx="2554">
                  <c:v>43572</c:v>
                </c:pt>
                <c:pt idx="2555">
                  <c:v>43572</c:v>
                </c:pt>
                <c:pt idx="2556">
                  <c:v>43572</c:v>
                </c:pt>
                <c:pt idx="2557">
                  <c:v>43572</c:v>
                </c:pt>
                <c:pt idx="2558">
                  <c:v>43572</c:v>
                </c:pt>
                <c:pt idx="2559">
                  <c:v>43572</c:v>
                </c:pt>
                <c:pt idx="2560">
                  <c:v>43572</c:v>
                </c:pt>
                <c:pt idx="2561">
                  <c:v>43572</c:v>
                </c:pt>
                <c:pt idx="2562">
                  <c:v>43572</c:v>
                </c:pt>
                <c:pt idx="2563">
                  <c:v>43572</c:v>
                </c:pt>
                <c:pt idx="2564">
                  <c:v>43572</c:v>
                </c:pt>
                <c:pt idx="2565">
                  <c:v>43572</c:v>
                </c:pt>
                <c:pt idx="2566">
                  <c:v>43572</c:v>
                </c:pt>
                <c:pt idx="2567">
                  <c:v>43572</c:v>
                </c:pt>
                <c:pt idx="2568">
                  <c:v>43573</c:v>
                </c:pt>
                <c:pt idx="2569">
                  <c:v>43573</c:v>
                </c:pt>
                <c:pt idx="2570">
                  <c:v>43573</c:v>
                </c:pt>
                <c:pt idx="2571">
                  <c:v>43573</c:v>
                </c:pt>
                <c:pt idx="2572">
                  <c:v>43573</c:v>
                </c:pt>
                <c:pt idx="2573">
                  <c:v>43573</c:v>
                </c:pt>
                <c:pt idx="2574">
                  <c:v>43573</c:v>
                </c:pt>
                <c:pt idx="2575">
                  <c:v>43573</c:v>
                </c:pt>
                <c:pt idx="2576">
                  <c:v>43573</c:v>
                </c:pt>
                <c:pt idx="2577">
                  <c:v>43573</c:v>
                </c:pt>
                <c:pt idx="2578">
                  <c:v>43573</c:v>
                </c:pt>
                <c:pt idx="2579">
                  <c:v>43573</c:v>
                </c:pt>
                <c:pt idx="2580">
                  <c:v>43573</c:v>
                </c:pt>
                <c:pt idx="2581">
                  <c:v>43573</c:v>
                </c:pt>
                <c:pt idx="2582">
                  <c:v>43573</c:v>
                </c:pt>
                <c:pt idx="2583">
                  <c:v>43573</c:v>
                </c:pt>
                <c:pt idx="2584">
                  <c:v>43573</c:v>
                </c:pt>
                <c:pt idx="2585">
                  <c:v>43573</c:v>
                </c:pt>
                <c:pt idx="2586">
                  <c:v>43573</c:v>
                </c:pt>
                <c:pt idx="2587">
                  <c:v>43573</c:v>
                </c:pt>
                <c:pt idx="2588">
                  <c:v>43573</c:v>
                </c:pt>
                <c:pt idx="2589">
                  <c:v>43573</c:v>
                </c:pt>
                <c:pt idx="2590">
                  <c:v>43573</c:v>
                </c:pt>
                <c:pt idx="2591">
                  <c:v>43573</c:v>
                </c:pt>
                <c:pt idx="2592">
                  <c:v>43574</c:v>
                </c:pt>
                <c:pt idx="2593">
                  <c:v>43574</c:v>
                </c:pt>
                <c:pt idx="2594">
                  <c:v>43574</c:v>
                </c:pt>
                <c:pt idx="2595">
                  <c:v>43574</c:v>
                </c:pt>
                <c:pt idx="2596">
                  <c:v>43574</c:v>
                </c:pt>
                <c:pt idx="2597">
                  <c:v>43574</c:v>
                </c:pt>
                <c:pt idx="2598">
                  <c:v>43574</c:v>
                </c:pt>
                <c:pt idx="2599">
                  <c:v>43574</c:v>
                </c:pt>
                <c:pt idx="2600">
                  <c:v>43574</c:v>
                </c:pt>
                <c:pt idx="2601">
                  <c:v>43574</c:v>
                </c:pt>
                <c:pt idx="2602">
                  <c:v>43574</c:v>
                </c:pt>
                <c:pt idx="2603">
                  <c:v>43574</c:v>
                </c:pt>
                <c:pt idx="2604">
                  <c:v>43574</c:v>
                </c:pt>
                <c:pt idx="2605">
                  <c:v>43574</c:v>
                </c:pt>
                <c:pt idx="2606">
                  <c:v>43574</c:v>
                </c:pt>
                <c:pt idx="2607">
                  <c:v>43574</c:v>
                </c:pt>
                <c:pt idx="2608">
                  <c:v>43574</c:v>
                </c:pt>
                <c:pt idx="2609">
                  <c:v>43574</c:v>
                </c:pt>
                <c:pt idx="2610">
                  <c:v>43574</c:v>
                </c:pt>
                <c:pt idx="2611">
                  <c:v>43574</c:v>
                </c:pt>
                <c:pt idx="2612">
                  <c:v>43574</c:v>
                </c:pt>
                <c:pt idx="2613">
                  <c:v>43574</c:v>
                </c:pt>
                <c:pt idx="2614">
                  <c:v>43574</c:v>
                </c:pt>
                <c:pt idx="2615">
                  <c:v>43574</c:v>
                </c:pt>
                <c:pt idx="2616">
                  <c:v>43575</c:v>
                </c:pt>
                <c:pt idx="2617">
                  <c:v>43575</c:v>
                </c:pt>
                <c:pt idx="2618">
                  <c:v>43575</c:v>
                </c:pt>
                <c:pt idx="2619">
                  <c:v>43575</c:v>
                </c:pt>
                <c:pt idx="2620">
                  <c:v>43575</c:v>
                </c:pt>
                <c:pt idx="2621">
                  <c:v>43575</c:v>
                </c:pt>
                <c:pt idx="2622">
                  <c:v>43575</c:v>
                </c:pt>
                <c:pt idx="2623">
                  <c:v>43575</c:v>
                </c:pt>
                <c:pt idx="2624">
                  <c:v>43575</c:v>
                </c:pt>
                <c:pt idx="2625">
                  <c:v>43575</c:v>
                </c:pt>
                <c:pt idx="2626">
                  <c:v>43575</c:v>
                </c:pt>
                <c:pt idx="2627">
                  <c:v>43575</c:v>
                </c:pt>
                <c:pt idx="2628">
                  <c:v>43575</c:v>
                </c:pt>
                <c:pt idx="2629">
                  <c:v>43575</c:v>
                </c:pt>
                <c:pt idx="2630">
                  <c:v>43575</c:v>
                </c:pt>
                <c:pt idx="2631">
                  <c:v>43575</c:v>
                </c:pt>
                <c:pt idx="2632">
                  <c:v>43575</c:v>
                </c:pt>
                <c:pt idx="2633">
                  <c:v>43575</c:v>
                </c:pt>
                <c:pt idx="2634">
                  <c:v>43575</c:v>
                </c:pt>
                <c:pt idx="2635">
                  <c:v>43575</c:v>
                </c:pt>
                <c:pt idx="2636">
                  <c:v>43575</c:v>
                </c:pt>
                <c:pt idx="2637">
                  <c:v>43575</c:v>
                </c:pt>
                <c:pt idx="2638">
                  <c:v>43575</c:v>
                </c:pt>
                <c:pt idx="2639">
                  <c:v>43575</c:v>
                </c:pt>
                <c:pt idx="2640">
                  <c:v>43576</c:v>
                </c:pt>
                <c:pt idx="2641">
                  <c:v>43576</c:v>
                </c:pt>
                <c:pt idx="2642">
                  <c:v>43576</c:v>
                </c:pt>
                <c:pt idx="2643">
                  <c:v>43576</c:v>
                </c:pt>
                <c:pt idx="2644">
                  <c:v>43576</c:v>
                </c:pt>
                <c:pt idx="2645">
                  <c:v>43576</c:v>
                </c:pt>
                <c:pt idx="2646">
                  <c:v>43576</c:v>
                </c:pt>
                <c:pt idx="2647">
                  <c:v>43576</c:v>
                </c:pt>
                <c:pt idx="2648">
                  <c:v>43576</c:v>
                </c:pt>
                <c:pt idx="2649">
                  <c:v>43576</c:v>
                </c:pt>
                <c:pt idx="2650">
                  <c:v>43576</c:v>
                </c:pt>
                <c:pt idx="2651">
                  <c:v>43576</c:v>
                </c:pt>
                <c:pt idx="2652">
                  <c:v>43576</c:v>
                </c:pt>
                <c:pt idx="2653">
                  <c:v>43576</c:v>
                </c:pt>
                <c:pt idx="2654">
                  <c:v>43576</c:v>
                </c:pt>
                <c:pt idx="2655">
                  <c:v>43576</c:v>
                </c:pt>
                <c:pt idx="2656">
                  <c:v>43576</c:v>
                </c:pt>
                <c:pt idx="2657">
                  <c:v>43576</c:v>
                </c:pt>
                <c:pt idx="2658">
                  <c:v>43576</c:v>
                </c:pt>
                <c:pt idx="2659">
                  <c:v>43576</c:v>
                </c:pt>
                <c:pt idx="2660">
                  <c:v>43576</c:v>
                </c:pt>
                <c:pt idx="2661">
                  <c:v>43576</c:v>
                </c:pt>
                <c:pt idx="2662">
                  <c:v>43576</c:v>
                </c:pt>
                <c:pt idx="2663">
                  <c:v>43576</c:v>
                </c:pt>
                <c:pt idx="2664">
                  <c:v>43577</c:v>
                </c:pt>
                <c:pt idx="2665">
                  <c:v>43577</c:v>
                </c:pt>
                <c:pt idx="2666">
                  <c:v>43577</c:v>
                </c:pt>
                <c:pt idx="2667">
                  <c:v>43577</c:v>
                </c:pt>
                <c:pt idx="2668">
                  <c:v>43577</c:v>
                </c:pt>
                <c:pt idx="2669">
                  <c:v>43577</c:v>
                </c:pt>
                <c:pt idx="2670">
                  <c:v>43577</c:v>
                </c:pt>
                <c:pt idx="2671">
                  <c:v>43577</c:v>
                </c:pt>
                <c:pt idx="2672">
                  <c:v>43577</c:v>
                </c:pt>
                <c:pt idx="2673">
                  <c:v>43577</c:v>
                </c:pt>
                <c:pt idx="2674">
                  <c:v>43577</c:v>
                </c:pt>
                <c:pt idx="2675">
                  <c:v>43577</c:v>
                </c:pt>
                <c:pt idx="2676">
                  <c:v>43577</c:v>
                </c:pt>
                <c:pt idx="2677">
                  <c:v>43577</c:v>
                </c:pt>
                <c:pt idx="2678">
                  <c:v>43577</c:v>
                </c:pt>
                <c:pt idx="2679">
                  <c:v>43577</c:v>
                </c:pt>
                <c:pt idx="2680">
                  <c:v>43577</c:v>
                </c:pt>
                <c:pt idx="2681">
                  <c:v>43577</c:v>
                </c:pt>
                <c:pt idx="2682">
                  <c:v>43577</c:v>
                </c:pt>
                <c:pt idx="2683">
                  <c:v>43577</c:v>
                </c:pt>
                <c:pt idx="2684">
                  <c:v>43577</c:v>
                </c:pt>
                <c:pt idx="2685">
                  <c:v>43577</c:v>
                </c:pt>
                <c:pt idx="2686">
                  <c:v>43577</c:v>
                </c:pt>
                <c:pt idx="2687">
                  <c:v>43577</c:v>
                </c:pt>
                <c:pt idx="2688">
                  <c:v>43578</c:v>
                </c:pt>
                <c:pt idx="2689">
                  <c:v>43578</c:v>
                </c:pt>
                <c:pt idx="2690">
                  <c:v>43578</c:v>
                </c:pt>
                <c:pt idx="2691">
                  <c:v>43578</c:v>
                </c:pt>
                <c:pt idx="2692">
                  <c:v>43578</c:v>
                </c:pt>
                <c:pt idx="2693">
                  <c:v>43578</c:v>
                </c:pt>
                <c:pt idx="2694">
                  <c:v>43578</c:v>
                </c:pt>
                <c:pt idx="2695">
                  <c:v>43578</c:v>
                </c:pt>
                <c:pt idx="2696">
                  <c:v>43578</c:v>
                </c:pt>
                <c:pt idx="2697">
                  <c:v>43578</c:v>
                </c:pt>
                <c:pt idx="2698">
                  <c:v>43578</c:v>
                </c:pt>
                <c:pt idx="2699">
                  <c:v>43578</c:v>
                </c:pt>
                <c:pt idx="2700">
                  <c:v>43578</c:v>
                </c:pt>
                <c:pt idx="2701">
                  <c:v>43578</c:v>
                </c:pt>
                <c:pt idx="2702">
                  <c:v>43578</c:v>
                </c:pt>
                <c:pt idx="2703">
                  <c:v>43578</c:v>
                </c:pt>
                <c:pt idx="2704">
                  <c:v>43578</c:v>
                </c:pt>
                <c:pt idx="2705">
                  <c:v>43578</c:v>
                </c:pt>
                <c:pt idx="2706">
                  <c:v>43578</c:v>
                </c:pt>
                <c:pt idx="2707">
                  <c:v>43578</c:v>
                </c:pt>
                <c:pt idx="2708">
                  <c:v>43578</c:v>
                </c:pt>
                <c:pt idx="2709">
                  <c:v>43578</c:v>
                </c:pt>
                <c:pt idx="2710">
                  <c:v>43578</c:v>
                </c:pt>
                <c:pt idx="2711">
                  <c:v>43578</c:v>
                </c:pt>
                <c:pt idx="2712">
                  <c:v>43579</c:v>
                </c:pt>
                <c:pt idx="2713">
                  <c:v>43579</c:v>
                </c:pt>
                <c:pt idx="2714">
                  <c:v>43579</c:v>
                </c:pt>
                <c:pt idx="2715">
                  <c:v>43579</c:v>
                </c:pt>
                <c:pt idx="2716">
                  <c:v>43579</c:v>
                </c:pt>
                <c:pt idx="2717">
                  <c:v>43579</c:v>
                </c:pt>
                <c:pt idx="2718">
                  <c:v>43579</c:v>
                </c:pt>
                <c:pt idx="2719">
                  <c:v>43579</c:v>
                </c:pt>
                <c:pt idx="2720">
                  <c:v>43579</c:v>
                </c:pt>
                <c:pt idx="2721">
                  <c:v>43579</c:v>
                </c:pt>
                <c:pt idx="2722">
                  <c:v>43579</c:v>
                </c:pt>
                <c:pt idx="2723">
                  <c:v>43579</c:v>
                </c:pt>
                <c:pt idx="2724">
                  <c:v>43579</c:v>
                </c:pt>
                <c:pt idx="2725">
                  <c:v>43579</c:v>
                </c:pt>
                <c:pt idx="2726">
                  <c:v>43579</c:v>
                </c:pt>
                <c:pt idx="2727">
                  <c:v>43579</c:v>
                </c:pt>
                <c:pt idx="2728">
                  <c:v>43579</c:v>
                </c:pt>
                <c:pt idx="2729">
                  <c:v>43579</c:v>
                </c:pt>
                <c:pt idx="2730">
                  <c:v>43579</c:v>
                </c:pt>
                <c:pt idx="2731">
                  <c:v>43579</c:v>
                </c:pt>
                <c:pt idx="2732">
                  <c:v>43579</c:v>
                </c:pt>
                <c:pt idx="2733">
                  <c:v>43579</c:v>
                </c:pt>
                <c:pt idx="2734">
                  <c:v>43579</c:v>
                </c:pt>
                <c:pt idx="2735">
                  <c:v>43579</c:v>
                </c:pt>
                <c:pt idx="2736">
                  <c:v>43580</c:v>
                </c:pt>
                <c:pt idx="2737">
                  <c:v>43580</c:v>
                </c:pt>
                <c:pt idx="2738">
                  <c:v>43580</c:v>
                </c:pt>
                <c:pt idx="2739">
                  <c:v>43580</c:v>
                </c:pt>
                <c:pt idx="2740">
                  <c:v>43580</c:v>
                </c:pt>
                <c:pt idx="2741">
                  <c:v>43580</c:v>
                </c:pt>
                <c:pt idx="2742">
                  <c:v>43580</c:v>
                </c:pt>
                <c:pt idx="2743">
                  <c:v>43580</c:v>
                </c:pt>
                <c:pt idx="2744">
                  <c:v>43580</c:v>
                </c:pt>
                <c:pt idx="2745">
                  <c:v>43580</c:v>
                </c:pt>
                <c:pt idx="2746">
                  <c:v>43580</c:v>
                </c:pt>
                <c:pt idx="2747">
                  <c:v>43580</c:v>
                </c:pt>
                <c:pt idx="2748">
                  <c:v>43580</c:v>
                </c:pt>
                <c:pt idx="2749">
                  <c:v>43580</c:v>
                </c:pt>
                <c:pt idx="2750">
                  <c:v>43580</c:v>
                </c:pt>
                <c:pt idx="2751">
                  <c:v>43580</c:v>
                </c:pt>
                <c:pt idx="2752">
                  <c:v>43580</c:v>
                </c:pt>
                <c:pt idx="2753">
                  <c:v>43580</c:v>
                </c:pt>
                <c:pt idx="2754">
                  <c:v>43580</c:v>
                </c:pt>
                <c:pt idx="2755">
                  <c:v>43580</c:v>
                </c:pt>
                <c:pt idx="2756">
                  <c:v>43580</c:v>
                </c:pt>
                <c:pt idx="2757">
                  <c:v>43580</c:v>
                </c:pt>
                <c:pt idx="2758">
                  <c:v>43580</c:v>
                </c:pt>
                <c:pt idx="2759">
                  <c:v>43580</c:v>
                </c:pt>
                <c:pt idx="2760">
                  <c:v>43581</c:v>
                </c:pt>
                <c:pt idx="2761">
                  <c:v>43581</c:v>
                </c:pt>
                <c:pt idx="2762">
                  <c:v>43581</c:v>
                </c:pt>
                <c:pt idx="2763">
                  <c:v>43581</c:v>
                </c:pt>
                <c:pt idx="2764">
                  <c:v>43581</c:v>
                </c:pt>
                <c:pt idx="2765">
                  <c:v>43581</c:v>
                </c:pt>
                <c:pt idx="2766">
                  <c:v>43581</c:v>
                </c:pt>
                <c:pt idx="2767">
                  <c:v>43581</c:v>
                </c:pt>
                <c:pt idx="2768">
                  <c:v>43581</c:v>
                </c:pt>
                <c:pt idx="2769">
                  <c:v>43581</c:v>
                </c:pt>
                <c:pt idx="2770">
                  <c:v>43581</c:v>
                </c:pt>
                <c:pt idx="2771">
                  <c:v>43581</c:v>
                </c:pt>
                <c:pt idx="2772">
                  <c:v>43581</c:v>
                </c:pt>
                <c:pt idx="2773">
                  <c:v>43581</c:v>
                </c:pt>
                <c:pt idx="2774">
                  <c:v>43581</c:v>
                </c:pt>
                <c:pt idx="2775">
                  <c:v>43581</c:v>
                </c:pt>
                <c:pt idx="2776">
                  <c:v>43581</c:v>
                </c:pt>
                <c:pt idx="2777">
                  <c:v>43581</c:v>
                </c:pt>
                <c:pt idx="2778">
                  <c:v>43581</c:v>
                </c:pt>
                <c:pt idx="2779">
                  <c:v>43581</c:v>
                </c:pt>
                <c:pt idx="2780">
                  <c:v>43581</c:v>
                </c:pt>
                <c:pt idx="2781">
                  <c:v>43581</c:v>
                </c:pt>
                <c:pt idx="2782">
                  <c:v>43581</c:v>
                </c:pt>
                <c:pt idx="2783">
                  <c:v>43581</c:v>
                </c:pt>
                <c:pt idx="2784">
                  <c:v>43582</c:v>
                </c:pt>
                <c:pt idx="2785">
                  <c:v>43582</c:v>
                </c:pt>
                <c:pt idx="2786">
                  <c:v>43582</c:v>
                </c:pt>
                <c:pt idx="2787">
                  <c:v>43582</c:v>
                </c:pt>
                <c:pt idx="2788">
                  <c:v>43582</c:v>
                </c:pt>
                <c:pt idx="2789">
                  <c:v>43582</c:v>
                </c:pt>
                <c:pt idx="2790">
                  <c:v>43582</c:v>
                </c:pt>
                <c:pt idx="2791">
                  <c:v>43582</c:v>
                </c:pt>
                <c:pt idx="2792">
                  <c:v>43582</c:v>
                </c:pt>
                <c:pt idx="2793">
                  <c:v>43582</c:v>
                </c:pt>
                <c:pt idx="2794">
                  <c:v>43582</c:v>
                </c:pt>
                <c:pt idx="2795">
                  <c:v>43582</c:v>
                </c:pt>
                <c:pt idx="2796">
                  <c:v>43582</c:v>
                </c:pt>
                <c:pt idx="2797">
                  <c:v>43582</c:v>
                </c:pt>
                <c:pt idx="2798">
                  <c:v>43582</c:v>
                </c:pt>
                <c:pt idx="2799">
                  <c:v>43582</c:v>
                </c:pt>
                <c:pt idx="2800">
                  <c:v>43582</c:v>
                </c:pt>
                <c:pt idx="2801">
                  <c:v>43582</c:v>
                </c:pt>
                <c:pt idx="2802">
                  <c:v>43582</c:v>
                </c:pt>
                <c:pt idx="2803">
                  <c:v>43582</c:v>
                </c:pt>
                <c:pt idx="2804">
                  <c:v>43582</c:v>
                </c:pt>
                <c:pt idx="2805">
                  <c:v>43582</c:v>
                </c:pt>
                <c:pt idx="2806">
                  <c:v>43582</c:v>
                </c:pt>
                <c:pt idx="2807">
                  <c:v>43582</c:v>
                </c:pt>
                <c:pt idx="2808">
                  <c:v>43583</c:v>
                </c:pt>
                <c:pt idx="2809">
                  <c:v>43583</c:v>
                </c:pt>
                <c:pt idx="2810">
                  <c:v>43583</c:v>
                </c:pt>
                <c:pt idx="2811">
                  <c:v>43583</c:v>
                </c:pt>
                <c:pt idx="2812">
                  <c:v>43583</c:v>
                </c:pt>
                <c:pt idx="2813">
                  <c:v>43583</c:v>
                </c:pt>
                <c:pt idx="2814">
                  <c:v>43583</c:v>
                </c:pt>
                <c:pt idx="2815">
                  <c:v>43583</c:v>
                </c:pt>
                <c:pt idx="2816">
                  <c:v>43583</c:v>
                </c:pt>
                <c:pt idx="2817">
                  <c:v>43583</c:v>
                </c:pt>
                <c:pt idx="2818">
                  <c:v>43583</c:v>
                </c:pt>
                <c:pt idx="2819">
                  <c:v>43583</c:v>
                </c:pt>
                <c:pt idx="2820">
                  <c:v>43583</c:v>
                </c:pt>
                <c:pt idx="2821">
                  <c:v>43583</c:v>
                </c:pt>
                <c:pt idx="2822">
                  <c:v>43583</c:v>
                </c:pt>
                <c:pt idx="2823">
                  <c:v>43583</c:v>
                </c:pt>
                <c:pt idx="2824">
                  <c:v>43583</c:v>
                </c:pt>
                <c:pt idx="2825">
                  <c:v>43583</c:v>
                </c:pt>
                <c:pt idx="2826">
                  <c:v>43583</c:v>
                </c:pt>
                <c:pt idx="2827">
                  <c:v>43583</c:v>
                </c:pt>
                <c:pt idx="2828">
                  <c:v>43583</c:v>
                </c:pt>
                <c:pt idx="2829">
                  <c:v>43583</c:v>
                </c:pt>
                <c:pt idx="2830">
                  <c:v>43583</c:v>
                </c:pt>
                <c:pt idx="2831">
                  <c:v>43583</c:v>
                </c:pt>
                <c:pt idx="2832">
                  <c:v>43584</c:v>
                </c:pt>
                <c:pt idx="2833">
                  <c:v>43584</c:v>
                </c:pt>
                <c:pt idx="2834">
                  <c:v>43584</c:v>
                </c:pt>
                <c:pt idx="2835">
                  <c:v>43584</c:v>
                </c:pt>
                <c:pt idx="2836">
                  <c:v>43584</c:v>
                </c:pt>
                <c:pt idx="2837">
                  <c:v>43584</c:v>
                </c:pt>
                <c:pt idx="2838">
                  <c:v>43584</c:v>
                </c:pt>
                <c:pt idx="2839">
                  <c:v>43584</c:v>
                </c:pt>
                <c:pt idx="2840">
                  <c:v>43584</c:v>
                </c:pt>
                <c:pt idx="2841">
                  <c:v>43584</c:v>
                </c:pt>
                <c:pt idx="2842">
                  <c:v>43584</c:v>
                </c:pt>
                <c:pt idx="2843">
                  <c:v>43584</c:v>
                </c:pt>
                <c:pt idx="2844">
                  <c:v>43584</c:v>
                </c:pt>
                <c:pt idx="2845">
                  <c:v>43584</c:v>
                </c:pt>
                <c:pt idx="2846">
                  <c:v>43584</c:v>
                </c:pt>
                <c:pt idx="2847">
                  <c:v>43584</c:v>
                </c:pt>
                <c:pt idx="2848">
                  <c:v>43584</c:v>
                </c:pt>
                <c:pt idx="2849">
                  <c:v>43584</c:v>
                </c:pt>
                <c:pt idx="2850">
                  <c:v>43584</c:v>
                </c:pt>
                <c:pt idx="2851">
                  <c:v>43584</c:v>
                </c:pt>
                <c:pt idx="2852">
                  <c:v>43584</c:v>
                </c:pt>
                <c:pt idx="2853">
                  <c:v>43584</c:v>
                </c:pt>
                <c:pt idx="2854">
                  <c:v>43584</c:v>
                </c:pt>
                <c:pt idx="2855">
                  <c:v>43584</c:v>
                </c:pt>
                <c:pt idx="2856">
                  <c:v>43585</c:v>
                </c:pt>
                <c:pt idx="2857">
                  <c:v>43585</c:v>
                </c:pt>
                <c:pt idx="2858">
                  <c:v>43585</c:v>
                </c:pt>
                <c:pt idx="2859">
                  <c:v>43585</c:v>
                </c:pt>
                <c:pt idx="2860">
                  <c:v>43585</c:v>
                </c:pt>
                <c:pt idx="2861">
                  <c:v>43585</c:v>
                </c:pt>
                <c:pt idx="2862">
                  <c:v>43585</c:v>
                </c:pt>
                <c:pt idx="2863">
                  <c:v>43585</c:v>
                </c:pt>
                <c:pt idx="2864">
                  <c:v>43585</c:v>
                </c:pt>
                <c:pt idx="2865">
                  <c:v>43585</c:v>
                </c:pt>
                <c:pt idx="2866">
                  <c:v>43585</c:v>
                </c:pt>
                <c:pt idx="2867">
                  <c:v>43585</c:v>
                </c:pt>
                <c:pt idx="2868">
                  <c:v>43585</c:v>
                </c:pt>
                <c:pt idx="2869">
                  <c:v>43585</c:v>
                </c:pt>
                <c:pt idx="2870">
                  <c:v>43585</c:v>
                </c:pt>
                <c:pt idx="2871">
                  <c:v>43585</c:v>
                </c:pt>
                <c:pt idx="2872">
                  <c:v>43585</c:v>
                </c:pt>
                <c:pt idx="2873">
                  <c:v>43585</c:v>
                </c:pt>
                <c:pt idx="2874">
                  <c:v>43585</c:v>
                </c:pt>
                <c:pt idx="2875">
                  <c:v>43585</c:v>
                </c:pt>
                <c:pt idx="2876">
                  <c:v>43585</c:v>
                </c:pt>
                <c:pt idx="2877">
                  <c:v>43585</c:v>
                </c:pt>
                <c:pt idx="2878">
                  <c:v>43585</c:v>
                </c:pt>
                <c:pt idx="2879">
                  <c:v>43585</c:v>
                </c:pt>
                <c:pt idx="2880">
                  <c:v>43586</c:v>
                </c:pt>
                <c:pt idx="2881">
                  <c:v>43586</c:v>
                </c:pt>
                <c:pt idx="2882">
                  <c:v>43586</c:v>
                </c:pt>
                <c:pt idx="2883">
                  <c:v>43586</c:v>
                </c:pt>
                <c:pt idx="2884">
                  <c:v>43586</c:v>
                </c:pt>
                <c:pt idx="2885">
                  <c:v>43586</c:v>
                </c:pt>
                <c:pt idx="2886">
                  <c:v>43586</c:v>
                </c:pt>
                <c:pt idx="2887">
                  <c:v>43586</c:v>
                </c:pt>
                <c:pt idx="2888">
                  <c:v>43586</c:v>
                </c:pt>
                <c:pt idx="2889">
                  <c:v>43586</c:v>
                </c:pt>
                <c:pt idx="2890">
                  <c:v>43586</c:v>
                </c:pt>
                <c:pt idx="2891">
                  <c:v>43586</c:v>
                </c:pt>
                <c:pt idx="2892">
                  <c:v>43586</c:v>
                </c:pt>
                <c:pt idx="2893">
                  <c:v>43586</c:v>
                </c:pt>
                <c:pt idx="2894">
                  <c:v>43586</c:v>
                </c:pt>
                <c:pt idx="2895">
                  <c:v>43586</c:v>
                </c:pt>
                <c:pt idx="2896">
                  <c:v>43586</c:v>
                </c:pt>
                <c:pt idx="2897">
                  <c:v>43586</c:v>
                </c:pt>
                <c:pt idx="2898">
                  <c:v>43586</c:v>
                </c:pt>
                <c:pt idx="2899">
                  <c:v>43586</c:v>
                </c:pt>
                <c:pt idx="2900">
                  <c:v>43586</c:v>
                </c:pt>
                <c:pt idx="2901">
                  <c:v>43586</c:v>
                </c:pt>
                <c:pt idx="2902">
                  <c:v>43586</c:v>
                </c:pt>
                <c:pt idx="2903">
                  <c:v>43586</c:v>
                </c:pt>
                <c:pt idx="2904">
                  <c:v>43587</c:v>
                </c:pt>
                <c:pt idx="2905">
                  <c:v>43587</c:v>
                </c:pt>
                <c:pt idx="2906">
                  <c:v>43587</c:v>
                </c:pt>
                <c:pt idx="2907">
                  <c:v>43587</c:v>
                </c:pt>
                <c:pt idx="2908">
                  <c:v>43587</c:v>
                </c:pt>
                <c:pt idx="2909">
                  <c:v>43587</c:v>
                </c:pt>
                <c:pt idx="2910">
                  <c:v>43587</c:v>
                </c:pt>
                <c:pt idx="2911">
                  <c:v>43587</c:v>
                </c:pt>
                <c:pt idx="2912">
                  <c:v>43587</c:v>
                </c:pt>
                <c:pt idx="2913">
                  <c:v>43587</c:v>
                </c:pt>
                <c:pt idx="2914">
                  <c:v>43587</c:v>
                </c:pt>
                <c:pt idx="2915">
                  <c:v>43587</c:v>
                </c:pt>
                <c:pt idx="2916">
                  <c:v>43587</c:v>
                </c:pt>
                <c:pt idx="2917">
                  <c:v>43587</c:v>
                </c:pt>
                <c:pt idx="2918">
                  <c:v>43587</c:v>
                </c:pt>
                <c:pt idx="2919">
                  <c:v>43587</c:v>
                </c:pt>
                <c:pt idx="2920">
                  <c:v>43587</c:v>
                </c:pt>
                <c:pt idx="2921">
                  <c:v>43587</c:v>
                </c:pt>
                <c:pt idx="2922">
                  <c:v>43587</c:v>
                </c:pt>
                <c:pt idx="2923">
                  <c:v>43587</c:v>
                </c:pt>
                <c:pt idx="2924">
                  <c:v>43587</c:v>
                </c:pt>
                <c:pt idx="2925">
                  <c:v>43587</c:v>
                </c:pt>
                <c:pt idx="2926">
                  <c:v>43587</c:v>
                </c:pt>
                <c:pt idx="2927">
                  <c:v>43587</c:v>
                </c:pt>
                <c:pt idx="2928">
                  <c:v>43588</c:v>
                </c:pt>
                <c:pt idx="2929">
                  <c:v>43588</c:v>
                </c:pt>
                <c:pt idx="2930">
                  <c:v>43588</c:v>
                </c:pt>
                <c:pt idx="2931">
                  <c:v>43588</c:v>
                </c:pt>
                <c:pt idx="2932">
                  <c:v>43588</c:v>
                </c:pt>
                <c:pt idx="2933">
                  <c:v>43588</c:v>
                </c:pt>
                <c:pt idx="2934">
                  <c:v>43588</c:v>
                </c:pt>
                <c:pt idx="2935">
                  <c:v>43588</c:v>
                </c:pt>
                <c:pt idx="2936">
                  <c:v>43588</c:v>
                </c:pt>
                <c:pt idx="2937">
                  <c:v>43588</c:v>
                </c:pt>
                <c:pt idx="2938">
                  <c:v>43588</c:v>
                </c:pt>
                <c:pt idx="2939">
                  <c:v>43588</c:v>
                </c:pt>
                <c:pt idx="2940">
                  <c:v>43588</c:v>
                </c:pt>
                <c:pt idx="2941">
                  <c:v>43588</c:v>
                </c:pt>
                <c:pt idx="2942">
                  <c:v>43588</c:v>
                </c:pt>
                <c:pt idx="2943">
                  <c:v>43588</c:v>
                </c:pt>
                <c:pt idx="2944">
                  <c:v>43588</c:v>
                </c:pt>
                <c:pt idx="2945">
                  <c:v>43588</c:v>
                </c:pt>
                <c:pt idx="2946">
                  <c:v>43588</c:v>
                </c:pt>
                <c:pt idx="2947">
                  <c:v>43588</c:v>
                </c:pt>
                <c:pt idx="2948">
                  <c:v>43588</c:v>
                </c:pt>
                <c:pt idx="2949">
                  <c:v>43588</c:v>
                </c:pt>
                <c:pt idx="2950">
                  <c:v>43588</c:v>
                </c:pt>
                <c:pt idx="2951">
                  <c:v>43588</c:v>
                </c:pt>
                <c:pt idx="2952">
                  <c:v>43589</c:v>
                </c:pt>
                <c:pt idx="2953">
                  <c:v>43589</c:v>
                </c:pt>
                <c:pt idx="2954">
                  <c:v>43589</c:v>
                </c:pt>
                <c:pt idx="2955">
                  <c:v>43589</c:v>
                </c:pt>
                <c:pt idx="2956">
                  <c:v>43589</c:v>
                </c:pt>
                <c:pt idx="2957">
                  <c:v>43589</c:v>
                </c:pt>
                <c:pt idx="2958">
                  <c:v>43589</c:v>
                </c:pt>
                <c:pt idx="2959">
                  <c:v>43589</c:v>
                </c:pt>
                <c:pt idx="2960">
                  <c:v>43589</c:v>
                </c:pt>
                <c:pt idx="2961">
                  <c:v>43589</c:v>
                </c:pt>
                <c:pt idx="2962">
                  <c:v>43589</c:v>
                </c:pt>
                <c:pt idx="2963">
                  <c:v>43589</c:v>
                </c:pt>
                <c:pt idx="2964">
                  <c:v>43589</c:v>
                </c:pt>
                <c:pt idx="2965">
                  <c:v>43589</c:v>
                </c:pt>
                <c:pt idx="2966">
                  <c:v>43589</c:v>
                </c:pt>
                <c:pt idx="2967">
                  <c:v>43589</c:v>
                </c:pt>
                <c:pt idx="2968">
                  <c:v>43589</c:v>
                </c:pt>
                <c:pt idx="2969">
                  <c:v>43589</c:v>
                </c:pt>
                <c:pt idx="2970">
                  <c:v>43589</c:v>
                </c:pt>
                <c:pt idx="2971">
                  <c:v>43589</c:v>
                </c:pt>
                <c:pt idx="2972">
                  <c:v>43589</c:v>
                </c:pt>
                <c:pt idx="2973">
                  <c:v>43589</c:v>
                </c:pt>
                <c:pt idx="2974">
                  <c:v>43589</c:v>
                </c:pt>
                <c:pt idx="2975">
                  <c:v>43589</c:v>
                </c:pt>
                <c:pt idx="2976">
                  <c:v>43590</c:v>
                </c:pt>
                <c:pt idx="2977">
                  <c:v>43590</c:v>
                </c:pt>
                <c:pt idx="2978">
                  <c:v>43590</c:v>
                </c:pt>
                <c:pt idx="2979">
                  <c:v>43590</c:v>
                </c:pt>
                <c:pt idx="2980">
                  <c:v>43590</c:v>
                </c:pt>
                <c:pt idx="2981">
                  <c:v>43590</c:v>
                </c:pt>
                <c:pt idx="2982">
                  <c:v>43590</c:v>
                </c:pt>
                <c:pt idx="2983">
                  <c:v>43590</c:v>
                </c:pt>
                <c:pt idx="2984">
                  <c:v>43590</c:v>
                </c:pt>
                <c:pt idx="2985">
                  <c:v>43590</c:v>
                </c:pt>
                <c:pt idx="2986">
                  <c:v>43590</c:v>
                </c:pt>
                <c:pt idx="2987">
                  <c:v>43590</c:v>
                </c:pt>
                <c:pt idx="2988">
                  <c:v>43590</c:v>
                </c:pt>
                <c:pt idx="2989">
                  <c:v>43590</c:v>
                </c:pt>
                <c:pt idx="2990">
                  <c:v>43590</c:v>
                </c:pt>
                <c:pt idx="2991">
                  <c:v>43590</c:v>
                </c:pt>
                <c:pt idx="2992">
                  <c:v>43590</c:v>
                </c:pt>
                <c:pt idx="2993">
                  <c:v>43590</c:v>
                </c:pt>
                <c:pt idx="2994">
                  <c:v>43590</c:v>
                </c:pt>
                <c:pt idx="2995">
                  <c:v>43590</c:v>
                </c:pt>
                <c:pt idx="2996">
                  <c:v>43590</c:v>
                </c:pt>
                <c:pt idx="2997">
                  <c:v>43590</c:v>
                </c:pt>
                <c:pt idx="2998">
                  <c:v>43590</c:v>
                </c:pt>
                <c:pt idx="2999">
                  <c:v>43590</c:v>
                </c:pt>
                <c:pt idx="3000">
                  <c:v>43591</c:v>
                </c:pt>
                <c:pt idx="3001">
                  <c:v>43591</c:v>
                </c:pt>
                <c:pt idx="3002">
                  <c:v>43591</c:v>
                </c:pt>
                <c:pt idx="3003">
                  <c:v>43591</c:v>
                </c:pt>
                <c:pt idx="3004">
                  <c:v>43591</c:v>
                </c:pt>
                <c:pt idx="3005">
                  <c:v>43591</c:v>
                </c:pt>
                <c:pt idx="3006">
                  <c:v>43591</c:v>
                </c:pt>
                <c:pt idx="3007">
                  <c:v>43591</c:v>
                </c:pt>
                <c:pt idx="3008">
                  <c:v>43591</c:v>
                </c:pt>
                <c:pt idx="3009">
                  <c:v>43591</c:v>
                </c:pt>
                <c:pt idx="3010">
                  <c:v>43591</c:v>
                </c:pt>
                <c:pt idx="3011">
                  <c:v>43591</c:v>
                </c:pt>
                <c:pt idx="3012">
                  <c:v>43591</c:v>
                </c:pt>
                <c:pt idx="3013">
                  <c:v>43591</c:v>
                </c:pt>
                <c:pt idx="3014">
                  <c:v>43591</c:v>
                </c:pt>
                <c:pt idx="3015">
                  <c:v>43591</c:v>
                </c:pt>
                <c:pt idx="3016">
                  <c:v>43591</c:v>
                </c:pt>
                <c:pt idx="3017">
                  <c:v>43591</c:v>
                </c:pt>
                <c:pt idx="3018">
                  <c:v>43591</c:v>
                </c:pt>
                <c:pt idx="3019">
                  <c:v>43591</c:v>
                </c:pt>
                <c:pt idx="3020">
                  <c:v>43591</c:v>
                </c:pt>
                <c:pt idx="3021">
                  <c:v>43591</c:v>
                </c:pt>
                <c:pt idx="3022">
                  <c:v>43591</c:v>
                </c:pt>
                <c:pt idx="3023">
                  <c:v>43591</c:v>
                </c:pt>
                <c:pt idx="3024">
                  <c:v>43592</c:v>
                </c:pt>
                <c:pt idx="3025">
                  <c:v>43592</c:v>
                </c:pt>
                <c:pt idx="3026">
                  <c:v>43592</c:v>
                </c:pt>
                <c:pt idx="3027">
                  <c:v>43592</c:v>
                </c:pt>
                <c:pt idx="3028">
                  <c:v>43592</c:v>
                </c:pt>
                <c:pt idx="3029">
                  <c:v>43592</c:v>
                </c:pt>
                <c:pt idx="3030">
                  <c:v>43592</c:v>
                </c:pt>
                <c:pt idx="3031">
                  <c:v>43592</c:v>
                </c:pt>
                <c:pt idx="3032">
                  <c:v>43592</c:v>
                </c:pt>
                <c:pt idx="3033">
                  <c:v>43592</c:v>
                </c:pt>
                <c:pt idx="3034">
                  <c:v>43592</c:v>
                </c:pt>
                <c:pt idx="3035">
                  <c:v>43592</c:v>
                </c:pt>
                <c:pt idx="3036">
                  <c:v>43592</c:v>
                </c:pt>
                <c:pt idx="3037">
                  <c:v>43592</c:v>
                </c:pt>
                <c:pt idx="3038">
                  <c:v>43592</c:v>
                </c:pt>
                <c:pt idx="3039">
                  <c:v>43592</c:v>
                </c:pt>
                <c:pt idx="3040">
                  <c:v>43592</c:v>
                </c:pt>
                <c:pt idx="3041">
                  <c:v>43592</c:v>
                </c:pt>
                <c:pt idx="3042">
                  <c:v>43592</c:v>
                </c:pt>
                <c:pt idx="3043">
                  <c:v>43592</c:v>
                </c:pt>
                <c:pt idx="3044">
                  <c:v>43592</c:v>
                </c:pt>
                <c:pt idx="3045">
                  <c:v>43592</c:v>
                </c:pt>
                <c:pt idx="3046">
                  <c:v>43592</c:v>
                </c:pt>
                <c:pt idx="3047">
                  <c:v>43592</c:v>
                </c:pt>
                <c:pt idx="3048">
                  <c:v>43593</c:v>
                </c:pt>
                <c:pt idx="3049">
                  <c:v>43593</c:v>
                </c:pt>
                <c:pt idx="3050">
                  <c:v>43593</c:v>
                </c:pt>
                <c:pt idx="3051">
                  <c:v>43593</c:v>
                </c:pt>
                <c:pt idx="3052">
                  <c:v>43593</c:v>
                </c:pt>
                <c:pt idx="3053">
                  <c:v>43593</c:v>
                </c:pt>
                <c:pt idx="3054">
                  <c:v>43593</c:v>
                </c:pt>
                <c:pt idx="3055">
                  <c:v>43593</c:v>
                </c:pt>
                <c:pt idx="3056">
                  <c:v>43593</c:v>
                </c:pt>
                <c:pt idx="3057">
                  <c:v>43593</c:v>
                </c:pt>
                <c:pt idx="3058">
                  <c:v>43593</c:v>
                </c:pt>
                <c:pt idx="3059">
                  <c:v>43593</c:v>
                </c:pt>
                <c:pt idx="3060">
                  <c:v>43593</c:v>
                </c:pt>
                <c:pt idx="3061">
                  <c:v>43593</c:v>
                </c:pt>
                <c:pt idx="3062">
                  <c:v>43593</c:v>
                </c:pt>
                <c:pt idx="3063">
                  <c:v>43593</c:v>
                </c:pt>
                <c:pt idx="3064">
                  <c:v>43593</c:v>
                </c:pt>
                <c:pt idx="3065">
                  <c:v>43593</c:v>
                </c:pt>
                <c:pt idx="3066">
                  <c:v>43593</c:v>
                </c:pt>
                <c:pt idx="3067">
                  <c:v>43593</c:v>
                </c:pt>
                <c:pt idx="3068">
                  <c:v>43593</c:v>
                </c:pt>
                <c:pt idx="3069">
                  <c:v>43593</c:v>
                </c:pt>
                <c:pt idx="3070">
                  <c:v>43593</c:v>
                </c:pt>
                <c:pt idx="3071">
                  <c:v>43593</c:v>
                </c:pt>
                <c:pt idx="3072">
                  <c:v>43594</c:v>
                </c:pt>
                <c:pt idx="3073">
                  <c:v>43594</c:v>
                </c:pt>
                <c:pt idx="3074">
                  <c:v>43594</c:v>
                </c:pt>
                <c:pt idx="3075">
                  <c:v>43594</c:v>
                </c:pt>
                <c:pt idx="3076">
                  <c:v>43594</c:v>
                </c:pt>
                <c:pt idx="3077">
                  <c:v>43594</c:v>
                </c:pt>
                <c:pt idx="3078">
                  <c:v>43594</c:v>
                </c:pt>
                <c:pt idx="3079">
                  <c:v>43594</c:v>
                </c:pt>
                <c:pt idx="3080">
                  <c:v>43594</c:v>
                </c:pt>
                <c:pt idx="3081">
                  <c:v>43594</c:v>
                </c:pt>
                <c:pt idx="3082">
                  <c:v>43594</c:v>
                </c:pt>
                <c:pt idx="3083">
                  <c:v>43594</c:v>
                </c:pt>
                <c:pt idx="3084">
                  <c:v>43594</c:v>
                </c:pt>
                <c:pt idx="3085">
                  <c:v>43594</c:v>
                </c:pt>
                <c:pt idx="3086">
                  <c:v>43594</c:v>
                </c:pt>
                <c:pt idx="3087">
                  <c:v>43594</c:v>
                </c:pt>
                <c:pt idx="3088">
                  <c:v>43594</c:v>
                </c:pt>
                <c:pt idx="3089">
                  <c:v>43594</c:v>
                </c:pt>
                <c:pt idx="3090">
                  <c:v>43594</c:v>
                </c:pt>
                <c:pt idx="3091">
                  <c:v>43594</c:v>
                </c:pt>
                <c:pt idx="3092">
                  <c:v>43594</c:v>
                </c:pt>
                <c:pt idx="3093">
                  <c:v>43594</c:v>
                </c:pt>
                <c:pt idx="3094">
                  <c:v>43594</c:v>
                </c:pt>
                <c:pt idx="3095">
                  <c:v>43594</c:v>
                </c:pt>
                <c:pt idx="3096">
                  <c:v>43595</c:v>
                </c:pt>
                <c:pt idx="3097">
                  <c:v>43595</c:v>
                </c:pt>
                <c:pt idx="3098">
                  <c:v>43595</c:v>
                </c:pt>
                <c:pt idx="3099">
                  <c:v>43595</c:v>
                </c:pt>
                <c:pt idx="3100">
                  <c:v>43595</c:v>
                </c:pt>
                <c:pt idx="3101">
                  <c:v>43595</c:v>
                </c:pt>
                <c:pt idx="3102">
                  <c:v>43595</c:v>
                </c:pt>
                <c:pt idx="3103">
                  <c:v>43595</c:v>
                </c:pt>
                <c:pt idx="3104">
                  <c:v>43595</c:v>
                </c:pt>
                <c:pt idx="3105">
                  <c:v>43595</c:v>
                </c:pt>
                <c:pt idx="3106">
                  <c:v>43595</c:v>
                </c:pt>
                <c:pt idx="3107">
                  <c:v>43595</c:v>
                </c:pt>
                <c:pt idx="3108">
                  <c:v>43595</c:v>
                </c:pt>
                <c:pt idx="3109">
                  <c:v>43595</c:v>
                </c:pt>
                <c:pt idx="3110">
                  <c:v>43595</c:v>
                </c:pt>
                <c:pt idx="3111">
                  <c:v>43595</c:v>
                </c:pt>
                <c:pt idx="3112">
                  <c:v>43595</c:v>
                </c:pt>
                <c:pt idx="3113">
                  <c:v>43595</c:v>
                </c:pt>
                <c:pt idx="3114">
                  <c:v>43595</c:v>
                </c:pt>
                <c:pt idx="3115">
                  <c:v>43595</c:v>
                </c:pt>
                <c:pt idx="3116">
                  <c:v>43595</c:v>
                </c:pt>
                <c:pt idx="3117">
                  <c:v>43595</c:v>
                </c:pt>
                <c:pt idx="3118">
                  <c:v>43595</c:v>
                </c:pt>
                <c:pt idx="3119">
                  <c:v>43595</c:v>
                </c:pt>
                <c:pt idx="3120">
                  <c:v>43596</c:v>
                </c:pt>
                <c:pt idx="3121">
                  <c:v>43596</c:v>
                </c:pt>
                <c:pt idx="3122">
                  <c:v>43596</c:v>
                </c:pt>
                <c:pt idx="3123">
                  <c:v>43596</c:v>
                </c:pt>
                <c:pt idx="3124">
                  <c:v>43596</c:v>
                </c:pt>
                <c:pt idx="3125">
                  <c:v>43596</c:v>
                </c:pt>
                <c:pt idx="3126">
                  <c:v>43596</c:v>
                </c:pt>
                <c:pt idx="3127">
                  <c:v>43596</c:v>
                </c:pt>
                <c:pt idx="3128">
                  <c:v>43596</c:v>
                </c:pt>
                <c:pt idx="3129">
                  <c:v>43596</c:v>
                </c:pt>
                <c:pt idx="3130">
                  <c:v>43596</c:v>
                </c:pt>
                <c:pt idx="3131">
                  <c:v>43596</c:v>
                </c:pt>
                <c:pt idx="3132">
                  <c:v>43596</c:v>
                </c:pt>
                <c:pt idx="3133">
                  <c:v>43596</c:v>
                </c:pt>
                <c:pt idx="3134">
                  <c:v>43596</c:v>
                </c:pt>
                <c:pt idx="3135">
                  <c:v>43596</c:v>
                </c:pt>
                <c:pt idx="3136">
                  <c:v>43596</c:v>
                </c:pt>
                <c:pt idx="3137">
                  <c:v>43596</c:v>
                </c:pt>
                <c:pt idx="3138">
                  <c:v>43596</c:v>
                </c:pt>
                <c:pt idx="3139">
                  <c:v>43596</c:v>
                </c:pt>
                <c:pt idx="3140">
                  <c:v>43596</c:v>
                </c:pt>
                <c:pt idx="3141">
                  <c:v>43596</c:v>
                </c:pt>
                <c:pt idx="3142">
                  <c:v>43596</c:v>
                </c:pt>
                <c:pt idx="3143">
                  <c:v>43596</c:v>
                </c:pt>
                <c:pt idx="3144">
                  <c:v>43597</c:v>
                </c:pt>
                <c:pt idx="3145">
                  <c:v>43597</c:v>
                </c:pt>
                <c:pt idx="3146">
                  <c:v>43597</c:v>
                </c:pt>
                <c:pt idx="3147">
                  <c:v>43597</c:v>
                </c:pt>
                <c:pt idx="3148">
                  <c:v>43597</c:v>
                </c:pt>
                <c:pt idx="3149">
                  <c:v>43597</c:v>
                </c:pt>
                <c:pt idx="3150">
                  <c:v>43597</c:v>
                </c:pt>
                <c:pt idx="3151">
                  <c:v>43597</c:v>
                </c:pt>
                <c:pt idx="3152">
                  <c:v>43597</c:v>
                </c:pt>
                <c:pt idx="3153">
                  <c:v>43597</c:v>
                </c:pt>
                <c:pt idx="3154">
                  <c:v>43597</c:v>
                </c:pt>
                <c:pt idx="3155">
                  <c:v>43597</c:v>
                </c:pt>
                <c:pt idx="3156">
                  <c:v>43597</c:v>
                </c:pt>
                <c:pt idx="3157">
                  <c:v>43597</c:v>
                </c:pt>
                <c:pt idx="3158">
                  <c:v>43597</c:v>
                </c:pt>
                <c:pt idx="3159">
                  <c:v>43597</c:v>
                </c:pt>
                <c:pt idx="3160">
                  <c:v>43597</c:v>
                </c:pt>
                <c:pt idx="3161">
                  <c:v>43597</c:v>
                </c:pt>
                <c:pt idx="3162">
                  <c:v>43597</c:v>
                </c:pt>
                <c:pt idx="3163">
                  <c:v>43597</c:v>
                </c:pt>
                <c:pt idx="3164">
                  <c:v>43597</c:v>
                </c:pt>
                <c:pt idx="3165">
                  <c:v>43597</c:v>
                </c:pt>
                <c:pt idx="3166">
                  <c:v>43597</c:v>
                </c:pt>
                <c:pt idx="3167">
                  <c:v>43597</c:v>
                </c:pt>
                <c:pt idx="3168">
                  <c:v>43598</c:v>
                </c:pt>
                <c:pt idx="3169">
                  <c:v>43598</c:v>
                </c:pt>
                <c:pt idx="3170">
                  <c:v>43598</c:v>
                </c:pt>
                <c:pt idx="3171">
                  <c:v>43598</c:v>
                </c:pt>
                <c:pt idx="3172">
                  <c:v>43598</c:v>
                </c:pt>
                <c:pt idx="3173">
                  <c:v>43598</c:v>
                </c:pt>
                <c:pt idx="3174">
                  <c:v>43598</c:v>
                </c:pt>
                <c:pt idx="3175">
                  <c:v>43598</c:v>
                </c:pt>
                <c:pt idx="3176">
                  <c:v>43598</c:v>
                </c:pt>
                <c:pt idx="3177">
                  <c:v>43598</c:v>
                </c:pt>
                <c:pt idx="3178">
                  <c:v>43598</c:v>
                </c:pt>
                <c:pt idx="3179">
                  <c:v>43598</c:v>
                </c:pt>
                <c:pt idx="3180">
                  <c:v>43598</c:v>
                </c:pt>
                <c:pt idx="3181">
                  <c:v>43598</c:v>
                </c:pt>
                <c:pt idx="3182">
                  <c:v>43598</c:v>
                </c:pt>
                <c:pt idx="3183">
                  <c:v>43598</c:v>
                </c:pt>
                <c:pt idx="3184">
                  <c:v>43598</c:v>
                </c:pt>
                <c:pt idx="3185">
                  <c:v>43598</c:v>
                </c:pt>
                <c:pt idx="3186">
                  <c:v>43598</c:v>
                </c:pt>
                <c:pt idx="3187">
                  <c:v>43598</c:v>
                </c:pt>
                <c:pt idx="3188">
                  <c:v>43598</c:v>
                </c:pt>
                <c:pt idx="3189">
                  <c:v>43598</c:v>
                </c:pt>
                <c:pt idx="3190">
                  <c:v>43598</c:v>
                </c:pt>
                <c:pt idx="3191">
                  <c:v>43598</c:v>
                </c:pt>
                <c:pt idx="3192">
                  <c:v>43599</c:v>
                </c:pt>
                <c:pt idx="3193">
                  <c:v>43599</c:v>
                </c:pt>
                <c:pt idx="3194">
                  <c:v>43599</c:v>
                </c:pt>
                <c:pt idx="3195">
                  <c:v>43599</c:v>
                </c:pt>
                <c:pt idx="3196">
                  <c:v>43599</c:v>
                </c:pt>
                <c:pt idx="3197">
                  <c:v>43599</c:v>
                </c:pt>
                <c:pt idx="3198">
                  <c:v>43599</c:v>
                </c:pt>
                <c:pt idx="3199">
                  <c:v>43599</c:v>
                </c:pt>
                <c:pt idx="3200">
                  <c:v>43599</c:v>
                </c:pt>
                <c:pt idx="3201">
                  <c:v>43599</c:v>
                </c:pt>
                <c:pt idx="3202">
                  <c:v>43599</c:v>
                </c:pt>
                <c:pt idx="3203">
                  <c:v>43599</c:v>
                </c:pt>
                <c:pt idx="3204">
                  <c:v>43599</c:v>
                </c:pt>
                <c:pt idx="3205">
                  <c:v>43599</c:v>
                </c:pt>
                <c:pt idx="3206">
                  <c:v>43599</c:v>
                </c:pt>
                <c:pt idx="3207">
                  <c:v>43599</c:v>
                </c:pt>
                <c:pt idx="3208">
                  <c:v>43599</c:v>
                </c:pt>
                <c:pt idx="3209">
                  <c:v>43599</c:v>
                </c:pt>
                <c:pt idx="3210">
                  <c:v>43599</c:v>
                </c:pt>
                <c:pt idx="3211">
                  <c:v>43599</c:v>
                </c:pt>
                <c:pt idx="3212">
                  <c:v>43599</c:v>
                </c:pt>
                <c:pt idx="3213">
                  <c:v>43599</c:v>
                </c:pt>
                <c:pt idx="3214">
                  <c:v>43599</c:v>
                </c:pt>
                <c:pt idx="3215">
                  <c:v>43599</c:v>
                </c:pt>
                <c:pt idx="3216">
                  <c:v>43600</c:v>
                </c:pt>
                <c:pt idx="3217">
                  <c:v>43600</c:v>
                </c:pt>
                <c:pt idx="3218">
                  <c:v>43600</c:v>
                </c:pt>
                <c:pt idx="3219">
                  <c:v>43600</c:v>
                </c:pt>
                <c:pt idx="3220">
                  <c:v>43600</c:v>
                </c:pt>
                <c:pt idx="3221">
                  <c:v>43600</c:v>
                </c:pt>
                <c:pt idx="3222">
                  <c:v>43600</c:v>
                </c:pt>
                <c:pt idx="3223">
                  <c:v>43600</c:v>
                </c:pt>
                <c:pt idx="3224">
                  <c:v>43600</c:v>
                </c:pt>
                <c:pt idx="3225">
                  <c:v>43600</c:v>
                </c:pt>
                <c:pt idx="3226">
                  <c:v>43600</c:v>
                </c:pt>
                <c:pt idx="3227">
                  <c:v>43600</c:v>
                </c:pt>
                <c:pt idx="3228">
                  <c:v>43600</c:v>
                </c:pt>
                <c:pt idx="3229">
                  <c:v>43600</c:v>
                </c:pt>
                <c:pt idx="3230">
                  <c:v>43600</c:v>
                </c:pt>
                <c:pt idx="3231">
                  <c:v>43600</c:v>
                </c:pt>
                <c:pt idx="3232">
                  <c:v>43600</c:v>
                </c:pt>
                <c:pt idx="3233">
                  <c:v>43600</c:v>
                </c:pt>
                <c:pt idx="3234">
                  <c:v>43600</c:v>
                </c:pt>
                <c:pt idx="3235">
                  <c:v>43600</c:v>
                </c:pt>
                <c:pt idx="3236">
                  <c:v>43600</c:v>
                </c:pt>
                <c:pt idx="3237">
                  <c:v>43600</c:v>
                </c:pt>
                <c:pt idx="3238">
                  <c:v>43600</c:v>
                </c:pt>
                <c:pt idx="3239">
                  <c:v>43600</c:v>
                </c:pt>
                <c:pt idx="3240">
                  <c:v>43601</c:v>
                </c:pt>
                <c:pt idx="3241">
                  <c:v>43601</c:v>
                </c:pt>
                <c:pt idx="3242">
                  <c:v>43601</c:v>
                </c:pt>
                <c:pt idx="3243">
                  <c:v>43601</c:v>
                </c:pt>
                <c:pt idx="3244">
                  <c:v>43601</c:v>
                </c:pt>
                <c:pt idx="3245">
                  <c:v>43601</c:v>
                </c:pt>
                <c:pt idx="3246">
                  <c:v>43601</c:v>
                </c:pt>
                <c:pt idx="3247">
                  <c:v>43601</c:v>
                </c:pt>
                <c:pt idx="3248">
                  <c:v>43601</c:v>
                </c:pt>
                <c:pt idx="3249">
                  <c:v>43601</c:v>
                </c:pt>
                <c:pt idx="3250">
                  <c:v>43601</c:v>
                </c:pt>
                <c:pt idx="3251">
                  <c:v>43601</c:v>
                </c:pt>
                <c:pt idx="3252">
                  <c:v>43601</c:v>
                </c:pt>
                <c:pt idx="3253">
                  <c:v>43601</c:v>
                </c:pt>
                <c:pt idx="3254">
                  <c:v>43601</c:v>
                </c:pt>
                <c:pt idx="3255">
                  <c:v>43601</c:v>
                </c:pt>
                <c:pt idx="3256">
                  <c:v>43601</c:v>
                </c:pt>
                <c:pt idx="3257">
                  <c:v>43601</c:v>
                </c:pt>
                <c:pt idx="3258">
                  <c:v>43601</c:v>
                </c:pt>
                <c:pt idx="3259">
                  <c:v>43601</c:v>
                </c:pt>
                <c:pt idx="3260">
                  <c:v>43601</c:v>
                </c:pt>
                <c:pt idx="3261">
                  <c:v>43601</c:v>
                </c:pt>
                <c:pt idx="3262">
                  <c:v>43601</c:v>
                </c:pt>
                <c:pt idx="3263">
                  <c:v>43601</c:v>
                </c:pt>
                <c:pt idx="3264">
                  <c:v>43602</c:v>
                </c:pt>
                <c:pt idx="3265">
                  <c:v>43602</c:v>
                </c:pt>
                <c:pt idx="3266">
                  <c:v>43602</c:v>
                </c:pt>
                <c:pt idx="3267">
                  <c:v>43602</c:v>
                </c:pt>
                <c:pt idx="3268">
                  <c:v>43602</c:v>
                </c:pt>
                <c:pt idx="3269">
                  <c:v>43602</c:v>
                </c:pt>
                <c:pt idx="3270">
                  <c:v>43602</c:v>
                </c:pt>
                <c:pt idx="3271">
                  <c:v>43602</c:v>
                </c:pt>
                <c:pt idx="3272">
                  <c:v>43602</c:v>
                </c:pt>
                <c:pt idx="3273">
                  <c:v>43602</c:v>
                </c:pt>
                <c:pt idx="3274">
                  <c:v>43602</c:v>
                </c:pt>
                <c:pt idx="3275">
                  <c:v>43602</c:v>
                </c:pt>
                <c:pt idx="3276">
                  <c:v>43602</c:v>
                </c:pt>
                <c:pt idx="3277">
                  <c:v>43602</c:v>
                </c:pt>
                <c:pt idx="3278">
                  <c:v>43602</c:v>
                </c:pt>
                <c:pt idx="3279">
                  <c:v>43602</c:v>
                </c:pt>
                <c:pt idx="3280">
                  <c:v>43602</c:v>
                </c:pt>
                <c:pt idx="3281">
                  <c:v>43602</c:v>
                </c:pt>
                <c:pt idx="3282">
                  <c:v>43602</c:v>
                </c:pt>
                <c:pt idx="3283">
                  <c:v>43602</c:v>
                </c:pt>
                <c:pt idx="3284">
                  <c:v>43602</c:v>
                </c:pt>
                <c:pt idx="3285">
                  <c:v>43602</c:v>
                </c:pt>
                <c:pt idx="3286">
                  <c:v>43602</c:v>
                </c:pt>
                <c:pt idx="3287">
                  <c:v>43602</c:v>
                </c:pt>
                <c:pt idx="3288">
                  <c:v>43603</c:v>
                </c:pt>
                <c:pt idx="3289">
                  <c:v>43603</c:v>
                </c:pt>
                <c:pt idx="3290">
                  <c:v>43603</c:v>
                </c:pt>
                <c:pt idx="3291">
                  <c:v>43603</c:v>
                </c:pt>
                <c:pt idx="3292">
                  <c:v>43603</c:v>
                </c:pt>
                <c:pt idx="3293">
                  <c:v>43603</c:v>
                </c:pt>
                <c:pt idx="3294">
                  <c:v>43603</c:v>
                </c:pt>
                <c:pt idx="3295">
                  <c:v>43603</c:v>
                </c:pt>
                <c:pt idx="3296">
                  <c:v>43603</c:v>
                </c:pt>
                <c:pt idx="3297">
                  <c:v>43603</c:v>
                </c:pt>
                <c:pt idx="3298">
                  <c:v>43603</c:v>
                </c:pt>
                <c:pt idx="3299">
                  <c:v>43603</c:v>
                </c:pt>
                <c:pt idx="3300">
                  <c:v>43603</c:v>
                </c:pt>
                <c:pt idx="3301">
                  <c:v>43603</c:v>
                </c:pt>
                <c:pt idx="3302">
                  <c:v>43603</c:v>
                </c:pt>
                <c:pt idx="3303">
                  <c:v>43603</c:v>
                </c:pt>
                <c:pt idx="3304">
                  <c:v>43603</c:v>
                </c:pt>
                <c:pt idx="3305">
                  <c:v>43603</c:v>
                </c:pt>
                <c:pt idx="3306">
                  <c:v>43603</c:v>
                </c:pt>
                <c:pt idx="3307">
                  <c:v>43603</c:v>
                </c:pt>
                <c:pt idx="3308">
                  <c:v>43603</c:v>
                </c:pt>
                <c:pt idx="3309">
                  <c:v>43603</c:v>
                </c:pt>
                <c:pt idx="3310">
                  <c:v>43603</c:v>
                </c:pt>
                <c:pt idx="3311">
                  <c:v>43603</c:v>
                </c:pt>
                <c:pt idx="3312">
                  <c:v>43604</c:v>
                </c:pt>
                <c:pt idx="3313">
                  <c:v>43604</c:v>
                </c:pt>
                <c:pt idx="3314">
                  <c:v>43604</c:v>
                </c:pt>
                <c:pt idx="3315">
                  <c:v>43604</c:v>
                </c:pt>
                <c:pt idx="3316">
                  <c:v>43604</c:v>
                </c:pt>
                <c:pt idx="3317">
                  <c:v>43604</c:v>
                </c:pt>
                <c:pt idx="3318">
                  <c:v>43604</c:v>
                </c:pt>
                <c:pt idx="3319">
                  <c:v>43604</c:v>
                </c:pt>
                <c:pt idx="3320">
                  <c:v>43604</c:v>
                </c:pt>
                <c:pt idx="3321">
                  <c:v>43604</c:v>
                </c:pt>
                <c:pt idx="3322">
                  <c:v>43604</c:v>
                </c:pt>
                <c:pt idx="3323">
                  <c:v>43604</c:v>
                </c:pt>
                <c:pt idx="3324">
                  <c:v>43604</c:v>
                </c:pt>
                <c:pt idx="3325">
                  <c:v>43604</c:v>
                </c:pt>
                <c:pt idx="3326">
                  <c:v>43604</c:v>
                </c:pt>
                <c:pt idx="3327">
                  <c:v>43604</c:v>
                </c:pt>
                <c:pt idx="3328">
                  <c:v>43604</c:v>
                </c:pt>
                <c:pt idx="3329">
                  <c:v>43604</c:v>
                </c:pt>
                <c:pt idx="3330">
                  <c:v>43604</c:v>
                </c:pt>
                <c:pt idx="3331">
                  <c:v>43604</c:v>
                </c:pt>
                <c:pt idx="3332">
                  <c:v>43604</c:v>
                </c:pt>
                <c:pt idx="3333">
                  <c:v>43604</c:v>
                </c:pt>
                <c:pt idx="3334">
                  <c:v>43604</c:v>
                </c:pt>
                <c:pt idx="3335">
                  <c:v>43604</c:v>
                </c:pt>
                <c:pt idx="3336">
                  <c:v>43605</c:v>
                </c:pt>
                <c:pt idx="3337">
                  <c:v>43605</c:v>
                </c:pt>
                <c:pt idx="3338">
                  <c:v>43605</c:v>
                </c:pt>
                <c:pt idx="3339">
                  <c:v>43605</c:v>
                </c:pt>
                <c:pt idx="3340">
                  <c:v>43605</c:v>
                </c:pt>
                <c:pt idx="3341">
                  <c:v>43605</c:v>
                </c:pt>
                <c:pt idx="3342">
                  <c:v>43605</c:v>
                </c:pt>
                <c:pt idx="3343">
                  <c:v>43605</c:v>
                </c:pt>
                <c:pt idx="3344">
                  <c:v>43605</c:v>
                </c:pt>
                <c:pt idx="3345">
                  <c:v>43605</c:v>
                </c:pt>
                <c:pt idx="3346">
                  <c:v>43605</c:v>
                </c:pt>
                <c:pt idx="3347">
                  <c:v>43605</c:v>
                </c:pt>
                <c:pt idx="3348">
                  <c:v>43605</c:v>
                </c:pt>
                <c:pt idx="3349">
                  <c:v>43605</c:v>
                </c:pt>
                <c:pt idx="3350">
                  <c:v>43605</c:v>
                </c:pt>
                <c:pt idx="3351">
                  <c:v>43605</c:v>
                </c:pt>
                <c:pt idx="3352">
                  <c:v>43605</c:v>
                </c:pt>
                <c:pt idx="3353">
                  <c:v>43605</c:v>
                </c:pt>
                <c:pt idx="3354">
                  <c:v>43605</c:v>
                </c:pt>
                <c:pt idx="3355">
                  <c:v>43605</c:v>
                </c:pt>
                <c:pt idx="3356">
                  <c:v>43605</c:v>
                </c:pt>
                <c:pt idx="3357">
                  <c:v>43605</c:v>
                </c:pt>
                <c:pt idx="3358">
                  <c:v>43605</c:v>
                </c:pt>
                <c:pt idx="3359">
                  <c:v>43605</c:v>
                </c:pt>
                <c:pt idx="3360">
                  <c:v>43606</c:v>
                </c:pt>
                <c:pt idx="3361">
                  <c:v>43606</c:v>
                </c:pt>
                <c:pt idx="3362">
                  <c:v>43606</c:v>
                </c:pt>
                <c:pt idx="3363">
                  <c:v>43606</c:v>
                </c:pt>
                <c:pt idx="3364">
                  <c:v>43606</c:v>
                </c:pt>
                <c:pt idx="3365">
                  <c:v>43606</c:v>
                </c:pt>
                <c:pt idx="3366">
                  <c:v>43606</c:v>
                </c:pt>
                <c:pt idx="3367">
                  <c:v>43606</c:v>
                </c:pt>
                <c:pt idx="3368">
                  <c:v>43606</c:v>
                </c:pt>
                <c:pt idx="3369">
                  <c:v>43606</c:v>
                </c:pt>
                <c:pt idx="3370">
                  <c:v>43606</c:v>
                </c:pt>
                <c:pt idx="3371">
                  <c:v>43606</c:v>
                </c:pt>
                <c:pt idx="3372">
                  <c:v>43606</c:v>
                </c:pt>
                <c:pt idx="3373">
                  <c:v>43606</c:v>
                </c:pt>
                <c:pt idx="3374">
                  <c:v>43606</c:v>
                </c:pt>
                <c:pt idx="3375">
                  <c:v>43606</c:v>
                </c:pt>
                <c:pt idx="3376">
                  <c:v>43606</c:v>
                </c:pt>
                <c:pt idx="3377">
                  <c:v>43606</c:v>
                </c:pt>
                <c:pt idx="3378">
                  <c:v>43606</c:v>
                </c:pt>
                <c:pt idx="3379">
                  <c:v>43606</c:v>
                </c:pt>
                <c:pt idx="3380">
                  <c:v>43606</c:v>
                </c:pt>
                <c:pt idx="3381">
                  <c:v>43606</c:v>
                </c:pt>
                <c:pt idx="3382">
                  <c:v>43606</c:v>
                </c:pt>
                <c:pt idx="3383">
                  <c:v>43606</c:v>
                </c:pt>
                <c:pt idx="3384">
                  <c:v>43607</c:v>
                </c:pt>
                <c:pt idx="3385">
                  <c:v>43607</c:v>
                </c:pt>
                <c:pt idx="3386">
                  <c:v>43607</c:v>
                </c:pt>
                <c:pt idx="3387">
                  <c:v>43607</c:v>
                </c:pt>
                <c:pt idx="3388">
                  <c:v>43607</c:v>
                </c:pt>
                <c:pt idx="3389">
                  <c:v>43607</c:v>
                </c:pt>
                <c:pt idx="3390">
                  <c:v>43607</c:v>
                </c:pt>
                <c:pt idx="3391">
                  <c:v>43607</c:v>
                </c:pt>
                <c:pt idx="3392">
                  <c:v>43607</c:v>
                </c:pt>
                <c:pt idx="3393">
                  <c:v>43607</c:v>
                </c:pt>
                <c:pt idx="3394">
                  <c:v>43607</c:v>
                </c:pt>
                <c:pt idx="3395">
                  <c:v>43607</c:v>
                </c:pt>
                <c:pt idx="3396">
                  <c:v>43607</c:v>
                </c:pt>
                <c:pt idx="3397">
                  <c:v>43607</c:v>
                </c:pt>
                <c:pt idx="3398">
                  <c:v>43607</c:v>
                </c:pt>
                <c:pt idx="3399">
                  <c:v>43607</c:v>
                </c:pt>
                <c:pt idx="3400">
                  <c:v>43607</c:v>
                </c:pt>
                <c:pt idx="3401">
                  <c:v>43607</c:v>
                </c:pt>
                <c:pt idx="3402">
                  <c:v>43607</c:v>
                </c:pt>
                <c:pt idx="3403">
                  <c:v>43607</c:v>
                </c:pt>
                <c:pt idx="3404">
                  <c:v>43607</c:v>
                </c:pt>
                <c:pt idx="3405">
                  <c:v>43607</c:v>
                </c:pt>
                <c:pt idx="3406">
                  <c:v>43607</c:v>
                </c:pt>
                <c:pt idx="3407">
                  <c:v>43607</c:v>
                </c:pt>
                <c:pt idx="3408">
                  <c:v>43608</c:v>
                </c:pt>
                <c:pt idx="3409">
                  <c:v>43608</c:v>
                </c:pt>
                <c:pt idx="3410">
                  <c:v>43608</c:v>
                </c:pt>
                <c:pt idx="3411">
                  <c:v>43608</c:v>
                </c:pt>
                <c:pt idx="3412">
                  <c:v>43608</c:v>
                </c:pt>
                <c:pt idx="3413">
                  <c:v>43608</c:v>
                </c:pt>
                <c:pt idx="3414">
                  <c:v>43608</c:v>
                </c:pt>
                <c:pt idx="3415">
                  <c:v>43608</c:v>
                </c:pt>
                <c:pt idx="3416">
                  <c:v>43608</c:v>
                </c:pt>
                <c:pt idx="3417">
                  <c:v>43608</c:v>
                </c:pt>
                <c:pt idx="3418">
                  <c:v>43608</c:v>
                </c:pt>
                <c:pt idx="3419">
                  <c:v>43608</c:v>
                </c:pt>
                <c:pt idx="3420">
                  <c:v>43608</c:v>
                </c:pt>
                <c:pt idx="3421">
                  <c:v>43608</c:v>
                </c:pt>
                <c:pt idx="3422">
                  <c:v>43608</c:v>
                </c:pt>
                <c:pt idx="3423">
                  <c:v>43608</c:v>
                </c:pt>
                <c:pt idx="3424">
                  <c:v>43608</c:v>
                </c:pt>
                <c:pt idx="3425">
                  <c:v>43608</c:v>
                </c:pt>
                <c:pt idx="3426">
                  <c:v>43608</c:v>
                </c:pt>
                <c:pt idx="3427">
                  <c:v>43608</c:v>
                </c:pt>
                <c:pt idx="3428">
                  <c:v>43608</c:v>
                </c:pt>
                <c:pt idx="3429">
                  <c:v>43608</c:v>
                </c:pt>
                <c:pt idx="3430">
                  <c:v>43608</c:v>
                </c:pt>
                <c:pt idx="3431">
                  <c:v>43608</c:v>
                </c:pt>
                <c:pt idx="3432">
                  <c:v>43609</c:v>
                </c:pt>
                <c:pt idx="3433">
                  <c:v>43609</c:v>
                </c:pt>
                <c:pt idx="3434">
                  <c:v>43609</c:v>
                </c:pt>
                <c:pt idx="3435">
                  <c:v>43609</c:v>
                </c:pt>
                <c:pt idx="3436">
                  <c:v>43609</c:v>
                </c:pt>
                <c:pt idx="3437">
                  <c:v>43609</c:v>
                </c:pt>
                <c:pt idx="3438">
                  <c:v>43609</c:v>
                </c:pt>
                <c:pt idx="3439">
                  <c:v>43609</c:v>
                </c:pt>
                <c:pt idx="3440">
                  <c:v>43609</c:v>
                </c:pt>
                <c:pt idx="3441">
                  <c:v>43609</c:v>
                </c:pt>
                <c:pt idx="3442">
                  <c:v>43609</c:v>
                </c:pt>
                <c:pt idx="3443">
                  <c:v>43609</c:v>
                </c:pt>
                <c:pt idx="3444">
                  <c:v>43609</c:v>
                </c:pt>
                <c:pt idx="3445">
                  <c:v>43609</c:v>
                </c:pt>
                <c:pt idx="3446">
                  <c:v>43609</c:v>
                </c:pt>
                <c:pt idx="3447">
                  <c:v>43609</c:v>
                </c:pt>
                <c:pt idx="3448">
                  <c:v>43609</c:v>
                </c:pt>
                <c:pt idx="3449">
                  <c:v>43609</c:v>
                </c:pt>
                <c:pt idx="3450">
                  <c:v>43609</c:v>
                </c:pt>
                <c:pt idx="3451">
                  <c:v>43609</c:v>
                </c:pt>
                <c:pt idx="3452">
                  <c:v>43609</c:v>
                </c:pt>
                <c:pt idx="3453">
                  <c:v>43609</c:v>
                </c:pt>
                <c:pt idx="3454">
                  <c:v>43609</c:v>
                </c:pt>
                <c:pt idx="3455">
                  <c:v>43609</c:v>
                </c:pt>
                <c:pt idx="3456">
                  <c:v>43610</c:v>
                </c:pt>
                <c:pt idx="3457">
                  <c:v>43610</c:v>
                </c:pt>
                <c:pt idx="3458">
                  <c:v>43610</c:v>
                </c:pt>
                <c:pt idx="3459">
                  <c:v>43610</c:v>
                </c:pt>
                <c:pt idx="3460">
                  <c:v>43610</c:v>
                </c:pt>
                <c:pt idx="3461">
                  <c:v>43610</c:v>
                </c:pt>
                <c:pt idx="3462">
                  <c:v>43610</c:v>
                </c:pt>
                <c:pt idx="3463">
                  <c:v>43610</c:v>
                </c:pt>
                <c:pt idx="3464">
                  <c:v>43610</c:v>
                </c:pt>
                <c:pt idx="3465">
                  <c:v>43610</c:v>
                </c:pt>
                <c:pt idx="3466">
                  <c:v>43610</c:v>
                </c:pt>
                <c:pt idx="3467">
                  <c:v>43610</c:v>
                </c:pt>
                <c:pt idx="3468">
                  <c:v>43610</c:v>
                </c:pt>
                <c:pt idx="3469">
                  <c:v>43610</c:v>
                </c:pt>
                <c:pt idx="3470">
                  <c:v>43610</c:v>
                </c:pt>
                <c:pt idx="3471">
                  <c:v>43610</c:v>
                </c:pt>
                <c:pt idx="3472">
                  <c:v>43610</c:v>
                </c:pt>
                <c:pt idx="3473">
                  <c:v>43610</c:v>
                </c:pt>
                <c:pt idx="3474">
                  <c:v>43610</c:v>
                </c:pt>
                <c:pt idx="3475">
                  <c:v>43610</c:v>
                </c:pt>
                <c:pt idx="3476">
                  <c:v>43610</c:v>
                </c:pt>
                <c:pt idx="3477">
                  <c:v>43610</c:v>
                </c:pt>
                <c:pt idx="3478">
                  <c:v>43610</c:v>
                </c:pt>
                <c:pt idx="3479">
                  <c:v>43610</c:v>
                </c:pt>
                <c:pt idx="3480">
                  <c:v>43611</c:v>
                </c:pt>
                <c:pt idx="3481">
                  <c:v>43611</c:v>
                </c:pt>
                <c:pt idx="3482">
                  <c:v>43611</c:v>
                </c:pt>
                <c:pt idx="3483">
                  <c:v>43611</c:v>
                </c:pt>
                <c:pt idx="3484">
                  <c:v>43611</c:v>
                </c:pt>
                <c:pt idx="3485">
                  <c:v>43611</c:v>
                </c:pt>
                <c:pt idx="3486">
                  <c:v>43611</c:v>
                </c:pt>
                <c:pt idx="3487">
                  <c:v>43611</c:v>
                </c:pt>
                <c:pt idx="3488">
                  <c:v>43611</c:v>
                </c:pt>
                <c:pt idx="3489">
                  <c:v>43611</c:v>
                </c:pt>
                <c:pt idx="3490">
                  <c:v>43611</c:v>
                </c:pt>
                <c:pt idx="3491">
                  <c:v>43611</c:v>
                </c:pt>
                <c:pt idx="3492">
                  <c:v>43611</c:v>
                </c:pt>
                <c:pt idx="3493">
                  <c:v>43611</c:v>
                </c:pt>
                <c:pt idx="3494">
                  <c:v>43611</c:v>
                </c:pt>
                <c:pt idx="3495">
                  <c:v>43611</c:v>
                </c:pt>
                <c:pt idx="3496">
                  <c:v>43611</c:v>
                </c:pt>
                <c:pt idx="3497">
                  <c:v>43611</c:v>
                </c:pt>
                <c:pt idx="3498">
                  <c:v>43611</c:v>
                </c:pt>
                <c:pt idx="3499">
                  <c:v>43611</c:v>
                </c:pt>
                <c:pt idx="3500">
                  <c:v>43611</c:v>
                </c:pt>
                <c:pt idx="3501">
                  <c:v>43611</c:v>
                </c:pt>
                <c:pt idx="3502">
                  <c:v>43611</c:v>
                </c:pt>
                <c:pt idx="3503">
                  <c:v>43611</c:v>
                </c:pt>
                <c:pt idx="3504">
                  <c:v>43612</c:v>
                </c:pt>
                <c:pt idx="3505">
                  <c:v>43612</c:v>
                </c:pt>
                <c:pt idx="3506">
                  <c:v>43612</c:v>
                </c:pt>
                <c:pt idx="3507">
                  <c:v>43612</c:v>
                </c:pt>
                <c:pt idx="3508">
                  <c:v>43612</c:v>
                </c:pt>
                <c:pt idx="3509">
                  <c:v>43612</c:v>
                </c:pt>
                <c:pt idx="3510">
                  <c:v>43612</c:v>
                </c:pt>
                <c:pt idx="3511">
                  <c:v>43612</c:v>
                </c:pt>
                <c:pt idx="3512">
                  <c:v>43612</c:v>
                </c:pt>
                <c:pt idx="3513">
                  <c:v>43612</c:v>
                </c:pt>
                <c:pt idx="3514">
                  <c:v>43612</c:v>
                </c:pt>
                <c:pt idx="3515">
                  <c:v>43612</c:v>
                </c:pt>
                <c:pt idx="3516">
                  <c:v>43612</c:v>
                </c:pt>
                <c:pt idx="3517">
                  <c:v>43612</c:v>
                </c:pt>
                <c:pt idx="3518">
                  <c:v>43612</c:v>
                </c:pt>
                <c:pt idx="3519">
                  <c:v>43612</c:v>
                </c:pt>
                <c:pt idx="3520">
                  <c:v>43612</c:v>
                </c:pt>
                <c:pt idx="3521">
                  <c:v>43612</c:v>
                </c:pt>
                <c:pt idx="3522">
                  <c:v>43612</c:v>
                </c:pt>
                <c:pt idx="3523">
                  <c:v>43612</c:v>
                </c:pt>
                <c:pt idx="3524">
                  <c:v>43612</c:v>
                </c:pt>
                <c:pt idx="3525">
                  <c:v>43612</c:v>
                </c:pt>
                <c:pt idx="3526">
                  <c:v>43612</c:v>
                </c:pt>
                <c:pt idx="3527">
                  <c:v>43612</c:v>
                </c:pt>
                <c:pt idx="3528">
                  <c:v>43613</c:v>
                </c:pt>
                <c:pt idx="3529">
                  <c:v>43613</c:v>
                </c:pt>
                <c:pt idx="3530">
                  <c:v>43613</c:v>
                </c:pt>
                <c:pt idx="3531">
                  <c:v>43613</c:v>
                </c:pt>
                <c:pt idx="3532">
                  <c:v>43613</c:v>
                </c:pt>
                <c:pt idx="3533">
                  <c:v>43613</c:v>
                </c:pt>
                <c:pt idx="3534">
                  <c:v>43613</c:v>
                </c:pt>
                <c:pt idx="3535">
                  <c:v>43613</c:v>
                </c:pt>
                <c:pt idx="3536">
                  <c:v>43613</c:v>
                </c:pt>
                <c:pt idx="3537">
                  <c:v>43613</c:v>
                </c:pt>
                <c:pt idx="3538">
                  <c:v>43613</c:v>
                </c:pt>
                <c:pt idx="3539">
                  <c:v>43613</c:v>
                </c:pt>
                <c:pt idx="3540">
                  <c:v>43613</c:v>
                </c:pt>
                <c:pt idx="3541">
                  <c:v>43613</c:v>
                </c:pt>
                <c:pt idx="3542">
                  <c:v>43613</c:v>
                </c:pt>
                <c:pt idx="3543">
                  <c:v>43613</c:v>
                </c:pt>
                <c:pt idx="3544">
                  <c:v>43613</c:v>
                </c:pt>
                <c:pt idx="3545">
                  <c:v>43613</c:v>
                </c:pt>
                <c:pt idx="3546">
                  <c:v>43613</c:v>
                </c:pt>
                <c:pt idx="3547">
                  <c:v>43613</c:v>
                </c:pt>
                <c:pt idx="3548">
                  <c:v>43613</c:v>
                </c:pt>
                <c:pt idx="3549">
                  <c:v>43613</c:v>
                </c:pt>
                <c:pt idx="3550">
                  <c:v>43613</c:v>
                </c:pt>
                <c:pt idx="3551">
                  <c:v>43613</c:v>
                </c:pt>
                <c:pt idx="3552">
                  <c:v>43614</c:v>
                </c:pt>
                <c:pt idx="3553">
                  <c:v>43614</c:v>
                </c:pt>
                <c:pt idx="3554">
                  <c:v>43614</c:v>
                </c:pt>
                <c:pt idx="3555">
                  <c:v>43614</c:v>
                </c:pt>
                <c:pt idx="3556">
                  <c:v>43614</c:v>
                </c:pt>
                <c:pt idx="3557">
                  <c:v>43614</c:v>
                </c:pt>
                <c:pt idx="3558">
                  <c:v>43614</c:v>
                </c:pt>
                <c:pt idx="3559">
                  <c:v>43614</c:v>
                </c:pt>
                <c:pt idx="3560">
                  <c:v>43614</c:v>
                </c:pt>
                <c:pt idx="3561">
                  <c:v>43614</c:v>
                </c:pt>
                <c:pt idx="3562">
                  <c:v>43614</c:v>
                </c:pt>
                <c:pt idx="3563">
                  <c:v>43614</c:v>
                </c:pt>
                <c:pt idx="3564">
                  <c:v>43614</c:v>
                </c:pt>
                <c:pt idx="3565">
                  <c:v>43614</c:v>
                </c:pt>
                <c:pt idx="3566">
                  <c:v>43614</c:v>
                </c:pt>
                <c:pt idx="3567">
                  <c:v>43614</c:v>
                </c:pt>
                <c:pt idx="3568">
                  <c:v>43614</c:v>
                </c:pt>
                <c:pt idx="3569">
                  <c:v>43614</c:v>
                </c:pt>
                <c:pt idx="3570">
                  <c:v>43614</c:v>
                </c:pt>
                <c:pt idx="3571">
                  <c:v>43614</c:v>
                </c:pt>
                <c:pt idx="3572">
                  <c:v>43614</c:v>
                </c:pt>
                <c:pt idx="3573">
                  <c:v>43614</c:v>
                </c:pt>
                <c:pt idx="3574">
                  <c:v>43614</c:v>
                </c:pt>
                <c:pt idx="3575">
                  <c:v>43614</c:v>
                </c:pt>
                <c:pt idx="3576">
                  <c:v>43615</c:v>
                </c:pt>
                <c:pt idx="3577">
                  <c:v>43615</c:v>
                </c:pt>
                <c:pt idx="3578">
                  <c:v>43615</c:v>
                </c:pt>
                <c:pt idx="3579">
                  <c:v>43615</c:v>
                </c:pt>
                <c:pt idx="3580">
                  <c:v>43615</c:v>
                </c:pt>
                <c:pt idx="3581">
                  <c:v>43615</c:v>
                </c:pt>
                <c:pt idx="3582">
                  <c:v>43615</c:v>
                </c:pt>
                <c:pt idx="3583">
                  <c:v>43615</c:v>
                </c:pt>
                <c:pt idx="3584">
                  <c:v>43615</c:v>
                </c:pt>
                <c:pt idx="3585">
                  <c:v>43615</c:v>
                </c:pt>
                <c:pt idx="3586">
                  <c:v>43615</c:v>
                </c:pt>
                <c:pt idx="3587">
                  <c:v>43615</c:v>
                </c:pt>
                <c:pt idx="3588">
                  <c:v>43615</c:v>
                </c:pt>
                <c:pt idx="3589">
                  <c:v>43615</c:v>
                </c:pt>
                <c:pt idx="3590">
                  <c:v>43615</c:v>
                </c:pt>
                <c:pt idx="3591">
                  <c:v>43615</c:v>
                </c:pt>
                <c:pt idx="3592">
                  <c:v>43615</c:v>
                </c:pt>
                <c:pt idx="3593">
                  <c:v>43615</c:v>
                </c:pt>
                <c:pt idx="3594">
                  <c:v>43615</c:v>
                </c:pt>
                <c:pt idx="3595">
                  <c:v>43615</c:v>
                </c:pt>
                <c:pt idx="3596">
                  <c:v>43615</c:v>
                </c:pt>
                <c:pt idx="3597">
                  <c:v>43615</c:v>
                </c:pt>
                <c:pt idx="3598">
                  <c:v>43615</c:v>
                </c:pt>
                <c:pt idx="3599">
                  <c:v>43615</c:v>
                </c:pt>
                <c:pt idx="3600">
                  <c:v>43616</c:v>
                </c:pt>
                <c:pt idx="3601">
                  <c:v>43616</c:v>
                </c:pt>
                <c:pt idx="3602">
                  <c:v>43616</c:v>
                </c:pt>
                <c:pt idx="3603">
                  <c:v>43616</c:v>
                </c:pt>
                <c:pt idx="3604">
                  <c:v>43616</c:v>
                </c:pt>
                <c:pt idx="3605">
                  <c:v>43616</c:v>
                </c:pt>
                <c:pt idx="3606">
                  <c:v>43616</c:v>
                </c:pt>
                <c:pt idx="3607">
                  <c:v>43616</c:v>
                </c:pt>
                <c:pt idx="3608">
                  <c:v>43616</c:v>
                </c:pt>
                <c:pt idx="3609">
                  <c:v>43616</c:v>
                </c:pt>
                <c:pt idx="3610">
                  <c:v>43616</c:v>
                </c:pt>
                <c:pt idx="3611">
                  <c:v>43616</c:v>
                </c:pt>
                <c:pt idx="3612">
                  <c:v>43616</c:v>
                </c:pt>
                <c:pt idx="3613">
                  <c:v>43616</c:v>
                </c:pt>
                <c:pt idx="3614">
                  <c:v>43616</c:v>
                </c:pt>
                <c:pt idx="3615">
                  <c:v>43616</c:v>
                </c:pt>
                <c:pt idx="3616">
                  <c:v>43616</c:v>
                </c:pt>
                <c:pt idx="3617">
                  <c:v>43616</c:v>
                </c:pt>
                <c:pt idx="3618">
                  <c:v>43616</c:v>
                </c:pt>
                <c:pt idx="3619">
                  <c:v>43616</c:v>
                </c:pt>
                <c:pt idx="3620">
                  <c:v>43616</c:v>
                </c:pt>
                <c:pt idx="3621">
                  <c:v>43616</c:v>
                </c:pt>
                <c:pt idx="3622">
                  <c:v>43616</c:v>
                </c:pt>
                <c:pt idx="3623">
                  <c:v>43616</c:v>
                </c:pt>
                <c:pt idx="3624">
                  <c:v>43617</c:v>
                </c:pt>
                <c:pt idx="3625">
                  <c:v>43617</c:v>
                </c:pt>
                <c:pt idx="3626">
                  <c:v>43617</c:v>
                </c:pt>
                <c:pt idx="3627">
                  <c:v>43617</c:v>
                </c:pt>
                <c:pt idx="3628">
                  <c:v>43617</c:v>
                </c:pt>
                <c:pt idx="3629">
                  <c:v>43617</c:v>
                </c:pt>
                <c:pt idx="3630">
                  <c:v>43617</c:v>
                </c:pt>
                <c:pt idx="3631">
                  <c:v>43617</c:v>
                </c:pt>
                <c:pt idx="3632">
                  <c:v>43617</c:v>
                </c:pt>
                <c:pt idx="3633">
                  <c:v>43617</c:v>
                </c:pt>
                <c:pt idx="3634">
                  <c:v>43617</c:v>
                </c:pt>
                <c:pt idx="3635">
                  <c:v>43617</c:v>
                </c:pt>
                <c:pt idx="3636">
                  <c:v>43617</c:v>
                </c:pt>
                <c:pt idx="3637">
                  <c:v>43617</c:v>
                </c:pt>
                <c:pt idx="3638">
                  <c:v>43617</c:v>
                </c:pt>
                <c:pt idx="3639">
                  <c:v>43617</c:v>
                </c:pt>
                <c:pt idx="3640">
                  <c:v>43617</c:v>
                </c:pt>
                <c:pt idx="3641">
                  <c:v>43617</c:v>
                </c:pt>
                <c:pt idx="3642">
                  <c:v>43617</c:v>
                </c:pt>
                <c:pt idx="3643">
                  <c:v>43617</c:v>
                </c:pt>
                <c:pt idx="3644">
                  <c:v>43617</c:v>
                </c:pt>
                <c:pt idx="3645">
                  <c:v>43617</c:v>
                </c:pt>
                <c:pt idx="3646">
                  <c:v>43617</c:v>
                </c:pt>
                <c:pt idx="3647">
                  <c:v>43617</c:v>
                </c:pt>
                <c:pt idx="3648">
                  <c:v>43618</c:v>
                </c:pt>
                <c:pt idx="3649">
                  <c:v>43618</c:v>
                </c:pt>
                <c:pt idx="3650">
                  <c:v>43618</c:v>
                </c:pt>
                <c:pt idx="3651">
                  <c:v>43618</c:v>
                </c:pt>
                <c:pt idx="3652">
                  <c:v>43618</c:v>
                </c:pt>
                <c:pt idx="3653">
                  <c:v>43618</c:v>
                </c:pt>
                <c:pt idx="3654">
                  <c:v>43618</c:v>
                </c:pt>
                <c:pt idx="3655">
                  <c:v>43618</c:v>
                </c:pt>
                <c:pt idx="3656">
                  <c:v>43618</c:v>
                </c:pt>
                <c:pt idx="3657">
                  <c:v>43618</c:v>
                </c:pt>
                <c:pt idx="3658">
                  <c:v>43618</c:v>
                </c:pt>
                <c:pt idx="3659">
                  <c:v>43618</c:v>
                </c:pt>
                <c:pt idx="3660">
                  <c:v>43618</c:v>
                </c:pt>
                <c:pt idx="3661">
                  <c:v>43618</c:v>
                </c:pt>
                <c:pt idx="3662">
                  <c:v>43618</c:v>
                </c:pt>
                <c:pt idx="3663">
                  <c:v>43618</c:v>
                </c:pt>
                <c:pt idx="3664">
                  <c:v>43618</c:v>
                </c:pt>
                <c:pt idx="3665">
                  <c:v>43618</c:v>
                </c:pt>
                <c:pt idx="3666">
                  <c:v>43618</c:v>
                </c:pt>
                <c:pt idx="3667">
                  <c:v>43618</c:v>
                </c:pt>
                <c:pt idx="3668">
                  <c:v>43618</c:v>
                </c:pt>
                <c:pt idx="3669">
                  <c:v>43618</c:v>
                </c:pt>
                <c:pt idx="3670">
                  <c:v>43618</c:v>
                </c:pt>
                <c:pt idx="3671">
                  <c:v>43618</c:v>
                </c:pt>
                <c:pt idx="3672">
                  <c:v>43619</c:v>
                </c:pt>
                <c:pt idx="3673">
                  <c:v>43619</c:v>
                </c:pt>
                <c:pt idx="3674">
                  <c:v>43619</c:v>
                </c:pt>
                <c:pt idx="3675">
                  <c:v>43619</c:v>
                </c:pt>
                <c:pt idx="3676">
                  <c:v>43619</c:v>
                </c:pt>
                <c:pt idx="3677">
                  <c:v>43619</c:v>
                </c:pt>
                <c:pt idx="3678">
                  <c:v>43619</c:v>
                </c:pt>
                <c:pt idx="3679">
                  <c:v>43619</c:v>
                </c:pt>
                <c:pt idx="3680">
                  <c:v>43619</c:v>
                </c:pt>
                <c:pt idx="3681">
                  <c:v>43619</c:v>
                </c:pt>
                <c:pt idx="3682">
                  <c:v>43619</c:v>
                </c:pt>
                <c:pt idx="3683">
                  <c:v>43619</c:v>
                </c:pt>
                <c:pt idx="3684">
                  <c:v>43619</c:v>
                </c:pt>
                <c:pt idx="3685">
                  <c:v>43619</c:v>
                </c:pt>
                <c:pt idx="3686">
                  <c:v>43619</c:v>
                </c:pt>
                <c:pt idx="3687">
                  <c:v>43619</c:v>
                </c:pt>
                <c:pt idx="3688">
                  <c:v>43619</c:v>
                </c:pt>
                <c:pt idx="3689">
                  <c:v>43619</c:v>
                </c:pt>
                <c:pt idx="3690">
                  <c:v>43619</c:v>
                </c:pt>
                <c:pt idx="3691">
                  <c:v>43619</c:v>
                </c:pt>
                <c:pt idx="3692">
                  <c:v>43619</c:v>
                </c:pt>
                <c:pt idx="3693">
                  <c:v>43619</c:v>
                </c:pt>
                <c:pt idx="3694">
                  <c:v>43619</c:v>
                </c:pt>
                <c:pt idx="3695">
                  <c:v>43619</c:v>
                </c:pt>
                <c:pt idx="3696">
                  <c:v>43620</c:v>
                </c:pt>
                <c:pt idx="3697">
                  <c:v>43620</c:v>
                </c:pt>
                <c:pt idx="3698">
                  <c:v>43620</c:v>
                </c:pt>
                <c:pt idx="3699">
                  <c:v>43620</c:v>
                </c:pt>
                <c:pt idx="3700">
                  <c:v>43620</c:v>
                </c:pt>
                <c:pt idx="3701">
                  <c:v>43620</c:v>
                </c:pt>
                <c:pt idx="3702">
                  <c:v>43620</c:v>
                </c:pt>
                <c:pt idx="3703">
                  <c:v>43620</c:v>
                </c:pt>
                <c:pt idx="3704">
                  <c:v>43620</c:v>
                </c:pt>
                <c:pt idx="3705">
                  <c:v>43620</c:v>
                </c:pt>
                <c:pt idx="3706">
                  <c:v>43620</c:v>
                </c:pt>
                <c:pt idx="3707">
                  <c:v>43620</c:v>
                </c:pt>
                <c:pt idx="3708">
                  <c:v>43620</c:v>
                </c:pt>
                <c:pt idx="3709">
                  <c:v>43620</c:v>
                </c:pt>
                <c:pt idx="3710">
                  <c:v>43620</c:v>
                </c:pt>
                <c:pt idx="3711">
                  <c:v>43620</c:v>
                </c:pt>
                <c:pt idx="3712">
                  <c:v>43620</c:v>
                </c:pt>
                <c:pt idx="3713">
                  <c:v>43620</c:v>
                </c:pt>
                <c:pt idx="3714">
                  <c:v>43620</c:v>
                </c:pt>
                <c:pt idx="3715">
                  <c:v>43620</c:v>
                </c:pt>
                <c:pt idx="3716">
                  <c:v>43620</c:v>
                </c:pt>
                <c:pt idx="3717">
                  <c:v>43620</c:v>
                </c:pt>
                <c:pt idx="3718">
                  <c:v>43620</c:v>
                </c:pt>
                <c:pt idx="3719">
                  <c:v>43620</c:v>
                </c:pt>
                <c:pt idx="3720">
                  <c:v>43621</c:v>
                </c:pt>
                <c:pt idx="3721">
                  <c:v>43621</c:v>
                </c:pt>
                <c:pt idx="3722">
                  <c:v>43621</c:v>
                </c:pt>
                <c:pt idx="3723">
                  <c:v>43621</c:v>
                </c:pt>
                <c:pt idx="3724">
                  <c:v>43621</c:v>
                </c:pt>
                <c:pt idx="3725">
                  <c:v>43621</c:v>
                </c:pt>
                <c:pt idx="3726">
                  <c:v>43621</c:v>
                </c:pt>
                <c:pt idx="3727">
                  <c:v>43621</c:v>
                </c:pt>
                <c:pt idx="3728">
                  <c:v>43621</c:v>
                </c:pt>
                <c:pt idx="3729">
                  <c:v>43621</c:v>
                </c:pt>
                <c:pt idx="3730">
                  <c:v>43621</c:v>
                </c:pt>
                <c:pt idx="3731">
                  <c:v>43621</c:v>
                </c:pt>
                <c:pt idx="3732">
                  <c:v>43621</c:v>
                </c:pt>
                <c:pt idx="3733">
                  <c:v>43621</c:v>
                </c:pt>
                <c:pt idx="3734">
                  <c:v>43621</c:v>
                </c:pt>
                <c:pt idx="3735">
                  <c:v>43621</c:v>
                </c:pt>
                <c:pt idx="3736">
                  <c:v>43621</c:v>
                </c:pt>
                <c:pt idx="3737">
                  <c:v>43621</c:v>
                </c:pt>
                <c:pt idx="3738">
                  <c:v>43621</c:v>
                </c:pt>
                <c:pt idx="3739">
                  <c:v>43621</c:v>
                </c:pt>
                <c:pt idx="3740">
                  <c:v>43621</c:v>
                </c:pt>
                <c:pt idx="3741">
                  <c:v>43621</c:v>
                </c:pt>
                <c:pt idx="3742">
                  <c:v>43621</c:v>
                </c:pt>
                <c:pt idx="3743">
                  <c:v>43621</c:v>
                </c:pt>
                <c:pt idx="3744">
                  <c:v>43622</c:v>
                </c:pt>
                <c:pt idx="3745">
                  <c:v>43622</c:v>
                </c:pt>
                <c:pt idx="3746">
                  <c:v>43622</c:v>
                </c:pt>
                <c:pt idx="3747">
                  <c:v>43622</c:v>
                </c:pt>
                <c:pt idx="3748">
                  <c:v>43622</c:v>
                </c:pt>
                <c:pt idx="3749">
                  <c:v>43622</c:v>
                </c:pt>
                <c:pt idx="3750">
                  <c:v>43622</c:v>
                </c:pt>
                <c:pt idx="3751">
                  <c:v>43622</c:v>
                </c:pt>
                <c:pt idx="3752">
                  <c:v>43622</c:v>
                </c:pt>
                <c:pt idx="3753">
                  <c:v>43622</c:v>
                </c:pt>
                <c:pt idx="3754">
                  <c:v>43622</c:v>
                </c:pt>
                <c:pt idx="3755">
                  <c:v>43622</c:v>
                </c:pt>
                <c:pt idx="3756">
                  <c:v>43622</c:v>
                </c:pt>
                <c:pt idx="3757">
                  <c:v>43622</c:v>
                </c:pt>
                <c:pt idx="3758">
                  <c:v>43622</c:v>
                </c:pt>
                <c:pt idx="3759">
                  <c:v>43622</c:v>
                </c:pt>
                <c:pt idx="3760">
                  <c:v>43622</c:v>
                </c:pt>
                <c:pt idx="3761">
                  <c:v>43622</c:v>
                </c:pt>
                <c:pt idx="3762">
                  <c:v>43622</c:v>
                </c:pt>
                <c:pt idx="3763">
                  <c:v>43622</c:v>
                </c:pt>
                <c:pt idx="3764">
                  <c:v>43622</c:v>
                </c:pt>
                <c:pt idx="3765">
                  <c:v>43622</c:v>
                </c:pt>
                <c:pt idx="3766">
                  <c:v>43622</c:v>
                </c:pt>
                <c:pt idx="3767">
                  <c:v>43622</c:v>
                </c:pt>
                <c:pt idx="3768">
                  <c:v>43623</c:v>
                </c:pt>
                <c:pt idx="3769">
                  <c:v>43623</c:v>
                </c:pt>
                <c:pt idx="3770">
                  <c:v>43623</c:v>
                </c:pt>
                <c:pt idx="3771">
                  <c:v>43623</c:v>
                </c:pt>
                <c:pt idx="3772">
                  <c:v>43623</c:v>
                </c:pt>
                <c:pt idx="3773">
                  <c:v>43623</c:v>
                </c:pt>
                <c:pt idx="3774">
                  <c:v>43623</c:v>
                </c:pt>
                <c:pt idx="3775">
                  <c:v>43623</c:v>
                </c:pt>
                <c:pt idx="3776">
                  <c:v>43623</c:v>
                </c:pt>
                <c:pt idx="3777">
                  <c:v>43623</c:v>
                </c:pt>
                <c:pt idx="3778">
                  <c:v>43623</c:v>
                </c:pt>
                <c:pt idx="3779">
                  <c:v>43623</c:v>
                </c:pt>
                <c:pt idx="3780">
                  <c:v>43623</c:v>
                </c:pt>
                <c:pt idx="3781">
                  <c:v>43623</c:v>
                </c:pt>
                <c:pt idx="3782">
                  <c:v>43623</c:v>
                </c:pt>
                <c:pt idx="3783">
                  <c:v>43623</c:v>
                </c:pt>
                <c:pt idx="3784">
                  <c:v>43623</c:v>
                </c:pt>
                <c:pt idx="3785">
                  <c:v>43623</c:v>
                </c:pt>
                <c:pt idx="3786">
                  <c:v>43623</c:v>
                </c:pt>
                <c:pt idx="3787">
                  <c:v>43623</c:v>
                </c:pt>
                <c:pt idx="3788">
                  <c:v>43623</c:v>
                </c:pt>
                <c:pt idx="3789">
                  <c:v>43623</c:v>
                </c:pt>
                <c:pt idx="3790">
                  <c:v>43623</c:v>
                </c:pt>
                <c:pt idx="3791">
                  <c:v>43623</c:v>
                </c:pt>
                <c:pt idx="3792">
                  <c:v>43624</c:v>
                </c:pt>
                <c:pt idx="3793">
                  <c:v>43624</c:v>
                </c:pt>
                <c:pt idx="3794">
                  <c:v>43624</c:v>
                </c:pt>
                <c:pt idx="3795">
                  <c:v>43624</c:v>
                </c:pt>
                <c:pt idx="3796">
                  <c:v>43624</c:v>
                </c:pt>
                <c:pt idx="3797">
                  <c:v>43624</c:v>
                </c:pt>
                <c:pt idx="3798">
                  <c:v>43624</c:v>
                </c:pt>
                <c:pt idx="3799">
                  <c:v>43624</c:v>
                </c:pt>
                <c:pt idx="3800">
                  <c:v>43624</c:v>
                </c:pt>
                <c:pt idx="3801">
                  <c:v>43624</c:v>
                </c:pt>
                <c:pt idx="3802">
                  <c:v>43624</c:v>
                </c:pt>
                <c:pt idx="3803">
                  <c:v>43624</c:v>
                </c:pt>
                <c:pt idx="3804">
                  <c:v>43624</c:v>
                </c:pt>
                <c:pt idx="3805">
                  <c:v>43624</c:v>
                </c:pt>
                <c:pt idx="3806">
                  <c:v>43624</c:v>
                </c:pt>
                <c:pt idx="3807">
                  <c:v>43624</c:v>
                </c:pt>
                <c:pt idx="3808">
                  <c:v>43624</c:v>
                </c:pt>
                <c:pt idx="3809">
                  <c:v>43624</c:v>
                </c:pt>
                <c:pt idx="3810">
                  <c:v>43624</c:v>
                </c:pt>
                <c:pt idx="3811">
                  <c:v>43624</c:v>
                </c:pt>
                <c:pt idx="3812">
                  <c:v>43624</c:v>
                </c:pt>
                <c:pt idx="3813">
                  <c:v>43624</c:v>
                </c:pt>
                <c:pt idx="3814">
                  <c:v>43624</c:v>
                </c:pt>
                <c:pt idx="3815">
                  <c:v>43624</c:v>
                </c:pt>
                <c:pt idx="3816">
                  <c:v>43625</c:v>
                </c:pt>
                <c:pt idx="3817">
                  <c:v>43625</c:v>
                </c:pt>
                <c:pt idx="3818">
                  <c:v>43625</c:v>
                </c:pt>
                <c:pt idx="3819">
                  <c:v>43625</c:v>
                </c:pt>
                <c:pt idx="3820">
                  <c:v>43625</c:v>
                </c:pt>
                <c:pt idx="3821">
                  <c:v>43625</c:v>
                </c:pt>
                <c:pt idx="3822">
                  <c:v>43625</c:v>
                </c:pt>
                <c:pt idx="3823">
                  <c:v>43625</c:v>
                </c:pt>
                <c:pt idx="3824">
                  <c:v>43625</c:v>
                </c:pt>
                <c:pt idx="3825">
                  <c:v>43625</c:v>
                </c:pt>
                <c:pt idx="3826">
                  <c:v>43625</c:v>
                </c:pt>
                <c:pt idx="3827">
                  <c:v>43625</c:v>
                </c:pt>
                <c:pt idx="3828">
                  <c:v>43625</c:v>
                </c:pt>
                <c:pt idx="3829">
                  <c:v>43625</c:v>
                </c:pt>
                <c:pt idx="3830">
                  <c:v>43625</c:v>
                </c:pt>
                <c:pt idx="3831">
                  <c:v>43625</c:v>
                </c:pt>
                <c:pt idx="3832">
                  <c:v>43625</c:v>
                </c:pt>
                <c:pt idx="3833">
                  <c:v>43625</c:v>
                </c:pt>
                <c:pt idx="3834">
                  <c:v>43625</c:v>
                </c:pt>
                <c:pt idx="3835">
                  <c:v>43625</c:v>
                </c:pt>
                <c:pt idx="3836">
                  <c:v>43625</c:v>
                </c:pt>
                <c:pt idx="3837">
                  <c:v>43625</c:v>
                </c:pt>
                <c:pt idx="3838">
                  <c:v>43625</c:v>
                </c:pt>
                <c:pt idx="3839">
                  <c:v>43625</c:v>
                </c:pt>
                <c:pt idx="3840">
                  <c:v>43626</c:v>
                </c:pt>
                <c:pt idx="3841">
                  <c:v>43626</c:v>
                </c:pt>
                <c:pt idx="3842">
                  <c:v>43626</c:v>
                </c:pt>
                <c:pt idx="3843">
                  <c:v>43626</c:v>
                </c:pt>
                <c:pt idx="3844">
                  <c:v>43626</c:v>
                </c:pt>
                <c:pt idx="3845">
                  <c:v>43626</c:v>
                </c:pt>
                <c:pt idx="3846">
                  <c:v>43626</c:v>
                </c:pt>
                <c:pt idx="3847">
                  <c:v>43626</c:v>
                </c:pt>
                <c:pt idx="3848">
                  <c:v>43626</c:v>
                </c:pt>
                <c:pt idx="3849">
                  <c:v>43626</c:v>
                </c:pt>
                <c:pt idx="3850">
                  <c:v>43626</c:v>
                </c:pt>
                <c:pt idx="3851">
                  <c:v>43626</c:v>
                </c:pt>
                <c:pt idx="3852">
                  <c:v>43626</c:v>
                </c:pt>
                <c:pt idx="3853">
                  <c:v>43626</c:v>
                </c:pt>
                <c:pt idx="3854">
                  <c:v>43626</c:v>
                </c:pt>
                <c:pt idx="3855">
                  <c:v>43626</c:v>
                </c:pt>
                <c:pt idx="3856">
                  <c:v>43626</c:v>
                </c:pt>
                <c:pt idx="3857">
                  <c:v>43626</c:v>
                </c:pt>
                <c:pt idx="3858">
                  <c:v>43626</c:v>
                </c:pt>
                <c:pt idx="3859">
                  <c:v>43626</c:v>
                </c:pt>
                <c:pt idx="3860">
                  <c:v>43626</c:v>
                </c:pt>
                <c:pt idx="3861">
                  <c:v>43626</c:v>
                </c:pt>
                <c:pt idx="3862">
                  <c:v>43626</c:v>
                </c:pt>
                <c:pt idx="3863">
                  <c:v>43626</c:v>
                </c:pt>
                <c:pt idx="3864">
                  <c:v>43627</c:v>
                </c:pt>
                <c:pt idx="3865">
                  <c:v>43627</c:v>
                </c:pt>
                <c:pt idx="3866">
                  <c:v>43627</c:v>
                </c:pt>
                <c:pt idx="3867">
                  <c:v>43627</c:v>
                </c:pt>
                <c:pt idx="3868">
                  <c:v>43627</c:v>
                </c:pt>
                <c:pt idx="3869">
                  <c:v>43627</c:v>
                </c:pt>
                <c:pt idx="3870">
                  <c:v>43627</c:v>
                </c:pt>
                <c:pt idx="3871">
                  <c:v>43627</c:v>
                </c:pt>
                <c:pt idx="3872">
                  <c:v>43627</c:v>
                </c:pt>
                <c:pt idx="3873">
                  <c:v>43627</c:v>
                </c:pt>
                <c:pt idx="3874">
                  <c:v>43627</c:v>
                </c:pt>
                <c:pt idx="3875">
                  <c:v>43627</c:v>
                </c:pt>
                <c:pt idx="3876">
                  <c:v>43627</c:v>
                </c:pt>
                <c:pt idx="3877">
                  <c:v>43627</c:v>
                </c:pt>
                <c:pt idx="3878">
                  <c:v>43627</c:v>
                </c:pt>
                <c:pt idx="3879">
                  <c:v>43627</c:v>
                </c:pt>
                <c:pt idx="3880">
                  <c:v>43627</c:v>
                </c:pt>
                <c:pt idx="3881">
                  <c:v>43627</c:v>
                </c:pt>
                <c:pt idx="3882">
                  <c:v>43627</c:v>
                </c:pt>
                <c:pt idx="3883">
                  <c:v>43627</c:v>
                </c:pt>
                <c:pt idx="3884">
                  <c:v>43627</c:v>
                </c:pt>
                <c:pt idx="3885">
                  <c:v>43627</c:v>
                </c:pt>
                <c:pt idx="3886">
                  <c:v>43627</c:v>
                </c:pt>
                <c:pt idx="3887">
                  <c:v>43627</c:v>
                </c:pt>
                <c:pt idx="3888">
                  <c:v>43628</c:v>
                </c:pt>
                <c:pt idx="3889">
                  <c:v>43628</c:v>
                </c:pt>
                <c:pt idx="3890">
                  <c:v>43628</c:v>
                </c:pt>
                <c:pt idx="3891">
                  <c:v>43628</c:v>
                </c:pt>
                <c:pt idx="3892">
                  <c:v>43628</c:v>
                </c:pt>
                <c:pt idx="3893">
                  <c:v>43628</c:v>
                </c:pt>
                <c:pt idx="3894">
                  <c:v>43628</c:v>
                </c:pt>
                <c:pt idx="3895">
                  <c:v>43628</c:v>
                </c:pt>
                <c:pt idx="3896">
                  <c:v>43628</c:v>
                </c:pt>
                <c:pt idx="3897">
                  <c:v>43628</c:v>
                </c:pt>
                <c:pt idx="3898">
                  <c:v>43628</c:v>
                </c:pt>
                <c:pt idx="3899">
                  <c:v>43628</c:v>
                </c:pt>
                <c:pt idx="3900">
                  <c:v>43628</c:v>
                </c:pt>
                <c:pt idx="3901">
                  <c:v>43628</c:v>
                </c:pt>
                <c:pt idx="3902">
                  <c:v>43628</c:v>
                </c:pt>
                <c:pt idx="3903">
                  <c:v>43628</c:v>
                </c:pt>
                <c:pt idx="3904">
                  <c:v>43628</c:v>
                </c:pt>
                <c:pt idx="3905">
                  <c:v>43628</c:v>
                </c:pt>
                <c:pt idx="3906">
                  <c:v>43628</c:v>
                </c:pt>
                <c:pt idx="3907">
                  <c:v>43628</c:v>
                </c:pt>
                <c:pt idx="3908">
                  <c:v>43628</c:v>
                </c:pt>
                <c:pt idx="3909">
                  <c:v>43628</c:v>
                </c:pt>
                <c:pt idx="3910">
                  <c:v>43628</c:v>
                </c:pt>
                <c:pt idx="3911">
                  <c:v>43628</c:v>
                </c:pt>
                <c:pt idx="3912">
                  <c:v>43629</c:v>
                </c:pt>
                <c:pt idx="3913">
                  <c:v>43629</c:v>
                </c:pt>
                <c:pt idx="3914">
                  <c:v>43629</c:v>
                </c:pt>
                <c:pt idx="3915">
                  <c:v>43629</c:v>
                </c:pt>
                <c:pt idx="3916">
                  <c:v>43629</c:v>
                </c:pt>
                <c:pt idx="3917">
                  <c:v>43629</c:v>
                </c:pt>
                <c:pt idx="3918">
                  <c:v>43629</c:v>
                </c:pt>
                <c:pt idx="3919">
                  <c:v>43629</c:v>
                </c:pt>
                <c:pt idx="3920">
                  <c:v>43629</c:v>
                </c:pt>
                <c:pt idx="3921">
                  <c:v>43629</c:v>
                </c:pt>
                <c:pt idx="3922">
                  <c:v>43629</c:v>
                </c:pt>
                <c:pt idx="3923">
                  <c:v>43629</c:v>
                </c:pt>
                <c:pt idx="3924">
                  <c:v>43629</c:v>
                </c:pt>
                <c:pt idx="3925">
                  <c:v>43629</c:v>
                </c:pt>
                <c:pt idx="3926">
                  <c:v>43629</c:v>
                </c:pt>
                <c:pt idx="3927">
                  <c:v>43629</c:v>
                </c:pt>
                <c:pt idx="3928">
                  <c:v>43629</c:v>
                </c:pt>
                <c:pt idx="3929">
                  <c:v>43629</c:v>
                </c:pt>
                <c:pt idx="3930">
                  <c:v>43629</c:v>
                </c:pt>
                <c:pt idx="3931">
                  <c:v>43629</c:v>
                </c:pt>
                <c:pt idx="3932">
                  <c:v>43629</c:v>
                </c:pt>
                <c:pt idx="3933">
                  <c:v>43629</c:v>
                </c:pt>
                <c:pt idx="3934">
                  <c:v>43629</c:v>
                </c:pt>
                <c:pt idx="3935">
                  <c:v>43629</c:v>
                </c:pt>
                <c:pt idx="3936">
                  <c:v>43630</c:v>
                </c:pt>
                <c:pt idx="3937">
                  <c:v>43630</c:v>
                </c:pt>
                <c:pt idx="3938">
                  <c:v>43630</c:v>
                </c:pt>
                <c:pt idx="3939">
                  <c:v>43630</c:v>
                </c:pt>
                <c:pt idx="3940">
                  <c:v>43630</c:v>
                </c:pt>
                <c:pt idx="3941">
                  <c:v>43630</c:v>
                </c:pt>
                <c:pt idx="3942">
                  <c:v>43630</c:v>
                </c:pt>
                <c:pt idx="3943">
                  <c:v>43630</c:v>
                </c:pt>
                <c:pt idx="3944">
                  <c:v>43630</c:v>
                </c:pt>
                <c:pt idx="3945">
                  <c:v>43630</c:v>
                </c:pt>
                <c:pt idx="3946">
                  <c:v>43630</c:v>
                </c:pt>
                <c:pt idx="3947">
                  <c:v>43630</c:v>
                </c:pt>
                <c:pt idx="3948">
                  <c:v>43630</c:v>
                </c:pt>
                <c:pt idx="3949">
                  <c:v>43630</c:v>
                </c:pt>
                <c:pt idx="3950">
                  <c:v>43630</c:v>
                </c:pt>
                <c:pt idx="3951">
                  <c:v>43630</c:v>
                </c:pt>
                <c:pt idx="3952">
                  <c:v>43630</c:v>
                </c:pt>
                <c:pt idx="3953">
                  <c:v>43630</c:v>
                </c:pt>
                <c:pt idx="3954">
                  <c:v>43630</c:v>
                </c:pt>
                <c:pt idx="3955">
                  <c:v>43630</c:v>
                </c:pt>
                <c:pt idx="3956">
                  <c:v>43630</c:v>
                </c:pt>
                <c:pt idx="3957">
                  <c:v>43630</c:v>
                </c:pt>
                <c:pt idx="3958">
                  <c:v>43630</c:v>
                </c:pt>
                <c:pt idx="3959">
                  <c:v>43630</c:v>
                </c:pt>
                <c:pt idx="3960">
                  <c:v>43631</c:v>
                </c:pt>
                <c:pt idx="3961">
                  <c:v>43631</c:v>
                </c:pt>
                <c:pt idx="3962">
                  <c:v>43631</c:v>
                </c:pt>
                <c:pt idx="3963">
                  <c:v>43631</c:v>
                </c:pt>
                <c:pt idx="3964">
                  <c:v>43631</c:v>
                </c:pt>
                <c:pt idx="3965">
                  <c:v>43631</c:v>
                </c:pt>
                <c:pt idx="3966">
                  <c:v>43631</c:v>
                </c:pt>
                <c:pt idx="3967">
                  <c:v>43631</c:v>
                </c:pt>
                <c:pt idx="3968">
                  <c:v>43631</c:v>
                </c:pt>
                <c:pt idx="3969">
                  <c:v>43631</c:v>
                </c:pt>
                <c:pt idx="3970">
                  <c:v>43631</c:v>
                </c:pt>
                <c:pt idx="3971">
                  <c:v>43631</c:v>
                </c:pt>
                <c:pt idx="3972">
                  <c:v>43631</c:v>
                </c:pt>
                <c:pt idx="3973">
                  <c:v>43631</c:v>
                </c:pt>
                <c:pt idx="3974">
                  <c:v>43631</c:v>
                </c:pt>
                <c:pt idx="3975">
                  <c:v>43631</c:v>
                </c:pt>
                <c:pt idx="3976">
                  <c:v>43631</c:v>
                </c:pt>
                <c:pt idx="3977">
                  <c:v>43631</c:v>
                </c:pt>
                <c:pt idx="3978">
                  <c:v>43631</c:v>
                </c:pt>
                <c:pt idx="3979">
                  <c:v>43631</c:v>
                </c:pt>
                <c:pt idx="3980">
                  <c:v>43631</c:v>
                </c:pt>
                <c:pt idx="3981">
                  <c:v>43631</c:v>
                </c:pt>
                <c:pt idx="3982">
                  <c:v>43631</c:v>
                </c:pt>
                <c:pt idx="3983">
                  <c:v>43631</c:v>
                </c:pt>
                <c:pt idx="3984">
                  <c:v>43632</c:v>
                </c:pt>
                <c:pt idx="3985">
                  <c:v>43632</c:v>
                </c:pt>
                <c:pt idx="3986">
                  <c:v>43632</c:v>
                </c:pt>
                <c:pt idx="3987">
                  <c:v>43632</c:v>
                </c:pt>
                <c:pt idx="3988">
                  <c:v>43632</c:v>
                </c:pt>
                <c:pt idx="3989">
                  <c:v>43632</c:v>
                </c:pt>
                <c:pt idx="3990">
                  <c:v>43632</c:v>
                </c:pt>
                <c:pt idx="3991">
                  <c:v>43632</c:v>
                </c:pt>
                <c:pt idx="3992">
                  <c:v>43632</c:v>
                </c:pt>
                <c:pt idx="3993">
                  <c:v>43632</c:v>
                </c:pt>
                <c:pt idx="3994">
                  <c:v>43632</c:v>
                </c:pt>
                <c:pt idx="3995">
                  <c:v>43632</c:v>
                </c:pt>
                <c:pt idx="3996">
                  <c:v>43632</c:v>
                </c:pt>
                <c:pt idx="3997">
                  <c:v>43632</c:v>
                </c:pt>
                <c:pt idx="3998">
                  <c:v>43632</c:v>
                </c:pt>
                <c:pt idx="3999">
                  <c:v>43632</c:v>
                </c:pt>
                <c:pt idx="4000">
                  <c:v>43632</c:v>
                </c:pt>
                <c:pt idx="4001">
                  <c:v>43632</c:v>
                </c:pt>
                <c:pt idx="4002">
                  <c:v>43632</c:v>
                </c:pt>
                <c:pt idx="4003">
                  <c:v>43632</c:v>
                </c:pt>
                <c:pt idx="4004">
                  <c:v>43632</c:v>
                </c:pt>
                <c:pt idx="4005">
                  <c:v>43632</c:v>
                </c:pt>
                <c:pt idx="4006">
                  <c:v>43632</c:v>
                </c:pt>
                <c:pt idx="4007">
                  <c:v>43632</c:v>
                </c:pt>
                <c:pt idx="4008">
                  <c:v>43633</c:v>
                </c:pt>
                <c:pt idx="4009">
                  <c:v>43633</c:v>
                </c:pt>
                <c:pt idx="4010">
                  <c:v>43633</c:v>
                </c:pt>
                <c:pt idx="4011">
                  <c:v>43633</c:v>
                </c:pt>
                <c:pt idx="4012">
                  <c:v>43633</c:v>
                </c:pt>
                <c:pt idx="4013">
                  <c:v>43633</c:v>
                </c:pt>
                <c:pt idx="4014">
                  <c:v>43633</c:v>
                </c:pt>
                <c:pt idx="4015">
                  <c:v>43633</c:v>
                </c:pt>
                <c:pt idx="4016">
                  <c:v>43633</c:v>
                </c:pt>
                <c:pt idx="4017">
                  <c:v>43633</c:v>
                </c:pt>
                <c:pt idx="4018">
                  <c:v>43633</c:v>
                </c:pt>
                <c:pt idx="4019">
                  <c:v>43633</c:v>
                </c:pt>
                <c:pt idx="4020">
                  <c:v>43633</c:v>
                </c:pt>
                <c:pt idx="4021">
                  <c:v>43633</c:v>
                </c:pt>
                <c:pt idx="4022">
                  <c:v>43633</c:v>
                </c:pt>
                <c:pt idx="4023">
                  <c:v>43633</c:v>
                </c:pt>
                <c:pt idx="4024">
                  <c:v>43633</c:v>
                </c:pt>
                <c:pt idx="4025">
                  <c:v>43633</c:v>
                </c:pt>
                <c:pt idx="4026">
                  <c:v>43633</c:v>
                </c:pt>
                <c:pt idx="4027">
                  <c:v>43633</c:v>
                </c:pt>
                <c:pt idx="4028">
                  <c:v>43633</c:v>
                </c:pt>
                <c:pt idx="4029">
                  <c:v>43633</c:v>
                </c:pt>
                <c:pt idx="4030">
                  <c:v>43633</c:v>
                </c:pt>
                <c:pt idx="4031">
                  <c:v>43633</c:v>
                </c:pt>
                <c:pt idx="4032">
                  <c:v>43634</c:v>
                </c:pt>
                <c:pt idx="4033">
                  <c:v>43634</c:v>
                </c:pt>
                <c:pt idx="4034">
                  <c:v>43634</c:v>
                </c:pt>
                <c:pt idx="4035">
                  <c:v>43634</c:v>
                </c:pt>
                <c:pt idx="4036">
                  <c:v>43634</c:v>
                </c:pt>
                <c:pt idx="4037">
                  <c:v>43634</c:v>
                </c:pt>
                <c:pt idx="4038">
                  <c:v>43634</c:v>
                </c:pt>
                <c:pt idx="4039">
                  <c:v>43634</c:v>
                </c:pt>
                <c:pt idx="4040">
                  <c:v>43634</c:v>
                </c:pt>
                <c:pt idx="4041">
                  <c:v>43634</c:v>
                </c:pt>
                <c:pt idx="4042">
                  <c:v>43634</c:v>
                </c:pt>
                <c:pt idx="4043">
                  <c:v>43634</c:v>
                </c:pt>
                <c:pt idx="4044">
                  <c:v>43634</c:v>
                </c:pt>
                <c:pt idx="4045">
                  <c:v>43634</c:v>
                </c:pt>
                <c:pt idx="4046">
                  <c:v>43634</c:v>
                </c:pt>
                <c:pt idx="4047">
                  <c:v>43634</c:v>
                </c:pt>
                <c:pt idx="4048">
                  <c:v>43634</c:v>
                </c:pt>
                <c:pt idx="4049">
                  <c:v>43634</c:v>
                </c:pt>
                <c:pt idx="4050">
                  <c:v>43634</c:v>
                </c:pt>
                <c:pt idx="4051">
                  <c:v>43634</c:v>
                </c:pt>
                <c:pt idx="4052">
                  <c:v>43634</c:v>
                </c:pt>
                <c:pt idx="4053">
                  <c:v>43634</c:v>
                </c:pt>
                <c:pt idx="4054">
                  <c:v>43634</c:v>
                </c:pt>
                <c:pt idx="4055">
                  <c:v>43634</c:v>
                </c:pt>
                <c:pt idx="4056">
                  <c:v>43635</c:v>
                </c:pt>
                <c:pt idx="4057">
                  <c:v>43635</c:v>
                </c:pt>
                <c:pt idx="4058">
                  <c:v>43635</c:v>
                </c:pt>
                <c:pt idx="4059">
                  <c:v>43635</c:v>
                </c:pt>
                <c:pt idx="4060">
                  <c:v>43635</c:v>
                </c:pt>
                <c:pt idx="4061">
                  <c:v>43635</c:v>
                </c:pt>
                <c:pt idx="4062">
                  <c:v>43635</c:v>
                </c:pt>
                <c:pt idx="4063">
                  <c:v>43635</c:v>
                </c:pt>
                <c:pt idx="4064">
                  <c:v>43635</c:v>
                </c:pt>
                <c:pt idx="4065">
                  <c:v>43635</c:v>
                </c:pt>
                <c:pt idx="4066">
                  <c:v>43635</c:v>
                </c:pt>
                <c:pt idx="4067">
                  <c:v>43635</c:v>
                </c:pt>
                <c:pt idx="4068">
                  <c:v>43635</c:v>
                </c:pt>
                <c:pt idx="4069">
                  <c:v>43635</c:v>
                </c:pt>
                <c:pt idx="4070">
                  <c:v>43635</c:v>
                </c:pt>
                <c:pt idx="4071">
                  <c:v>43635</c:v>
                </c:pt>
                <c:pt idx="4072">
                  <c:v>43635</c:v>
                </c:pt>
                <c:pt idx="4073">
                  <c:v>43635</c:v>
                </c:pt>
                <c:pt idx="4074">
                  <c:v>43635</c:v>
                </c:pt>
                <c:pt idx="4075">
                  <c:v>43635</c:v>
                </c:pt>
                <c:pt idx="4076">
                  <c:v>43635</c:v>
                </c:pt>
                <c:pt idx="4077">
                  <c:v>43635</c:v>
                </c:pt>
                <c:pt idx="4078">
                  <c:v>43635</c:v>
                </c:pt>
                <c:pt idx="4079">
                  <c:v>43635</c:v>
                </c:pt>
                <c:pt idx="4080">
                  <c:v>43636</c:v>
                </c:pt>
                <c:pt idx="4081">
                  <c:v>43636</c:v>
                </c:pt>
                <c:pt idx="4082">
                  <c:v>43636</c:v>
                </c:pt>
                <c:pt idx="4083">
                  <c:v>43636</c:v>
                </c:pt>
                <c:pt idx="4084">
                  <c:v>43636</c:v>
                </c:pt>
                <c:pt idx="4085">
                  <c:v>43636</c:v>
                </c:pt>
                <c:pt idx="4086">
                  <c:v>43636</c:v>
                </c:pt>
                <c:pt idx="4087">
                  <c:v>43636</c:v>
                </c:pt>
                <c:pt idx="4088">
                  <c:v>43636</c:v>
                </c:pt>
                <c:pt idx="4089">
                  <c:v>43636</c:v>
                </c:pt>
                <c:pt idx="4090">
                  <c:v>43636</c:v>
                </c:pt>
                <c:pt idx="4091">
                  <c:v>43636</c:v>
                </c:pt>
                <c:pt idx="4092">
                  <c:v>43636</c:v>
                </c:pt>
                <c:pt idx="4093">
                  <c:v>43636</c:v>
                </c:pt>
                <c:pt idx="4094">
                  <c:v>43636</c:v>
                </c:pt>
                <c:pt idx="4095">
                  <c:v>43636</c:v>
                </c:pt>
                <c:pt idx="4096">
                  <c:v>43636</c:v>
                </c:pt>
                <c:pt idx="4097">
                  <c:v>43636</c:v>
                </c:pt>
                <c:pt idx="4098">
                  <c:v>43636</c:v>
                </c:pt>
                <c:pt idx="4099">
                  <c:v>43636</c:v>
                </c:pt>
                <c:pt idx="4100">
                  <c:v>43636</c:v>
                </c:pt>
                <c:pt idx="4101">
                  <c:v>43636</c:v>
                </c:pt>
                <c:pt idx="4102">
                  <c:v>43636</c:v>
                </c:pt>
                <c:pt idx="4103">
                  <c:v>43636</c:v>
                </c:pt>
                <c:pt idx="4104">
                  <c:v>43637</c:v>
                </c:pt>
                <c:pt idx="4105">
                  <c:v>43637</c:v>
                </c:pt>
                <c:pt idx="4106">
                  <c:v>43637</c:v>
                </c:pt>
                <c:pt idx="4107">
                  <c:v>43637</c:v>
                </c:pt>
                <c:pt idx="4108">
                  <c:v>43637</c:v>
                </c:pt>
                <c:pt idx="4109">
                  <c:v>43637</c:v>
                </c:pt>
                <c:pt idx="4110">
                  <c:v>43637</c:v>
                </c:pt>
                <c:pt idx="4111">
                  <c:v>43637</c:v>
                </c:pt>
                <c:pt idx="4112">
                  <c:v>43637</c:v>
                </c:pt>
                <c:pt idx="4113">
                  <c:v>43637</c:v>
                </c:pt>
                <c:pt idx="4114">
                  <c:v>43637</c:v>
                </c:pt>
                <c:pt idx="4115">
                  <c:v>43637</c:v>
                </c:pt>
                <c:pt idx="4116">
                  <c:v>43637</c:v>
                </c:pt>
                <c:pt idx="4117">
                  <c:v>43637</c:v>
                </c:pt>
                <c:pt idx="4118">
                  <c:v>43637</c:v>
                </c:pt>
                <c:pt idx="4119">
                  <c:v>43637</c:v>
                </c:pt>
                <c:pt idx="4120">
                  <c:v>43637</c:v>
                </c:pt>
                <c:pt idx="4121">
                  <c:v>43637</c:v>
                </c:pt>
                <c:pt idx="4122">
                  <c:v>43637</c:v>
                </c:pt>
                <c:pt idx="4123">
                  <c:v>43637</c:v>
                </c:pt>
                <c:pt idx="4124">
                  <c:v>43637</c:v>
                </c:pt>
                <c:pt idx="4125">
                  <c:v>43637</c:v>
                </c:pt>
                <c:pt idx="4126">
                  <c:v>43637</c:v>
                </c:pt>
                <c:pt idx="4127">
                  <c:v>43637</c:v>
                </c:pt>
                <c:pt idx="4128">
                  <c:v>43638</c:v>
                </c:pt>
                <c:pt idx="4129">
                  <c:v>43638</c:v>
                </c:pt>
                <c:pt idx="4130">
                  <c:v>43638</c:v>
                </c:pt>
                <c:pt idx="4131">
                  <c:v>43638</c:v>
                </c:pt>
                <c:pt idx="4132">
                  <c:v>43638</c:v>
                </c:pt>
                <c:pt idx="4133">
                  <c:v>43638</c:v>
                </c:pt>
                <c:pt idx="4134">
                  <c:v>43638</c:v>
                </c:pt>
                <c:pt idx="4135">
                  <c:v>43638</c:v>
                </c:pt>
                <c:pt idx="4136">
                  <c:v>43638</c:v>
                </c:pt>
                <c:pt idx="4137">
                  <c:v>43638</c:v>
                </c:pt>
                <c:pt idx="4138">
                  <c:v>43638</c:v>
                </c:pt>
                <c:pt idx="4139">
                  <c:v>43638</c:v>
                </c:pt>
                <c:pt idx="4140">
                  <c:v>43638</c:v>
                </c:pt>
                <c:pt idx="4141">
                  <c:v>43638</c:v>
                </c:pt>
                <c:pt idx="4142">
                  <c:v>43638</c:v>
                </c:pt>
                <c:pt idx="4143">
                  <c:v>43638</c:v>
                </c:pt>
                <c:pt idx="4144">
                  <c:v>43638</c:v>
                </c:pt>
                <c:pt idx="4145">
                  <c:v>43638</c:v>
                </c:pt>
                <c:pt idx="4146">
                  <c:v>43638</c:v>
                </c:pt>
                <c:pt idx="4147">
                  <c:v>43638</c:v>
                </c:pt>
                <c:pt idx="4148">
                  <c:v>43638</c:v>
                </c:pt>
                <c:pt idx="4149">
                  <c:v>43638</c:v>
                </c:pt>
                <c:pt idx="4150">
                  <c:v>43638</c:v>
                </c:pt>
                <c:pt idx="4151">
                  <c:v>43638</c:v>
                </c:pt>
                <c:pt idx="4152">
                  <c:v>43639</c:v>
                </c:pt>
                <c:pt idx="4153">
                  <c:v>43639</c:v>
                </c:pt>
                <c:pt idx="4154">
                  <c:v>43639</c:v>
                </c:pt>
                <c:pt idx="4155">
                  <c:v>43639</c:v>
                </c:pt>
                <c:pt idx="4156">
                  <c:v>43639</c:v>
                </c:pt>
                <c:pt idx="4157">
                  <c:v>43639</c:v>
                </c:pt>
                <c:pt idx="4158">
                  <c:v>43639</c:v>
                </c:pt>
                <c:pt idx="4159">
                  <c:v>43639</c:v>
                </c:pt>
                <c:pt idx="4160">
                  <c:v>43639</c:v>
                </c:pt>
                <c:pt idx="4161">
                  <c:v>43639</c:v>
                </c:pt>
                <c:pt idx="4162">
                  <c:v>43639</c:v>
                </c:pt>
                <c:pt idx="4163">
                  <c:v>43639</c:v>
                </c:pt>
                <c:pt idx="4164">
                  <c:v>43639</c:v>
                </c:pt>
                <c:pt idx="4165">
                  <c:v>43639</c:v>
                </c:pt>
                <c:pt idx="4166">
                  <c:v>43639</c:v>
                </c:pt>
                <c:pt idx="4167">
                  <c:v>43639</c:v>
                </c:pt>
                <c:pt idx="4168">
                  <c:v>43639</c:v>
                </c:pt>
                <c:pt idx="4169">
                  <c:v>43639</c:v>
                </c:pt>
                <c:pt idx="4170">
                  <c:v>43639</c:v>
                </c:pt>
                <c:pt idx="4171">
                  <c:v>43639</c:v>
                </c:pt>
                <c:pt idx="4172">
                  <c:v>43639</c:v>
                </c:pt>
                <c:pt idx="4173">
                  <c:v>43639</c:v>
                </c:pt>
                <c:pt idx="4174">
                  <c:v>43639</c:v>
                </c:pt>
                <c:pt idx="4175">
                  <c:v>43639</c:v>
                </c:pt>
                <c:pt idx="4176">
                  <c:v>43640</c:v>
                </c:pt>
                <c:pt idx="4177">
                  <c:v>43640</c:v>
                </c:pt>
                <c:pt idx="4178">
                  <c:v>43640</c:v>
                </c:pt>
                <c:pt idx="4179">
                  <c:v>43640</c:v>
                </c:pt>
                <c:pt idx="4180">
                  <c:v>43640</c:v>
                </c:pt>
                <c:pt idx="4181">
                  <c:v>43640</c:v>
                </c:pt>
                <c:pt idx="4182">
                  <c:v>43640</c:v>
                </c:pt>
                <c:pt idx="4183">
                  <c:v>43640</c:v>
                </c:pt>
                <c:pt idx="4184">
                  <c:v>43640</c:v>
                </c:pt>
                <c:pt idx="4185">
                  <c:v>43640</c:v>
                </c:pt>
                <c:pt idx="4186">
                  <c:v>43640</c:v>
                </c:pt>
                <c:pt idx="4187">
                  <c:v>43640</c:v>
                </c:pt>
                <c:pt idx="4188">
                  <c:v>43640</c:v>
                </c:pt>
                <c:pt idx="4189">
                  <c:v>43640</c:v>
                </c:pt>
                <c:pt idx="4190">
                  <c:v>43640</c:v>
                </c:pt>
                <c:pt idx="4191">
                  <c:v>43640</c:v>
                </c:pt>
                <c:pt idx="4192">
                  <c:v>43640</c:v>
                </c:pt>
                <c:pt idx="4193">
                  <c:v>43640</c:v>
                </c:pt>
                <c:pt idx="4194">
                  <c:v>43640</c:v>
                </c:pt>
                <c:pt idx="4195">
                  <c:v>43640</c:v>
                </c:pt>
                <c:pt idx="4196">
                  <c:v>43640</c:v>
                </c:pt>
                <c:pt idx="4197">
                  <c:v>43640</c:v>
                </c:pt>
                <c:pt idx="4198">
                  <c:v>43640</c:v>
                </c:pt>
                <c:pt idx="4199">
                  <c:v>43640</c:v>
                </c:pt>
                <c:pt idx="4200">
                  <c:v>43641</c:v>
                </c:pt>
                <c:pt idx="4201">
                  <c:v>43641</c:v>
                </c:pt>
                <c:pt idx="4202">
                  <c:v>43641</c:v>
                </c:pt>
                <c:pt idx="4203">
                  <c:v>43641</c:v>
                </c:pt>
                <c:pt idx="4204">
                  <c:v>43641</c:v>
                </c:pt>
                <c:pt idx="4205">
                  <c:v>43641</c:v>
                </c:pt>
                <c:pt idx="4206">
                  <c:v>43641</c:v>
                </c:pt>
                <c:pt idx="4207">
                  <c:v>43641</c:v>
                </c:pt>
                <c:pt idx="4208">
                  <c:v>43641</c:v>
                </c:pt>
                <c:pt idx="4209">
                  <c:v>43641</c:v>
                </c:pt>
                <c:pt idx="4210">
                  <c:v>43641</c:v>
                </c:pt>
                <c:pt idx="4211">
                  <c:v>43641</c:v>
                </c:pt>
                <c:pt idx="4212">
                  <c:v>43641</c:v>
                </c:pt>
                <c:pt idx="4213">
                  <c:v>43641</c:v>
                </c:pt>
                <c:pt idx="4214">
                  <c:v>43641</c:v>
                </c:pt>
                <c:pt idx="4215">
                  <c:v>43641</c:v>
                </c:pt>
                <c:pt idx="4216">
                  <c:v>43641</c:v>
                </c:pt>
                <c:pt idx="4217">
                  <c:v>43641</c:v>
                </c:pt>
                <c:pt idx="4218">
                  <c:v>43641</c:v>
                </c:pt>
                <c:pt idx="4219">
                  <c:v>43641</c:v>
                </c:pt>
                <c:pt idx="4220">
                  <c:v>43641</c:v>
                </c:pt>
                <c:pt idx="4221">
                  <c:v>43641</c:v>
                </c:pt>
                <c:pt idx="4222">
                  <c:v>43641</c:v>
                </c:pt>
                <c:pt idx="4223">
                  <c:v>43641</c:v>
                </c:pt>
                <c:pt idx="4224">
                  <c:v>43642</c:v>
                </c:pt>
                <c:pt idx="4225">
                  <c:v>43642</c:v>
                </c:pt>
                <c:pt idx="4226">
                  <c:v>43642</c:v>
                </c:pt>
                <c:pt idx="4227">
                  <c:v>43642</c:v>
                </c:pt>
                <c:pt idx="4228">
                  <c:v>43642</c:v>
                </c:pt>
                <c:pt idx="4229">
                  <c:v>43642</c:v>
                </c:pt>
                <c:pt idx="4230">
                  <c:v>43642</c:v>
                </c:pt>
                <c:pt idx="4231">
                  <c:v>43642</c:v>
                </c:pt>
                <c:pt idx="4232">
                  <c:v>43642</c:v>
                </c:pt>
                <c:pt idx="4233">
                  <c:v>43642</c:v>
                </c:pt>
                <c:pt idx="4234">
                  <c:v>43642</c:v>
                </c:pt>
                <c:pt idx="4235">
                  <c:v>43642</c:v>
                </c:pt>
                <c:pt idx="4236">
                  <c:v>43642</c:v>
                </c:pt>
                <c:pt idx="4237">
                  <c:v>43642</c:v>
                </c:pt>
                <c:pt idx="4238">
                  <c:v>43642</c:v>
                </c:pt>
                <c:pt idx="4239">
                  <c:v>43642</c:v>
                </c:pt>
                <c:pt idx="4240">
                  <c:v>43642</c:v>
                </c:pt>
                <c:pt idx="4241">
                  <c:v>43642</c:v>
                </c:pt>
                <c:pt idx="4242">
                  <c:v>43642</c:v>
                </c:pt>
                <c:pt idx="4243">
                  <c:v>43642</c:v>
                </c:pt>
                <c:pt idx="4244">
                  <c:v>43642</c:v>
                </c:pt>
                <c:pt idx="4245">
                  <c:v>43642</c:v>
                </c:pt>
                <c:pt idx="4246">
                  <c:v>43642</c:v>
                </c:pt>
                <c:pt idx="4247">
                  <c:v>43642</c:v>
                </c:pt>
                <c:pt idx="4248">
                  <c:v>43643</c:v>
                </c:pt>
                <c:pt idx="4249">
                  <c:v>43643</c:v>
                </c:pt>
                <c:pt idx="4250">
                  <c:v>43643</c:v>
                </c:pt>
                <c:pt idx="4251">
                  <c:v>43643</c:v>
                </c:pt>
                <c:pt idx="4252">
                  <c:v>43643</c:v>
                </c:pt>
                <c:pt idx="4253">
                  <c:v>43643</c:v>
                </c:pt>
                <c:pt idx="4254">
                  <c:v>43643</c:v>
                </c:pt>
                <c:pt idx="4255">
                  <c:v>43643</c:v>
                </c:pt>
                <c:pt idx="4256">
                  <c:v>43643</c:v>
                </c:pt>
                <c:pt idx="4257">
                  <c:v>43643</c:v>
                </c:pt>
                <c:pt idx="4258">
                  <c:v>43643</c:v>
                </c:pt>
                <c:pt idx="4259">
                  <c:v>43643</c:v>
                </c:pt>
                <c:pt idx="4260">
                  <c:v>43643</c:v>
                </c:pt>
                <c:pt idx="4261">
                  <c:v>43643</c:v>
                </c:pt>
                <c:pt idx="4262">
                  <c:v>43643</c:v>
                </c:pt>
                <c:pt idx="4263">
                  <c:v>43643</c:v>
                </c:pt>
                <c:pt idx="4264">
                  <c:v>43643</c:v>
                </c:pt>
                <c:pt idx="4265">
                  <c:v>43643</c:v>
                </c:pt>
                <c:pt idx="4266">
                  <c:v>43643</c:v>
                </c:pt>
                <c:pt idx="4267">
                  <c:v>43643</c:v>
                </c:pt>
                <c:pt idx="4268">
                  <c:v>43643</c:v>
                </c:pt>
                <c:pt idx="4269">
                  <c:v>43643</c:v>
                </c:pt>
                <c:pt idx="4270">
                  <c:v>43643</c:v>
                </c:pt>
                <c:pt idx="4271">
                  <c:v>43643</c:v>
                </c:pt>
                <c:pt idx="4272">
                  <c:v>43644</c:v>
                </c:pt>
                <c:pt idx="4273">
                  <c:v>43644</c:v>
                </c:pt>
                <c:pt idx="4274">
                  <c:v>43644</c:v>
                </c:pt>
                <c:pt idx="4275">
                  <c:v>43644</c:v>
                </c:pt>
                <c:pt idx="4276">
                  <c:v>43644</c:v>
                </c:pt>
                <c:pt idx="4277">
                  <c:v>43644</c:v>
                </c:pt>
                <c:pt idx="4278">
                  <c:v>43644</c:v>
                </c:pt>
                <c:pt idx="4279">
                  <c:v>43644</c:v>
                </c:pt>
                <c:pt idx="4280">
                  <c:v>43644</c:v>
                </c:pt>
                <c:pt idx="4281">
                  <c:v>43644</c:v>
                </c:pt>
                <c:pt idx="4282">
                  <c:v>43644</c:v>
                </c:pt>
                <c:pt idx="4283">
                  <c:v>43644</c:v>
                </c:pt>
                <c:pt idx="4284">
                  <c:v>43644</c:v>
                </c:pt>
                <c:pt idx="4285">
                  <c:v>43644</c:v>
                </c:pt>
                <c:pt idx="4286">
                  <c:v>43644</c:v>
                </c:pt>
                <c:pt idx="4287">
                  <c:v>43644</c:v>
                </c:pt>
                <c:pt idx="4288">
                  <c:v>43644</c:v>
                </c:pt>
                <c:pt idx="4289">
                  <c:v>43644</c:v>
                </c:pt>
                <c:pt idx="4290">
                  <c:v>43644</c:v>
                </c:pt>
                <c:pt idx="4291">
                  <c:v>43644</c:v>
                </c:pt>
                <c:pt idx="4292">
                  <c:v>43644</c:v>
                </c:pt>
                <c:pt idx="4293">
                  <c:v>43644</c:v>
                </c:pt>
                <c:pt idx="4294">
                  <c:v>43644</c:v>
                </c:pt>
                <c:pt idx="4295">
                  <c:v>43644</c:v>
                </c:pt>
                <c:pt idx="4296">
                  <c:v>43645</c:v>
                </c:pt>
                <c:pt idx="4297">
                  <c:v>43645</c:v>
                </c:pt>
                <c:pt idx="4298">
                  <c:v>43645</c:v>
                </c:pt>
                <c:pt idx="4299">
                  <c:v>43645</c:v>
                </c:pt>
                <c:pt idx="4300">
                  <c:v>43645</c:v>
                </c:pt>
                <c:pt idx="4301">
                  <c:v>43645</c:v>
                </c:pt>
                <c:pt idx="4302">
                  <c:v>43645</c:v>
                </c:pt>
                <c:pt idx="4303">
                  <c:v>43645</c:v>
                </c:pt>
                <c:pt idx="4304">
                  <c:v>43645</c:v>
                </c:pt>
                <c:pt idx="4305">
                  <c:v>43645</c:v>
                </c:pt>
                <c:pt idx="4306">
                  <c:v>43645</c:v>
                </c:pt>
                <c:pt idx="4307">
                  <c:v>43645</c:v>
                </c:pt>
                <c:pt idx="4308">
                  <c:v>43645</c:v>
                </c:pt>
                <c:pt idx="4309">
                  <c:v>43645</c:v>
                </c:pt>
                <c:pt idx="4310">
                  <c:v>43645</c:v>
                </c:pt>
                <c:pt idx="4311">
                  <c:v>43645</c:v>
                </c:pt>
                <c:pt idx="4312">
                  <c:v>43645</c:v>
                </c:pt>
                <c:pt idx="4313">
                  <c:v>43645</c:v>
                </c:pt>
                <c:pt idx="4314">
                  <c:v>43645</c:v>
                </c:pt>
                <c:pt idx="4315">
                  <c:v>43645</c:v>
                </c:pt>
                <c:pt idx="4316">
                  <c:v>43645</c:v>
                </c:pt>
                <c:pt idx="4317">
                  <c:v>43645</c:v>
                </c:pt>
                <c:pt idx="4318">
                  <c:v>43645</c:v>
                </c:pt>
                <c:pt idx="4319">
                  <c:v>43645</c:v>
                </c:pt>
                <c:pt idx="4320">
                  <c:v>43646</c:v>
                </c:pt>
                <c:pt idx="4321">
                  <c:v>43646</c:v>
                </c:pt>
                <c:pt idx="4322">
                  <c:v>43646</c:v>
                </c:pt>
                <c:pt idx="4323">
                  <c:v>43646</c:v>
                </c:pt>
                <c:pt idx="4324">
                  <c:v>43646</c:v>
                </c:pt>
                <c:pt idx="4325">
                  <c:v>43646</c:v>
                </c:pt>
                <c:pt idx="4326">
                  <c:v>43646</c:v>
                </c:pt>
                <c:pt idx="4327">
                  <c:v>43646</c:v>
                </c:pt>
                <c:pt idx="4328">
                  <c:v>43646</c:v>
                </c:pt>
                <c:pt idx="4329">
                  <c:v>43646</c:v>
                </c:pt>
                <c:pt idx="4330">
                  <c:v>43646</c:v>
                </c:pt>
                <c:pt idx="4331">
                  <c:v>43646</c:v>
                </c:pt>
                <c:pt idx="4332">
                  <c:v>43646</c:v>
                </c:pt>
                <c:pt idx="4333">
                  <c:v>43646</c:v>
                </c:pt>
                <c:pt idx="4334">
                  <c:v>43646</c:v>
                </c:pt>
                <c:pt idx="4335">
                  <c:v>43646</c:v>
                </c:pt>
                <c:pt idx="4336">
                  <c:v>43646</c:v>
                </c:pt>
                <c:pt idx="4337">
                  <c:v>43646</c:v>
                </c:pt>
                <c:pt idx="4338">
                  <c:v>43646</c:v>
                </c:pt>
                <c:pt idx="4339">
                  <c:v>43646</c:v>
                </c:pt>
                <c:pt idx="4340">
                  <c:v>43646</c:v>
                </c:pt>
                <c:pt idx="4341">
                  <c:v>43646</c:v>
                </c:pt>
                <c:pt idx="4342">
                  <c:v>43646</c:v>
                </c:pt>
                <c:pt idx="4343">
                  <c:v>43646</c:v>
                </c:pt>
                <c:pt idx="4344">
                  <c:v>43647</c:v>
                </c:pt>
                <c:pt idx="4345">
                  <c:v>43647</c:v>
                </c:pt>
                <c:pt idx="4346">
                  <c:v>43647</c:v>
                </c:pt>
                <c:pt idx="4347">
                  <c:v>43647</c:v>
                </c:pt>
                <c:pt idx="4348">
                  <c:v>43647</c:v>
                </c:pt>
                <c:pt idx="4349">
                  <c:v>43647</c:v>
                </c:pt>
                <c:pt idx="4350">
                  <c:v>43647</c:v>
                </c:pt>
                <c:pt idx="4351">
                  <c:v>43647</c:v>
                </c:pt>
                <c:pt idx="4352">
                  <c:v>43647</c:v>
                </c:pt>
                <c:pt idx="4353">
                  <c:v>43647</c:v>
                </c:pt>
                <c:pt idx="4354">
                  <c:v>43647</c:v>
                </c:pt>
                <c:pt idx="4355">
                  <c:v>43647</c:v>
                </c:pt>
                <c:pt idx="4356">
                  <c:v>43647</c:v>
                </c:pt>
                <c:pt idx="4357">
                  <c:v>43647</c:v>
                </c:pt>
                <c:pt idx="4358">
                  <c:v>43647</c:v>
                </c:pt>
                <c:pt idx="4359">
                  <c:v>43647</c:v>
                </c:pt>
                <c:pt idx="4360">
                  <c:v>43647</c:v>
                </c:pt>
                <c:pt idx="4361">
                  <c:v>43647</c:v>
                </c:pt>
                <c:pt idx="4362">
                  <c:v>43647</c:v>
                </c:pt>
                <c:pt idx="4363">
                  <c:v>43647</c:v>
                </c:pt>
                <c:pt idx="4364">
                  <c:v>43647</c:v>
                </c:pt>
                <c:pt idx="4365">
                  <c:v>43647</c:v>
                </c:pt>
                <c:pt idx="4366">
                  <c:v>43647</c:v>
                </c:pt>
                <c:pt idx="4367">
                  <c:v>43647</c:v>
                </c:pt>
                <c:pt idx="4368">
                  <c:v>43648</c:v>
                </c:pt>
                <c:pt idx="4369">
                  <c:v>43648</c:v>
                </c:pt>
                <c:pt idx="4370">
                  <c:v>43648</c:v>
                </c:pt>
                <c:pt idx="4371">
                  <c:v>43648</c:v>
                </c:pt>
                <c:pt idx="4372">
                  <c:v>43648</c:v>
                </c:pt>
                <c:pt idx="4373">
                  <c:v>43648</c:v>
                </c:pt>
                <c:pt idx="4374">
                  <c:v>43648</c:v>
                </c:pt>
                <c:pt idx="4375">
                  <c:v>43648</c:v>
                </c:pt>
                <c:pt idx="4376">
                  <c:v>43648</c:v>
                </c:pt>
                <c:pt idx="4377">
                  <c:v>43648</c:v>
                </c:pt>
                <c:pt idx="4378">
                  <c:v>43648</c:v>
                </c:pt>
                <c:pt idx="4379">
                  <c:v>43648</c:v>
                </c:pt>
                <c:pt idx="4380">
                  <c:v>43648</c:v>
                </c:pt>
                <c:pt idx="4381">
                  <c:v>43648</c:v>
                </c:pt>
                <c:pt idx="4382">
                  <c:v>43648</c:v>
                </c:pt>
                <c:pt idx="4383">
                  <c:v>43648</c:v>
                </c:pt>
                <c:pt idx="4384">
                  <c:v>43648</c:v>
                </c:pt>
                <c:pt idx="4385">
                  <c:v>43648</c:v>
                </c:pt>
                <c:pt idx="4386">
                  <c:v>43648</c:v>
                </c:pt>
                <c:pt idx="4387">
                  <c:v>43648</c:v>
                </c:pt>
                <c:pt idx="4388">
                  <c:v>43648</c:v>
                </c:pt>
                <c:pt idx="4389">
                  <c:v>43648</c:v>
                </c:pt>
                <c:pt idx="4390">
                  <c:v>43648</c:v>
                </c:pt>
                <c:pt idx="4391">
                  <c:v>43648</c:v>
                </c:pt>
                <c:pt idx="4392">
                  <c:v>43649</c:v>
                </c:pt>
                <c:pt idx="4393">
                  <c:v>43649</c:v>
                </c:pt>
                <c:pt idx="4394">
                  <c:v>43649</c:v>
                </c:pt>
                <c:pt idx="4395">
                  <c:v>43649</c:v>
                </c:pt>
                <c:pt idx="4396">
                  <c:v>43649</c:v>
                </c:pt>
                <c:pt idx="4397">
                  <c:v>43649</c:v>
                </c:pt>
                <c:pt idx="4398">
                  <c:v>43649</c:v>
                </c:pt>
                <c:pt idx="4399">
                  <c:v>43649</c:v>
                </c:pt>
                <c:pt idx="4400">
                  <c:v>43649</c:v>
                </c:pt>
                <c:pt idx="4401">
                  <c:v>43649</c:v>
                </c:pt>
                <c:pt idx="4402">
                  <c:v>43649</c:v>
                </c:pt>
                <c:pt idx="4403">
                  <c:v>43649</c:v>
                </c:pt>
                <c:pt idx="4404">
                  <c:v>43649</c:v>
                </c:pt>
                <c:pt idx="4405">
                  <c:v>43649</c:v>
                </c:pt>
                <c:pt idx="4406">
                  <c:v>43649</c:v>
                </c:pt>
                <c:pt idx="4407">
                  <c:v>43649</c:v>
                </c:pt>
                <c:pt idx="4408">
                  <c:v>43649</c:v>
                </c:pt>
                <c:pt idx="4409">
                  <c:v>43649</c:v>
                </c:pt>
                <c:pt idx="4410">
                  <c:v>43649</c:v>
                </c:pt>
                <c:pt idx="4411">
                  <c:v>43649</c:v>
                </c:pt>
                <c:pt idx="4412">
                  <c:v>43649</c:v>
                </c:pt>
                <c:pt idx="4413">
                  <c:v>43649</c:v>
                </c:pt>
                <c:pt idx="4414">
                  <c:v>43649</c:v>
                </c:pt>
                <c:pt idx="4415">
                  <c:v>43649</c:v>
                </c:pt>
                <c:pt idx="4416">
                  <c:v>43650</c:v>
                </c:pt>
                <c:pt idx="4417">
                  <c:v>43650</c:v>
                </c:pt>
                <c:pt idx="4418">
                  <c:v>43650</c:v>
                </c:pt>
                <c:pt idx="4419">
                  <c:v>43650</c:v>
                </c:pt>
                <c:pt idx="4420">
                  <c:v>43650</c:v>
                </c:pt>
                <c:pt idx="4421">
                  <c:v>43650</c:v>
                </c:pt>
                <c:pt idx="4422">
                  <c:v>43650</c:v>
                </c:pt>
                <c:pt idx="4423">
                  <c:v>43650</c:v>
                </c:pt>
                <c:pt idx="4424">
                  <c:v>43650</c:v>
                </c:pt>
                <c:pt idx="4425">
                  <c:v>43650</c:v>
                </c:pt>
                <c:pt idx="4426">
                  <c:v>43650</c:v>
                </c:pt>
                <c:pt idx="4427">
                  <c:v>43650</c:v>
                </c:pt>
                <c:pt idx="4428">
                  <c:v>43650</c:v>
                </c:pt>
                <c:pt idx="4429">
                  <c:v>43650</c:v>
                </c:pt>
                <c:pt idx="4430">
                  <c:v>43650</c:v>
                </c:pt>
                <c:pt idx="4431">
                  <c:v>43650</c:v>
                </c:pt>
                <c:pt idx="4432">
                  <c:v>43650</c:v>
                </c:pt>
                <c:pt idx="4433">
                  <c:v>43650</c:v>
                </c:pt>
                <c:pt idx="4434">
                  <c:v>43650</c:v>
                </c:pt>
                <c:pt idx="4435">
                  <c:v>43650</c:v>
                </c:pt>
                <c:pt idx="4436">
                  <c:v>43650</c:v>
                </c:pt>
                <c:pt idx="4437">
                  <c:v>43650</c:v>
                </c:pt>
                <c:pt idx="4438">
                  <c:v>43650</c:v>
                </c:pt>
                <c:pt idx="4439">
                  <c:v>43650</c:v>
                </c:pt>
                <c:pt idx="4440">
                  <c:v>43651</c:v>
                </c:pt>
                <c:pt idx="4441">
                  <c:v>43651</c:v>
                </c:pt>
                <c:pt idx="4442">
                  <c:v>43651</c:v>
                </c:pt>
                <c:pt idx="4443">
                  <c:v>43651</c:v>
                </c:pt>
                <c:pt idx="4444">
                  <c:v>43651</c:v>
                </c:pt>
                <c:pt idx="4445">
                  <c:v>43651</c:v>
                </c:pt>
                <c:pt idx="4446">
                  <c:v>43651</c:v>
                </c:pt>
                <c:pt idx="4447">
                  <c:v>43651</c:v>
                </c:pt>
                <c:pt idx="4448">
                  <c:v>43651</c:v>
                </c:pt>
                <c:pt idx="4449">
                  <c:v>43651</c:v>
                </c:pt>
                <c:pt idx="4450">
                  <c:v>43651</c:v>
                </c:pt>
                <c:pt idx="4451">
                  <c:v>43651</c:v>
                </c:pt>
                <c:pt idx="4452">
                  <c:v>43651</c:v>
                </c:pt>
                <c:pt idx="4453">
                  <c:v>43651</c:v>
                </c:pt>
                <c:pt idx="4454">
                  <c:v>43651</c:v>
                </c:pt>
                <c:pt idx="4455">
                  <c:v>43651</c:v>
                </c:pt>
                <c:pt idx="4456">
                  <c:v>43651</c:v>
                </c:pt>
                <c:pt idx="4457">
                  <c:v>43651</c:v>
                </c:pt>
                <c:pt idx="4458">
                  <c:v>43651</c:v>
                </c:pt>
                <c:pt idx="4459">
                  <c:v>43651</c:v>
                </c:pt>
                <c:pt idx="4460">
                  <c:v>43651</c:v>
                </c:pt>
                <c:pt idx="4461">
                  <c:v>43651</c:v>
                </c:pt>
                <c:pt idx="4462">
                  <c:v>43651</c:v>
                </c:pt>
                <c:pt idx="4463">
                  <c:v>43651</c:v>
                </c:pt>
                <c:pt idx="4464">
                  <c:v>43652</c:v>
                </c:pt>
                <c:pt idx="4465">
                  <c:v>43652</c:v>
                </c:pt>
                <c:pt idx="4466">
                  <c:v>43652</c:v>
                </c:pt>
                <c:pt idx="4467">
                  <c:v>43652</c:v>
                </c:pt>
                <c:pt idx="4468">
                  <c:v>43652</c:v>
                </c:pt>
                <c:pt idx="4469">
                  <c:v>43652</c:v>
                </c:pt>
                <c:pt idx="4470">
                  <c:v>43652</c:v>
                </c:pt>
                <c:pt idx="4471">
                  <c:v>43652</c:v>
                </c:pt>
                <c:pt idx="4472">
                  <c:v>43652</c:v>
                </c:pt>
                <c:pt idx="4473">
                  <c:v>43652</c:v>
                </c:pt>
                <c:pt idx="4474">
                  <c:v>43652</c:v>
                </c:pt>
                <c:pt idx="4475">
                  <c:v>43652</c:v>
                </c:pt>
                <c:pt idx="4476">
                  <c:v>43652</c:v>
                </c:pt>
                <c:pt idx="4477">
                  <c:v>43652</c:v>
                </c:pt>
                <c:pt idx="4478">
                  <c:v>43652</c:v>
                </c:pt>
                <c:pt idx="4479">
                  <c:v>43652</c:v>
                </c:pt>
                <c:pt idx="4480">
                  <c:v>43652</c:v>
                </c:pt>
                <c:pt idx="4481">
                  <c:v>43652</c:v>
                </c:pt>
                <c:pt idx="4482">
                  <c:v>43652</c:v>
                </c:pt>
                <c:pt idx="4483">
                  <c:v>43652</c:v>
                </c:pt>
                <c:pt idx="4484">
                  <c:v>43652</c:v>
                </c:pt>
                <c:pt idx="4485">
                  <c:v>43652</c:v>
                </c:pt>
                <c:pt idx="4486">
                  <c:v>43652</c:v>
                </c:pt>
                <c:pt idx="4487">
                  <c:v>43652</c:v>
                </c:pt>
                <c:pt idx="4488">
                  <c:v>43653</c:v>
                </c:pt>
                <c:pt idx="4489">
                  <c:v>43653</c:v>
                </c:pt>
                <c:pt idx="4490">
                  <c:v>43653</c:v>
                </c:pt>
                <c:pt idx="4491">
                  <c:v>43653</c:v>
                </c:pt>
                <c:pt idx="4492">
                  <c:v>43653</c:v>
                </c:pt>
                <c:pt idx="4493">
                  <c:v>43653</c:v>
                </c:pt>
                <c:pt idx="4494">
                  <c:v>43653</c:v>
                </c:pt>
                <c:pt idx="4495">
                  <c:v>43653</c:v>
                </c:pt>
                <c:pt idx="4496">
                  <c:v>43653</c:v>
                </c:pt>
                <c:pt idx="4497">
                  <c:v>43653</c:v>
                </c:pt>
                <c:pt idx="4498">
                  <c:v>43653</c:v>
                </c:pt>
                <c:pt idx="4499">
                  <c:v>43653</c:v>
                </c:pt>
                <c:pt idx="4500">
                  <c:v>43653</c:v>
                </c:pt>
                <c:pt idx="4501">
                  <c:v>43653</c:v>
                </c:pt>
                <c:pt idx="4502">
                  <c:v>43653</c:v>
                </c:pt>
                <c:pt idx="4503">
                  <c:v>43653</c:v>
                </c:pt>
                <c:pt idx="4504">
                  <c:v>43653</c:v>
                </c:pt>
                <c:pt idx="4505">
                  <c:v>43653</c:v>
                </c:pt>
                <c:pt idx="4506">
                  <c:v>43653</c:v>
                </c:pt>
                <c:pt idx="4507">
                  <c:v>43653</c:v>
                </c:pt>
                <c:pt idx="4508">
                  <c:v>43653</c:v>
                </c:pt>
                <c:pt idx="4509">
                  <c:v>43653</c:v>
                </c:pt>
                <c:pt idx="4510">
                  <c:v>43653</c:v>
                </c:pt>
                <c:pt idx="4511">
                  <c:v>43653</c:v>
                </c:pt>
                <c:pt idx="4512">
                  <c:v>43654</c:v>
                </c:pt>
                <c:pt idx="4513">
                  <c:v>43654</c:v>
                </c:pt>
                <c:pt idx="4514">
                  <c:v>43654</c:v>
                </c:pt>
                <c:pt idx="4515">
                  <c:v>43654</c:v>
                </c:pt>
                <c:pt idx="4516">
                  <c:v>43654</c:v>
                </c:pt>
                <c:pt idx="4517">
                  <c:v>43654</c:v>
                </c:pt>
                <c:pt idx="4518">
                  <c:v>43654</c:v>
                </c:pt>
                <c:pt idx="4519">
                  <c:v>43654</c:v>
                </c:pt>
                <c:pt idx="4520">
                  <c:v>43654</c:v>
                </c:pt>
                <c:pt idx="4521">
                  <c:v>43654</c:v>
                </c:pt>
                <c:pt idx="4522">
                  <c:v>43654</c:v>
                </c:pt>
                <c:pt idx="4523">
                  <c:v>43654</c:v>
                </c:pt>
                <c:pt idx="4524">
                  <c:v>43654</c:v>
                </c:pt>
                <c:pt idx="4525">
                  <c:v>43654</c:v>
                </c:pt>
                <c:pt idx="4526">
                  <c:v>43654</c:v>
                </c:pt>
                <c:pt idx="4527">
                  <c:v>43654</c:v>
                </c:pt>
                <c:pt idx="4528">
                  <c:v>43654</c:v>
                </c:pt>
                <c:pt idx="4529">
                  <c:v>43654</c:v>
                </c:pt>
                <c:pt idx="4530">
                  <c:v>43654</c:v>
                </c:pt>
                <c:pt idx="4531">
                  <c:v>43654</c:v>
                </c:pt>
                <c:pt idx="4532">
                  <c:v>43654</c:v>
                </c:pt>
                <c:pt idx="4533">
                  <c:v>43654</c:v>
                </c:pt>
                <c:pt idx="4534">
                  <c:v>43654</c:v>
                </c:pt>
                <c:pt idx="4535">
                  <c:v>43654</c:v>
                </c:pt>
                <c:pt idx="4536">
                  <c:v>43655</c:v>
                </c:pt>
                <c:pt idx="4537">
                  <c:v>43655</c:v>
                </c:pt>
                <c:pt idx="4538">
                  <c:v>43655</c:v>
                </c:pt>
                <c:pt idx="4539">
                  <c:v>43655</c:v>
                </c:pt>
                <c:pt idx="4540">
                  <c:v>43655</c:v>
                </c:pt>
                <c:pt idx="4541">
                  <c:v>43655</c:v>
                </c:pt>
                <c:pt idx="4542">
                  <c:v>43655</c:v>
                </c:pt>
                <c:pt idx="4543">
                  <c:v>43655</c:v>
                </c:pt>
                <c:pt idx="4544">
                  <c:v>43655</c:v>
                </c:pt>
                <c:pt idx="4545">
                  <c:v>43655</c:v>
                </c:pt>
                <c:pt idx="4546">
                  <c:v>43655</c:v>
                </c:pt>
                <c:pt idx="4547">
                  <c:v>43655</c:v>
                </c:pt>
                <c:pt idx="4548">
                  <c:v>43655</c:v>
                </c:pt>
                <c:pt idx="4549">
                  <c:v>43655</c:v>
                </c:pt>
                <c:pt idx="4550">
                  <c:v>43655</c:v>
                </c:pt>
                <c:pt idx="4551">
                  <c:v>43655</c:v>
                </c:pt>
                <c:pt idx="4552">
                  <c:v>43655</c:v>
                </c:pt>
                <c:pt idx="4553">
                  <c:v>43655</c:v>
                </c:pt>
                <c:pt idx="4554">
                  <c:v>43655</c:v>
                </c:pt>
                <c:pt idx="4555">
                  <c:v>43655</c:v>
                </c:pt>
                <c:pt idx="4556">
                  <c:v>43655</c:v>
                </c:pt>
                <c:pt idx="4557">
                  <c:v>43655</c:v>
                </c:pt>
                <c:pt idx="4558">
                  <c:v>43655</c:v>
                </c:pt>
                <c:pt idx="4559">
                  <c:v>43655</c:v>
                </c:pt>
                <c:pt idx="4560">
                  <c:v>43656</c:v>
                </c:pt>
                <c:pt idx="4561">
                  <c:v>43656</c:v>
                </c:pt>
                <c:pt idx="4562">
                  <c:v>43656</c:v>
                </c:pt>
                <c:pt idx="4563">
                  <c:v>43656</c:v>
                </c:pt>
                <c:pt idx="4564">
                  <c:v>43656</c:v>
                </c:pt>
                <c:pt idx="4565">
                  <c:v>43656</c:v>
                </c:pt>
                <c:pt idx="4566">
                  <c:v>43656</c:v>
                </c:pt>
                <c:pt idx="4567">
                  <c:v>43656</c:v>
                </c:pt>
                <c:pt idx="4568">
                  <c:v>43656</c:v>
                </c:pt>
                <c:pt idx="4569">
                  <c:v>43656</c:v>
                </c:pt>
                <c:pt idx="4570">
                  <c:v>43656</c:v>
                </c:pt>
                <c:pt idx="4571">
                  <c:v>43656</c:v>
                </c:pt>
                <c:pt idx="4572">
                  <c:v>43656</c:v>
                </c:pt>
                <c:pt idx="4573">
                  <c:v>43656</c:v>
                </c:pt>
                <c:pt idx="4574">
                  <c:v>43656</c:v>
                </c:pt>
                <c:pt idx="4575">
                  <c:v>43656</c:v>
                </c:pt>
                <c:pt idx="4576">
                  <c:v>43656</c:v>
                </c:pt>
                <c:pt idx="4577">
                  <c:v>43656</c:v>
                </c:pt>
                <c:pt idx="4578">
                  <c:v>43656</c:v>
                </c:pt>
                <c:pt idx="4579">
                  <c:v>43656</c:v>
                </c:pt>
                <c:pt idx="4580">
                  <c:v>43656</c:v>
                </c:pt>
                <c:pt idx="4581">
                  <c:v>43656</c:v>
                </c:pt>
                <c:pt idx="4582">
                  <c:v>43656</c:v>
                </c:pt>
                <c:pt idx="4583">
                  <c:v>43656</c:v>
                </c:pt>
                <c:pt idx="4584">
                  <c:v>43657</c:v>
                </c:pt>
                <c:pt idx="4585">
                  <c:v>43657</c:v>
                </c:pt>
                <c:pt idx="4586">
                  <c:v>43657</c:v>
                </c:pt>
                <c:pt idx="4587">
                  <c:v>43657</c:v>
                </c:pt>
                <c:pt idx="4588">
                  <c:v>43657</c:v>
                </c:pt>
                <c:pt idx="4589">
                  <c:v>43657</c:v>
                </c:pt>
                <c:pt idx="4590">
                  <c:v>43657</c:v>
                </c:pt>
                <c:pt idx="4591">
                  <c:v>43657</c:v>
                </c:pt>
                <c:pt idx="4592">
                  <c:v>43657</c:v>
                </c:pt>
                <c:pt idx="4593">
                  <c:v>43657</c:v>
                </c:pt>
                <c:pt idx="4594">
                  <c:v>43657</c:v>
                </c:pt>
                <c:pt idx="4595">
                  <c:v>43657</c:v>
                </c:pt>
                <c:pt idx="4596">
                  <c:v>43657</c:v>
                </c:pt>
                <c:pt idx="4597">
                  <c:v>43657</c:v>
                </c:pt>
                <c:pt idx="4598">
                  <c:v>43657</c:v>
                </c:pt>
                <c:pt idx="4599">
                  <c:v>43657</c:v>
                </c:pt>
                <c:pt idx="4600">
                  <c:v>43657</c:v>
                </c:pt>
                <c:pt idx="4601">
                  <c:v>43657</c:v>
                </c:pt>
                <c:pt idx="4602">
                  <c:v>43657</c:v>
                </c:pt>
                <c:pt idx="4603">
                  <c:v>43657</c:v>
                </c:pt>
                <c:pt idx="4604">
                  <c:v>43657</c:v>
                </c:pt>
                <c:pt idx="4605">
                  <c:v>43657</c:v>
                </c:pt>
                <c:pt idx="4606">
                  <c:v>43657</c:v>
                </c:pt>
                <c:pt idx="4607">
                  <c:v>43657</c:v>
                </c:pt>
                <c:pt idx="4608">
                  <c:v>43658</c:v>
                </c:pt>
                <c:pt idx="4609">
                  <c:v>43658</c:v>
                </c:pt>
                <c:pt idx="4610">
                  <c:v>43658</c:v>
                </c:pt>
                <c:pt idx="4611">
                  <c:v>43658</c:v>
                </c:pt>
                <c:pt idx="4612">
                  <c:v>43658</c:v>
                </c:pt>
                <c:pt idx="4613">
                  <c:v>43658</c:v>
                </c:pt>
                <c:pt idx="4614">
                  <c:v>43658</c:v>
                </c:pt>
                <c:pt idx="4615">
                  <c:v>43658</c:v>
                </c:pt>
                <c:pt idx="4616">
                  <c:v>43658</c:v>
                </c:pt>
                <c:pt idx="4617">
                  <c:v>43658</c:v>
                </c:pt>
                <c:pt idx="4618">
                  <c:v>43658</c:v>
                </c:pt>
                <c:pt idx="4619">
                  <c:v>43658</c:v>
                </c:pt>
                <c:pt idx="4620">
                  <c:v>43658</c:v>
                </c:pt>
                <c:pt idx="4621">
                  <c:v>43658</c:v>
                </c:pt>
                <c:pt idx="4622">
                  <c:v>43658</c:v>
                </c:pt>
                <c:pt idx="4623">
                  <c:v>43658</c:v>
                </c:pt>
                <c:pt idx="4624">
                  <c:v>43658</c:v>
                </c:pt>
                <c:pt idx="4625">
                  <c:v>43658</c:v>
                </c:pt>
                <c:pt idx="4626">
                  <c:v>43658</c:v>
                </c:pt>
                <c:pt idx="4627">
                  <c:v>43658</c:v>
                </c:pt>
                <c:pt idx="4628">
                  <c:v>43658</c:v>
                </c:pt>
                <c:pt idx="4629">
                  <c:v>43658</c:v>
                </c:pt>
                <c:pt idx="4630">
                  <c:v>43658</c:v>
                </c:pt>
                <c:pt idx="4631">
                  <c:v>43658</c:v>
                </c:pt>
                <c:pt idx="4632">
                  <c:v>43659</c:v>
                </c:pt>
                <c:pt idx="4633">
                  <c:v>43659</c:v>
                </c:pt>
                <c:pt idx="4634">
                  <c:v>43659</c:v>
                </c:pt>
                <c:pt idx="4635">
                  <c:v>43659</c:v>
                </c:pt>
                <c:pt idx="4636">
                  <c:v>43659</c:v>
                </c:pt>
                <c:pt idx="4637">
                  <c:v>43659</c:v>
                </c:pt>
                <c:pt idx="4638">
                  <c:v>43659</c:v>
                </c:pt>
                <c:pt idx="4639">
                  <c:v>43659</c:v>
                </c:pt>
                <c:pt idx="4640">
                  <c:v>43659</c:v>
                </c:pt>
                <c:pt idx="4641">
                  <c:v>43659</c:v>
                </c:pt>
                <c:pt idx="4642">
                  <c:v>43659</c:v>
                </c:pt>
                <c:pt idx="4643">
                  <c:v>43659</c:v>
                </c:pt>
                <c:pt idx="4644">
                  <c:v>43659</c:v>
                </c:pt>
                <c:pt idx="4645">
                  <c:v>43659</c:v>
                </c:pt>
                <c:pt idx="4646">
                  <c:v>43659</c:v>
                </c:pt>
                <c:pt idx="4647">
                  <c:v>43659</c:v>
                </c:pt>
                <c:pt idx="4648">
                  <c:v>43659</c:v>
                </c:pt>
                <c:pt idx="4649">
                  <c:v>43659</c:v>
                </c:pt>
                <c:pt idx="4650">
                  <c:v>43659</c:v>
                </c:pt>
                <c:pt idx="4651">
                  <c:v>43659</c:v>
                </c:pt>
                <c:pt idx="4652">
                  <c:v>43659</c:v>
                </c:pt>
                <c:pt idx="4653">
                  <c:v>43659</c:v>
                </c:pt>
                <c:pt idx="4654">
                  <c:v>43659</c:v>
                </c:pt>
                <c:pt idx="4655">
                  <c:v>43659</c:v>
                </c:pt>
                <c:pt idx="4656">
                  <c:v>43660</c:v>
                </c:pt>
                <c:pt idx="4657">
                  <c:v>43660</c:v>
                </c:pt>
                <c:pt idx="4658">
                  <c:v>43660</c:v>
                </c:pt>
                <c:pt idx="4659">
                  <c:v>43660</c:v>
                </c:pt>
                <c:pt idx="4660">
                  <c:v>43660</c:v>
                </c:pt>
                <c:pt idx="4661">
                  <c:v>43660</c:v>
                </c:pt>
                <c:pt idx="4662">
                  <c:v>43660</c:v>
                </c:pt>
                <c:pt idx="4663">
                  <c:v>43660</c:v>
                </c:pt>
                <c:pt idx="4664">
                  <c:v>43660</c:v>
                </c:pt>
                <c:pt idx="4665">
                  <c:v>43660</c:v>
                </c:pt>
                <c:pt idx="4666">
                  <c:v>43660</c:v>
                </c:pt>
                <c:pt idx="4667">
                  <c:v>43660</c:v>
                </c:pt>
                <c:pt idx="4668">
                  <c:v>43660</c:v>
                </c:pt>
                <c:pt idx="4669">
                  <c:v>43660</c:v>
                </c:pt>
                <c:pt idx="4670">
                  <c:v>43660</c:v>
                </c:pt>
                <c:pt idx="4671">
                  <c:v>43660</c:v>
                </c:pt>
                <c:pt idx="4672">
                  <c:v>43660</c:v>
                </c:pt>
                <c:pt idx="4673">
                  <c:v>43660</c:v>
                </c:pt>
                <c:pt idx="4674">
                  <c:v>43660</c:v>
                </c:pt>
                <c:pt idx="4675">
                  <c:v>43660</c:v>
                </c:pt>
                <c:pt idx="4676">
                  <c:v>43660</c:v>
                </c:pt>
                <c:pt idx="4677">
                  <c:v>43660</c:v>
                </c:pt>
                <c:pt idx="4678">
                  <c:v>43660</c:v>
                </c:pt>
                <c:pt idx="4679">
                  <c:v>43660</c:v>
                </c:pt>
                <c:pt idx="4680">
                  <c:v>43661</c:v>
                </c:pt>
                <c:pt idx="4681">
                  <c:v>43661</c:v>
                </c:pt>
                <c:pt idx="4682">
                  <c:v>43661</c:v>
                </c:pt>
                <c:pt idx="4683">
                  <c:v>43661</c:v>
                </c:pt>
                <c:pt idx="4684">
                  <c:v>43661</c:v>
                </c:pt>
                <c:pt idx="4685">
                  <c:v>43661</c:v>
                </c:pt>
                <c:pt idx="4686">
                  <c:v>43661</c:v>
                </c:pt>
                <c:pt idx="4687">
                  <c:v>43661</c:v>
                </c:pt>
                <c:pt idx="4688">
                  <c:v>43661</c:v>
                </c:pt>
                <c:pt idx="4689">
                  <c:v>43661</c:v>
                </c:pt>
                <c:pt idx="4690">
                  <c:v>43661</c:v>
                </c:pt>
                <c:pt idx="4691">
                  <c:v>43661</c:v>
                </c:pt>
                <c:pt idx="4692">
                  <c:v>43661</c:v>
                </c:pt>
                <c:pt idx="4693">
                  <c:v>43661</c:v>
                </c:pt>
                <c:pt idx="4694">
                  <c:v>43661</c:v>
                </c:pt>
                <c:pt idx="4695">
                  <c:v>43661</c:v>
                </c:pt>
                <c:pt idx="4696">
                  <c:v>43661</c:v>
                </c:pt>
                <c:pt idx="4697">
                  <c:v>43661</c:v>
                </c:pt>
                <c:pt idx="4698">
                  <c:v>43661</c:v>
                </c:pt>
                <c:pt idx="4699">
                  <c:v>43661</c:v>
                </c:pt>
                <c:pt idx="4700">
                  <c:v>43661</c:v>
                </c:pt>
                <c:pt idx="4701">
                  <c:v>43661</c:v>
                </c:pt>
                <c:pt idx="4702">
                  <c:v>43661</c:v>
                </c:pt>
                <c:pt idx="4703">
                  <c:v>43661</c:v>
                </c:pt>
                <c:pt idx="4704">
                  <c:v>43662</c:v>
                </c:pt>
                <c:pt idx="4705">
                  <c:v>43662</c:v>
                </c:pt>
                <c:pt idx="4706">
                  <c:v>43662</c:v>
                </c:pt>
                <c:pt idx="4707">
                  <c:v>43662</c:v>
                </c:pt>
                <c:pt idx="4708">
                  <c:v>43662</c:v>
                </c:pt>
                <c:pt idx="4709">
                  <c:v>43662</c:v>
                </c:pt>
                <c:pt idx="4710">
                  <c:v>43662</c:v>
                </c:pt>
                <c:pt idx="4711">
                  <c:v>43662</c:v>
                </c:pt>
                <c:pt idx="4712">
                  <c:v>43662</c:v>
                </c:pt>
                <c:pt idx="4713">
                  <c:v>43662</c:v>
                </c:pt>
                <c:pt idx="4714">
                  <c:v>43662</c:v>
                </c:pt>
                <c:pt idx="4715">
                  <c:v>43662</c:v>
                </c:pt>
                <c:pt idx="4716">
                  <c:v>43662</c:v>
                </c:pt>
                <c:pt idx="4717">
                  <c:v>43662</c:v>
                </c:pt>
                <c:pt idx="4718">
                  <c:v>43662</c:v>
                </c:pt>
                <c:pt idx="4719">
                  <c:v>43662</c:v>
                </c:pt>
                <c:pt idx="4720">
                  <c:v>43662</c:v>
                </c:pt>
                <c:pt idx="4721">
                  <c:v>43662</c:v>
                </c:pt>
                <c:pt idx="4722">
                  <c:v>43662</c:v>
                </c:pt>
                <c:pt idx="4723">
                  <c:v>43662</c:v>
                </c:pt>
                <c:pt idx="4724">
                  <c:v>43662</c:v>
                </c:pt>
                <c:pt idx="4725">
                  <c:v>43662</c:v>
                </c:pt>
                <c:pt idx="4726">
                  <c:v>43662</c:v>
                </c:pt>
                <c:pt idx="4727">
                  <c:v>43662</c:v>
                </c:pt>
                <c:pt idx="4728">
                  <c:v>43663</c:v>
                </c:pt>
                <c:pt idx="4729">
                  <c:v>43663</c:v>
                </c:pt>
                <c:pt idx="4730">
                  <c:v>43663</c:v>
                </c:pt>
                <c:pt idx="4731">
                  <c:v>43663</c:v>
                </c:pt>
                <c:pt idx="4732">
                  <c:v>43663</c:v>
                </c:pt>
                <c:pt idx="4733">
                  <c:v>43663</c:v>
                </c:pt>
                <c:pt idx="4734">
                  <c:v>43663</c:v>
                </c:pt>
                <c:pt idx="4735">
                  <c:v>43663</c:v>
                </c:pt>
                <c:pt idx="4736">
                  <c:v>43663</c:v>
                </c:pt>
                <c:pt idx="4737">
                  <c:v>43663</c:v>
                </c:pt>
                <c:pt idx="4738">
                  <c:v>43663</c:v>
                </c:pt>
                <c:pt idx="4739">
                  <c:v>43663</c:v>
                </c:pt>
                <c:pt idx="4740">
                  <c:v>43663</c:v>
                </c:pt>
                <c:pt idx="4741">
                  <c:v>43663</c:v>
                </c:pt>
                <c:pt idx="4742">
                  <c:v>43663</c:v>
                </c:pt>
                <c:pt idx="4743">
                  <c:v>43663</c:v>
                </c:pt>
                <c:pt idx="4744">
                  <c:v>43663</c:v>
                </c:pt>
                <c:pt idx="4745">
                  <c:v>43663</c:v>
                </c:pt>
                <c:pt idx="4746">
                  <c:v>43663</c:v>
                </c:pt>
                <c:pt idx="4747">
                  <c:v>43663</c:v>
                </c:pt>
                <c:pt idx="4748">
                  <c:v>43663</c:v>
                </c:pt>
                <c:pt idx="4749">
                  <c:v>43663</c:v>
                </c:pt>
                <c:pt idx="4750">
                  <c:v>43663</c:v>
                </c:pt>
                <c:pt idx="4751">
                  <c:v>43663</c:v>
                </c:pt>
                <c:pt idx="4752">
                  <c:v>43664</c:v>
                </c:pt>
                <c:pt idx="4753">
                  <c:v>43664</c:v>
                </c:pt>
                <c:pt idx="4754">
                  <c:v>43664</c:v>
                </c:pt>
                <c:pt idx="4755">
                  <c:v>43664</c:v>
                </c:pt>
                <c:pt idx="4756">
                  <c:v>43664</c:v>
                </c:pt>
                <c:pt idx="4757">
                  <c:v>43664</c:v>
                </c:pt>
                <c:pt idx="4758">
                  <c:v>43664</c:v>
                </c:pt>
                <c:pt idx="4759">
                  <c:v>43664</c:v>
                </c:pt>
                <c:pt idx="4760">
                  <c:v>43664</c:v>
                </c:pt>
                <c:pt idx="4761">
                  <c:v>43664</c:v>
                </c:pt>
                <c:pt idx="4762">
                  <c:v>43664</c:v>
                </c:pt>
                <c:pt idx="4763">
                  <c:v>43664</c:v>
                </c:pt>
                <c:pt idx="4764">
                  <c:v>43664</c:v>
                </c:pt>
                <c:pt idx="4765">
                  <c:v>43664</c:v>
                </c:pt>
                <c:pt idx="4766">
                  <c:v>43664</c:v>
                </c:pt>
                <c:pt idx="4767">
                  <c:v>43664</c:v>
                </c:pt>
                <c:pt idx="4768">
                  <c:v>43664</c:v>
                </c:pt>
                <c:pt idx="4769">
                  <c:v>43664</c:v>
                </c:pt>
                <c:pt idx="4770">
                  <c:v>43664</c:v>
                </c:pt>
                <c:pt idx="4771">
                  <c:v>43664</c:v>
                </c:pt>
                <c:pt idx="4772">
                  <c:v>43664</c:v>
                </c:pt>
                <c:pt idx="4773">
                  <c:v>43664</c:v>
                </c:pt>
                <c:pt idx="4774">
                  <c:v>43664</c:v>
                </c:pt>
                <c:pt idx="4775">
                  <c:v>43664</c:v>
                </c:pt>
                <c:pt idx="4776">
                  <c:v>43665</c:v>
                </c:pt>
                <c:pt idx="4777">
                  <c:v>43665</c:v>
                </c:pt>
                <c:pt idx="4778">
                  <c:v>43665</c:v>
                </c:pt>
                <c:pt idx="4779">
                  <c:v>43665</c:v>
                </c:pt>
                <c:pt idx="4780">
                  <c:v>43665</c:v>
                </c:pt>
                <c:pt idx="4781">
                  <c:v>43665</c:v>
                </c:pt>
                <c:pt idx="4782">
                  <c:v>43665</c:v>
                </c:pt>
                <c:pt idx="4783">
                  <c:v>43665</c:v>
                </c:pt>
                <c:pt idx="4784">
                  <c:v>43665</c:v>
                </c:pt>
                <c:pt idx="4785">
                  <c:v>43665</c:v>
                </c:pt>
                <c:pt idx="4786">
                  <c:v>43665</c:v>
                </c:pt>
                <c:pt idx="4787">
                  <c:v>43665</c:v>
                </c:pt>
                <c:pt idx="4788">
                  <c:v>43665</c:v>
                </c:pt>
                <c:pt idx="4789">
                  <c:v>43665</c:v>
                </c:pt>
                <c:pt idx="4790">
                  <c:v>43665</c:v>
                </c:pt>
                <c:pt idx="4791">
                  <c:v>43665</c:v>
                </c:pt>
                <c:pt idx="4792">
                  <c:v>43665</c:v>
                </c:pt>
                <c:pt idx="4793">
                  <c:v>43665</c:v>
                </c:pt>
                <c:pt idx="4794">
                  <c:v>43665</c:v>
                </c:pt>
                <c:pt idx="4795">
                  <c:v>43665</c:v>
                </c:pt>
                <c:pt idx="4796">
                  <c:v>43665</c:v>
                </c:pt>
                <c:pt idx="4797">
                  <c:v>43665</c:v>
                </c:pt>
                <c:pt idx="4798">
                  <c:v>43665</c:v>
                </c:pt>
                <c:pt idx="4799">
                  <c:v>43665</c:v>
                </c:pt>
                <c:pt idx="4800">
                  <c:v>43666</c:v>
                </c:pt>
                <c:pt idx="4801">
                  <c:v>43666</c:v>
                </c:pt>
                <c:pt idx="4802">
                  <c:v>43666</c:v>
                </c:pt>
                <c:pt idx="4803">
                  <c:v>43666</c:v>
                </c:pt>
                <c:pt idx="4804">
                  <c:v>43666</c:v>
                </c:pt>
                <c:pt idx="4805">
                  <c:v>43666</c:v>
                </c:pt>
                <c:pt idx="4806">
                  <c:v>43666</c:v>
                </c:pt>
                <c:pt idx="4807">
                  <c:v>43666</c:v>
                </c:pt>
                <c:pt idx="4808">
                  <c:v>43666</c:v>
                </c:pt>
                <c:pt idx="4809">
                  <c:v>43666</c:v>
                </c:pt>
                <c:pt idx="4810">
                  <c:v>43666</c:v>
                </c:pt>
                <c:pt idx="4811">
                  <c:v>43666</c:v>
                </c:pt>
                <c:pt idx="4812">
                  <c:v>43666</c:v>
                </c:pt>
                <c:pt idx="4813">
                  <c:v>43666</c:v>
                </c:pt>
                <c:pt idx="4814">
                  <c:v>43666</c:v>
                </c:pt>
                <c:pt idx="4815">
                  <c:v>43666</c:v>
                </c:pt>
                <c:pt idx="4816">
                  <c:v>43666</c:v>
                </c:pt>
                <c:pt idx="4817">
                  <c:v>43666</c:v>
                </c:pt>
                <c:pt idx="4818">
                  <c:v>43666</c:v>
                </c:pt>
                <c:pt idx="4819">
                  <c:v>43666</c:v>
                </c:pt>
                <c:pt idx="4820">
                  <c:v>43666</c:v>
                </c:pt>
                <c:pt idx="4821">
                  <c:v>43666</c:v>
                </c:pt>
                <c:pt idx="4822">
                  <c:v>43666</c:v>
                </c:pt>
                <c:pt idx="4823">
                  <c:v>43666</c:v>
                </c:pt>
                <c:pt idx="4824">
                  <c:v>43667</c:v>
                </c:pt>
                <c:pt idx="4825">
                  <c:v>43667</c:v>
                </c:pt>
                <c:pt idx="4826">
                  <c:v>43667</c:v>
                </c:pt>
                <c:pt idx="4827">
                  <c:v>43667</c:v>
                </c:pt>
                <c:pt idx="4828">
                  <c:v>43667</c:v>
                </c:pt>
                <c:pt idx="4829">
                  <c:v>43667</c:v>
                </c:pt>
                <c:pt idx="4830">
                  <c:v>43667</c:v>
                </c:pt>
                <c:pt idx="4831">
                  <c:v>43667</c:v>
                </c:pt>
                <c:pt idx="4832">
                  <c:v>43667</c:v>
                </c:pt>
                <c:pt idx="4833">
                  <c:v>43667</c:v>
                </c:pt>
                <c:pt idx="4834">
                  <c:v>43667</c:v>
                </c:pt>
                <c:pt idx="4835">
                  <c:v>43667</c:v>
                </c:pt>
                <c:pt idx="4836">
                  <c:v>43667</c:v>
                </c:pt>
                <c:pt idx="4837">
                  <c:v>43667</c:v>
                </c:pt>
                <c:pt idx="4838">
                  <c:v>43667</c:v>
                </c:pt>
                <c:pt idx="4839">
                  <c:v>43667</c:v>
                </c:pt>
                <c:pt idx="4840">
                  <c:v>43667</c:v>
                </c:pt>
                <c:pt idx="4841">
                  <c:v>43667</c:v>
                </c:pt>
                <c:pt idx="4842">
                  <c:v>43667</c:v>
                </c:pt>
                <c:pt idx="4843">
                  <c:v>43667</c:v>
                </c:pt>
                <c:pt idx="4844">
                  <c:v>43667</c:v>
                </c:pt>
                <c:pt idx="4845">
                  <c:v>43667</c:v>
                </c:pt>
                <c:pt idx="4846">
                  <c:v>43667</c:v>
                </c:pt>
                <c:pt idx="4847">
                  <c:v>43667</c:v>
                </c:pt>
                <c:pt idx="4848">
                  <c:v>43668</c:v>
                </c:pt>
                <c:pt idx="4849">
                  <c:v>43668</c:v>
                </c:pt>
                <c:pt idx="4850">
                  <c:v>43668</c:v>
                </c:pt>
                <c:pt idx="4851">
                  <c:v>43668</c:v>
                </c:pt>
                <c:pt idx="4852">
                  <c:v>43668</c:v>
                </c:pt>
                <c:pt idx="4853">
                  <c:v>43668</c:v>
                </c:pt>
                <c:pt idx="4854">
                  <c:v>43668</c:v>
                </c:pt>
                <c:pt idx="4855">
                  <c:v>43668</c:v>
                </c:pt>
                <c:pt idx="4856">
                  <c:v>43668</c:v>
                </c:pt>
                <c:pt idx="4857">
                  <c:v>43668</c:v>
                </c:pt>
                <c:pt idx="4858">
                  <c:v>43668</c:v>
                </c:pt>
                <c:pt idx="4859">
                  <c:v>43668</c:v>
                </c:pt>
                <c:pt idx="4860">
                  <c:v>43668</c:v>
                </c:pt>
                <c:pt idx="4861">
                  <c:v>43668</c:v>
                </c:pt>
                <c:pt idx="4862">
                  <c:v>43668</c:v>
                </c:pt>
                <c:pt idx="4863">
                  <c:v>43668</c:v>
                </c:pt>
                <c:pt idx="4864">
                  <c:v>43668</c:v>
                </c:pt>
                <c:pt idx="4865">
                  <c:v>43668</c:v>
                </c:pt>
                <c:pt idx="4866">
                  <c:v>43668</c:v>
                </c:pt>
                <c:pt idx="4867">
                  <c:v>43668</c:v>
                </c:pt>
                <c:pt idx="4868">
                  <c:v>43668</c:v>
                </c:pt>
                <c:pt idx="4869">
                  <c:v>43668</c:v>
                </c:pt>
                <c:pt idx="4870">
                  <c:v>43668</c:v>
                </c:pt>
                <c:pt idx="4871">
                  <c:v>43668</c:v>
                </c:pt>
                <c:pt idx="4872">
                  <c:v>43669</c:v>
                </c:pt>
                <c:pt idx="4873">
                  <c:v>43669</c:v>
                </c:pt>
                <c:pt idx="4874">
                  <c:v>43669</c:v>
                </c:pt>
                <c:pt idx="4875">
                  <c:v>43669</c:v>
                </c:pt>
                <c:pt idx="4876">
                  <c:v>43669</c:v>
                </c:pt>
                <c:pt idx="4877">
                  <c:v>43669</c:v>
                </c:pt>
                <c:pt idx="4878">
                  <c:v>43669</c:v>
                </c:pt>
                <c:pt idx="4879">
                  <c:v>43669</c:v>
                </c:pt>
                <c:pt idx="4880">
                  <c:v>43669</c:v>
                </c:pt>
                <c:pt idx="4881">
                  <c:v>43669</c:v>
                </c:pt>
                <c:pt idx="4882">
                  <c:v>43669</c:v>
                </c:pt>
                <c:pt idx="4883">
                  <c:v>43669</c:v>
                </c:pt>
                <c:pt idx="4884">
                  <c:v>43669</c:v>
                </c:pt>
                <c:pt idx="4885">
                  <c:v>43669</c:v>
                </c:pt>
                <c:pt idx="4886">
                  <c:v>43669</c:v>
                </c:pt>
                <c:pt idx="4887">
                  <c:v>43669</c:v>
                </c:pt>
                <c:pt idx="4888">
                  <c:v>43669</c:v>
                </c:pt>
                <c:pt idx="4889">
                  <c:v>43669</c:v>
                </c:pt>
                <c:pt idx="4890">
                  <c:v>43669</c:v>
                </c:pt>
                <c:pt idx="4891">
                  <c:v>43669</c:v>
                </c:pt>
                <c:pt idx="4892">
                  <c:v>43669</c:v>
                </c:pt>
                <c:pt idx="4893">
                  <c:v>43669</c:v>
                </c:pt>
                <c:pt idx="4894">
                  <c:v>43669</c:v>
                </c:pt>
                <c:pt idx="4895">
                  <c:v>43669</c:v>
                </c:pt>
                <c:pt idx="4896">
                  <c:v>43670</c:v>
                </c:pt>
                <c:pt idx="4897">
                  <c:v>43670</c:v>
                </c:pt>
                <c:pt idx="4898">
                  <c:v>43670</c:v>
                </c:pt>
                <c:pt idx="4899">
                  <c:v>43670</c:v>
                </c:pt>
                <c:pt idx="4900">
                  <c:v>43670</c:v>
                </c:pt>
                <c:pt idx="4901">
                  <c:v>43670</c:v>
                </c:pt>
                <c:pt idx="4902">
                  <c:v>43670</c:v>
                </c:pt>
                <c:pt idx="4903">
                  <c:v>43670</c:v>
                </c:pt>
                <c:pt idx="4904">
                  <c:v>43670</c:v>
                </c:pt>
                <c:pt idx="4905">
                  <c:v>43670</c:v>
                </c:pt>
                <c:pt idx="4906">
                  <c:v>43670</c:v>
                </c:pt>
                <c:pt idx="4907">
                  <c:v>43670</c:v>
                </c:pt>
                <c:pt idx="4908">
                  <c:v>43670</c:v>
                </c:pt>
                <c:pt idx="4909">
                  <c:v>43670</c:v>
                </c:pt>
                <c:pt idx="4910">
                  <c:v>43670</c:v>
                </c:pt>
                <c:pt idx="4911">
                  <c:v>43670</c:v>
                </c:pt>
                <c:pt idx="4912">
                  <c:v>43670</c:v>
                </c:pt>
                <c:pt idx="4913">
                  <c:v>43670</c:v>
                </c:pt>
                <c:pt idx="4914">
                  <c:v>43670</c:v>
                </c:pt>
                <c:pt idx="4915">
                  <c:v>43670</c:v>
                </c:pt>
                <c:pt idx="4916">
                  <c:v>43670</c:v>
                </c:pt>
                <c:pt idx="4917">
                  <c:v>43670</c:v>
                </c:pt>
                <c:pt idx="4918">
                  <c:v>43670</c:v>
                </c:pt>
                <c:pt idx="4919">
                  <c:v>43670</c:v>
                </c:pt>
                <c:pt idx="4920">
                  <c:v>43671</c:v>
                </c:pt>
                <c:pt idx="4921">
                  <c:v>43671</c:v>
                </c:pt>
                <c:pt idx="4922">
                  <c:v>43671</c:v>
                </c:pt>
                <c:pt idx="4923">
                  <c:v>43671</c:v>
                </c:pt>
                <c:pt idx="4924">
                  <c:v>43671</c:v>
                </c:pt>
                <c:pt idx="4925">
                  <c:v>43671</c:v>
                </c:pt>
                <c:pt idx="4926">
                  <c:v>43671</c:v>
                </c:pt>
                <c:pt idx="4927">
                  <c:v>43671</c:v>
                </c:pt>
                <c:pt idx="4928">
                  <c:v>43671</c:v>
                </c:pt>
                <c:pt idx="4929">
                  <c:v>43671</c:v>
                </c:pt>
                <c:pt idx="4930">
                  <c:v>43671</c:v>
                </c:pt>
                <c:pt idx="4931">
                  <c:v>43671</c:v>
                </c:pt>
                <c:pt idx="4932">
                  <c:v>43671</c:v>
                </c:pt>
                <c:pt idx="4933">
                  <c:v>43671</c:v>
                </c:pt>
                <c:pt idx="4934">
                  <c:v>43671</c:v>
                </c:pt>
                <c:pt idx="4935">
                  <c:v>43671</c:v>
                </c:pt>
                <c:pt idx="4936">
                  <c:v>43671</c:v>
                </c:pt>
                <c:pt idx="4937">
                  <c:v>43671</c:v>
                </c:pt>
                <c:pt idx="4938">
                  <c:v>43671</c:v>
                </c:pt>
                <c:pt idx="4939">
                  <c:v>43671</c:v>
                </c:pt>
                <c:pt idx="4940">
                  <c:v>43671</c:v>
                </c:pt>
                <c:pt idx="4941">
                  <c:v>43671</c:v>
                </c:pt>
                <c:pt idx="4942">
                  <c:v>43671</c:v>
                </c:pt>
                <c:pt idx="4943">
                  <c:v>43671</c:v>
                </c:pt>
                <c:pt idx="4944">
                  <c:v>43672</c:v>
                </c:pt>
                <c:pt idx="4945">
                  <c:v>43672</c:v>
                </c:pt>
                <c:pt idx="4946">
                  <c:v>43672</c:v>
                </c:pt>
                <c:pt idx="4947">
                  <c:v>43672</c:v>
                </c:pt>
                <c:pt idx="4948">
                  <c:v>43672</c:v>
                </c:pt>
                <c:pt idx="4949">
                  <c:v>43672</c:v>
                </c:pt>
                <c:pt idx="4950">
                  <c:v>43672</c:v>
                </c:pt>
                <c:pt idx="4951">
                  <c:v>43672</c:v>
                </c:pt>
                <c:pt idx="4952">
                  <c:v>43672</c:v>
                </c:pt>
                <c:pt idx="4953">
                  <c:v>43672</c:v>
                </c:pt>
                <c:pt idx="4954">
                  <c:v>43672</c:v>
                </c:pt>
                <c:pt idx="4955">
                  <c:v>43672</c:v>
                </c:pt>
                <c:pt idx="4956">
                  <c:v>43672</c:v>
                </c:pt>
                <c:pt idx="4957">
                  <c:v>43672</c:v>
                </c:pt>
                <c:pt idx="4958">
                  <c:v>43672</c:v>
                </c:pt>
                <c:pt idx="4959">
                  <c:v>43672</c:v>
                </c:pt>
                <c:pt idx="4960">
                  <c:v>43672</c:v>
                </c:pt>
                <c:pt idx="4961">
                  <c:v>43672</c:v>
                </c:pt>
                <c:pt idx="4962">
                  <c:v>43672</c:v>
                </c:pt>
                <c:pt idx="4963">
                  <c:v>43672</c:v>
                </c:pt>
                <c:pt idx="4964">
                  <c:v>43672</c:v>
                </c:pt>
                <c:pt idx="4965">
                  <c:v>43672</c:v>
                </c:pt>
                <c:pt idx="4966">
                  <c:v>43672</c:v>
                </c:pt>
                <c:pt idx="4967">
                  <c:v>43672</c:v>
                </c:pt>
                <c:pt idx="4968">
                  <c:v>43673</c:v>
                </c:pt>
                <c:pt idx="4969">
                  <c:v>43673</c:v>
                </c:pt>
                <c:pt idx="4970">
                  <c:v>43673</c:v>
                </c:pt>
                <c:pt idx="4971">
                  <c:v>43673</c:v>
                </c:pt>
                <c:pt idx="4972">
                  <c:v>43673</c:v>
                </c:pt>
                <c:pt idx="4973">
                  <c:v>43673</c:v>
                </c:pt>
                <c:pt idx="4974">
                  <c:v>43673</c:v>
                </c:pt>
                <c:pt idx="4975">
                  <c:v>43673</c:v>
                </c:pt>
                <c:pt idx="4976">
                  <c:v>43673</c:v>
                </c:pt>
                <c:pt idx="4977">
                  <c:v>43673</c:v>
                </c:pt>
                <c:pt idx="4978">
                  <c:v>43673</c:v>
                </c:pt>
                <c:pt idx="4979">
                  <c:v>43673</c:v>
                </c:pt>
                <c:pt idx="4980">
                  <c:v>43673</c:v>
                </c:pt>
                <c:pt idx="4981">
                  <c:v>43673</c:v>
                </c:pt>
                <c:pt idx="4982">
                  <c:v>43673</c:v>
                </c:pt>
                <c:pt idx="4983">
                  <c:v>43673</c:v>
                </c:pt>
                <c:pt idx="4984">
                  <c:v>43673</c:v>
                </c:pt>
                <c:pt idx="4985">
                  <c:v>43673</c:v>
                </c:pt>
                <c:pt idx="4986">
                  <c:v>43673</c:v>
                </c:pt>
                <c:pt idx="4987">
                  <c:v>43673</c:v>
                </c:pt>
                <c:pt idx="4988">
                  <c:v>43673</c:v>
                </c:pt>
                <c:pt idx="4989">
                  <c:v>43673</c:v>
                </c:pt>
                <c:pt idx="4990">
                  <c:v>43673</c:v>
                </c:pt>
                <c:pt idx="4991">
                  <c:v>43673</c:v>
                </c:pt>
                <c:pt idx="4992">
                  <c:v>43674</c:v>
                </c:pt>
                <c:pt idx="4993">
                  <c:v>43674</c:v>
                </c:pt>
                <c:pt idx="4994">
                  <c:v>43674</c:v>
                </c:pt>
                <c:pt idx="4995">
                  <c:v>43674</c:v>
                </c:pt>
                <c:pt idx="4996">
                  <c:v>43674</c:v>
                </c:pt>
                <c:pt idx="4997">
                  <c:v>43674</c:v>
                </c:pt>
                <c:pt idx="4998">
                  <c:v>43674</c:v>
                </c:pt>
                <c:pt idx="4999">
                  <c:v>43674</c:v>
                </c:pt>
                <c:pt idx="5000">
                  <c:v>43674</c:v>
                </c:pt>
                <c:pt idx="5001">
                  <c:v>43674</c:v>
                </c:pt>
                <c:pt idx="5002">
                  <c:v>43674</c:v>
                </c:pt>
                <c:pt idx="5003">
                  <c:v>43674</c:v>
                </c:pt>
                <c:pt idx="5004">
                  <c:v>43674</c:v>
                </c:pt>
                <c:pt idx="5005">
                  <c:v>43674</c:v>
                </c:pt>
                <c:pt idx="5006">
                  <c:v>43674</c:v>
                </c:pt>
                <c:pt idx="5007">
                  <c:v>43674</c:v>
                </c:pt>
                <c:pt idx="5008">
                  <c:v>43674</c:v>
                </c:pt>
                <c:pt idx="5009">
                  <c:v>43674</c:v>
                </c:pt>
                <c:pt idx="5010">
                  <c:v>43674</c:v>
                </c:pt>
                <c:pt idx="5011">
                  <c:v>43674</c:v>
                </c:pt>
                <c:pt idx="5012">
                  <c:v>43674</c:v>
                </c:pt>
                <c:pt idx="5013">
                  <c:v>43674</c:v>
                </c:pt>
                <c:pt idx="5014">
                  <c:v>43674</c:v>
                </c:pt>
                <c:pt idx="5015">
                  <c:v>43674</c:v>
                </c:pt>
                <c:pt idx="5016">
                  <c:v>43675</c:v>
                </c:pt>
                <c:pt idx="5017">
                  <c:v>43675</c:v>
                </c:pt>
                <c:pt idx="5018">
                  <c:v>43675</c:v>
                </c:pt>
                <c:pt idx="5019">
                  <c:v>43675</c:v>
                </c:pt>
                <c:pt idx="5020">
                  <c:v>43675</c:v>
                </c:pt>
                <c:pt idx="5021">
                  <c:v>43675</c:v>
                </c:pt>
                <c:pt idx="5022">
                  <c:v>43675</c:v>
                </c:pt>
                <c:pt idx="5023">
                  <c:v>43675</c:v>
                </c:pt>
                <c:pt idx="5024">
                  <c:v>43675</c:v>
                </c:pt>
                <c:pt idx="5025">
                  <c:v>43675</c:v>
                </c:pt>
                <c:pt idx="5026">
                  <c:v>43675</c:v>
                </c:pt>
                <c:pt idx="5027">
                  <c:v>43675</c:v>
                </c:pt>
                <c:pt idx="5028">
                  <c:v>43675</c:v>
                </c:pt>
                <c:pt idx="5029">
                  <c:v>43675</c:v>
                </c:pt>
                <c:pt idx="5030">
                  <c:v>43675</c:v>
                </c:pt>
                <c:pt idx="5031">
                  <c:v>43675</c:v>
                </c:pt>
                <c:pt idx="5032">
                  <c:v>43675</c:v>
                </c:pt>
                <c:pt idx="5033">
                  <c:v>43675</c:v>
                </c:pt>
                <c:pt idx="5034">
                  <c:v>43675</c:v>
                </c:pt>
                <c:pt idx="5035">
                  <c:v>43675</c:v>
                </c:pt>
                <c:pt idx="5036">
                  <c:v>43675</c:v>
                </c:pt>
                <c:pt idx="5037">
                  <c:v>43675</c:v>
                </c:pt>
                <c:pt idx="5038">
                  <c:v>43675</c:v>
                </c:pt>
                <c:pt idx="5039">
                  <c:v>43675</c:v>
                </c:pt>
                <c:pt idx="5040">
                  <c:v>43676</c:v>
                </c:pt>
                <c:pt idx="5041">
                  <c:v>43676</c:v>
                </c:pt>
                <c:pt idx="5042">
                  <c:v>43676</c:v>
                </c:pt>
                <c:pt idx="5043">
                  <c:v>43676</c:v>
                </c:pt>
                <c:pt idx="5044">
                  <c:v>43676</c:v>
                </c:pt>
                <c:pt idx="5045">
                  <c:v>43676</c:v>
                </c:pt>
                <c:pt idx="5046">
                  <c:v>43676</c:v>
                </c:pt>
                <c:pt idx="5047">
                  <c:v>43676</c:v>
                </c:pt>
                <c:pt idx="5048">
                  <c:v>43676</c:v>
                </c:pt>
                <c:pt idx="5049">
                  <c:v>43676</c:v>
                </c:pt>
                <c:pt idx="5050">
                  <c:v>43676</c:v>
                </c:pt>
                <c:pt idx="5051">
                  <c:v>43676</c:v>
                </c:pt>
                <c:pt idx="5052">
                  <c:v>43676</c:v>
                </c:pt>
                <c:pt idx="5053">
                  <c:v>43676</c:v>
                </c:pt>
                <c:pt idx="5054">
                  <c:v>43676</c:v>
                </c:pt>
                <c:pt idx="5055">
                  <c:v>43676</c:v>
                </c:pt>
                <c:pt idx="5056">
                  <c:v>43676</c:v>
                </c:pt>
                <c:pt idx="5057">
                  <c:v>43676</c:v>
                </c:pt>
                <c:pt idx="5058">
                  <c:v>43676</c:v>
                </c:pt>
                <c:pt idx="5059">
                  <c:v>43676</c:v>
                </c:pt>
                <c:pt idx="5060">
                  <c:v>43676</c:v>
                </c:pt>
                <c:pt idx="5061">
                  <c:v>43676</c:v>
                </c:pt>
                <c:pt idx="5062">
                  <c:v>43676</c:v>
                </c:pt>
                <c:pt idx="5063">
                  <c:v>43676</c:v>
                </c:pt>
                <c:pt idx="5064">
                  <c:v>43677</c:v>
                </c:pt>
                <c:pt idx="5065">
                  <c:v>43677</c:v>
                </c:pt>
                <c:pt idx="5066">
                  <c:v>43677</c:v>
                </c:pt>
                <c:pt idx="5067">
                  <c:v>43677</c:v>
                </c:pt>
                <c:pt idx="5068">
                  <c:v>43677</c:v>
                </c:pt>
                <c:pt idx="5069">
                  <c:v>43677</c:v>
                </c:pt>
                <c:pt idx="5070">
                  <c:v>43677</c:v>
                </c:pt>
                <c:pt idx="5071">
                  <c:v>43677</c:v>
                </c:pt>
                <c:pt idx="5072">
                  <c:v>43677</c:v>
                </c:pt>
                <c:pt idx="5073">
                  <c:v>43677</c:v>
                </c:pt>
                <c:pt idx="5074">
                  <c:v>43677</c:v>
                </c:pt>
                <c:pt idx="5075">
                  <c:v>43677</c:v>
                </c:pt>
                <c:pt idx="5076">
                  <c:v>43677</c:v>
                </c:pt>
                <c:pt idx="5077">
                  <c:v>43677</c:v>
                </c:pt>
                <c:pt idx="5078">
                  <c:v>43677</c:v>
                </c:pt>
                <c:pt idx="5079">
                  <c:v>43677</c:v>
                </c:pt>
                <c:pt idx="5080">
                  <c:v>43677</c:v>
                </c:pt>
                <c:pt idx="5081">
                  <c:v>43677</c:v>
                </c:pt>
                <c:pt idx="5082">
                  <c:v>43677</c:v>
                </c:pt>
                <c:pt idx="5083">
                  <c:v>43677</c:v>
                </c:pt>
                <c:pt idx="5084">
                  <c:v>43677</c:v>
                </c:pt>
                <c:pt idx="5085">
                  <c:v>43677</c:v>
                </c:pt>
                <c:pt idx="5086">
                  <c:v>43677</c:v>
                </c:pt>
                <c:pt idx="5087">
                  <c:v>43677</c:v>
                </c:pt>
                <c:pt idx="5088">
                  <c:v>43678</c:v>
                </c:pt>
                <c:pt idx="5089">
                  <c:v>43678</c:v>
                </c:pt>
                <c:pt idx="5090">
                  <c:v>43678</c:v>
                </c:pt>
                <c:pt idx="5091">
                  <c:v>43678</c:v>
                </c:pt>
                <c:pt idx="5092">
                  <c:v>43678</c:v>
                </c:pt>
                <c:pt idx="5093">
                  <c:v>43678</c:v>
                </c:pt>
                <c:pt idx="5094">
                  <c:v>43678</c:v>
                </c:pt>
                <c:pt idx="5095">
                  <c:v>43678</c:v>
                </c:pt>
                <c:pt idx="5096">
                  <c:v>43678</c:v>
                </c:pt>
                <c:pt idx="5097">
                  <c:v>43678</c:v>
                </c:pt>
                <c:pt idx="5098">
                  <c:v>43678</c:v>
                </c:pt>
                <c:pt idx="5099">
                  <c:v>43678</c:v>
                </c:pt>
                <c:pt idx="5100">
                  <c:v>43678</c:v>
                </c:pt>
                <c:pt idx="5101">
                  <c:v>43678</c:v>
                </c:pt>
                <c:pt idx="5102">
                  <c:v>43678</c:v>
                </c:pt>
                <c:pt idx="5103">
                  <c:v>43678</c:v>
                </c:pt>
                <c:pt idx="5104">
                  <c:v>43678</c:v>
                </c:pt>
                <c:pt idx="5105">
                  <c:v>43678</c:v>
                </c:pt>
                <c:pt idx="5106">
                  <c:v>43678</c:v>
                </c:pt>
                <c:pt idx="5107">
                  <c:v>43678</c:v>
                </c:pt>
                <c:pt idx="5108">
                  <c:v>43678</c:v>
                </c:pt>
                <c:pt idx="5109">
                  <c:v>43678</c:v>
                </c:pt>
                <c:pt idx="5110">
                  <c:v>43678</c:v>
                </c:pt>
                <c:pt idx="5111">
                  <c:v>43678</c:v>
                </c:pt>
                <c:pt idx="5112">
                  <c:v>43679</c:v>
                </c:pt>
                <c:pt idx="5113">
                  <c:v>43679</c:v>
                </c:pt>
                <c:pt idx="5114">
                  <c:v>43679</c:v>
                </c:pt>
                <c:pt idx="5115">
                  <c:v>43679</c:v>
                </c:pt>
                <c:pt idx="5116">
                  <c:v>43679</c:v>
                </c:pt>
                <c:pt idx="5117">
                  <c:v>43679</c:v>
                </c:pt>
                <c:pt idx="5118">
                  <c:v>43679</c:v>
                </c:pt>
                <c:pt idx="5119">
                  <c:v>43679</c:v>
                </c:pt>
                <c:pt idx="5120">
                  <c:v>43679</c:v>
                </c:pt>
                <c:pt idx="5121">
                  <c:v>43679</c:v>
                </c:pt>
                <c:pt idx="5122">
                  <c:v>43679</c:v>
                </c:pt>
                <c:pt idx="5123">
                  <c:v>43679</c:v>
                </c:pt>
                <c:pt idx="5124">
                  <c:v>43679</c:v>
                </c:pt>
                <c:pt idx="5125">
                  <c:v>43679</c:v>
                </c:pt>
                <c:pt idx="5126">
                  <c:v>43679</c:v>
                </c:pt>
                <c:pt idx="5127">
                  <c:v>43679</c:v>
                </c:pt>
                <c:pt idx="5128">
                  <c:v>43679</c:v>
                </c:pt>
                <c:pt idx="5129">
                  <c:v>43679</c:v>
                </c:pt>
                <c:pt idx="5130">
                  <c:v>43679</c:v>
                </c:pt>
                <c:pt idx="5131">
                  <c:v>43679</c:v>
                </c:pt>
                <c:pt idx="5132">
                  <c:v>43679</c:v>
                </c:pt>
                <c:pt idx="5133">
                  <c:v>43679</c:v>
                </c:pt>
                <c:pt idx="5134">
                  <c:v>43679</c:v>
                </c:pt>
                <c:pt idx="5135">
                  <c:v>43679</c:v>
                </c:pt>
                <c:pt idx="5136">
                  <c:v>43680</c:v>
                </c:pt>
                <c:pt idx="5137">
                  <c:v>43680</c:v>
                </c:pt>
                <c:pt idx="5138">
                  <c:v>43680</c:v>
                </c:pt>
                <c:pt idx="5139">
                  <c:v>43680</c:v>
                </c:pt>
                <c:pt idx="5140">
                  <c:v>43680</c:v>
                </c:pt>
                <c:pt idx="5141">
                  <c:v>43680</c:v>
                </c:pt>
                <c:pt idx="5142">
                  <c:v>43680</c:v>
                </c:pt>
                <c:pt idx="5143">
                  <c:v>43680</c:v>
                </c:pt>
                <c:pt idx="5144">
                  <c:v>43680</c:v>
                </c:pt>
                <c:pt idx="5145">
                  <c:v>43680</c:v>
                </c:pt>
                <c:pt idx="5146">
                  <c:v>43680</c:v>
                </c:pt>
                <c:pt idx="5147">
                  <c:v>43680</c:v>
                </c:pt>
                <c:pt idx="5148">
                  <c:v>43680</c:v>
                </c:pt>
                <c:pt idx="5149">
                  <c:v>43680</c:v>
                </c:pt>
                <c:pt idx="5150">
                  <c:v>43680</c:v>
                </c:pt>
                <c:pt idx="5151">
                  <c:v>43680</c:v>
                </c:pt>
                <c:pt idx="5152">
                  <c:v>43680</c:v>
                </c:pt>
                <c:pt idx="5153">
                  <c:v>43680</c:v>
                </c:pt>
                <c:pt idx="5154">
                  <c:v>43680</c:v>
                </c:pt>
                <c:pt idx="5155">
                  <c:v>43680</c:v>
                </c:pt>
                <c:pt idx="5156">
                  <c:v>43680</c:v>
                </c:pt>
                <c:pt idx="5157">
                  <c:v>43680</c:v>
                </c:pt>
                <c:pt idx="5158">
                  <c:v>43680</c:v>
                </c:pt>
                <c:pt idx="5159">
                  <c:v>43680</c:v>
                </c:pt>
                <c:pt idx="5160">
                  <c:v>43681</c:v>
                </c:pt>
                <c:pt idx="5161">
                  <c:v>43681</c:v>
                </c:pt>
                <c:pt idx="5162">
                  <c:v>43681</c:v>
                </c:pt>
                <c:pt idx="5163">
                  <c:v>43681</c:v>
                </c:pt>
                <c:pt idx="5164">
                  <c:v>43681</c:v>
                </c:pt>
                <c:pt idx="5165">
                  <c:v>43681</c:v>
                </c:pt>
                <c:pt idx="5166">
                  <c:v>43681</c:v>
                </c:pt>
                <c:pt idx="5167">
                  <c:v>43681</c:v>
                </c:pt>
                <c:pt idx="5168">
                  <c:v>43681</c:v>
                </c:pt>
                <c:pt idx="5169">
                  <c:v>43681</c:v>
                </c:pt>
                <c:pt idx="5170">
                  <c:v>43681</c:v>
                </c:pt>
                <c:pt idx="5171">
                  <c:v>43681</c:v>
                </c:pt>
                <c:pt idx="5172">
                  <c:v>43681</c:v>
                </c:pt>
                <c:pt idx="5173">
                  <c:v>43681</c:v>
                </c:pt>
                <c:pt idx="5174">
                  <c:v>43681</c:v>
                </c:pt>
                <c:pt idx="5175">
                  <c:v>43681</c:v>
                </c:pt>
                <c:pt idx="5176">
                  <c:v>43681</c:v>
                </c:pt>
                <c:pt idx="5177">
                  <c:v>43681</c:v>
                </c:pt>
                <c:pt idx="5178">
                  <c:v>43681</c:v>
                </c:pt>
                <c:pt idx="5179">
                  <c:v>43681</c:v>
                </c:pt>
                <c:pt idx="5180">
                  <c:v>43681</c:v>
                </c:pt>
                <c:pt idx="5181">
                  <c:v>43681</c:v>
                </c:pt>
                <c:pt idx="5182">
                  <c:v>43681</c:v>
                </c:pt>
                <c:pt idx="5183">
                  <c:v>43681</c:v>
                </c:pt>
                <c:pt idx="5184">
                  <c:v>43682</c:v>
                </c:pt>
                <c:pt idx="5185">
                  <c:v>43682</c:v>
                </c:pt>
                <c:pt idx="5186">
                  <c:v>43682</c:v>
                </c:pt>
                <c:pt idx="5187">
                  <c:v>43682</c:v>
                </c:pt>
                <c:pt idx="5188">
                  <c:v>43682</c:v>
                </c:pt>
                <c:pt idx="5189">
                  <c:v>43682</c:v>
                </c:pt>
                <c:pt idx="5190">
                  <c:v>43682</c:v>
                </c:pt>
                <c:pt idx="5191">
                  <c:v>43682</c:v>
                </c:pt>
                <c:pt idx="5192">
                  <c:v>43682</c:v>
                </c:pt>
                <c:pt idx="5193">
                  <c:v>43682</c:v>
                </c:pt>
                <c:pt idx="5194">
                  <c:v>43682</c:v>
                </c:pt>
                <c:pt idx="5195">
                  <c:v>43682</c:v>
                </c:pt>
                <c:pt idx="5196">
                  <c:v>43682</c:v>
                </c:pt>
                <c:pt idx="5197">
                  <c:v>43682</c:v>
                </c:pt>
                <c:pt idx="5198">
                  <c:v>43682</c:v>
                </c:pt>
                <c:pt idx="5199">
                  <c:v>43682</c:v>
                </c:pt>
                <c:pt idx="5200">
                  <c:v>43682</c:v>
                </c:pt>
                <c:pt idx="5201">
                  <c:v>43682</c:v>
                </c:pt>
                <c:pt idx="5202">
                  <c:v>43682</c:v>
                </c:pt>
                <c:pt idx="5203">
                  <c:v>43682</c:v>
                </c:pt>
                <c:pt idx="5204">
                  <c:v>43682</c:v>
                </c:pt>
                <c:pt idx="5205">
                  <c:v>43682</c:v>
                </c:pt>
                <c:pt idx="5206">
                  <c:v>43682</c:v>
                </c:pt>
                <c:pt idx="5207">
                  <c:v>43682</c:v>
                </c:pt>
                <c:pt idx="5208">
                  <c:v>43683</c:v>
                </c:pt>
                <c:pt idx="5209">
                  <c:v>43683</c:v>
                </c:pt>
                <c:pt idx="5210">
                  <c:v>43683</c:v>
                </c:pt>
                <c:pt idx="5211">
                  <c:v>43683</c:v>
                </c:pt>
                <c:pt idx="5212">
                  <c:v>43683</c:v>
                </c:pt>
                <c:pt idx="5213">
                  <c:v>43683</c:v>
                </c:pt>
                <c:pt idx="5214">
                  <c:v>43683</c:v>
                </c:pt>
                <c:pt idx="5215">
                  <c:v>43683</c:v>
                </c:pt>
                <c:pt idx="5216">
                  <c:v>43683</c:v>
                </c:pt>
                <c:pt idx="5217">
                  <c:v>43683</c:v>
                </c:pt>
                <c:pt idx="5218">
                  <c:v>43683</c:v>
                </c:pt>
                <c:pt idx="5219">
                  <c:v>43683</c:v>
                </c:pt>
                <c:pt idx="5220">
                  <c:v>43683</c:v>
                </c:pt>
                <c:pt idx="5221">
                  <c:v>43683</c:v>
                </c:pt>
                <c:pt idx="5222">
                  <c:v>43683</c:v>
                </c:pt>
                <c:pt idx="5223">
                  <c:v>43683</c:v>
                </c:pt>
                <c:pt idx="5224">
                  <c:v>43683</c:v>
                </c:pt>
                <c:pt idx="5225">
                  <c:v>43683</c:v>
                </c:pt>
                <c:pt idx="5226">
                  <c:v>43683</c:v>
                </c:pt>
                <c:pt idx="5227">
                  <c:v>43683</c:v>
                </c:pt>
                <c:pt idx="5228">
                  <c:v>43683</c:v>
                </c:pt>
                <c:pt idx="5229">
                  <c:v>43683</c:v>
                </c:pt>
                <c:pt idx="5230">
                  <c:v>43683</c:v>
                </c:pt>
                <c:pt idx="5231">
                  <c:v>43683</c:v>
                </c:pt>
                <c:pt idx="5232">
                  <c:v>43684</c:v>
                </c:pt>
                <c:pt idx="5233">
                  <c:v>43684</c:v>
                </c:pt>
                <c:pt idx="5234">
                  <c:v>43684</c:v>
                </c:pt>
                <c:pt idx="5235">
                  <c:v>43684</c:v>
                </c:pt>
                <c:pt idx="5236">
                  <c:v>43684</c:v>
                </c:pt>
                <c:pt idx="5237">
                  <c:v>43684</c:v>
                </c:pt>
                <c:pt idx="5238">
                  <c:v>43684</c:v>
                </c:pt>
                <c:pt idx="5239">
                  <c:v>43684</c:v>
                </c:pt>
                <c:pt idx="5240">
                  <c:v>43684</c:v>
                </c:pt>
                <c:pt idx="5241">
                  <c:v>43684</c:v>
                </c:pt>
                <c:pt idx="5242">
                  <c:v>43684</c:v>
                </c:pt>
                <c:pt idx="5243">
                  <c:v>43684</c:v>
                </c:pt>
                <c:pt idx="5244">
                  <c:v>43684</c:v>
                </c:pt>
                <c:pt idx="5245">
                  <c:v>43684</c:v>
                </c:pt>
                <c:pt idx="5246">
                  <c:v>43684</c:v>
                </c:pt>
                <c:pt idx="5247">
                  <c:v>43684</c:v>
                </c:pt>
                <c:pt idx="5248">
                  <c:v>43684</c:v>
                </c:pt>
                <c:pt idx="5249">
                  <c:v>43684</c:v>
                </c:pt>
                <c:pt idx="5250">
                  <c:v>43684</c:v>
                </c:pt>
                <c:pt idx="5251">
                  <c:v>43684</c:v>
                </c:pt>
                <c:pt idx="5252">
                  <c:v>43684</c:v>
                </c:pt>
                <c:pt idx="5253">
                  <c:v>43684</c:v>
                </c:pt>
                <c:pt idx="5254">
                  <c:v>43684</c:v>
                </c:pt>
                <c:pt idx="5255">
                  <c:v>43684</c:v>
                </c:pt>
                <c:pt idx="5256">
                  <c:v>43685</c:v>
                </c:pt>
                <c:pt idx="5257">
                  <c:v>43685</c:v>
                </c:pt>
                <c:pt idx="5258">
                  <c:v>43685</c:v>
                </c:pt>
                <c:pt idx="5259">
                  <c:v>43685</c:v>
                </c:pt>
                <c:pt idx="5260">
                  <c:v>43685</c:v>
                </c:pt>
                <c:pt idx="5261">
                  <c:v>43685</c:v>
                </c:pt>
                <c:pt idx="5262">
                  <c:v>43685</c:v>
                </c:pt>
                <c:pt idx="5263">
                  <c:v>43685</c:v>
                </c:pt>
                <c:pt idx="5264">
                  <c:v>43685</c:v>
                </c:pt>
                <c:pt idx="5265">
                  <c:v>43685</c:v>
                </c:pt>
                <c:pt idx="5266">
                  <c:v>43685</c:v>
                </c:pt>
                <c:pt idx="5267">
                  <c:v>43685</c:v>
                </c:pt>
                <c:pt idx="5268">
                  <c:v>43685</c:v>
                </c:pt>
                <c:pt idx="5269">
                  <c:v>43685</c:v>
                </c:pt>
                <c:pt idx="5270">
                  <c:v>43685</c:v>
                </c:pt>
                <c:pt idx="5271">
                  <c:v>43685</c:v>
                </c:pt>
                <c:pt idx="5272">
                  <c:v>43685</c:v>
                </c:pt>
                <c:pt idx="5273">
                  <c:v>43685</c:v>
                </c:pt>
                <c:pt idx="5274">
                  <c:v>43685</c:v>
                </c:pt>
                <c:pt idx="5275">
                  <c:v>43685</c:v>
                </c:pt>
                <c:pt idx="5276">
                  <c:v>43685</c:v>
                </c:pt>
                <c:pt idx="5277">
                  <c:v>43685</c:v>
                </c:pt>
                <c:pt idx="5278">
                  <c:v>43685</c:v>
                </c:pt>
                <c:pt idx="5279">
                  <c:v>43685</c:v>
                </c:pt>
                <c:pt idx="5280">
                  <c:v>43686</c:v>
                </c:pt>
                <c:pt idx="5281">
                  <c:v>43686</c:v>
                </c:pt>
                <c:pt idx="5282">
                  <c:v>43686</c:v>
                </c:pt>
                <c:pt idx="5283">
                  <c:v>43686</c:v>
                </c:pt>
                <c:pt idx="5284">
                  <c:v>43686</c:v>
                </c:pt>
                <c:pt idx="5285">
                  <c:v>43686</c:v>
                </c:pt>
                <c:pt idx="5286">
                  <c:v>43686</c:v>
                </c:pt>
                <c:pt idx="5287">
                  <c:v>43686</c:v>
                </c:pt>
                <c:pt idx="5288">
                  <c:v>43686</c:v>
                </c:pt>
                <c:pt idx="5289">
                  <c:v>43686</c:v>
                </c:pt>
                <c:pt idx="5290">
                  <c:v>43686</c:v>
                </c:pt>
                <c:pt idx="5291">
                  <c:v>43686</c:v>
                </c:pt>
                <c:pt idx="5292">
                  <c:v>43686</c:v>
                </c:pt>
                <c:pt idx="5293">
                  <c:v>43686</c:v>
                </c:pt>
                <c:pt idx="5294">
                  <c:v>43686</c:v>
                </c:pt>
                <c:pt idx="5295">
                  <c:v>43686</c:v>
                </c:pt>
                <c:pt idx="5296">
                  <c:v>43686</c:v>
                </c:pt>
                <c:pt idx="5297">
                  <c:v>43686</c:v>
                </c:pt>
                <c:pt idx="5298">
                  <c:v>43686</c:v>
                </c:pt>
                <c:pt idx="5299">
                  <c:v>43686</c:v>
                </c:pt>
                <c:pt idx="5300">
                  <c:v>43686</c:v>
                </c:pt>
                <c:pt idx="5301">
                  <c:v>43686</c:v>
                </c:pt>
                <c:pt idx="5302">
                  <c:v>43686</c:v>
                </c:pt>
                <c:pt idx="5303">
                  <c:v>43686</c:v>
                </c:pt>
                <c:pt idx="5304">
                  <c:v>43687</c:v>
                </c:pt>
                <c:pt idx="5305">
                  <c:v>43687</c:v>
                </c:pt>
                <c:pt idx="5306">
                  <c:v>43687</c:v>
                </c:pt>
                <c:pt idx="5307">
                  <c:v>43687</c:v>
                </c:pt>
                <c:pt idx="5308">
                  <c:v>43687</c:v>
                </c:pt>
                <c:pt idx="5309">
                  <c:v>43687</c:v>
                </c:pt>
                <c:pt idx="5310">
                  <c:v>43687</c:v>
                </c:pt>
                <c:pt idx="5311">
                  <c:v>43687</c:v>
                </c:pt>
                <c:pt idx="5312">
                  <c:v>43687</c:v>
                </c:pt>
                <c:pt idx="5313">
                  <c:v>43687</c:v>
                </c:pt>
                <c:pt idx="5314">
                  <c:v>43687</c:v>
                </c:pt>
                <c:pt idx="5315">
                  <c:v>43687</c:v>
                </c:pt>
                <c:pt idx="5316">
                  <c:v>43687</c:v>
                </c:pt>
                <c:pt idx="5317">
                  <c:v>43687</c:v>
                </c:pt>
                <c:pt idx="5318">
                  <c:v>43687</c:v>
                </c:pt>
                <c:pt idx="5319">
                  <c:v>43687</c:v>
                </c:pt>
                <c:pt idx="5320">
                  <c:v>43687</c:v>
                </c:pt>
                <c:pt idx="5321">
                  <c:v>43687</c:v>
                </c:pt>
                <c:pt idx="5322">
                  <c:v>43687</c:v>
                </c:pt>
                <c:pt idx="5323">
                  <c:v>43687</c:v>
                </c:pt>
                <c:pt idx="5324">
                  <c:v>43687</c:v>
                </c:pt>
                <c:pt idx="5325">
                  <c:v>43687</c:v>
                </c:pt>
                <c:pt idx="5326">
                  <c:v>43687</c:v>
                </c:pt>
                <c:pt idx="5327">
                  <c:v>43687</c:v>
                </c:pt>
                <c:pt idx="5328">
                  <c:v>43688</c:v>
                </c:pt>
                <c:pt idx="5329">
                  <c:v>43688</c:v>
                </c:pt>
                <c:pt idx="5330">
                  <c:v>43688</c:v>
                </c:pt>
                <c:pt idx="5331">
                  <c:v>43688</c:v>
                </c:pt>
                <c:pt idx="5332">
                  <c:v>43688</c:v>
                </c:pt>
                <c:pt idx="5333">
                  <c:v>43688</c:v>
                </c:pt>
                <c:pt idx="5334">
                  <c:v>43688</c:v>
                </c:pt>
                <c:pt idx="5335">
                  <c:v>43688</c:v>
                </c:pt>
                <c:pt idx="5336">
                  <c:v>43688</c:v>
                </c:pt>
                <c:pt idx="5337">
                  <c:v>43688</c:v>
                </c:pt>
                <c:pt idx="5338">
                  <c:v>43688</c:v>
                </c:pt>
                <c:pt idx="5339">
                  <c:v>43688</c:v>
                </c:pt>
                <c:pt idx="5340">
                  <c:v>43688</c:v>
                </c:pt>
                <c:pt idx="5341">
                  <c:v>43688</c:v>
                </c:pt>
                <c:pt idx="5342">
                  <c:v>43688</c:v>
                </c:pt>
                <c:pt idx="5343">
                  <c:v>43688</c:v>
                </c:pt>
                <c:pt idx="5344">
                  <c:v>43688</c:v>
                </c:pt>
                <c:pt idx="5345">
                  <c:v>43688</c:v>
                </c:pt>
                <c:pt idx="5346">
                  <c:v>43688</c:v>
                </c:pt>
                <c:pt idx="5347">
                  <c:v>43688</c:v>
                </c:pt>
                <c:pt idx="5348">
                  <c:v>43688</c:v>
                </c:pt>
                <c:pt idx="5349">
                  <c:v>43688</c:v>
                </c:pt>
                <c:pt idx="5350">
                  <c:v>43688</c:v>
                </c:pt>
                <c:pt idx="5351">
                  <c:v>43688</c:v>
                </c:pt>
                <c:pt idx="5352">
                  <c:v>43689</c:v>
                </c:pt>
                <c:pt idx="5353">
                  <c:v>43689</c:v>
                </c:pt>
                <c:pt idx="5354">
                  <c:v>43689</c:v>
                </c:pt>
                <c:pt idx="5355">
                  <c:v>43689</c:v>
                </c:pt>
                <c:pt idx="5356">
                  <c:v>43689</c:v>
                </c:pt>
                <c:pt idx="5357">
                  <c:v>43689</c:v>
                </c:pt>
                <c:pt idx="5358">
                  <c:v>43689</c:v>
                </c:pt>
                <c:pt idx="5359">
                  <c:v>43689</c:v>
                </c:pt>
                <c:pt idx="5360">
                  <c:v>43689</c:v>
                </c:pt>
                <c:pt idx="5361">
                  <c:v>43689</c:v>
                </c:pt>
                <c:pt idx="5362">
                  <c:v>43689</c:v>
                </c:pt>
                <c:pt idx="5363">
                  <c:v>43689</c:v>
                </c:pt>
                <c:pt idx="5364">
                  <c:v>43689</c:v>
                </c:pt>
                <c:pt idx="5365">
                  <c:v>43689</c:v>
                </c:pt>
                <c:pt idx="5366">
                  <c:v>43689</c:v>
                </c:pt>
                <c:pt idx="5367">
                  <c:v>43689</c:v>
                </c:pt>
                <c:pt idx="5368">
                  <c:v>43689</c:v>
                </c:pt>
                <c:pt idx="5369">
                  <c:v>43689</c:v>
                </c:pt>
                <c:pt idx="5370">
                  <c:v>43689</c:v>
                </c:pt>
                <c:pt idx="5371">
                  <c:v>43689</c:v>
                </c:pt>
                <c:pt idx="5372">
                  <c:v>43689</c:v>
                </c:pt>
                <c:pt idx="5373">
                  <c:v>43689</c:v>
                </c:pt>
                <c:pt idx="5374">
                  <c:v>43689</c:v>
                </c:pt>
                <c:pt idx="5375">
                  <c:v>43689</c:v>
                </c:pt>
                <c:pt idx="5376">
                  <c:v>43690</c:v>
                </c:pt>
                <c:pt idx="5377">
                  <c:v>43690</c:v>
                </c:pt>
                <c:pt idx="5378">
                  <c:v>43690</c:v>
                </c:pt>
                <c:pt idx="5379">
                  <c:v>43690</c:v>
                </c:pt>
                <c:pt idx="5380">
                  <c:v>43690</c:v>
                </c:pt>
                <c:pt idx="5381">
                  <c:v>43690</c:v>
                </c:pt>
                <c:pt idx="5382">
                  <c:v>43690</c:v>
                </c:pt>
                <c:pt idx="5383">
                  <c:v>43690</c:v>
                </c:pt>
                <c:pt idx="5384">
                  <c:v>43690</c:v>
                </c:pt>
                <c:pt idx="5385">
                  <c:v>43690</c:v>
                </c:pt>
                <c:pt idx="5386">
                  <c:v>43690</c:v>
                </c:pt>
                <c:pt idx="5387">
                  <c:v>43690</c:v>
                </c:pt>
                <c:pt idx="5388">
                  <c:v>43690</c:v>
                </c:pt>
                <c:pt idx="5389">
                  <c:v>43690</c:v>
                </c:pt>
                <c:pt idx="5390">
                  <c:v>43690</c:v>
                </c:pt>
                <c:pt idx="5391">
                  <c:v>43690</c:v>
                </c:pt>
                <c:pt idx="5392">
                  <c:v>43690</c:v>
                </c:pt>
                <c:pt idx="5393">
                  <c:v>43690</c:v>
                </c:pt>
                <c:pt idx="5394">
                  <c:v>43690</c:v>
                </c:pt>
                <c:pt idx="5395">
                  <c:v>43690</c:v>
                </c:pt>
                <c:pt idx="5396">
                  <c:v>43690</c:v>
                </c:pt>
                <c:pt idx="5397">
                  <c:v>43690</c:v>
                </c:pt>
                <c:pt idx="5398">
                  <c:v>43690</c:v>
                </c:pt>
                <c:pt idx="5399">
                  <c:v>43690</c:v>
                </c:pt>
                <c:pt idx="5400">
                  <c:v>43691</c:v>
                </c:pt>
                <c:pt idx="5401">
                  <c:v>43691</c:v>
                </c:pt>
                <c:pt idx="5402">
                  <c:v>43691</c:v>
                </c:pt>
                <c:pt idx="5403">
                  <c:v>43691</c:v>
                </c:pt>
                <c:pt idx="5404">
                  <c:v>43691</c:v>
                </c:pt>
                <c:pt idx="5405">
                  <c:v>43691</c:v>
                </c:pt>
                <c:pt idx="5406">
                  <c:v>43691</c:v>
                </c:pt>
                <c:pt idx="5407">
                  <c:v>43691</c:v>
                </c:pt>
                <c:pt idx="5408">
                  <c:v>43691</c:v>
                </c:pt>
                <c:pt idx="5409">
                  <c:v>43691</c:v>
                </c:pt>
                <c:pt idx="5410">
                  <c:v>43691</c:v>
                </c:pt>
                <c:pt idx="5411">
                  <c:v>43691</c:v>
                </c:pt>
                <c:pt idx="5412">
                  <c:v>43691</c:v>
                </c:pt>
                <c:pt idx="5413">
                  <c:v>43691</c:v>
                </c:pt>
                <c:pt idx="5414">
                  <c:v>43691</c:v>
                </c:pt>
                <c:pt idx="5415">
                  <c:v>43691</c:v>
                </c:pt>
                <c:pt idx="5416">
                  <c:v>43691</c:v>
                </c:pt>
                <c:pt idx="5417">
                  <c:v>43691</c:v>
                </c:pt>
                <c:pt idx="5418">
                  <c:v>43691</c:v>
                </c:pt>
                <c:pt idx="5419">
                  <c:v>43691</c:v>
                </c:pt>
                <c:pt idx="5420">
                  <c:v>43691</c:v>
                </c:pt>
                <c:pt idx="5421">
                  <c:v>43691</c:v>
                </c:pt>
                <c:pt idx="5422">
                  <c:v>43691</c:v>
                </c:pt>
                <c:pt idx="5423">
                  <c:v>43691</c:v>
                </c:pt>
                <c:pt idx="5424">
                  <c:v>43692</c:v>
                </c:pt>
                <c:pt idx="5425">
                  <c:v>43692</c:v>
                </c:pt>
                <c:pt idx="5426">
                  <c:v>43692</c:v>
                </c:pt>
                <c:pt idx="5427">
                  <c:v>43692</c:v>
                </c:pt>
                <c:pt idx="5428">
                  <c:v>43692</c:v>
                </c:pt>
                <c:pt idx="5429">
                  <c:v>43692</c:v>
                </c:pt>
                <c:pt idx="5430">
                  <c:v>43692</c:v>
                </c:pt>
                <c:pt idx="5431">
                  <c:v>43692</c:v>
                </c:pt>
                <c:pt idx="5432">
                  <c:v>43692</c:v>
                </c:pt>
                <c:pt idx="5433">
                  <c:v>43692</c:v>
                </c:pt>
                <c:pt idx="5434">
                  <c:v>43692</c:v>
                </c:pt>
                <c:pt idx="5435">
                  <c:v>43692</c:v>
                </c:pt>
                <c:pt idx="5436">
                  <c:v>43692</c:v>
                </c:pt>
                <c:pt idx="5437">
                  <c:v>43692</c:v>
                </c:pt>
                <c:pt idx="5438">
                  <c:v>43692</c:v>
                </c:pt>
                <c:pt idx="5439">
                  <c:v>43692</c:v>
                </c:pt>
                <c:pt idx="5440">
                  <c:v>43692</c:v>
                </c:pt>
                <c:pt idx="5441">
                  <c:v>43692</c:v>
                </c:pt>
                <c:pt idx="5442">
                  <c:v>43692</c:v>
                </c:pt>
                <c:pt idx="5443">
                  <c:v>43692</c:v>
                </c:pt>
                <c:pt idx="5444">
                  <c:v>43692</c:v>
                </c:pt>
                <c:pt idx="5445">
                  <c:v>43692</c:v>
                </c:pt>
                <c:pt idx="5446">
                  <c:v>43692</c:v>
                </c:pt>
                <c:pt idx="5447">
                  <c:v>43692</c:v>
                </c:pt>
                <c:pt idx="5448">
                  <c:v>43693</c:v>
                </c:pt>
                <c:pt idx="5449">
                  <c:v>43693</c:v>
                </c:pt>
                <c:pt idx="5450">
                  <c:v>43693</c:v>
                </c:pt>
                <c:pt idx="5451">
                  <c:v>43693</c:v>
                </c:pt>
                <c:pt idx="5452">
                  <c:v>43693</c:v>
                </c:pt>
                <c:pt idx="5453">
                  <c:v>43693</c:v>
                </c:pt>
                <c:pt idx="5454">
                  <c:v>43693</c:v>
                </c:pt>
                <c:pt idx="5455">
                  <c:v>43693</c:v>
                </c:pt>
                <c:pt idx="5456">
                  <c:v>43693</c:v>
                </c:pt>
                <c:pt idx="5457">
                  <c:v>43693</c:v>
                </c:pt>
                <c:pt idx="5458">
                  <c:v>43693</c:v>
                </c:pt>
                <c:pt idx="5459">
                  <c:v>43693</c:v>
                </c:pt>
                <c:pt idx="5460">
                  <c:v>43693</c:v>
                </c:pt>
                <c:pt idx="5461">
                  <c:v>43693</c:v>
                </c:pt>
                <c:pt idx="5462">
                  <c:v>43693</c:v>
                </c:pt>
                <c:pt idx="5463">
                  <c:v>43693</c:v>
                </c:pt>
                <c:pt idx="5464">
                  <c:v>43693</c:v>
                </c:pt>
                <c:pt idx="5465">
                  <c:v>43693</c:v>
                </c:pt>
                <c:pt idx="5466">
                  <c:v>43693</c:v>
                </c:pt>
                <c:pt idx="5467">
                  <c:v>43693</c:v>
                </c:pt>
                <c:pt idx="5468">
                  <c:v>43693</c:v>
                </c:pt>
                <c:pt idx="5469">
                  <c:v>43693</c:v>
                </c:pt>
                <c:pt idx="5470">
                  <c:v>43693</c:v>
                </c:pt>
                <c:pt idx="5471">
                  <c:v>43693</c:v>
                </c:pt>
                <c:pt idx="5472">
                  <c:v>43694</c:v>
                </c:pt>
                <c:pt idx="5473">
                  <c:v>43694</c:v>
                </c:pt>
                <c:pt idx="5474">
                  <c:v>43694</c:v>
                </c:pt>
                <c:pt idx="5475">
                  <c:v>43694</c:v>
                </c:pt>
                <c:pt idx="5476">
                  <c:v>43694</c:v>
                </c:pt>
                <c:pt idx="5477">
                  <c:v>43694</c:v>
                </c:pt>
                <c:pt idx="5478">
                  <c:v>43694</c:v>
                </c:pt>
                <c:pt idx="5479">
                  <c:v>43694</c:v>
                </c:pt>
                <c:pt idx="5480">
                  <c:v>43694</c:v>
                </c:pt>
                <c:pt idx="5481">
                  <c:v>43694</c:v>
                </c:pt>
                <c:pt idx="5482">
                  <c:v>43694</c:v>
                </c:pt>
                <c:pt idx="5483">
                  <c:v>43694</c:v>
                </c:pt>
                <c:pt idx="5484">
                  <c:v>43694</c:v>
                </c:pt>
                <c:pt idx="5485">
                  <c:v>43694</c:v>
                </c:pt>
                <c:pt idx="5486">
                  <c:v>43694</c:v>
                </c:pt>
                <c:pt idx="5487">
                  <c:v>43694</c:v>
                </c:pt>
                <c:pt idx="5488">
                  <c:v>43694</c:v>
                </c:pt>
                <c:pt idx="5489">
                  <c:v>43694</c:v>
                </c:pt>
                <c:pt idx="5490">
                  <c:v>43694</c:v>
                </c:pt>
                <c:pt idx="5491">
                  <c:v>43694</c:v>
                </c:pt>
                <c:pt idx="5492">
                  <c:v>43694</c:v>
                </c:pt>
                <c:pt idx="5493">
                  <c:v>43694</c:v>
                </c:pt>
                <c:pt idx="5494">
                  <c:v>43694</c:v>
                </c:pt>
                <c:pt idx="5495">
                  <c:v>43694</c:v>
                </c:pt>
                <c:pt idx="5496">
                  <c:v>43695</c:v>
                </c:pt>
                <c:pt idx="5497">
                  <c:v>43695</c:v>
                </c:pt>
                <c:pt idx="5498">
                  <c:v>43695</c:v>
                </c:pt>
                <c:pt idx="5499">
                  <c:v>43695</c:v>
                </c:pt>
                <c:pt idx="5500">
                  <c:v>43695</c:v>
                </c:pt>
                <c:pt idx="5501">
                  <c:v>43695</c:v>
                </c:pt>
                <c:pt idx="5502">
                  <c:v>43695</c:v>
                </c:pt>
                <c:pt idx="5503">
                  <c:v>43695</c:v>
                </c:pt>
                <c:pt idx="5504">
                  <c:v>43695</c:v>
                </c:pt>
                <c:pt idx="5505">
                  <c:v>43695</c:v>
                </c:pt>
                <c:pt idx="5506">
                  <c:v>43695</c:v>
                </c:pt>
                <c:pt idx="5507">
                  <c:v>43695</c:v>
                </c:pt>
                <c:pt idx="5508">
                  <c:v>43695</c:v>
                </c:pt>
                <c:pt idx="5509">
                  <c:v>43695</c:v>
                </c:pt>
                <c:pt idx="5510">
                  <c:v>43695</c:v>
                </c:pt>
                <c:pt idx="5511">
                  <c:v>43695</c:v>
                </c:pt>
                <c:pt idx="5512">
                  <c:v>43695</c:v>
                </c:pt>
                <c:pt idx="5513">
                  <c:v>43695</c:v>
                </c:pt>
                <c:pt idx="5514">
                  <c:v>43695</c:v>
                </c:pt>
                <c:pt idx="5515">
                  <c:v>43695</c:v>
                </c:pt>
                <c:pt idx="5516">
                  <c:v>43695</c:v>
                </c:pt>
                <c:pt idx="5517">
                  <c:v>43695</c:v>
                </c:pt>
                <c:pt idx="5518">
                  <c:v>43695</c:v>
                </c:pt>
                <c:pt idx="5519">
                  <c:v>43695</c:v>
                </c:pt>
                <c:pt idx="5520">
                  <c:v>43696</c:v>
                </c:pt>
                <c:pt idx="5521">
                  <c:v>43696</c:v>
                </c:pt>
                <c:pt idx="5522">
                  <c:v>43696</c:v>
                </c:pt>
                <c:pt idx="5523">
                  <c:v>43696</c:v>
                </c:pt>
                <c:pt idx="5524">
                  <c:v>43696</c:v>
                </c:pt>
                <c:pt idx="5525">
                  <c:v>43696</c:v>
                </c:pt>
                <c:pt idx="5526">
                  <c:v>43696</c:v>
                </c:pt>
                <c:pt idx="5527">
                  <c:v>43696</c:v>
                </c:pt>
                <c:pt idx="5528">
                  <c:v>43696</c:v>
                </c:pt>
                <c:pt idx="5529">
                  <c:v>43696</c:v>
                </c:pt>
                <c:pt idx="5530">
                  <c:v>43696</c:v>
                </c:pt>
                <c:pt idx="5531">
                  <c:v>43696</c:v>
                </c:pt>
                <c:pt idx="5532">
                  <c:v>43696</c:v>
                </c:pt>
                <c:pt idx="5533">
                  <c:v>43696</c:v>
                </c:pt>
                <c:pt idx="5534">
                  <c:v>43696</c:v>
                </c:pt>
                <c:pt idx="5535">
                  <c:v>43696</c:v>
                </c:pt>
                <c:pt idx="5536">
                  <c:v>43696</c:v>
                </c:pt>
                <c:pt idx="5537">
                  <c:v>43696</c:v>
                </c:pt>
                <c:pt idx="5538">
                  <c:v>43696</c:v>
                </c:pt>
                <c:pt idx="5539">
                  <c:v>43696</c:v>
                </c:pt>
                <c:pt idx="5540">
                  <c:v>43696</c:v>
                </c:pt>
                <c:pt idx="5541">
                  <c:v>43696</c:v>
                </c:pt>
                <c:pt idx="5542">
                  <c:v>43696</c:v>
                </c:pt>
                <c:pt idx="5543">
                  <c:v>43696</c:v>
                </c:pt>
                <c:pt idx="5544">
                  <c:v>43697</c:v>
                </c:pt>
                <c:pt idx="5545">
                  <c:v>43697</c:v>
                </c:pt>
                <c:pt idx="5546">
                  <c:v>43697</c:v>
                </c:pt>
                <c:pt idx="5547">
                  <c:v>43697</c:v>
                </c:pt>
                <c:pt idx="5548">
                  <c:v>43697</c:v>
                </c:pt>
                <c:pt idx="5549">
                  <c:v>43697</c:v>
                </c:pt>
                <c:pt idx="5550">
                  <c:v>43697</c:v>
                </c:pt>
                <c:pt idx="5551">
                  <c:v>43697</c:v>
                </c:pt>
                <c:pt idx="5552">
                  <c:v>43697</c:v>
                </c:pt>
                <c:pt idx="5553">
                  <c:v>43697</c:v>
                </c:pt>
                <c:pt idx="5554">
                  <c:v>43697</c:v>
                </c:pt>
                <c:pt idx="5555">
                  <c:v>43697</c:v>
                </c:pt>
                <c:pt idx="5556">
                  <c:v>43697</c:v>
                </c:pt>
                <c:pt idx="5557">
                  <c:v>43697</c:v>
                </c:pt>
                <c:pt idx="5558">
                  <c:v>43697</c:v>
                </c:pt>
                <c:pt idx="5559">
                  <c:v>43697</c:v>
                </c:pt>
                <c:pt idx="5560">
                  <c:v>43697</c:v>
                </c:pt>
                <c:pt idx="5561">
                  <c:v>43697</c:v>
                </c:pt>
                <c:pt idx="5562">
                  <c:v>43697</c:v>
                </c:pt>
                <c:pt idx="5563">
                  <c:v>43697</c:v>
                </c:pt>
                <c:pt idx="5564">
                  <c:v>43697</c:v>
                </c:pt>
                <c:pt idx="5565">
                  <c:v>43697</c:v>
                </c:pt>
                <c:pt idx="5566">
                  <c:v>43697</c:v>
                </c:pt>
                <c:pt idx="5567">
                  <c:v>43697</c:v>
                </c:pt>
                <c:pt idx="5568">
                  <c:v>43698</c:v>
                </c:pt>
                <c:pt idx="5569">
                  <c:v>43698</c:v>
                </c:pt>
                <c:pt idx="5570">
                  <c:v>43698</c:v>
                </c:pt>
                <c:pt idx="5571">
                  <c:v>43698</c:v>
                </c:pt>
                <c:pt idx="5572">
                  <c:v>43698</c:v>
                </c:pt>
                <c:pt idx="5573">
                  <c:v>43698</c:v>
                </c:pt>
                <c:pt idx="5574">
                  <c:v>43698</c:v>
                </c:pt>
                <c:pt idx="5575">
                  <c:v>43698</c:v>
                </c:pt>
                <c:pt idx="5576">
                  <c:v>43698</c:v>
                </c:pt>
                <c:pt idx="5577">
                  <c:v>43698</c:v>
                </c:pt>
                <c:pt idx="5578">
                  <c:v>43698</c:v>
                </c:pt>
                <c:pt idx="5579">
                  <c:v>43698</c:v>
                </c:pt>
                <c:pt idx="5580">
                  <c:v>43698</c:v>
                </c:pt>
                <c:pt idx="5581">
                  <c:v>43698</c:v>
                </c:pt>
                <c:pt idx="5582">
                  <c:v>43698</c:v>
                </c:pt>
                <c:pt idx="5583">
                  <c:v>43698</c:v>
                </c:pt>
                <c:pt idx="5584">
                  <c:v>43698</c:v>
                </c:pt>
                <c:pt idx="5585">
                  <c:v>43698</c:v>
                </c:pt>
                <c:pt idx="5586">
                  <c:v>43698</c:v>
                </c:pt>
                <c:pt idx="5587">
                  <c:v>43698</c:v>
                </c:pt>
                <c:pt idx="5588">
                  <c:v>43698</c:v>
                </c:pt>
                <c:pt idx="5589">
                  <c:v>43698</c:v>
                </c:pt>
                <c:pt idx="5590">
                  <c:v>43698</c:v>
                </c:pt>
                <c:pt idx="5591">
                  <c:v>43698</c:v>
                </c:pt>
                <c:pt idx="5592">
                  <c:v>43699</c:v>
                </c:pt>
                <c:pt idx="5593">
                  <c:v>43699</c:v>
                </c:pt>
                <c:pt idx="5594">
                  <c:v>43699</c:v>
                </c:pt>
                <c:pt idx="5595">
                  <c:v>43699</c:v>
                </c:pt>
                <c:pt idx="5596">
                  <c:v>43699</c:v>
                </c:pt>
                <c:pt idx="5597">
                  <c:v>43699</c:v>
                </c:pt>
                <c:pt idx="5598">
                  <c:v>43699</c:v>
                </c:pt>
                <c:pt idx="5599">
                  <c:v>43699</c:v>
                </c:pt>
                <c:pt idx="5600">
                  <c:v>43699</c:v>
                </c:pt>
                <c:pt idx="5601">
                  <c:v>43699</c:v>
                </c:pt>
                <c:pt idx="5602">
                  <c:v>43699</c:v>
                </c:pt>
                <c:pt idx="5603">
                  <c:v>43699</c:v>
                </c:pt>
                <c:pt idx="5604">
                  <c:v>43699</c:v>
                </c:pt>
                <c:pt idx="5605">
                  <c:v>43699</c:v>
                </c:pt>
                <c:pt idx="5606">
                  <c:v>43699</c:v>
                </c:pt>
                <c:pt idx="5607">
                  <c:v>43699</c:v>
                </c:pt>
                <c:pt idx="5608">
                  <c:v>43699</c:v>
                </c:pt>
                <c:pt idx="5609">
                  <c:v>43699</c:v>
                </c:pt>
                <c:pt idx="5610">
                  <c:v>43699</c:v>
                </c:pt>
                <c:pt idx="5611">
                  <c:v>43699</c:v>
                </c:pt>
                <c:pt idx="5612">
                  <c:v>43699</c:v>
                </c:pt>
                <c:pt idx="5613">
                  <c:v>43699</c:v>
                </c:pt>
                <c:pt idx="5614">
                  <c:v>43699</c:v>
                </c:pt>
                <c:pt idx="5615">
                  <c:v>43699</c:v>
                </c:pt>
                <c:pt idx="5616">
                  <c:v>43700</c:v>
                </c:pt>
                <c:pt idx="5617">
                  <c:v>43700</c:v>
                </c:pt>
                <c:pt idx="5618">
                  <c:v>43700</c:v>
                </c:pt>
                <c:pt idx="5619">
                  <c:v>43700</c:v>
                </c:pt>
                <c:pt idx="5620">
                  <c:v>43700</c:v>
                </c:pt>
                <c:pt idx="5621">
                  <c:v>43700</c:v>
                </c:pt>
                <c:pt idx="5622">
                  <c:v>43700</c:v>
                </c:pt>
                <c:pt idx="5623">
                  <c:v>43700</c:v>
                </c:pt>
                <c:pt idx="5624">
                  <c:v>43700</c:v>
                </c:pt>
                <c:pt idx="5625">
                  <c:v>43700</c:v>
                </c:pt>
                <c:pt idx="5626">
                  <c:v>43700</c:v>
                </c:pt>
                <c:pt idx="5627">
                  <c:v>43700</c:v>
                </c:pt>
                <c:pt idx="5628">
                  <c:v>43700</c:v>
                </c:pt>
                <c:pt idx="5629">
                  <c:v>43700</c:v>
                </c:pt>
                <c:pt idx="5630">
                  <c:v>43700</c:v>
                </c:pt>
                <c:pt idx="5631">
                  <c:v>43700</c:v>
                </c:pt>
                <c:pt idx="5632">
                  <c:v>43700</c:v>
                </c:pt>
                <c:pt idx="5633">
                  <c:v>43700</c:v>
                </c:pt>
                <c:pt idx="5634">
                  <c:v>43700</c:v>
                </c:pt>
                <c:pt idx="5635">
                  <c:v>43700</c:v>
                </c:pt>
                <c:pt idx="5636">
                  <c:v>43700</c:v>
                </c:pt>
                <c:pt idx="5637">
                  <c:v>43700</c:v>
                </c:pt>
                <c:pt idx="5638">
                  <c:v>43700</c:v>
                </c:pt>
                <c:pt idx="5639">
                  <c:v>43700</c:v>
                </c:pt>
                <c:pt idx="5640">
                  <c:v>43701</c:v>
                </c:pt>
                <c:pt idx="5641">
                  <c:v>43701</c:v>
                </c:pt>
                <c:pt idx="5642">
                  <c:v>43701</c:v>
                </c:pt>
                <c:pt idx="5643">
                  <c:v>43701</c:v>
                </c:pt>
                <c:pt idx="5644">
                  <c:v>43701</c:v>
                </c:pt>
                <c:pt idx="5645">
                  <c:v>43701</c:v>
                </c:pt>
                <c:pt idx="5646">
                  <c:v>43701</c:v>
                </c:pt>
                <c:pt idx="5647">
                  <c:v>43701</c:v>
                </c:pt>
                <c:pt idx="5648">
                  <c:v>43701</c:v>
                </c:pt>
                <c:pt idx="5649">
                  <c:v>43701</c:v>
                </c:pt>
                <c:pt idx="5650">
                  <c:v>43701</c:v>
                </c:pt>
                <c:pt idx="5651">
                  <c:v>43701</c:v>
                </c:pt>
                <c:pt idx="5652">
                  <c:v>43701</c:v>
                </c:pt>
                <c:pt idx="5653">
                  <c:v>43701</c:v>
                </c:pt>
                <c:pt idx="5654">
                  <c:v>43701</c:v>
                </c:pt>
                <c:pt idx="5655">
                  <c:v>43701</c:v>
                </c:pt>
                <c:pt idx="5656">
                  <c:v>43701</c:v>
                </c:pt>
                <c:pt idx="5657">
                  <c:v>43701</c:v>
                </c:pt>
                <c:pt idx="5658">
                  <c:v>43701</c:v>
                </c:pt>
                <c:pt idx="5659">
                  <c:v>43701</c:v>
                </c:pt>
                <c:pt idx="5660">
                  <c:v>43701</c:v>
                </c:pt>
                <c:pt idx="5661">
                  <c:v>43701</c:v>
                </c:pt>
                <c:pt idx="5662">
                  <c:v>43701</c:v>
                </c:pt>
                <c:pt idx="5663">
                  <c:v>43701</c:v>
                </c:pt>
                <c:pt idx="5664">
                  <c:v>43702</c:v>
                </c:pt>
                <c:pt idx="5665">
                  <c:v>43702</c:v>
                </c:pt>
                <c:pt idx="5666">
                  <c:v>43702</c:v>
                </c:pt>
                <c:pt idx="5667">
                  <c:v>43702</c:v>
                </c:pt>
                <c:pt idx="5668">
                  <c:v>43702</c:v>
                </c:pt>
                <c:pt idx="5669">
                  <c:v>43702</c:v>
                </c:pt>
                <c:pt idx="5670">
                  <c:v>43702</c:v>
                </c:pt>
                <c:pt idx="5671">
                  <c:v>43702</c:v>
                </c:pt>
                <c:pt idx="5672">
                  <c:v>43702</c:v>
                </c:pt>
                <c:pt idx="5673">
                  <c:v>43702</c:v>
                </c:pt>
                <c:pt idx="5674">
                  <c:v>43702</c:v>
                </c:pt>
                <c:pt idx="5675">
                  <c:v>43702</c:v>
                </c:pt>
                <c:pt idx="5676">
                  <c:v>43702</c:v>
                </c:pt>
                <c:pt idx="5677">
                  <c:v>43702</c:v>
                </c:pt>
                <c:pt idx="5678">
                  <c:v>43702</c:v>
                </c:pt>
                <c:pt idx="5679">
                  <c:v>43702</c:v>
                </c:pt>
                <c:pt idx="5680">
                  <c:v>43702</c:v>
                </c:pt>
                <c:pt idx="5681">
                  <c:v>43702</c:v>
                </c:pt>
                <c:pt idx="5682">
                  <c:v>43702</c:v>
                </c:pt>
                <c:pt idx="5683">
                  <c:v>43702</c:v>
                </c:pt>
                <c:pt idx="5684">
                  <c:v>43702</c:v>
                </c:pt>
                <c:pt idx="5685">
                  <c:v>43702</c:v>
                </c:pt>
                <c:pt idx="5686">
                  <c:v>43702</c:v>
                </c:pt>
                <c:pt idx="5687">
                  <c:v>43702</c:v>
                </c:pt>
                <c:pt idx="5688">
                  <c:v>43703</c:v>
                </c:pt>
                <c:pt idx="5689">
                  <c:v>43703</c:v>
                </c:pt>
                <c:pt idx="5690">
                  <c:v>43703</c:v>
                </c:pt>
                <c:pt idx="5691">
                  <c:v>43703</c:v>
                </c:pt>
                <c:pt idx="5692">
                  <c:v>43703</c:v>
                </c:pt>
                <c:pt idx="5693">
                  <c:v>43703</c:v>
                </c:pt>
                <c:pt idx="5694">
                  <c:v>43703</c:v>
                </c:pt>
                <c:pt idx="5695">
                  <c:v>43703</c:v>
                </c:pt>
                <c:pt idx="5696">
                  <c:v>43703</c:v>
                </c:pt>
                <c:pt idx="5697">
                  <c:v>43703</c:v>
                </c:pt>
                <c:pt idx="5698">
                  <c:v>43703</c:v>
                </c:pt>
                <c:pt idx="5699">
                  <c:v>43703</c:v>
                </c:pt>
                <c:pt idx="5700">
                  <c:v>43703</c:v>
                </c:pt>
                <c:pt idx="5701">
                  <c:v>43703</c:v>
                </c:pt>
                <c:pt idx="5702">
                  <c:v>43703</c:v>
                </c:pt>
                <c:pt idx="5703">
                  <c:v>43703</c:v>
                </c:pt>
                <c:pt idx="5704">
                  <c:v>43703</c:v>
                </c:pt>
                <c:pt idx="5705">
                  <c:v>43703</c:v>
                </c:pt>
                <c:pt idx="5706">
                  <c:v>43703</c:v>
                </c:pt>
                <c:pt idx="5707">
                  <c:v>43703</c:v>
                </c:pt>
                <c:pt idx="5708">
                  <c:v>43703</c:v>
                </c:pt>
                <c:pt idx="5709">
                  <c:v>43703</c:v>
                </c:pt>
                <c:pt idx="5710">
                  <c:v>43703</c:v>
                </c:pt>
                <c:pt idx="5711">
                  <c:v>43703</c:v>
                </c:pt>
                <c:pt idx="5712">
                  <c:v>43704</c:v>
                </c:pt>
                <c:pt idx="5713">
                  <c:v>43704</c:v>
                </c:pt>
                <c:pt idx="5714">
                  <c:v>43704</c:v>
                </c:pt>
                <c:pt idx="5715">
                  <c:v>43704</c:v>
                </c:pt>
                <c:pt idx="5716">
                  <c:v>43704</c:v>
                </c:pt>
                <c:pt idx="5717">
                  <c:v>43704</c:v>
                </c:pt>
                <c:pt idx="5718">
                  <c:v>43704</c:v>
                </c:pt>
                <c:pt idx="5719">
                  <c:v>43704</c:v>
                </c:pt>
                <c:pt idx="5720">
                  <c:v>43704</c:v>
                </c:pt>
                <c:pt idx="5721">
                  <c:v>43704</c:v>
                </c:pt>
                <c:pt idx="5722">
                  <c:v>43704</c:v>
                </c:pt>
                <c:pt idx="5723">
                  <c:v>43704</c:v>
                </c:pt>
                <c:pt idx="5724">
                  <c:v>43704</c:v>
                </c:pt>
                <c:pt idx="5725">
                  <c:v>43704</c:v>
                </c:pt>
                <c:pt idx="5726">
                  <c:v>43704</c:v>
                </c:pt>
                <c:pt idx="5727">
                  <c:v>43704</c:v>
                </c:pt>
                <c:pt idx="5728">
                  <c:v>43704</c:v>
                </c:pt>
                <c:pt idx="5729">
                  <c:v>43704</c:v>
                </c:pt>
                <c:pt idx="5730">
                  <c:v>43704</c:v>
                </c:pt>
                <c:pt idx="5731">
                  <c:v>43704</c:v>
                </c:pt>
                <c:pt idx="5732">
                  <c:v>43704</c:v>
                </c:pt>
                <c:pt idx="5733">
                  <c:v>43704</c:v>
                </c:pt>
                <c:pt idx="5734">
                  <c:v>43704</c:v>
                </c:pt>
                <c:pt idx="5735">
                  <c:v>43704</c:v>
                </c:pt>
                <c:pt idx="5736">
                  <c:v>43705</c:v>
                </c:pt>
                <c:pt idx="5737">
                  <c:v>43705</c:v>
                </c:pt>
                <c:pt idx="5738">
                  <c:v>43705</c:v>
                </c:pt>
                <c:pt idx="5739">
                  <c:v>43705</c:v>
                </c:pt>
                <c:pt idx="5740">
                  <c:v>43705</c:v>
                </c:pt>
                <c:pt idx="5741">
                  <c:v>43705</c:v>
                </c:pt>
                <c:pt idx="5742">
                  <c:v>43705</c:v>
                </c:pt>
                <c:pt idx="5743">
                  <c:v>43705</c:v>
                </c:pt>
                <c:pt idx="5744">
                  <c:v>43705</c:v>
                </c:pt>
                <c:pt idx="5745">
                  <c:v>43705</c:v>
                </c:pt>
                <c:pt idx="5746">
                  <c:v>43705</c:v>
                </c:pt>
                <c:pt idx="5747">
                  <c:v>43705</c:v>
                </c:pt>
                <c:pt idx="5748">
                  <c:v>43705</c:v>
                </c:pt>
                <c:pt idx="5749">
                  <c:v>43705</c:v>
                </c:pt>
                <c:pt idx="5750">
                  <c:v>43705</c:v>
                </c:pt>
                <c:pt idx="5751">
                  <c:v>43705</c:v>
                </c:pt>
                <c:pt idx="5752">
                  <c:v>43705</c:v>
                </c:pt>
                <c:pt idx="5753">
                  <c:v>43705</c:v>
                </c:pt>
                <c:pt idx="5754">
                  <c:v>43705</c:v>
                </c:pt>
                <c:pt idx="5755">
                  <c:v>43705</c:v>
                </c:pt>
                <c:pt idx="5756">
                  <c:v>43705</c:v>
                </c:pt>
                <c:pt idx="5757">
                  <c:v>43705</c:v>
                </c:pt>
                <c:pt idx="5758">
                  <c:v>43705</c:v>
                </c:pt>
                <c:pt idx="5759">
                  <c:v>43705</c:v>
                </c:pt>
                <c:pt idx="5760">
                  <c:v>43706</c:v>
                </c:pt>
                <c:pt idx="5761">
                  <c:v>43706</c:v>
                </c:pt>
                <c:pt idx="5762">
                  <c:v>43706</c:v>
                </c:pt>
                <c:pt idx="5763">
                  <c:v>43706</c:v>
                </c:pt>
                <c:pt idx="5764">
                  <c:v>43706</c:v>
                </c:pt>
                <c:pt idx="5765">
                  <c:v>43706</c:v>
                </c:pt>
                <c:pt idx="5766">
                  <c:v>43706</c:v>
                </c:pt>
                <c:pt idx="5767">
                  <c:v>43706</c:v>
                </c:pt>
                <c:pt idx="5768">
                  <c:v>43706</c:v>
                </c:pt>
                <c:pt idx="5769">
                  <c:v>43706</c:v>
                </c:pt>
                <c:pt idx="5770">
                  <c:v>43706</c:v>
                </c:pt>
                <c:pt idx="5771">
                  <c:v>43706</c:v>
                </c:pt>
                <c:pt idx="5772">
                  <c:v>43706</c:v>
                </c:pt>
                <c:pt idx="5773">
                  <c:v>43706</c:v>
                </c:pt>
                <c:pt idx="5774">
                  <c:v>43706</c:v>
                </c:pt>
                <c:pt idx="5775">
                  <c:v>43706</c:v>
                </c:pt>
                <c:pt idx="5776">
                  <c:v>43706</c:v>
                </c:pt>
                <c:pt idx="5777">
                  <c:v>43706</c:v>
                </c:pt>
                <c:pt idx="5778">
                  <c:v>43706</c:v>
                </c:pt>
                <c:pt idx="5779">
                  <c:v>43706</c:v>
                </c:pt>
                <c:pt idx="5780">
                  <c:v>43706</c:v>
                </c:pt>
                <c:pt idx="5781">
                  <c:v>43706</c:v>
                </c:pt>
                <c:pt idx="5782">
                  <c:v>43706</c:v>
                </c:pt>
                <c:pt idx="5783">
                  <c:v>43706</c:v>
                </c:pt>
                <c:pt idx="5784">
                  <c:v>43707</c:v>
                </c:pt>
                <c:pt idx="5785">
                  <c:v>43707</c:v>
                </c:pt>
                <c:pt idx="5786">
                  <c:v>43707</c:v>
                </c:pt>
                <c:pt idx="5787">
                  <c:v>43707</c:v>
                </c:pt>
                <c:pt idx="5788">
                  <c:v>43707</c:v>
                </c:pt>
                <c:pt idx="5789">
                  <c:v>43707</c:v>
                </c:pt>
                <c:pt idx="5790">
                  <c:v>43707</c:v>
                </c:pt>
                <c:pt idx="5791">
                  <c:v>43707</c:v>
                </c:pt>
                <c:pt idx="5792">
                  <c:v>43707</c:v>
                </c:pt>
                <c:pt idx="5793">
                  <c:v>43707</c:v>
                </c:pt>
                <c:pt idx="5794">
                  <c:v>43707</c:v>
                </c:pt>
                <c:pt idx="5795">
                  <c:v>43707</c:v>
                </c:pt>
                <c:pt idx="5796">
                  <c:v>43707</c:v>
                </c:pt>
                <c:pt idx="5797">
                  <c:v>43707</c:v>
                </c:pt>
                <c:pt idx="5798">
                  <c:v>43707</c:v>
                </c:pt>
                <c:pt idx="5799">
                  <c:v>43707</c:v>
                </c:pt>
                <c:pt idx="5800">
                  <c:v>43707</c:v>
                </c:pt>
                <c:pt idx="5801">
                  <c:v>43707</c:v>
                </c:pt>
                <c:pt idx="5802">
                  <c:v>43707</c:v>
                </c:pt>
                <c:pt idx="5803">
                  <c:v>43707</c:v>
                </c:pt>
                <c:pt idx="5804">
                  <c:v>43707</c:v>
                </c:pt>
                <c:pt idx="5805">
                  <c:v>43707</c:v>
                </c:pt>
                <c:pt idx="5806">
                  <c:v>43707</c:v>
                </c:pt>
                <c:pt idx="5807">
                  <c:v>43707</c:v>
                </c:pt>
                <c:pt idx="5808">
                  <c:v>43708</c:v>
                </c:pt>
                <c:pt idx="5809">
                  <c:v>43708</c:v>
                </c:pt>
                <c:pt idx="5810">
                  <c:v>43708</c:v>
                </c:pt>
                <c:pt idx="5811">
                  <c:v>43708</c:v>
                </c:pt>
                <c:pt idx="5812">
                  <c:v>43708</c:v>
                </c:pt>
                <c:pt idx="5813">
                  <c:v>43708</c:v>
                </c:pt>
                <c:pt idx="5814">
                  <c:v>43708</c:v>
                </c:pt>
                <c:pt idx="5815">
                  <c:v>43708</c:v>
                </c:pt>
                <c:pt idx="5816">
                  <c:v>43708</c:v>
                </c:pt>
                <c:pt idx="5817">
                  <c:v>43708</c:v>
                </c:pt>
                <c:pt idx="5818">
                  <c:v>43708</c:v>
                </c:pt>
                <c:pt idx="5819">
                  <c:v>43708</c:v>
                </c:pt>
                <c:pt idx="5820">
                  <c:v>43708</c:v>
                </c:pt>
                <c:pt idx="5821">
                  <c:v>43708</c:v>
                </c:pt>
                <c:pt idx="5822">
                  <c:v>43708</c:v>
                </c:pt>
                <c:pt idx="5823">
                  <c:v>43708</c:v>
                </c:pt>
                <c:pt idx="5824">
                  <c:v>43708</c:v>
                </c:pt>
                <c:pt idx="5825">
                  <c:v>43708</c:v>
                </c:pt>
                <c:pt idx="5826">
                  <c:v>43708</c:v>
                </c:pt>
                <c:pt idx="5827">
                  <c:v>43708</c:v>
                </c:pt>
                <c:pt idx="5828">
                  <c:v>43708</c:v>
                </c:pt>
                <c:pt idx="5829">
                  <c:v>43708</c:v>
                </c:pt>
                <c:pt idx="5830">
                  <c:v>43708</c:v>
                </c:pt>
                <c:pt idx="5831">
                  <c:v>43708</c:v>
                </c:pt>
                <c:pt idx="5832">
                  <c:v>43709</c:v>
                </c:pt>
                <c:pt idx="5833">
                  <c:v>43709</c:v>
                </c:pt>
                <c:pt idx="5834">
                  <c:v>43709</c:v>
                </c:pt>
                <c:pt idx="5835">
                  <c:v>43709</c:v>
                </c:pt>
                <c:pt idx="5836">
                  <c:v>43709</c:v>
                </c:pt>
                <c:pt idx="5837">
                  <c:v>43709</c:v>
                </c:pt>
                <c:pt idx="5838">
                  <c:v>43709</c:v>
                </c:pt>
                <c:pt idx="5839">
                  <c:v>43709</c:v>
                </c:pt>
                <c:pt idx="5840">
                  <c:v>43709</c:v>
                </c:pt>
                <c:pt idx="5841">
                  <c:v>43709</c:v>
                </c:pt>
                <c:pt idx="5842">
                  <c:v>43709</c:v>
                </c:pt>
                <c:pt idx="5843">
                  <c:v>43709</c:v>
                </c:pt>
                <c:pt idx="5844">
                  <c:v>43709</c:v>
                </c:pt>
                <c:pt idx="5845">
                  <c:v>43709</c:v>
                </c:pt>
                <c:pt idx="5846">
                  <c:v>43709</c:v>
                </c:pt>
                <c:pt idx="5847">
                  <c:v>43709</c:v>
                </c:pt>
                <c:pt idx="5848">
                  <c:v>43709</c:v>
                </c:pt>
                <c:pt idx="5849">
                  <c:v>43709</c:v>
                </c:pt>
                <c:pt idx="5850">
                  <c:v>43709</c:v>
                </c:pt>
                <c:pt idx="5851">
                  <c:v>43709</c:v>
                </c:pt>
                <c:pt idx="5852">
                  <c:v>43709</c:v>
                </c:pt>
                <c:pt idx="5853">
                  <c:v>43709</c:v>
                </c:pt>
                <c:pt idx="5854">
                  <c:v>43709</c:v>
                </c:pt>
                <c:pt idx="5855">
                  <c:v>43709</c:v>
                </c:pt>
                <c:pt idx="5856">
                  <c:v>43710</c:v>
                </c:pt>
                <c:pt idx="5857">
                  <c:v>43710</c:v>
                </c:pt>
                <c:pt idx="5858">
                  <c:v>43710</c:v>
                </c:pt>
                <c:pt idx="5859">
                  <c:v>43710</c:v>
                </c:pt>
                <c:pt idx="5860">
                  <c:v>43710</c:v>
                </c:pt>
                <c:pt idx="5861">
                  <c:v>43710</c:v>
                </c:pt>
                <c:pt idx="5862">
                  <c:v>43710</c:v>
                </c:pt>
                <c:pt idx="5863">
                  <c:v>43710</c:v>
                </c:pt>
                <c:pt idx="5864">
                  <c:v>43710</c:v>
                </c:pt>
                <c:pt idx="5865">
                  <c:v>43710</c:v>
                </c:pt>
                <c:pt idx="5866">
                  <c:v>43710</c:v>
                </c:pt>
                <c:pt idx="5867">
                  <c:v>43710</c:v>
                </c:pt>
                <c:pt idx="5868">
                  <c:v>43710</c:v>
                </c:pt>
                <c:pt idx="5869">
                  <c:v>43710</c:v>
                </c:pt>
                <c:pt idx="5870">
                  <c:v>43710</c:v>
                </c:pt>
                <c:pt idx="5871">
                  <c:v>43710</c:v>
                </c:pt>
                <c:pt idx="5872">
                  <c:v>43710</c:v>
                </c:pt>
                <c:pt idx="5873">
                  <c:v>43710</c:v>
                </c:pt>
                <c:pt idx="5874">
                  <c:v>43710</c:v>
                </c:pt>
                <c:pt idx="5875">
                  <c:v>43710</c:v>
                </c:pt>
                <c:pt idx="5876">
                  <c:v>43710</c:v>
                </c:pt>
                <c:pt idx="5877">
                  <c:v>43710</c:v>
                </c:pt>
                <c:pt idx="5878">
                  <c:v>43710</c:v>
                </c:pt>
                <c:pt idx="5879">
                  <c:v>43710</c:v>
                </c:pt>
                <c:pt idx="5880">
                  <c:v>43711</c:v>
                </c:pt>
                <c:pt idx="5881">
                  <c:v>43711</c:v>
                </c:pt>
                <c:pt idx="5882">
                  <c:v>43711</c:v>
                </c:pt>
                <c:pt idx="5883">
                  <c:v>43711</c:v>
                </c:pt>
                <c:pt idx="5884">
                  <c:v>43711</c:v>
                </c:pt>
                <c:pt idx="5885">
                  <c:v>43711</c:v>
                </c:pt>
                <c:pt idx="5886">
                  <c:v>43711</c:v>
                </c:pt>
                <c:pt idx="5887">
                  <c:v>43711</c:v>
                </c:pt>
                <c:pt idx="5888">
                  <c:v>43711</c:v>
                </c:pt>
                <c:pt idx="5889">
                  <c:v>43711</c:v>
                </c:pt>
                <c:pt idx="5890">
                  <c:v>43711</c:v>
                </c:pt>
                <c:pt idx="5891">
                  <c:v>43711</c:v>
                </c:pt>
                <c:pt idx="5892">
                  <c:v>43711</c:v>
                </c:pt>
                <c:pt idx="5893">
                  <c:v>43711</c:v>
                </c:pt>
                <c:pt idx="5894">
                  <c:v>43711</c:v>
                </c:pt>
                <c:pt idx="5895">
                  <c:v>43711</c:v>
                </c:pt>
                <c:pt idx="5896">
                  <c:v>43711</c:v>
                </c:pt>
                <c:pt idx="5897">
                  <c:v>43711</c:v>
                </c:pt>
                <c:pt idx="5898">
                  <c:v>43711</c:v>
                </c:pt>
                <c:pt idx="5899">
                  <c:v>43711</c:v>
                </c:pt>
                <c:pt idx="5900">
                  <c:v>43711</c:v>
                </c:pt>
                <c:pt idx="5901">
                  <c:v>43711</c:v>
                </c:pt>
                <c:pt idx="5902">
                  <c:v>43711</c:v>
                </c:pt>
                <c:pt idx="5903">
                  <c:v>43711</c:v>
                </c:pt>
                <c:pt idx="5904">
                  <c:v>43712</c:v>
                </c:pt>
                <c:pt idx="5905">
                  <c:v>43712</c:v>
                </c:pt>
                <c:pt idx="5906">
                  <c:v>43712</c:v>
                </c:pt>
                <c:pt idx="5907">
                  <c:v>43712</c:v>
                </c:pt>
                <c:pt idx="5908">
                  <c:v>43712</c:v>
                </c:pt>
                <c:pt idx="5909">
                  <c:v>43712</c:v>
                </c:pt>
                <c:pt idx="5910">
                  <c:v>43712</c:v>
                </c:pt>
                <c:pt idx="5911">
                  <c:v>43712</c:v>
                </c:pt>
                <c:pt idx="5912">
                  <c:v>43712</c:v>
                </c:pt>
                <c:pt idx="5913">
                  <c:v>43712</c:v>
                </c:pt>
                <c:pt idx="5914">
                  <c:v>43712</c:v>
                </c:pt>
                <c:pt idx="5915">
                  <c:v>43712</c:v>
                </c:pt>
                <c:pt idx="5916">
                  <c:v>43712</c:v>
                </c:pt>
                <c:pt idx="5917">
                  <c:v>43712</c:v>
                </c:pt>
                <c:pt idx="5918">
                  <c:v>43712</c:v>
                </c:pt>
                <c:pt idx="5919">
                  <c:v>43712</c:v>
                </c:pt>
                <c:pt idx="5920">
                  <c:v>43712</c:v>
                </c:pt>
                <c:pt idx="5921">
                  <c:v>43712</c:v>
                </c:pt>
                <c:pt idx="5922">
                  <c:v>43712</c:v>
                </c:pt>
                <c:pt idx="5923">
                  <c:v>43712</c:v>
                </c:pt>
                <c:pt idx="5924">
                  <c:v>43712</c:v>
                </c:pt>
                <c:pt idx="5925">
                  <c:v>43712</c:v>
                </c:pt>
                <c:pt idx="5926">
                  <c:v>43712</c:v>
                </c:pt>
                <c:pt idx="5927">
                  <c:v>43712</c:v>
                </c:pt>
                <c:pt idx="5928">
                  <c:v>43713</c:v>
                </c:pt>
                <c:pt idx="5929">
                  <c:v>43713</c:v>
                </c:pt>
                <c:pt idx="5930">
                  <c:v>43713</c:v>
                </c:pt>
                <c:pt idx="5931">
                  <c:v>43713</c:v>
                </c:pt>
                <c:pt idx="5932">
                  <c:v>43713</c:v>
                </c:pt>
                <c:pt idx="5933">
                  <c:v>43713</c:v>
                </c:pt>
                <c:pt idx="5934">
                  <c:v>43713</c:v>
                </c:pt>
                <c:pt idx="5935">
                  <c:v>43713</c:v>
                </c:pt>
                <c:pt idx="5936">
                  <c:v>43713</c:v>
                </c:pt>
                <c:pt idx="5937">
                  <c:v>43713</c:v>
                </c:pt>
                <c:pt idx="5938">
                  <c:v>43713</c:v>
                </c:pt>
                <c:pt idx="5939">
                  <c:v>43713</c:v>
                </c:pt>
                <c:pt idx="5940">
                  <c:v>43713</c:v>
                </c:pt>
                <c:pt idx="5941">
                  <c:v>43713</c:v>
                </c:pt>
                <c:pt idx="5942">
                  <c:v>43713</c:v>
                </c:pt>
                <c:pt idx="5943">
                  <c:v>43713</c:v>
                </c:pt>
                <c:pt idx="5944">
                  <c:v>43713</c:v>
                </c:pt>
                <c:pt idx="5945">
                  <c:v>43713</c:v>
                </c:pt>
                <c:pt idx="5946">
                  <c:v>43713</c:v>
                </c:pt>
                <c:pt idx="5947">
                  <c:v>43713</c:v>
                </c:pt>
                <c:pt idx="5948">
                  <c:v>43713</c:v>
                </c:pt>
                <c:pt idx="5949">
                  <c:v>43713</c:v>
                </c:pt>
                <c:pt idx="5950">
                  <c:v>43713</c:v>
                </c:pt>
                <c:pt idx="5951">
                  <c:v>43713</c:v>
                </c:pt>
                <c:pt idx="5952">
                  <c:v>43714</c:v>
                </c:pt>
                <c:pt idx="5953">
                  <c:v>43714</c:v>
                </c:pt>
                <c:pt idx="5954">
                  <c:v>43714</c:v>
                </c:pt>
                <c:pt idx="5955">
                  <c:v>43714</c:v>
                </c:pt>
                <c:pt idx="5956">
                  <c:v>43714</c:v>
                </c:pt>
                <c:pt idx="5957">
                  <c:v>43714</c:v>
                </c:pt>
                <c:pt idx="5958">
                  <c:v>43714</c:v>
                </c:pt>
                <c:pt idx="5959">
                  <c:v>43714</c:v>
                </c:pt>
                <c:pt idx="5960">
                  <c:v>43714</c:v>
                </c:pt>
                <c:pt idx="5961">
                  <c:v>43714</c:v>
                </c:pt>
                <c:pt idx="5962">
                  <c:v>43714</c:v>
                </c:pt>
                <c:pt idx="5963">
                  <c:v>43714</c:v>
                </c:pt>
                <c:pt idx="5964">
                  <c:v>43714</c:v>
                </c:pt>
                <c:pt idx="5965">
                  <c:v>43714</c:v>
                </c:pt>
                <c:pt idx="5966">
                  <c:v>43714</c:v>
                </c:pt>
                <c:pt idx="5967">
                  <c:v>43714</c:v>
                </c:pt>
                <c:pt idx="5968">
                  <c:v>43714</c:v>
                </c:pt>
                <c:pt idx="5969">
                  <c:v>43714</c:v>
                </c:pt>
                <c:pt idx="5970">
                  <c:v>43714</c:v>
                </c:pt>
                <c:pt idx="5971">
                  <c:v>43714</c:v>
                </c:pt>
                <c:pt idx="5972">
                  <c:v>43714</c:v>
                </c:pt>
                <c:pt idx="5973">
                  <c:v>43714</c:v>
                </c:pt>
                <c:pt idx="5974">
                  <c:v>43714</c:v>
                </c:pt>
                <c:pt idx="5975">
                  <c:v>43714</c:v>
                </c:pt>
                <c:pt idx="5976">
                  <c:v>43715</c:v>
                </c:pt>
                <c:pt idx="5977">
                  <c:v>43715</c:v>
                </c:pt>
                <c:pt idx="5978">
                  <c:v>43715</c:v>
                </c:pt>
                <c:pt idx="5979">
                  <c:v>43715</c:v>
                </c:pt>
                <c:pt idx="5980">
                  <c:v>43715</c:v>
                </c:pt>
                <c:pt idx="5981">
                  <c:v>43715</c:v>
                </c:pt>
                <c:pt idx="5982">
                  <c:v>43715</c:v>
                </c:pt>
                <c:pt idx="5983">
                  <c:v>43715</c:v>
                </c:pt>
                <c:pt idx="5984">
                  <c:v>43715</c:v>
                </c:pt>
                <c:pt idx="5985">
                  <c:v>43715</c:v>
                </c:pt>
                <c:pt idx="5986">
                  <c:v>43715</c:v>
                </c:pt>
                <c:pt idx="5987">
                  <c:v>43715</c:v>
                </c:pt>
                <c:pt idx="5988">
                  <c:v>43715</c:v>
                </c:pt>
                <c:pt idx="5989">
                  <c:v>43715</c:v>
                </c:pt>
                <c:pt idx="5990">
                  <c:v>43715</c:v>
                </c:pt>
                <c:pt idx="5991">
                  <c:v>43715</c:v>
                </c:pt>
                <c:pt idx="5992">
                  <c:v>43715</c:v>
                </c:pt>
                <c:pt idx="5993">
                  <c:v>43715</c:v>
                </c:pt>
                <c:pt idx="5994">
                  <c:v>43715</c:v>
                </c:pt>
                <c:pt idx="5995">
                  <c:v>43715</c:v>
                </c:pt>
                <c:pt idx="5996">
                  <c:v>43715</c:v>
                </c:pt>
                <c:pt idx="5997">
                  <c:v>43715</c:v>
                </c:pt>
                <c:pt idx="5998">
                  <c:v>43715</c:v>
                </c:pt>
                <c:pt idx="5999">
                  <c:v>43715</c:v>
                </c:pt>
                <c:pt idx="6000">
                  <c:v>43716</c:v>
                </c:pt>
                <c:pt idx="6001">
                  <c:v>43716</c:v>
                </c:pt>
                <c:pt idx="6002">
                  <c:v>43716</c:v>
                </c:pt>
                <c:pt idx="6003">
                  <c:v>43716</c:v>
                </c:pt>
                <c:pt idx="6004">
                  <c:v>43716</c:v>
                </c:pt>
                <c:pt idx="6005">
                  <c:v>43716</c:v>
                </c:pt>
                <c:pt idx="6006">
                  <c:v>43716</c:v>
                </c:pt>
                <c:pt idx="6007">
                  <c:v>43716</c:v>
                </c:pt>
                <c:pt idx="6008">
                  <c:v>43716</c:v>
                </c:pt>
                <c:pt idx="6009">
                  <c:v>43716</c:v>
                </c:pt>
                <c:pt idx="6010">
                  <c:v>43716</c:v>
                </c:pt>
                <c:pt idx="6011">
                  <c:v>43716</c:v>
                </c:pt>
                <c:pt idx="6012">
                  <c:v>43716</c:v>
                </c:pt>
                <c:pt idx="6013">
                  <c:v>43716</c:v>
                </c:pt>
                <c:pt idx="6014">
                  <c:v>43716</c:v>
                </c:pt>
                <c:pt idx="6015">
                  <c:v>43716</c:v>
                </c:pt>
                <c:pt idx="6016">
                  <c:v>43716</c:v>
                </c:pt>
                <c:pt idx="6017">
                  <c:v>43716</c:v>
                </c:pt>
                <c:pt idx="6018">
                  <c:v>43716</c:v>
                </c:pt>
                <c:pt idx="6019">
                  <c:v>43716</c:v>
                </c:pt>
                <c:pt idx="6020">
                  <c:v>43716</c:v>
                </c:pt>
                <c:pt idx="6021">
                  <c:v>43716</c:v>
                </c:pt>
                <c:pt idx="6022">
                  <c:v>43716</c:v>
                </c:pt>
                <c:pt idx="6023">
                  <c:v>43716</c:v>
                </c:pt>
                <c:pt idx="6024">
                  <c:v>43717</c:v>
                </c:pt>
                <c:pt idx="6025">
                  <c:v>43717</c:v>
                </c:pt>
                <c:pt idx="6026">
                  <c:v>43717</c:v>
                </c:pt>
                <c:pt idx="6027">
                  <c:v>43717</c:v>
                </c:pt>
                <c:pt idx="6028">
                  <c:v>43717</c:v>
                </c:pt>
                <c:pt idx="6029">
                  <c:v>43717</c:v>
                </c:pt>
                <c:pt idx="6030">
                  <c:v>43717</c:v>
                </c:pt>
                <c:pt idx="6031">
                  <c:v>43717</c:v>
                </c:pt>
                <c:pt idx="6032">
                  <c:v>43717</c:v>
                </c:pt>
                <c:pt idx="6033">
                  <c:v>43717</c:v>
                </c:pt>
                <c:pt idx="6034">
                  <c:v>43717</c:v>
                </c:pt>
                <c:pt idx="6035">
                  <c:v>43717</c:v>
                </c:pt>
                <c:pt idx="6036">
                  <c:v>43717</c:v>
                </c:pt>
                <c:pt idx="6037">
                  <c:v>43717</c:v>
                </c:pt>
                <c:pt idx="6038">
                  <c:v>43717</c:v>
                </c:pt>
                <c:pt idx="6039">
                  <c:v>43717</c:v>
                </c:pt>
                <c:pt idx="6040">
                  <c:v>43717</c:v>
                </c:pt>
                <c:pt idx="6041">
                  <c:v>43717</c:v>
                </c:pt>
                <c:pt idx="6042">
                  <c:v>43717</c:v>
                </c:pt>
                <c:pt idx="6043">
                  <c:v>43717</c:v>
                </c:pt>
                <c:pt idx="6044">
                  <c:v>43717</c:v>
                </c:pt>
                <c:pt idx="6045">
                  <c:v>43717</c:v>
                </c:pt>
                <c:pt idx="6046">
                  <c:v>43717</c:v>
                </c:pt>
                <c:pt idx="6047">
                  <c:v>43717</c:v>
                </c:pt>
                <c:pt idx="6048">
                  <c:v>43718</c:v>
                </c:pt>
                <c:pt idx="6049">
                  <c:v>43718</c:v>
                </c:pt>
                <c:pt idx="6050">
                  <c:v>43718</c:v>
                </c:pt>
                <c:pt idx="6051">
                  <c:v>43718</c:v>
                </c:pt>
                <c:pt idx="6052">
                  <c:v>43718</c:v>
                </c:pt>
                <c:pt idx="6053">
                  <c:v>43718</c:v>
                </c:pt>
                <c:pt idx="6054">
                  <c:v>43718</c:v>
                </c:pt>
                <c:pt idx="6055">
                  <c:v>43718</c:v>
                </c:pt>
                <c:pt idx="6056">
                  <c:v>43718</c:v>
                </c:pt>
                <c:pt idx="6057">
                  <c:v>43718</c:v>
                </c:pt>
                <c:pt idx="6058">
                  <c:v>43718</c:v>
                </c:pt>
                <c:pt idx="6059">
                  <c:v>43718</c:v>
                </c:pt>
                <c:pt idx="6060">
                  <c:v>43718</c:v>
                </c:pt>
                <c:pt idx="6061">
                  <c:v>43718</c:v>
                </c:pt>
                <c:pt idx="6062">
                  <c:v>43718</c:v>
                </c:pt>
                <c:pt idx="6063">
                  <c:v>43718</c:v>
                </c:pt>
                <c:pt idx="6064">
                  <c:v>43718</c:v>
                </c:pt>
                <c:pt idx="6065">
                  <c:v>43718</c:v>
                </c:pt>
                <c:pt idx="6066">
                  <c:v>43718</c:v>
                </c:pt>
                <c:pt idx="6067">
                  <c:v>43718</c:v>
                </c:pt>
                <c:pt idx="6068">
                  <c:v>43718</c:v>
                </c:pt>
                <c:pt idx="6069">
                  <c:v>43718</c:v>
                </c:pt>
                <c:pt idx="6070">
                  <c:v>43718</c:v>
                </c:pt>
                <c:pt idx="6071">
                  <c:v>43718</c:v>
                </c:pt>
                <c:pt idx="6072">
                  <c:v>43719</c:v>
                </c:pt>
                <c:pt idx="6073">
                  <c:v>43719</c:v>
                </c:pt>
                <c:pt idx="6074">
                  <c:v>43719</c:v>
                </c:pt>
                <c:pt idx="6075">
                  <c:v>43719</c:v>
                </c:pt>
                <c:pt idx="6076">
                  <c:v>43719</c:v>
                </c:pt>
                <c:pt idx="6077">
                  <c:v>43719</c:v>
                </c:pt>
                <c:pt idx="6078">
                  <c:v>43719</c:v>
                </c:pt>
                <c:pt idx="6079">
                  <c:v>43719</c:v>
                </c:pt>
                <c:pt idx="6080">
                  <c:v>43719</c:v>
                </c:pt>
                <c:pt idx="6081">
                  <c:v>43719</c:v>
                </c:pt>
                <c:pt idx="6082">
                  <c:v>43719</c:v>
                </c:pt>
                <c:pt idx="6083">
                  <c:v>43719</c:v>
                </c:pt>
                <c:pt idx="6084">
                  <c:v>43719</c:v>
                </c:pt>
                <c:pt idx="6085">
                  <c:v>43719</c:v>
                </c:pt>
                <c:pt idx="6086">
                  <c:v>43719</c:v>
                </c:pt>
                <c:pt idx="6087">
                  <c:v>43719</c:v>
                </c:pt>
                <c:pt idx="6088">
                  <c:v>43719</c:v>
                </c:pt>
                <c:pt idx="6089">
                  <c:v>43719</c:v>
                </c:pt>
                <c:pt idx="6090">
                  <c:v>43719</c:v>
                </c:pt>
                <c:pt idx="6091">
                  <c:v>43719</c:v>
                </c:pt>
                <c:pt idx="6092">
                  <c:v>43719</c:v>
                </c:pt>
                <c:pt idx="6093">
                  <c:v>43719</c:v>
                </c:pt>
                <c:pt idx="6094">
                  <c:v>43719</c:v>
                </c:pt>
                <c:pt idx="6095">
                  <c:v>43719</c:v>
                </c:pt>
                <c:pt idx="6096">
                  <c:v>43719</c:v>
                </c:pt>
                <c:pt idx="6097">
                  <c:v>43720</c:v>
                </c:pt>
                <c:pt idx="6098">
                  <c:v>43720</c:v>
                </c:pt>
                <c:pt idx="6099">
                  <c:v>43720</c:v>
                </c:pt>
                <c:pt idx="6100">
                  <c:v>43720</c:v>
                </c:pt>
                <c:pt idx="6101">
                  <c:v>43720</c:v>
                </c:pt>
                <c:pt idx="6102">
                  <c:v>43720</c:v>
                </c:pt>
                <c:pt idx="6103">
                  <c:v>43720</c:v>
                </c:pt>
                <c:pt idx="6104">
                  <c:v>43720</c:v>
                </c:pt>
                <c:pt idx="6105">
                  <c:v>43720</c:v>
                </c:pt>
                <c:pt idx="6106">
                  <c:v>43720</c:v>
                </c:pt>
                <c:pt idx="6107">
                  <c:v>43720</c:v>
                </c:pt>
                <c:pt idx="6108">
                  <c:v>43720</c:v>
                </c:pt>
                <c:pt idx="6109">
                  <c:v>43720</c:v>
                </c:pt>
                <c:pt idx="6110">
                  <c:v>43720</c:v>
                </c:pt>
                <c:pt idx="6111">
                  <c:v>43720</c:v>
                </c:pt>
                <c:pt idx="6112">
                  <c:v>43720</c:v>
                </c:pt>
                <c:pt idx="6113">
                  <c:v>43720</c:v>
                </c:pt>
                <c:pt idx="6114">
                  <c:v>43720</c:v>
                </c:pt>
                <c:pt idx="6115">
                  <c:v>43720</c:v>
                </c:pt>
                <c:pt idx="6116">
                  <c:v>43720</c:v>
                </c:pt>
                <c:pt idx="6117">
                  <c:v>43720</c:v>
                </c:pt>
                <c:pt idx="6118">
                  <c:v>43720</c:v>
                </c:pt>
                <c:pt idx="6119">
                  <c:v>43720</c:v>
                </c:pt>
                <c:pt idx="6120">
                  <c:v>43721</c:v>
                </c:pt>
                <c:pt idx="6121">
                  <c:v>43721</c:v>
                </c:pt>
                <c:pt idx="6122">
                  <c:v>43721</c:v>
                </c:pt>
                <c:pt idx="6123">
                  <c:v>43721</c:v>
                </c:pt>
                <c:pt idx="6124">
                  <c:v>43721</c:v>
                </c:pt>
                <c:pt idx="6125">
                  <c:v>43721</c:v>
                </c:pt>
                <c:pt idx="6126">
                  <c:v>43721</c:v>
                </c:pt>
                <c:pt idx="6127">
                  <c:v>43721</c:v>
                </c:pt>
                <c:pt idx="6128">
                  <c:v>43721</c:v>
                </c:pt>
                <c:pt idx="6129">
                  <c:v>43721</c:v>
                </c:pt>
                <c:pt idx="6130">
                  <c:v>43721</c:v>
                </c:pt>
                <c:pt idx="6131">
                  <c:v>43721</c:v>
                </c:pt>
                <c:pt idx="6132">
                  <c:v>43721</c:v>
                </c:pt>
                <c:pt idx="6133">
                  <c:v>43721</c:v>
                </c:pt>
                <c:pt idx="6134">
                  <c:v>43721</c:v>
                </c:pt>
                <c:pt idx="6135">
                  <c:v>43721</c:v>
                </c:pt>
                <c:pt idx="6136">
                  <c:v>43721</c:v>
                </c:pt>
                <c:pt idx="6137">
                  <c:v>43721</c:v>
                </c:pt>
                <c:pt idx="6138">
                  <c:v>43721</c:v>
                </c:pt>
                <c:pt idx="6139">
                  <c:v>43721</c:v>
                </c:pt>
                <c:pt idx="6140">
                  <c:v>43721</c:v>
                </c:pt>
                <c:pt idx="6141">
                  <c:v>43721</c:v>
                </c:pt>
                <c:pt idx="6142">
                  <c:v>43721</c:v>
                </c:pt>
                <c:pt idx="6143">
                  <c:v>43721</c:v>
                </c:pt>
                <c:pt idx="6144">
                  <c:v>43722</c:v>
                </c:pt>
                <c:pt idx="6145">
                  <c:v>43722</c:v>
                </c:pt>
                <c:pt idx="6146">
                  <c:v>43722</c:v>
                </c:pt>
                <c:pt idx="6147">
                  <c:v>43722</c:v>
                </c:pt>
                <c:pt idx="6148">
                  <c:v>43722</c:v>
                </c:pt>
                <c:pt idx="6149">
                  <c:v>43722</c:v>
                </c:pt>
                <c:pt idx="6150">
                  <c:v>43722</c:v>
                </c:pt>
                <c:pt idx="6151">
                  <c:v>43722</c:v>
                </c:pt>
                <c:pt idx="6152">
                  <c:v>43722</c:v>
                </c:pt>
                <c:pt idx="6153">
                  <c:v>43722</c:v>
                </c:pt>
                <c:pt idx="6154">
                  <c:v>43722</c:v>
                </c:pt>
                <c:pt idx="6155">
                  <c:v>43722</c:v>
                </c:pt>
                <c:pt idx="6156">
                  <c:v>43722</c:v>
                </c:pt>
                <c:pt idx="6157">
                  <c:v>43722</c:v>
                </c:pt>
                <c:pt idx="6158">
                  <c:v>43722</c:v>
                </c:pt>
                <c:pt idx="6159">
                  <c:v>43722</c:v>
                </c:pt>
                <c:pt idx="6160">
                  <c:v>43722</c:v>
                </c:pt>
                <c:pt idx="6161">
                  <c:v>43722</c:v>
                </c:pt>
                <c:pt idx="6162">
                  <c:v>43722</c:v>
                </c:pt>
                <c:pt idx="6163">
                  <c:v>43722</c:v>
                </c:pt>
                <c:pt idx="6164">
                  <c:v>43722</c:v>
                </c:pt>
                <c:pt idx="6165">
                  <c:v>43722</c:v>
                </c:pt>
                <c:pt idx="6166">
                  <c:v>43722</c:v>
                </c:pt>
                <c:pt idx="6167">
                  <c:v>43722</c:v>
                </c:pt>
                <c:pt idx="6168">
                  <c:v>43723</c:v>
                </c:pt>
                <c:pt idx="6169">
                  <c:v>43723</c:v>
                </c:pt>
                <c:pt idx="6170">
                  <c:v>43723</c:v>
                </c:pt>
                <c:pt idx="6171">
                  <c:v>43723</c:v>
                </c:pt>
                <c:pt idx="6172">
                  <c:v>43723</c:v>
                </c:pt>
                <c:pt idx="6173">
                  <c:v>43723</c:v>
                </c:pt>
                <c:pt idx="6174">
                  <c:v>43723</c:v>
                </c:pt>
                <c:pt idx="6175">
                  <c:v>43723</c:v>
                </c:pt>
                <c:pt idx="6176">
                  <c:v>43723</c:v>
                </c:pt>
                <c:pt idx="6177">
                  <c:v>43723</c:v>
                </c:pt>
                <c:pt idx="6178">
                  <c:v>43723</c:v>
                </c:pt>
                <c:pt idx="6179">
                  <c:v>43723</c:v>
                </c:pt>
                <c:pt idx="6180">
                  <c:v>43723</c:v>
                </c:pt>
                <c:pt idx="6181">
                  <c:v>43723</c:v>
                </c:pt>
                <c:pt idx="6182">
                  <c:v>43723</c:v>
                </c:pt>
                <c:pt idx="6183">
                  <c:v>43723</c:v>
                </c:pt>
                <c:pt idx="6184">
                  <c:v>43723</c:v>
                </c:pt>
                <c:pt idx="6185">
                  <c:v>43723</c:v>
                </c:pt>
                <c:pt idx="6186">
                  <c:v>43723</c:v>
                </c:pt>
                <c:pt idx="6187">
                  <c:v>43723</c:v>
                </c:pt>
                <c:pt idx="6188">
                  <c:v>43723</c:v>
                </c:pt>
                <c:pt idx="6189">
                  <c:v>43723</c:v>
                </c:pt>
                <c:pt idx="6190">
                  <c:v>43723</c:v>
                </c:pt>
                <c:pt idx="6191">
                  <c:v>43723</c:v>
                </c:pt>
                <c:pt idx="6192">
                  <c:v>43724</c:v>
                </c:pt>
                <c:pt idx="6193">
                  <c:v>43724</c:v>
                </c:pt>
                <c:pt idx="6194">
                  <c:v>43724</c:v>
                </c:pt>
                <c:pt idx="6195">
                  <c:v>43724</c:v>
                </c:pt>
                <c:pt idx="6196">
                  <c:v>43724</c:v>
                </c:pt>
                <c:pt idx="6197">
                  <c:v>43724</c:v>
                </c:pt>
                <c:pt idx="6198">
                  <c:v>43724</c:v>
                </c:pt>
                <c:pt idx="6199">
                  <c:v>43724</c:v>
                </c:pt>
                <c:pt idx="6200">
                  <c:v>43724</c:v>
                </c:pt>
                <c:pt idx="6201">
                  <c:v>43724</c:v>
                </c:pt>
                <c:pt idx="6202">
                  <c:v>43724</c:v>
                </c:pt>
                <c:pt idx="6203">
                  <c:v>43724</c:v>
                </c:pt>
                <c:pt idx="6204">
                  <c:v>43724</c:v>
                </c:pt>
                <c:pt idx="6205">
                  <c:v>43724</c:v>
                </c:pt>
                <c:pt idx="6206">
                  <c:v>43724</c:v>
                </c:pt>
                <c:pt idx="6207">
                  <c:v>43724</c:v>
                </c:pt>
                <c:pt idx="6208">
                  <c:v>43724</c:v>
                </c:pt>
                <c:pt idx="6209">
                  <c:v>43724</c:v>
                </c:pt>
                <c:pt idx="6210">
                  <c:v>43724</c:v>
                </c:pt>
                <c:pt idx="6211">
                  <c:v>43724</c:v>
                </c:pt>
                <c:pt idx="6212">
                  <c:v>43724</c:v>
                </c:pt>
                <c:pt idx="6213">
                  <c:v>43724</c:v>
                </c:pt>
                <c:pt idx="6214">
                  <c:v>43724</c:v>
                </c:pt>
                <c:pt idx="6215">
                  <c:v>43724</c:v>
                </c:pt>
                <c:pt idx="6216">
                  <c:v>43725</c:v>
                </c:pt>
                <c:pt idx="6217">
                  <c:v>43725</c:v>
                </c:pt>
                <c:pt idx="6218">
                  <c:v>43725</c:v>
                </c:pt>
                <c:pt idx="6219">
                  <c:v>43725</c:v>
                </c:pt>
                <c:pt idx="6220">
                  <c:v>43725</c:v>
                </c:pt>
                <c:pt idx="6221">
                  <c:v>43725</c:v>
                </c:pt>
                <c:pt idx="6222">
                  <c:v>43725</c:v>
                </c:pt>
                <c:pt idx="6223">
                  <c:v>43725</c:v>
                </c:pt>
                <c:pt idx="6224">
                  <c:v>43725</c:v>
                </c:pt>
                <c:pt idx="6225">
                  <c:v>43725</c:v>
                </c:pt>
                <c:pt idx="6226">
                  <c:v>43725</c:v>
                </c:pt>
                <c:pt idx="6227">
                  <c:v>43725</c:v>
                </c:pt>
                <c:pt idx="6228">
                  <c:v>43725</c:v>
                </c:pt>
                <c:pt idx="6229">
                  <c:v>43725</c:v>
                </c:pt>
                <c:pt idx="6230">
                  <c:v>43725</c:v>
                </c:pt>
                <c:pt idx="6231">
                  <c:v>43725</c:v>
                </c:pt>
                <c:pt idx="6232">
                  <c:v>43725</c:v>
                </c:pt>
                <c:pt idx="6233">
                  <c:v>43725</c:v>
                </c:pt>
                <c:pt idx="6234">
                  <c:v>43725</c:v>
                </c:pt>
                <c:pt idx="6235">
                  <c:v>43725</c:v>
                </c:pt>
                <c:pt idx="6236">
                  <c:v>43725</c:v>
                </c:pt>
                <c:pt idx="6237">
                  <c:v>43725</c:v>
                </c:pt>
                <c:pt idx="6238">
                  <c:v>43725</c:v>
                </c:pt>
                <c:pt idx="6239">
                  <c:v>43725</c:v>
                </c:pt>
                <c:pt idx="6240">
                  <c:v>43726</c:v>
                </c:pt>
                <c:pt idx="6241">
                  <c:v>43726</c:v>
                </c:pt>
                <c:pt idx="6242">
                  <c:v>43726</c:v>
                </c:pt>
                <c:pt idx="6243">
                  <c:v>43726</c:v>
                </c:pt>
                <c:pt idx="6244">
                  <c:v>43726</c:v>
                </c:pt>
                <c:pt idx="6245">
                  <c:v>43726</c:v>
                </c:pt>
                <c:pt idx="6246">
                  <c:v>43726</c:v>
                </c:pt>
                <c:pt idx="6247">
                  <c:v>43726</c:v>
                </c:pt>
                <c:pt idx="6248">
                  <c:v>43726</c:v>
                </c:pt>
                <c:pt idx="6249">
                  <c:v>43726</c:v>
                </c:pt>
                <c:pt idx="6250">
                  <c:v>43726</c:v>
                </c:pt>
                <c:pt idx="6251">
                  <c:v>43726</c:v>
                </c:pt>
                <c:pt idx="6252">
                  <c:v>43726</c:v>
                </c:pt>
                <c:pt idx="6253">
                  <c:v>43726</c:v>
                </c:pt>
                <c:pt idx="6254">
                  <c:v>43726</c:v>
                </c:pt>
                <c:pt idx="6255">
                  <c:v>43726</c:v>
                </c:pt>
                <c:pt idx="6256">
                  <c:v>43726</c:v>
                </c:pt>
                <c:pt idx="6257">
                  <c:v>43726</c:v>
                </c:pt>
                <c:pt idx="6258">
                  <c:v>43726</c:v>
                </c:pt>
                <c:pt idx="6259">
                  <c:v>43726</c:v>
                </c:pt>
                <c:pt idx="6260">
                  <c:v>43726</c:v>
                </c:pt>
                <c:pt idx="6261">
                  <c:v>43726</c:v>
                </c:pt>
                <c:pt idx="6262">
                  <c:v>43726</c:v>
                </c:pt>
                <c:pt idx="6263">
                  <c:v>43726</c:v>
                </c:pt>
                <c:pt idx="6264">
                  <c:v>43727</c:v>
                </c:pt>
                <c:pt idx="6265">
                  <c:v>43727</c:v>
                </c:pt>
                <c:pt idx="6266">
                  <c:v>43727</c:v>
                </c:pt>
                <c:pt idx="6267">
                  <c:v>43727</c:v>
                </c:pt>
                <c:pt idx="6268">
                  <c:v>43727</c:v>
                </c:pt>
                <c:pt idx="6269">
                  <c:v>43727</c:v>
                </c:pt>
                <c:pt idx="6270">
                  <c:v>43727</c:v>
                </c:pt>
                <c:pt idx="6271">
                  <c:v>43727</c:v>
                </c:pt>
                <c:pt idx="6272">
                  <c:v>43727</c:v>
                </c:pt>
                <c:pt idx="6273">
                  <c:v>43727</c:v>
                </c:pt>
                <c:pt idx="6274">
                  <c:v>43727</c:v>
                </c:pt>
                <c:pt idx="6275">
                  <c:v>43727</c:v>
                </c:pt>
                <c:pt idx="6276">
                  <c:v>43727</c:v>
                </c:pt>
                <c:pt idx="6277">
                  <c:v>43727</c:v>
                </c:pt>
                <c:pt idx="6278">
                  <c:v>43727</c:v>
                </c:pt>
                <c:pt idx="6279">
                  <c:v>43727</c:v>
                </c:pt>
                <c:pt idx="6280">
                  <c:v>43727</c:v>
                </c:pt>
                <c:pt idx="6281">
                  <c:v>43727</c:v>
                </c:pt>
                <c:pt idx="6282">
                  <c:v>43727</c:v>
                </c:pt>
                <c:pt idx="6283">
                  <c:v>43727</c:v>
                </c:pt>
                <c:pt idx="6284">
                  <c:v>43727</c:v>
                </c:pt>
                <c:pt idx="6285">
                  <c:v>43727</c:v>
                </c:pt>
                <c:pt idx="6286">
                  <c:v>43727</c:v>
                </c:pt>
                <c:pt idx="6287">
                  <c:v>43727</c:v>
                </c:pt>
                <c:pt idx="6288">
                  <c:v>43728</c:v>
                </c:pt>
                <c:pt idx="6289">
                  <c:v>43728</c:v>
                </c:pt>
                <c:pt idx="6290">
                  <c:v>43728</c:v>
                </c:pt>
                <c:pt idx="6291">
                  <c:v>43728</c:v>
                </c:pt>
                <c:pt idx="6292">
                  <c:v>43728</c:v>
                </c:pt>
                <c:pt idx="6293">
                  <c:v>43728</c:v>
                </c:pt>
                <c:pt idx="6294">
                  <c:v>43728</c:v>
                </c:pt>
                <c:pt idx="6295">
                  <c:v>43728</c:v>
                </c:pt>
                <c:pt idx="6296">
                  <c:v>43728</c:v>
                </c:pt>
                <c:pt idx="6297">
                  <c:v>43728</c:v>
                </c:pt>
                <c:pt idx="6298">
                  <c:v>43728</c:v>
                </c:pt>
                <c:pt idx="6299">
                  <c:v>43728</c:v>
                </c:pt>
                <c:pt idx="6300">
                  <c:v>43728</c:v>
                </c:pt>
                <c:pt idx="6301">
                  <c:v>43728</c:v>
                </c:pt>
                <c:pt idx="6302">
                  <c:v>43728</c:v>
                </c:pt>
                <c:pt idx="6303">
                  <c:v>43728</c:v>
                </c:pt>
                <c:pt idx="6304">
                  <c:v>43728</c:v>
                </c:pt>
                <c:pt idx="6305">
                  <c:v>43728</c:v>
                </c:pt>
                <c:pt idx="6306">
                  <c:v>43728</c:v>
                </c:pt>
                <c:pt idx="6307">
                  <c:v>43728</c:v>
                </c:pt>
                <c:pt idx="6308">
                  <c:v>43728</c:v>
                </c:pt>
                <c:pt idx="6309">
                  <c:v>43728</c:v>
                </c:pt>
                <c:pt idx="6310">
                  <c:v>43728</c:v>
                </c:pt>
                <c:pt idx="6311">
                  <c:v>43728</c:v>
                </c:pt>
                <c:pt idx="6312">
                  <c:v>43729</c:v>
                </c:pt>
                <c:pt idx="6313">
                  <c:v>43729</c:v>
                </c:pt>
                <c:pt idx="6314">
                  <c:v>43729</c:v>
                </c:pt>
                <c:pt idx="6315">
                  <c:v>43729</c:v>
                </c:pt>
                <c:pt idx="6316">
                  <c:v>43729</c:v>
                </c:pt>
                <c:pt idx="6317">
                  <c:v>43729</c:v>
                </c:pt>
                <c:pt idx="6318">
                  <c:v>43729</c:v>
                </c:pt>
                <c:pt idx="6319">
                  <c:v>43729</c:v>
                </c:pt>
                <c:pt idx="6320">
                  <c:v>43729</c:v>
                </c:pt>
                <c:pt idx="6321">
                  <c:v>43729</c:v>
                </c:pt>
                <c:pt idx="6322">
                  <c:v>43729</c:v>
                </c:pt>
                <c:pt idx="6323">
                  <c:v>43729</c:v>
                </c:pt>
                <c:pt idx="6324">
                  <c:v>43729</c:v>
                </c:pt>
                <c:pt idx="6325">
                  <c:v>43729</c:v>
                </c:pt>
                <c:pt idx="6326">
                  <c:v>43729</c:v>
                </c:pt>
                <c:pt idx="6327">
                  <c:v>43729</c:v>
                </c:pt>
                <c:pt idx="6328">
                  <c:v>43729</c:v>
                </c:pt>
                <c:pt idx="6329">
                  <c:v>43729</c:v>
                </c:pt>
                <c:pt idx="6330">
                  <c:v>43729</c:v>
                </c:pt>
                <c:pt idx="6331">
                  <c:v>43729</c:v>
                </c:pt>
                <c:pt idx="6332">
                  <c:v>43729</c:v>
                </c:pt>
                <c:pt idx="6333">
                  <c:v>43729</c:v>
                </c:pt>
                <c:pt idx="6334">
                  <c:v>43729</c:v>
                </c:pt>
                <c:pt idx="6335">
                  <c:v>43729</c:v>
                </c:pt>
                <c:pt idx="6336">
                  <c:v>43730</c:v>
                </c:pt>
                <c:pt idx="6337">
                  <c:v>43730</c:v>
                </c:pt>
                <c:pt idx="6338">
                  <c:v>43730</c:v>
                </c:pt>
                <c:pt idx="6339">
                  <c:v>43730</c:v>
                </c:pt>
                <c:pt idx="6340">
                  <c:v>43730</c:v>
                </c:pt>
                <c:pt idx="6341">
                  <c:v>43730</c:v>
                </c:pt>
                <c:pt idx="6342">
                  <c:v>43730</c:v>
                </c:pt>
                <c:pt idx="6343">
                  <c:v>43730</c:v>
                </c:pt>
                <c:pt idx="6344">
                  <c:v>43730</c:v>
                </c:pt>
                <c:pt idx="6345">
                  <c:v>43730</c:v>
                </c:pt>
                <c:pt idx="6346">
                  <c:v>43730</c:v>
                </c:pt>
                <c:pt idx="6347">
                  <c:v>43730</c:v>
                </c:pt>
                <c:pt idx="6348">
                  <c:v>43730</c:v>
                </c:pt>
                <c:pt idx="6349">
                  <c:v>43730</c:v>
                </c:pt>
                <c:pt idx="6350">
                  <c:v>43730</c:v>
                </c:pt>
                <c:pt idx="6351">
                  <c:v>43730</c:v>
                </c:pt>
                <c:pt idx="6352">
                  <c:v>43730</c:v>
                </c:pt>
                <c:pt idx="6353">
                  <c:v>43730</c:v>
                </c:pt>
                <c:pt idx="6354">
                  <c:v>43730</c:v>
                </c:pt>
                <c:pt idx="6355">
                  <c:v>43730</c:v>
                </c:pt>
                <c:pt idx="6356">
                  <c:v>43730</c:v>
                </c:pt>
                <c:pt idx="6357">
                  <c:v>43730</c:v>
                </c:pt>
                <c:pt idx="6358">
                  <c:v>43730</c:v>
                </c:pt>
                <c:pt idx="6359">
                  <c:v>43730</c:v>
                </c:pt>
                <c:pt idx="6360">
                  <c:v>43731</c:v>
                </c:pt>
                <c:pt idx="6361">
                  <c:v>43731</c:v>
                </c:pt>
                <c:pt idx="6362">
                  <c:v>43731</c:v>
                </c:pt>
                <c:pt idx="6363">
                  <c:v>43731</c:v>
                </c:pt>
                <c:pt idx="6364">
                  <c:v>43731</c:v>
                </c:pt>
                <c:pt idx="6365">
                  <c:v>43731</c:v>
                </c:pt>
                <c:pt idx="6366">
                  <c:v>43731</c:v>
                </c:pt>
                <c:pt idx="6367">
                  <c:v>43731</c:v>
                </c:pt>
                <c:pt idx="6368">
                  <c:v>43731</c:v>
                </c:pt>
                <c:pt idx="6369">
                  <c:v>43731</c:v>
                </c:pt>
                <c:pt idx="6370">
                  <c:v>43731</c:v>
                </c:pt>
                <c:pt idx="6371">
                  <c:v>43731</c:v>
                </c:pt>
                <c:pt idx="6372">
                  <c:v>43731</c:v>
                </c:pt>
                <c:pt idx="6373">
                  <c:v>43731</c:v>
                </c:pt>
                <c:pt idx="6374">
                  <c:v>43731</c:v>
                </c:pt>
                <c:pt idx="6375">
                  <c:v>43731</c:v>
                </c:pt>
                <c:pt idx="6376">
                  <c:v>43731</c:v>
                </c:pt>
                <c:pt idx="6377">
                  <c:v>43731</c:v>
                </c:pt>
                <c:pt idx="6378">
                  <c:v>43731</c:v>
                </c:pt>
                <c:pt idx="6379">
                  <c:v>43731</c:v>
                </c:pt>
                <c:pt idx="6380">
                  <c:v>43731</c:v>
                </c:pt>
                <c:pt idx="6381">
                  <c:v>43731</c:v>
                </c:pt>
                <c:pt idx="6382">
                  <c:v>43731</c:v>
                </c:pt>
                <c:pt idx="6383">
                  <c:v>43731</c:v>
                </c:pt>
                <c:pt idx="6384">
                  <c:v>43732</c:v>
                </c:pt>
                <c:pt idx="6385">
                  <c:v>43732</c:v>
                </c:pt>
                <c:pt idx="6386">
                  <c:v>43732</c:v>
                </c:pt>
                <c:pt idx="6387">
                  <c:v>43732</c:v>
                </c:pt>
                <c:pt idx="6388">
                  <c:v>43732</c:v>
                </c:pt>
                <c:pt idx="6389">
                  <c:v>43732</c:v>
                </c:pt>
                <c:pt idx="6390">
                  <c:v>43732</c:v>
                </c:pt>
                <c:pt idx="6391">
                  <c:v>43732</c:v>
                </c:pt>
                <c:pt idx="6392">
                  <c:v>43732</c:v>
                </c:pt>
                <c:pt idx="6393">
                  <c:v>43732</c:v>
                </c:pt>
                <c:pt idx="6394">
                  <c:v>43732</c:v>
                </c:pt>
                <c:pt idx="6395">
                  <c:v>43732</c:v>
                </c:pt>
                <c:pt idx="6396">
                  <c:v>43732</c:v>
                </c:pt>
                <c:pt idx="6397">
                  <c:v>43732</c:v>
                </c:pt>
                <c:pt idx="6398">
                  <c:v>43732</c:v>
                </c:pt>
                <c:pt idx="6399">
                  <c:v>43732</c:v>
                </c:pt>
                <c:pt idx="6400">
                  <c:v>43732</c:v>
                </c:pt>
                <c:pt idx="6401">
                  <c:v>43732</c:v>
                </c:pt>
                <c:pt idx="6402">
                  <c:v>43732</c:v>
                </c:pt>
                <c:pt idx="6403">
                  <c:v>43732</c:v>
                </c:pt>
                <c:pt idx="6404">
                  <c:v>43732</c:v>
                </c:pt>
                <c:pt idx="6405">
                  <c:v>43732</c:v>
                </c:pt>
                <c:pt idx="6406">
                  <c:v>43732</c:v>
                </c:pt>
                <c:pt idx="6407">
                  <c:v>43732</c:v>
                </c:pt>
                <c:pt idx="6408">
                  <c:v>43733</c:v>
                </c:pt>
                <c:pt idx="6409">
                  <c:v>43733</c:v>
                </c:pt>
                <c:pt idx="6410">
                  <c:v>43733</c:v>
                </c:pt>
                <c:pt idx="6411">
                  <c:v>43733</c:v>
                </c:pt>
                <c:pt idx="6412">
                  <c:v>43733</c:v>
                </c:pt>
                <c:pt idx="6413">
                  <c:v>43733</c:v>
                </c:pt>
                <c:pt idx="6414">
                  <c:v>43733</c:v>
                </c:pt>
                <c:pt idx="6415">
                  <c:v>43733</c:v>
                </c:pt>
                <c:pt idx="6416">
                  <c:v>43733</c:v>
                </c:pt>
                <c:pt idx="6417">
                  <c:v>43733</c:v>
                </c:pt>
                <c:pt idx="6418">
                  <c:v>43733</c:v>
                </c:pt>
                <c:pt idx="6419">
                  <c:v>43733</c:v>
                </c:pt>
                <c:pt idx="6420">
                  <c:v>43733</c:v>
                </c:pt>
                <c:pt idx="6421">
                  <c:v>43733</c:v>
                </c:pt>
                <c:pt idx="6422">
                  <c:v>43733</c:v>
                </c:pt>
                <c:pt idx="6423">
                  <c:v>43733</c:v>
                </c:pt>
                <c:pt idx="6424">
                  <c:v>43733</c:v>
                </c:pt>
                <c:pt idx="6425">
                  <c:v>43733</c:v>
                </c:pt>
                <c:pt idx="6426">
                  <c:v>43733</c:v>
                </c:pt>
                <c:pt idx="6427">
                  <c:v>43733</c:v>
                </c:pt>
                <c:pt idx="6428">
                  <c:v>43733</c:v>
                </c:pt>
                <c:pt idx="6429">
                  <c:v>43733</c:v>
                </c:pt>
                <c:pt idx="6430">
                  <c:v>43733</c:v>
                </c:pt>
                <c:pt idx="6431">
                  <c:v>43733</c:v>
                </c:pt>
                <c:pt idx="6432">
                  <c:v>43734</c:v>
                </c:pt>
                <c:pt idx="6433">
                  <c:v>43734</c:v>
                </c:pt>
                <c:pt idx="6434">
                  <c:v>43734</c:v>
                </c:pt>
                <c:pt idx="6435">
                  <c:v>43734</c:v>
                </c:pt>
                <c:pt idx="6436">
                  <c:v>43734</c:v>
                </c:pt>
                <c:pt idx="6437">
                  <c:v>43734</c:v>
                </c:pt>
                <c:pt idx="6438">
                  <c:v>43734</c:v>
                </c:pt>
                <c:pt idx="6439">
                  <c:v>43734</c:v>
                </c:pt>
                <c:pt idx="6440">
                  <c:v>43734</c:v>
                </c:pt>
                <c:pt idx="6441">
                  <c:v>43734</c:v>
                </c:pt>
                <c:pt idx="6442">
                  <c:v>43734</c:v>
                </c:pt>
                <c:pt idx="6443">
                  <c:v>43734</c:v>
                </c:pt>
                <c:pt idx="6444">
                  <c:v>43734</c:v>
                </c:pt>
                <c:pt idx="6445">
                  <c:v>43734</c:v>
                </c:pt>
                <c:pt idx="6446">
                  <c:v>43734</c:v>
                </c:pt>
                <c:pt idx="6447">
                  <c:v>43734</c:v>
                </c:pt>
                <c:pt idx="6448">
                  <c:v>43734</c:v>
                </c:pt>
                <c:pt idx="6449">
                  <c:v>43734</c:v>
                </c:pt>
                <c:pt idx="6450">
                  <c:v>43734</c:v>
                </c:pt>
                <c:pt idx="6451">
                  <c:v>43734</c:v>
                </c:pt>
                <c:pt idx="6452">
                  <c:v>43734</c:v>
                </c:pt>
                <c:pt idx="6453">
                  <c:v>43734</c:v>
                </c:pt>
                <c:pt idx="6454">
                  <c:v>43734</c:v>
                </c:pt>
                <c:pt idx="6455">
                  <c:v>43734</c:v>
                </c:pt>
                <c:pt idx="6456">
                  <c:v>43735</c:v>
                </c:pt>
                <c:pt idx="6457">
                  <c:v>43735</c:v>
                </c:pt>
                <c:pt idx="6458">
                  <c:v>43735</c:v>
                </c:pt>
                <c:pt idx="6459">
                  <c:v>43735</c:v>
                </c:pt>
                <c:pt idx="6460">
                  <c:v>43735</c:v>
                </c:pt>
                <c:pt idx="6461">
                  <c:v>43735</c:v>
                </c:pt>
                <c:pt idx="6462">
                  <c:v>43735</c:v>
                </c:pt>
                <c:pt idx="6463">
                  <c:v>43735</c:v>
                </c:pt>
                <c:pt idx="6464">
                  <c:v>43735</c:v>
                </c:pt>
                <c:pt idx="6465">
                  <c:v>43735</c:v>
                </c:pt>
                <c:pt idx="6466">
                  <c:v>43735</c:v>
                </c:pt>
                <c:pt idx="6467">
                  <c:v>43735</c:v>
                </c:pt>
                <c:pt idx="6468">
                  <c:v>43735</c:v>
                </c:pt>
                <c:pt idx="6469">
                  <c:v>43735</c:v>
                </c:pt>
                <c:pt idx="6470">
                  <c:v>43735</c:v>
                </c:pt>
                <c:pt idx="6471">
                  <c:v>43735</c:v>
                </c:pt>
                <c:pt idx="6472">
                  <c:v>43735</c:v>
                </c:pt>
                <c:pt idx="6473">
                  <c:v>43735</c:v>
                </c:pt>
                <c:pt idx="6474">
                  <c:v>43735</c:v>
                </c:pt>
                <c:pt idx="6475">
                  <c:v>43735</c:v>
                </c:pt>
                <c:pt idx="6476">
                  <c:v>43735</c:v>
                </c:pt>
                <c:pt idx="6477">
                  <c:v>43735</c:v>
                </c:pt>
                <c:pt idx="6478">
                  <c:v>43735</c:v>
                </c:pt>
                <c:pt idx="6479">
                  <c:v>43735</c:v>
                </c:pt>
                <c:pt idx="6480">
                  <c:v>43736</c:v>
                </c:pt>
                <c:pt idx="6481">
                  <c:v>43736</c:v>
                </c:pt>
                <c:pt idx="6482">
                  <c:v>43736</c:v>
                </c:pt>
                <c:pt idx="6483">
                  <c:v>43736</c:v>
                </c:pt>
                <c:pt idx="6484">
                  <c:v>43736</c:v>
                </c:pt>
                <c:pt idx="6485">
                  <c:v>43736</c:v>
                </c:pt>
                <c:pt idx="6486">
                  <c:v>43736</c:v>
                </c:pt>
                <c:pt idx="6487">
                  <c:v>43736</c:v>
                </c:pt>
                <c:pt idx="6488">
                  <c:v>43736</c:v>
                </c:pt>
                <c:pt idx="6489">
                  <c:v>43736</c:v>
                </c:pt>
                <c:pt idx="6490">
                  <c:v>43736</c:v>
                </c:pt>
                <c:pt idx="6491">
                  <c:v>43736</c:v>
                </c:pt>
                <c:pt idx="6492">
                  <c:v>43736</c:v>
                </c:pt>
                <c:pt idx="6493">
                  <c:v>43736</c:v>
                </c:pt>
                <c:pt idx="6494">
                  <c:v>43736</c:v>
                </c:pt>
                <c:pt idx="6495">
                  <c:v>43736</c:v>
                </c:pt>
                <c:pt idx="6496">
                  <c:v>43736</c:v>
                </c:pt>
                <c:pt idx="6497">
                  <c:v>43736</c:v>
                </c:pt>
                <c:pt idx="6498">
                  <c:v>43736</c:v>
                </c:pt>
                <c:pt idx="6499">
                  <c:v>43736</c:v>
                </c:pt>
                <c:pt idx="6500">
                  <c:v>43736</c:v>
                </c:pt>
                <c:pt idx="6501">
                  <c:v>43736</c:v>
                </c:pt>
                <c:pt idx="6502">
                  <c:v>43736</c:v>
                </c:pt>
                <c:pt idx="6503">
                  <c:v>43736</c:v>
                </c:pt>
                <c:pt idx="6504">
                  <c:v>43737</c:v>
                </c:pt>
                <c:pt idx="6505">
                  <c:v>43737</c:v>
                </c:pt>
                <c:pt idx="6506">
                  <c:v>43737</c:v>
                </c:pt>
                <c:pt idx="6507">
                  <c:v>43737</c:v>
                </c:pt>
                <c:pt idx="6508">
                  <c:v>43737</c:v>
                </c:pt>
                <c:pt idx="6509">
                  <c:v>43737</c:v>
                </c:pt>
                <c:pt idx="6510">
                  <c:v>43737</c:v>
                </c:pt>
                <c:pt idx="6511">
                  <c:v>43737</c:v>
                </c:pt>
                <c:pt idx="6512">
                  <c:v>43737</c:v>
                </c:pt>
                <c:pt idx="6513">
                  <c:v>43737</c:v>
                </c:pt>
                <c:pt idx="6514">
                  <c:v>43737</c:v>
                </c:pt>
                <c:pt idx="6515">
                  <c:v>43737</c:v>
                </c:pt>
                <c:pt idx="6516">
                  <c:v>43737</c:v>
                </c:pt>
                <c:pt idx="6517">
                  <c:v>43737</c:v>
                </c:pt>
                <c:pt idx="6518">
                  <c:v>43737</c:v>
                </c:pt>
                <c:pt idx="6519">
                  <c:v>43737</c:v>
                </c:pt>
                <c:pt idx="6520">
                  <c:v>43737</c:v>
                </c:pt>
                <c:pt idx="6521">
                  <c:v>43737</c:v>
                </c:pt>
                <c:pt idx="6522">
                  <c:v>43737</c:v>
                </c:pt>
                <c:pt idx="6523">
                  <c:v>43737</c:v>
                </c:pt>
                <c:pt idx="6524">
                  <c:v>43737</c:v>
                </c:pt>
                <c:pt idx="6525">
                  <c:v>43737</c:v>
                </c:pt>
                <c:pt idx="6526">
                  <c:v>43737</c:v>
                </c:pt>
                <c:pt idx="6527">
                  <c:v>43737</c:v>
                </c:pt>
                <c:pt idx="6528">
                  <c:v>43738</c:v>
                </c:pt>
                <c:pt idx="6529">
                  <c:v>43738</c:v>
                </c:pt>
                <c:pt idx="6530">
                  <c:v>43738</c:v>
                </c:pt>
                <c:pt idx="6531">
                  <c:v>43738</c:v>
                </c:pt>
                <c:pt idx="6532">
                  <c:v>43738</c:v>
                </c:pt>
                <c:pt idx="6533">
                  <c:v>43738</c:v>
                </c:pt>
                <c:pt idx="6534">
                  <c:v>43738</c:v>
                </c:pt>
                <c:pt idx="6535">
                  <c:v>43738</c:v>
                </c:pt>
                <c:pt idx="6536">
                  <c:v>43738</c:v>
                </c:pt>
                <c:pt idx="6537">
                  <c:v>43738</c:v>
                </c:pt>
                <c:pt idx="6538">
                  <c:v>43738</c:v>
                </c:pt>
                <c:pt idx="6539">
                  <c:v>43738</c:v>
                </c:pt>
                <c:pt idx="6540">
                  <c:v>43738</c:v>
                </c:pt>
                <c:pt idx="6541">
                  <c:v>43738</c:v>
                </c:pt>
                <c:pt idx="6542">
                  <c:v>43738</c:v>
                </c:pt>
                <c:pt idx="6543">
                  <c:v>43738</c:v>
                </c:pt>
                <c:pt idx="6544">
                  <c:v>43738</c:v>
                </c:pt>
                <c:pt idx="6545">
                  <c:v>43738</c:v>
                </c:pt>
                <c:pt idx="6546">
                  <c:v>43738</c:v>
                </c:pt>
                <c:pt idx="6547">
                  <c:v>43738</c:v>
                </c:pt>
                <c:pt idx="6548">
                  <c:v>43738</c:v>
                </c:pt>
                <c:pt idx="6549">
                  <c:v>43738</c:v>
                </c:pt>
                <c:pt idx="6550">
                  <c:v>43738</c:v>
                </c:pt>
                <c:pt idx="6551">
                  <c:v>43738</c:v>
                </c:pt>
                <c:pt idx="6552">
                  <c:v>43739</c:v>
                </c:pt>
                <c:pt idx="6553">
                  <c:v>43739</c:v>
                </c:pt>
                <c:pt idx="6554">
                  <c:v>43739</c:v>
                </c:pt>
                <c:pt idx="6555">
                  <c:v>43739</c:v>
                </c:pt>
                <c:pt idx="6556">
                  <c:v>43739</c:v>
                </c:pt>
                <c:pt idx="6557">
                  <c:v>43739</c:v>
                </c:pt>
                <c:pt idx="6558">
                  <c:v>43739</c:v>
                </c:pt>
                <c:pt idx="6559">
                  <c:v>43739</c:v>
                </c:pt>
                <c:pt idx="6560">
                  <c:v>43739</c:v>
                </c:pt>
                <c:pt idx="6561">
                  <c:v>43739</c:v>
                </c:pt>
                <c:pt idx="6562">
                  <c:v>43739</c:v>
                </c:pt>
                <c:pt idx="6563">
                  <c:v>43739</c:v>
                </c:pt>
                <c:pt idx="6564">
                  <c:v>43739</c:v>
                </c:pt>
                <c:pt idx="6565">
                  <c:v>43739</c:v>
                </c:pt>
                <c:pt idx="6566">
                  <c:v>43739</c:v>
                </c:pt>
                <c:pt idx="6567">
                  <c:v>43739</c:v>
                </c:pt>
                <c:pt idx="6568">
                  <c:v>43739</c:v>
                </c:pt>
                <c:pt idx="6569">
                  <c:v>43739</c:v>
                </c:pt>
                <c:pt idx="6570">
                  <c:v>43739</c:v>
                </c:pt>
                <c:pt idx="6571">
                  <c:v>43739</c:v>
                </c:pt>
                <c:pt idx="6572">
                  <c:v>43739</c:v>
                </c:pt>
                <c:pt idx="6573">
                  <c:v>43739</c:v>
                </c:pt>
                <c:pt idx="6574">
                  <c:v>43739</c:v>
                </c:pt>
                <c:pt idx="6575">
                  <c:v>43739</c:v>
                </c:pt>
                <c:pt idx="6576">
                  <c:v>43740</c:v>
                </c:pt>
                <c:pt idx="6577">
                  <c:v>43740</c:v>
                </c:pt>
                <c:pt idx="6578">
                  <c:v>43740</c:v>
                </c:pt>
                <c:pt idx="6579">
                  <c:v>43740</c:v>
                </c:pt>
                <c:pt idx="6580">
                  <c:v>43740</c:v>
                </c:pt>
                <c:pt idx="6581">
                  <c:v>43740</c:v>
                </c:pt>
                <c:pt idx="6582">
                  <c:v>43740</c:v>
                </c:pt>
                <c:pt idx="6583">
                  <c:v>43740</c:v>
                </c:pt>
                <c:pt idx="6584">
                  <c:v>43740</c:v>
                </c:pt>
                <c:pt idx="6585">
                  <c:v>43740</c:v>
                </c:pt>
                <c:pt idx="6586">
                  <c:v>43740</c:v>
                </c:pt>
                <c:pt idx="6587">
                  <c:v>43740</c:v>
                </c:pt>
                <c:pt idx="6588">
                  <c:v>43740</c:v>
                </c:pt>
                <c:pt idx="6589">
                  <c:v>43740</c:v>
                </c:pt>
                <c:pt idx="6590">
                  <c:v>43740</c:v>
                </c:pt>
                <c:pt idx="6591">
                  <c:v>43740</c:v>
                </c:pt>
                <c:pt idx="6592">
                  <c:v>43740</c:v>
                </c:pt>
                <c:pt idx="6593">
                  <c:v>43740</c:v>
                </c:pt>
                <c:pt idx="6594">
                  <c:v>43740</c:v>
                </c:pt>
                <c:pt idx="6595">
                  <c:v>43740</c:v>
                </c:pt>
                <c:pt idx="6596">
                  <c:v>43740</c:v>
                </c:pt>
                <c:pt idx="6597">
                  <c:v>43740</c:v>
                </c:pt>
                <c:pt idx="6598">
                  <c:v>43740</c:v>
                </c:pt>
                <c:pt idx="6599">
                  <c:v>43740</c:v>
                </c:pt>
                <c:pt idx="6600">
                  <c:v>43741</c:v>
                </c:pt>
                <c:pt idx="6601">
                  <c:v>43741</c:v>
                </c:pt>
                <c:pt idx="6602">
                  <c:v>43741</c:v>
                </c:pt>
                <c:pt idx="6603">
                  <c:v>43741</c:v>
                </c:pt>
                <c:pt idx="6604">
                  <c:v>43741</c:v>
                </c:pt>
                <c:pt idx="6605">
                  <c:v>43741</c:v>
                </c:pt>
                <c:pt idx="6606">
                  <c:v>43741</c:v>
                </c:pt>
                <c:pt idx="6607">
                  <c:v>43741</c:v>
                </c:pt>
                <c:pt idx="6608">
                  <c:v>43741</c:v>
                </c:pt>
                <c:pt idx="6609">
                  <c:v>43741</c:v>
                </c:pt>
                <c:pt idx="6610">
                  <c:v>43741</c:v>
                </c:pt>
                <c:pt idx="6611">
                  <c:v>43741</c:v>
                </c:pt>
                <c:pt idx="6612">
                  <c:v>43741</c:v>
                </c:pt>
                <c:pt idx="6613">
                  <c:v>43741</c:v>
                </c:pt>
                <c:pt idx="6614">
                  <c:v>43741</c:v>
                </c:pt>
                <c:pt idx="6615">
                  <c:v>43741</c:v>
                </c:pt>
                <c:pt idx="6616">
                  <c:v>43741</c:v>
                </c:pt>
                <c:pt idx="6617">
                  <c:v>43741</c:v>
                </c:pt>
                <c:pt idx="6618">
                  <c:v>43741</c:v>
                </c:pt>
                <c:pt idx="6619">
                  <c:v>43741</c:v>
                </c:pt>
                <c:pt idx="6620">
                  <c:v>43741</c:v>
                </c:pt>
                <c:pt idx="6621">
                  <c:v>43741</c:v>
                </c:pt>
                <c:pt idx="6622">
                  <c:v>43741</c:v>
                </c:pt>
                <c:pt idx="6623">
                  <c:v>43741</c:v>
                </c:pt>
                <c:pt idx="6624">
                  <c:v>43742</c:v>
                </c:pt>
                <c:pt idx="6625">
                  <c:v>43742</c:v>
                </c:pt>
                <c:pt idx="6626">
                  <c:v>43742</c:v>
                </c:pt>
                <c:pt idx="6627">
                  <c:v>43742</c:v>
                </c:pt>
                <c:pt idx="6628">
                  <c:v>43742</c:v>
                </c:pt>
                <c:pt idx="6629">
                  <c:v>43742</c:v>
                </c:pt>
                <c:pt idx="6630">
                  <c:v>43742</c:v>
                </c:pt>
                <c:pt idx="6631">
                  <c:v>43742</c:v>
                </c:pt>
                <c:pt idx="6632">
                  <c:v>43742</c:v>
                </c:pt>
                <c:pt idx="6633">
                  <c:v>43742</c:v>
                </c:pt>
                <c:pt idx="6634">
                  <c:v>43742</c:v>
                </c:pt>
                <c:pt idx="6635">
                  <c:v>43742</c:v>
                </c:pt>
                <c:pt idx="6636">
                  <c:v>43742</c:v>
                </c:pt>
                <c:pt idx="6637">
                  <c:v>43742</c:v>
                </c:pt>
                <c:pt idx="6638">
                  <c:v>43742</c:v>
                </c:pt>
                <c:pt idx="6639">
                  <c:v>43742</c:v>
                </c:pt>
                <c:pt idx="6640">
                  <c:v>43742</c:v>
                </c:pt>
                <c:pt idx="6641">
                  <c:v>43742</c:v>
                </c:pt>
                <c:pt idx="6642">
                  <c:v>43742</c:v>
                </c:pt>
                <c:pt idx="6643">
                  <c:v>43742</c:v>
                </c:pt>
                <c:pt idx="6644">
                  <c:v>43742</c:v>
                </c:pt>
                <c:pt idx="6645">
                  <c:v>43742</c:v>
                </c:pt>
                <c:pt idx="6646">
                  <c:v>43742</c:v>
                </c:pt>
                <c:pt idx="6647">
                  <c:v>43742</c:v>
                </c:pt>
                <c:pt idx="6648">
                  <c:v>43743</c:v>
                </c:pt>
                <c:pt idx="6649">
                  <c:v>43743</c:v>
                </c:pt>
                <c:pt idx="6650">
                  <c:v>43743</c:v>
                </c:pt>
                <c:pt idx="6651">
                  <c:v>43743</c:v>
                </c:pt>
                <c:pt idx="6652">
                  <c:v>43743</c:v>
                </c:pt>
                <c:pt idx="6653">
                  <c:v>43743</c:v>
                </c:pt>
                <c:pt idx="6654">
                  <c:v>43743</c:v>
                </c:pt>
                <c:pt idx="6655">
                  <c:v>43743</c:v>
                </c:pt>
                <c:pt idx="6656">
                  <c:v>43743</c:v>
                </c:pt>
                <c:pt idx="6657">
                  <c:v>43743</c:v>
                </c:pt>
                <c:pt idx="6658">
                  <c:v>43743</c:v>
                </c:pt>
                <c:pt idx="6659">
                  <c:v>43743</c:v>
                </c:pt>
                <c:pt idx="6660">
                  <c:v>43743</c:v>
                </c:pt>
                <c:pt idx="6661">
                  <c:v>43743</c:v>
                </c:pt>
                <c:pt idx="6662">
                  <c:v>43743</c:v>
                </c:pt>
                <c:pt idx="6663">
                  <c:v>43743</c:v>
                </c:pt>
                <c:pt idx="6664">
                  <c:v>43743</c:v>
                </c:pt>
                <c:pt idx="6665">
                  <c:v>43743</c:v>
                </c:pt>
                <c:pt idx="6666">
                  <c:v>43743</c:v>
                </c:pt>
                <c:pt idx="6667">
                  <c:v>43743</c:v>
                </c:pt>
                <c:pt idx="6668">
                  <c:v>43743</c:v>
                </c:pt>
                <c:pt idx="6669">
                  <c:v>43743</c:v>
                </c:pt>
                <c:pt idx="6670">
                  <c:v>43743</c:v>
                </c:pt>
                <c:pt idx="6671">
                  <c:v>43743</c:v>
                </c:pt>
                <c:pt idx="6672">
                  <c:v>43744</c:v>
                </c:pt>
                <c:pt idx="6673">
                  <c:v>43744</c:v>
                </c:pt>
                <c:pt idx="6674">
                  <c:v>43744</c:v>
                </c:pt>
                <c:pt idx="6675">
                  <c:v>43744</c:v>
                </c:pt>
                <c:pt idx="6676">
                  <c:v>43744</c:v>
                </c:pt>
                <c:pt idx="6677">
                  <c:v>43744</c:v>
                </c:pt>
                <c:pt idx="6678">
                  <c:v>43744</c:v>
                </c:pt>
                <c:pt idx="6679">
                  <c:v>43744</c:v>
                </c:pt>
                <c:pt idx="6680">
                  <c:v>43744</c:v>
                </c:pt>
                <c:pt idx="6681">
                  <c:v>43744</c:v>
                </c:pt>
                <c:pt idx="6682">
                  <c:v>43744</c:v>
                </c:pt>
                <c:pt idx="6683">
                  <c:v>43744</c:v>
                </c:pt>
                <c:pt idx="6684">
                  <c:v>43744</c:v>
                </c:pt>
                <c:pt idx="6685">
                  <c:v>43744</c:v>
                </c:pt>
                <c:pt idx="6686">
                  <c:v>43744</c:v>
                </c:pt>
                <c:pt idx="6687">
                  <c:v>43744</c:v>
                </c:pt>
                <c:pt idx="6688">
                  <c:v>43744</c:v>
                </c:pt>
                <c:pt idx="6689">
                  <c:v>43744</c:v>
                </c:pt>
                <c:pt idx="6690">
                  <c:v>43744</c:v>
                </c:pt>
                <c:pt idx="6691">
                  <c:v>43744</c:v>
                </c:pt>
                <c:pt idx="6692">
                  <c:v>43744</c:v>
                </c:pt>
                <c:pt idx="6693">
                  <c:v>43744</c:v>
                </c:pt>
                <c:pt idx="6694">
                  <c:v>43744</c:v>
                </c:pt>
                <c:pt idx="6695">
                  <c:v>43744</c:v>
                </c:pt>
                <c:pt idx="6696">
                  <c:v>43745</c:v>
                </c:pt>
                <c:pt idx="6697">
                  <c:v>43745</c:v>
                </c:pt>
                <c:pt idx="6698">
                  <c:v>43745</c:v>
                </c:pt>
                <c:pt idx="6699">
                  <c:v>43745</c:v>
                </c:pt>
                <c:pt idx="6700">
                  <c:v>43745</c:v>
                </c:pt>
                <c:pt idx="6701">
                  <c:v>43745</c:v>
                </c:pt>
                <c:pt idx="6702">
                  <c:v>43745</c:v>
                </c:pt>
                <c:pt idx="6703">
                  <c:v>43745</c:v>
                </c:pt>
                <c:pt idx="6704">
                  <c:v>43745</c:v>
                </c:pt>
                <c:pt idx="6705">
                  <c:v>43745</c:v>
                </c:pt>
                <c:pt idx="6706">
                  <c:v>43745</c:v>
                </c:pt>
                <c:pt idx="6707">
                  <c:v>43745</c:v>
                </c:pt>
                <c:pt idx="6708">
                  <c:v>43745</c:v>
                </c:pt>
                <c:pt idx="6709">
                  <c:v>43745</c:v>
                </c:pt>
                <c:pt idx="6710">
                  <c:v>43745</c:v>
                </c:pt>
                <c:pt idx="6711">
                  <c:v>43745</c:v>
                </c:pt>
                <c:pt idx="6712">
                  <c:v>43745</c:v>
                </c:pt>
                <c:pt idx="6713">
                  <c:v>43745</c:v>
                </c:pt>
                <c:pt idx="6714">
                  <c:v>43745</c:v>
                </c:pt>
                <c:pt idx="6715">
                  <c:v>43745</c:v>
                </c:pt>
                <c:pt idx="6716">
                  <c:v>43745</c:v>
                </c:pt>
                <c:pt idx="6717">
                  <c:v>43745</c:v>
                </c:pt>
                <c:pt idx="6718">
                  <c:v>43745</c:v>
                </c:pt>
                <c:pt idx="6719">
                  <c:v>43745</c:v>
                </c:pt>
                <c:pt idx="6720">
                  <c:v>43746</c:v>
                </c:pt>
                <c:pt idx="6721">
                  <c:v>43746</c:v>
                </c:pt>
                <c:pt idx="6722">
                  <c:v>43746</c:v>
                </c:pt>
                <c:pt idx="6723">
                  <c:v>43746</c:v>
                </c:pt>
                <c:pt idx="6724">
                  <c:v>43746</c:v>
                </c:pt>
                <c:pt idx="6725">
                  <c:v>43746</c:v>
                </c:pt>
                <c:pt idx="6726">
                  <c:v>43746</c:v>
                </c:pt>
                <c:pt idx="6727">
                  <c:v>43746</c:v>
                </c:pt>
                <c:pt idx="6728">
                  <c:v>43746</c:v>
                </c:pt>
                <c:pt idx="6729">
                  <c:v>43746</c:v>
                </c:pt>
                <c:pt idx="6730">
                  <c:v>43746</c:v>
                </c:pt>
                <c:pt idx="6731">
                  <c:v>43746</c:v>
                </c:pt>
                <c:pt idx="6732">
                  <c:v>43746</c:v>
                </c:pt>
                <c:pt idx="6733">
                  <c:v>43746</c:v>
                </c:pt>
                <c:pt idx="6734">
                  <c:v>43746</c:v>
                </c:pt>
                <c:pt idx="6735">
                  <c:v>43746</c:v>
                </c:pt>
                <c:pt idx="6736">
                  <c:v>43746</c:v>
                </c:pt>
                <c:pt idx="6737">
                  <c:v>43746</c:v>
                </c:pt>
                <c:pt idx="6738">
                  <c:v>43746</c:v>
                </c:pt>
                <c:pt idx="6739">
                  <c:v>43746</c:v>
                </c:pt>
                <c:pt idx="6740">
                  <c:v>43746</c:v>
                </c:pt>
                <c:pt idx="6741">
                  <c:v>43746</c:v>
                </c:pt>
                <c:pt idx="6742">
                  <c:v>43746</c:v>
                </c:pt>
                <c:pt idx="6743">
                  <c:v>43746</c:v>
                </c:pt>
                <c:pt idx="6744">
                  <c:v>43747</c:v>
                </c:pt>
                <c:pt idx="6745">
                  <c:v>43747</c:v>
                </c:pt>
                <c:pt idx="6746">
                  <c:v>43747</c:v>
                </c:pt>
                <c:pt idx="6747">
                  <c:v>43747</c:v>
                </c:pt>
                <c:pt idx="6748">
                  <c:v>43747</c:v>
                </c:pt>
                <c:pt idx="6749">
                  <c:v>43747</c:v>
                </c:pt>
                <c:pt idx="6750">
                  <c:v>43747</c:v>
                </c:pt>
                <c:pt idx="6751">
                  <c:v>43747</c:v>
                </c:pt>
                <c:pt idx="6752">
                  <c:v>43747</c:v>
                </c:pt>
                <c:pt idx="6753">
                  <c:v>43747</c:v>
                </c:pt>
                <c:pt idx="6754">
                  <c:v>43747</c:v>
                </c:pt>
                <c:pt idx="6755">
                  <c:v>43747</c:v>
                </c:pt>
                <c:pt idx="6756">
                  <c:v>43747</c:v>
                </c:pt>
                <c:pt idx="6757">
                  <c:v>43747</c:v>
                </c:pt>
                <c:pt idx="6758">
                  <c:v>43747</c:v>
                </c:pt>
                <c:pt idx="6759">
                  <c:v>43747</c:v>
                </c:pt>
                <c:pt idx="6760">
                  <c:v>43747</c:v>
                </c:pt>
                <c:pt idx="6761">
                  <c:v>43747</c:v>
                </c:pt>
                <c:pt idx="6762">
                  <c:v>43747</c:v>
                </c:pt>
                <c:pt idx="6763">
                  <c:v>43747</c:v>
                </c:pt>
                <c:pt idx="6764">
                  <c:v>43747</c:v>
                </c:pt>
                <c:pt idx="6765">
                  <c:v>43747</c:v>
                </c:pt>
                <c:pt idx="6766">
                  <c:v>43747</c:v>
                </c:pt>
                <c:pt idx="6767">
                  <c:v>43747</c:v>
                </c:pt>
                <c:pt idx="6768">
                  <c:v>43748</c:v>
                </c:pt>
                <c:pt idx="6769">
                  <c:v>43748</c:v>
                </c:pt>
                <c:pt idx="6770">
                  <c:v>43748</c:v>
                </c:pt>
                <c:pt idx="6771">
                  <c:v>43748</c:v>
                </c:pt>
                <c:pt idx="6772">
                  <c:v>43748</c:v>
                </c:pt>
                <c:pt idx="6773">
                  <c:v>43748</c:v>
                </c:pt>
                <c:pt idx="6774">
                  <c:v>43748</c:v>
                </c:pt>
                <c:pt idx="6775">
                  <c:v>43748</c:v>
                </c:pt>
                <c:pt idx="6776">
                  <c:v>43748</c:v>
                </c:pt>
                <c:pt idx="6777">
                  <c:v>43748</c:v>
                </c:pt>
                <c:pt idx="6778">
                  <c:v>43748</c:v>
                </c:pt>
                <c:pt idx="6779">
                  <c:v>43748</c:v>
                </c:pt>
                <c:pt idx="6780">
                  <c:v>43748</c:v>
                </c:pt>
                <c:pt idx="6781">
                  <c:v>43748</c:v>
                </c:pt>
                <c:pt idx="6782">
                  <c:v>43748</c:v>
                </c:pt>
                <c:pt idx="6783">
                  <c:v>43748</c:v>
                </c:pt>
                <c:pt idx="6784">
                  <c:v>43748</c:v>
                </c:pt>
                <c:pt idx="6785">
                  <c:v>43748</c:v>
                </c:pt>
                <c:pt idx="6786">
                  <c:v>43748</c:v>
                </c:pt>
                <c:pt idx="6787">
                  <c:v>43748</c:v>
                </c:pt>
                <c:pt idx="6788">
                  <c:v>43748</c:v>
                </c:pt>
                <c:pt idx="6789">
                  <c:v>43748</c:v>
                </c:pt>
                <c:pt idx="6790">
                  <c:v>43748</c:v>
                </c:pt>
                <c:pt idx="6791">
                  <c:v>43748</c:v>
                </c:pt>
                <c:pt idx="6792">
                  <c:v>43749</c:v>
                </c:pt>
                <c:pt idx="6793">
                  <c:v>43749</c:v>
                </c:pt>
                <c:pt idx="6794">
                  <c:v>43749</c:v>
                </c:pt>
                <c:pt idx="6795">
                  <c:v>43749</c:v>
                </c:pt>
                <c:pt idx="6796">
                  <c:v>43749</c:v>
                </c:pt>
                <c:pt idx="6797">
                  <c:v>43749</c:v>
                </c:pt>
                <c:pt idx="6798">
                  <c:v>43749</c:v>
                </c:pt>
                <c:pt idx="6799">
                  <c:v>43749</c:v>
                </c:pt>
                <c:pt idx="6800">
                  <c:v>43749</c:v>
                </c:pt>
                <c:pt idx="6801">
                  <c:v>43749</c:v>
                </c:pt>
                <c:pt idx="6802">
                  <c:v>43749</c:v>
                </c:pt>
                <c:pt idx="6803">
                  <c:v>43749</c:v>
                </c:pt>
                <c:pt idx="6804">
                  <c:v>43749</c:v>
                </c:pt>
                <c:pt idx="6805">
                  <c:v>43749</c:v>
                </c:pt>
                <c:pt idx="6806">
                  <c:v>43749</c:v>
                </c:pt>
                <c:pt idx="6807">
                  <c:v>43749</c:v>
                </c:pt>
                <c:pt idx="6808">
                  <c:v>43749</c:v>
                </c:pt>
                <c:pt idx="6809">
                  <c:v>43749</c:v>
                </c:pt>
                <c:pt idx="6810">
                  <c:v>43749</c:v>
                </c:pt>
                <c:pt idx="6811">
                  <c:v>43749</c:v>
                </c:pt>
                <c:pt idx="6812">
                  <c:v>43749</c:v>
                </c:pt>
                <c:pt idx="6813">
                  <c:v>43749</c:v>
                </c:pt>
                <c:pt idx="6814">
                  <c:v>43749</c:v>
                </c:pt>
                <c:pt idx="6815">
                  <c:v>43749</c:v>
                </c:pt>
                <c:pt idx="6816">
                  <c:v>43750</c:v>
                </c:pt>
                <c:pt idx="6817">
                  <c:v>43750</c:v>
                </c:pt>
                <c:pt idx="6818">
                  <c:v>43750</c:v>
                </c:pt>
                <c:pt idx="6819">
                  <c:v>43750</c:v>
                </c:pt>
                <c:pt idx="6820">
                  <c:v>43750</c:v>
                </c:pt>
                <c:pt idx="6821">
                  <c:v>43750</c:v>
                </c:pt>
                <c:pt idx="6822">
                  <c:v>43750</c:v>
                </c:pt>
                <c:pt idx="6823">
                  <c:v>43750</c:v>
                </c:pt>
                <c:pt idx="6824">
                  <c:v>43750</c:v>
                </c:pt>
                <c:pt idx="6825">
                  <c:v>43750</c:v>
                </c:pt>
                <c:pt idx="6826">
                  <c:v>43750</c:v>
                </c:pt>
                <c:pt idx="6827">
                  <c:v>43750</c:v>
                </c:pt>
                <c:pt idx="6828">
                  <c:v>43750</c:v>
                </c:pt>
                <c:pt idx="6829">
                  <c:v>43750</c:v>
                </c:pt>
                <c:pt idx="6830">
                  <c:v>43750</c:v>
                </c:pt>
                <c:pt idx="6831">
                  <c:v>43750</c:v>
                </c:pt>
                <c:pt idx="6832">
                  <c:v>43750</c:v>
                </c:pt>
                <c:pt idx="6833">
                  <c:v>43750</c:v>
                </c:pt>
                <c:pt idx="6834">
                  <c:v>43750</c:v>
                </c:pt>
                <c:pt idx="6835">
                  <c:v>43750</c:v>
                </c:pt>
                <c:pt idx="6836">
                  <c:v>43750</c:v>
                </c:pt>
                <c:pt idx="6837">
                  <c:v>43750</c:v>
                </c:pt>
                <c:pt idx="6838">
                  <c:v>43750</c:v>
                </c:pt>
                <c:pt idx="6839">
                  <c:v>43750</c:v>
                </c:pt>
                <c:pt idx="6840">
                  <c:v>43751</c:v>
                </c:pt>
                <c:pt idx="6841">
                  <c:v>43751</c:v>
                </c:pt>
                <c:pt idx="6842">
                  <c:v>43751</c:v>
                </c:pt>
                <c:pt idx="6843">
                  <c:v>43751</c:v>
                </c:pt>
                <c:pt idx="6844">
                  <c:v>43751</c:v>
                </c:pt>
                <c:pt idx="6845">
                  <c:v>43751</c:v>
                </c:pt>
                <c:pt idx="6846">
                  <c:v>43751</c:v>
                </c:pt>
                <c:pt idx="6847">
                  <c:v>43751</c:v>
                </c:pt>
                <c:pt idx="6848">
                  <c:v>43751</c:v>
                </c:pt>
                <c:pt idx="6849">
                  <c:v>43751</c:v>
                </c:pt>
                <c:pt idx="6850">
                  <c:v>43751</c:v>
                </c:pt>
                <c:pt idx="6851">
                  <c:v>43751</c:v>
                </c:pt>
                <c:pt idx="6852">
                  <c:v>43751</c:v>
                </c:pt>
                <c:pt idx="6853">
                  <c:v>43751</c:v>
                </c:pt>
                <c:pt idx="6854">
                  <c:v>43751</c:v>
                </c:pt>
                <c:pt idx="6855">
                  <c:v>43751</c:v>
                </c:pt>
                <c:pt idx="6856">
                  <c:v>43751</c:v>
                </c:pt>
                <c:pt idx="6857">
                  <c:v>43751</c:v>
                </c:pt>
                <c:pt idx="6858">
                  <c:v>43751</c:v>
                </c:pt>
                <c:pt idx="6859">
                  <c:v>43751</c:v>
                </c:pt>
                <c:pt idx="6860">
                  <c:v>43751</c:v>
                </c:pt>
                <c:pt idx="6861">
                  <c:v>43751</c:v>
                </c:pt>
                <c:pt idx="6862">
                  <c:v>43751</c:v>
                </c:pt>
                <c:pt idx="6863">
                  <c:v>43751</c:v>
                </c:pt>
                <c:pt idx="6864">
                  <c:v>43752</c:v>
                </c:pt>
                <c:pt idx="6865">
                  <c:v>43752</c:v>
                </c:pt>
                <c:pt idx="6866">
                  <c:v>43752</c:v>
                </c:pt>
                <c:pt idx="6867">
                  <c:v>43752</c:v>
                </c:pt>
                <c:pt idx="6868">
                  <c:v>43752</c:v>
                </c:pt>
                <c:pt idx="6869">
                  <c:v>43752</c:v>
                </c:pt>
                <c:pt idx="6870">
                  <c:v>43752</c:v>
                </c:pt>
                <c:pt idx="6871">
                  <c:v>43752</c:v>
                </c:pt>
                <c:pt idx="6872">
                  <c:v>43752</c:v>
                </c:pt>
                <c:pt idx="6873">
                  <c:v>43752</c:v>
                </c:pt>
                <c:pt idx="6874">
                  <c:v>43752</c:v>
                </c:pt>
                <c:pt idx="6875">
                  <c:v>43752</c:v>
                </c:pt>
                <c:pt idx="6876">
                  <c:v>43752</c:v>
                </c:pt>
                <c:pt idx="6877">
                  <c:v>43752</c:v>
                </c:pt>
                <c:pt idx="6878">
                  <c:v>43752</c:v>
                </c:pt>
                <c:pt idx="6879">
                  <c:v>43752</c:v>
                </c:pt>
                <c:pt idx="6880">
                  <c:v>43752</c:v>
                </c:pt>
                <c:pt idx="6881">
                  <c:v>43752</c:v>
                </c:pt>
                <c:pt idx="6882">
                  <c:v>43752</c:v>
                </c:pt>
                <c:pt idx="6883">
                  <c:v>43752</c:v>
                </c:pt>
                <c:pt idx="6884">
                  <c:v>43752</c:v>
                </c:pt>
                <c:pt idx="6885">
                  <c:v>43752</c:v>
                </c:pt>
                <c:pt idx="6886">
                  <c:v>43752</c:v>
                </c:pt>
                <c:pt idx="6887">
                  <c:v>43752</c:v>
                </c:pt>
                <c:pt idx="6888">
                  <c:v>43753</c:v>
                </c:pt>
                <c:pt idx="6889">
                  <c:v>43753</c:v>
                </c:pt>
                <c:pt idx="6890">
                  <c:v>43753</c:v>
                </c:pt>
                <c:pt idx="6891">
                  <c:v>43753</c:v>
                </c:pt>
                <c:pt idx="6892">
                  <c:v>43753</c:v>
                </c:pt>
                <c:pt idx="6893">
                  <c:v>43753</c:v>
                </c:pt>
                <c:pt idx="6894">
                  <c:v>43753</c:v>
                </c:pt>
                <c:pt idx="6895">
                  <c:v>43753</c:v>
                </c:pt>
                <c:pt idx="6896">
                  <c:v>43753</c:v>
                </c:pt>
                <c:pt idx="6897">
                  <c:v>43753</c:v>
                </c:pt>
                <c:pt idx="6898">
                  <c:v>43753</c:v>
                </c:pt>
                <c:pt idx="6899">
                  <c:v>43753</c:v>
                </c:pt>
                <c:pt idx="6900">
                  <c:v>43753</c:v>
                </c:pt>
                <c:pt idx="6901">
                  <c:v>43753</c:v>
                </c:pt>
                <c:pt idx="6902">
                  <c:v>43753</c:v>
                </c:pt>
                <c:pt idx="6903">
                  <c:v>43753</c:v>
                </c:pt>
                <c:pt idx="6904">
                  <c:v>43753</c:v>
                </c:pt>
                <c:pt idx="6905">
                  <c:v>43753</c:v>
                </c:pt>
                <c:pt idx="6906">
                  <c:v>43753</c:v>
                </c:pt>
                <c:pt idx="6907">
                  <c:v>43753</c:v>
                </c:pt>
                <c:pt idx="6908">
                  <c:v>43753</c:v>
                </c:pt>
                <c:pt idx="6909">
                  <c:v>43753</c:v>
                </c:pt>
                <c:pt idx="6910">
                  <c:v>43753</c:v>
                </c:pt>
                <c:pt idx="6911">
                  <c:v>43753</c:v>
                </c:pt>
                <c:pt idx="6912">
                  <c:v>43754</c:v>
                </c:pt>
                <c:pt idx="6913">
                  <c:v>43754</c:v>
                </c:pt>
                <c:pt idx="6914">
                  <c:v>43754</c:v>
                </c:pt>
                <c:pt idx="6915">
                  <c:v>43754</c:v>
                </c:pt>
                <c:pt idx="6916">
                  <c:v>43754</c:v>
                </c:pt>
                <c:pt idx="6917">
                  <c:v>43754</c:v>
                </c:pt>
                <c:pt idx="6918">
                  <c:v>43754</c:v>
                </c:pt>
                <c:pt idx="6919">
                  <c:v>43754</c:v>
                </c:pt>
                <c:pt idx="6920">
                  <c:v>43754</c:v>
                </c:pt>
                <c:pt idx="6921">
                  <c:v>43754</c:v>
                </c:pt>
                <c:pt idx="6922">
                  <c:v>43754</c:v>
                </c:pt>
                <c:pt idx="6923">
                  <c:v>43754</c:v>
                </c:pt>
                <c:pt idx="6924">
                  <c:v>43754</c:v>
                </c:pt>
                <c:pt idx="6925">
                  <c:v>43754</c:v>
                </c:pt>
                <c:pt idx="6926">
                  <c:v>43754</c:v>
                </c:pt>
                <c:pt idx="6927">
                  <c:v>43754</c:v>
                </c:pt>
                <c:pt idx="6928">
                  <c:v>43754</c:v>
                </c:pt>
                <c:pt idx="6929">
                  <c:v>43754</c:v>
                </c:pt>
                <c:pt idx="6930">
                  <c:v>43754</c:v>
                </c:pt>
                <c:pt idx="6931">
                  <c:v>43754</c:v>
                </c:pt>
                <c:pt idx="6932">
                  <c:v>43754</c:v>
                </c:pt>
                <c:pt idx="6933">
                  <c:v>43754</c:v>
                </c:pt>
                <c:pt idx="6934">
                  <c:v>43754</c:v>
                </c:pt>
                <c:pt idx="6935">
                  <c:v>43754</c:v>
                </c:pt>
                <c:pt idx="6936">
                  <c:v>43755</c:v>
                </c:pt>
                <c:pt idx="6937">
                  <c:v>43755</c:v>
                </c:pt>
                <c:pt idx="6938">
                  <c:v>43755</c:v>
                </c:pt>
                <c:pt idx="6939">
                  <c:v>43755</c:v>
                </c:pt>
                <c:pt idx="6940">
                  <c:v>43755</c:v>
                </c:pt>
                <c:pt idx="6941">
                  <c:v>43755</c:v>
                </c:pt>
                <c:pt idx="6942">
                  <c:v>43755</c:v>
                </c:pt>
                <c:pt idx="6943">
                  <c:v>43755</c:v>
                </c:pt>
                <c:pt idx="6944">
                  <c:v>43755</c:v>
                </c:pt>
                <c:pt idx="6945">
                  <c:v>43755</c:v>
                </c:pt>
                <c:pt idx="6946">
                  <c:v>43755</c:v>
                </c:pt>
                <c:pt idx="6947">
                  <c:v>43755</c:v>
                </c:pt>
                <c:pt idx="6948">
                  <c:v>43755</c:v>
                </c:pt>
                <c:pt idx="6949">
                  <c:v>43755</c:v>
                </c:pt>
                <c:pt idx="6950">
                  <c:v>43755</c:v>
                </c:pt>
                <c:pt idx="6951">
                  <c:v>43755</c:v>
                </c:pt>
                <c:pt idx="6952">
                  <c:v>43755</c:v>
                </c:pt>
                <c:pt idx="6953">
                  <c:v>43755</c:v>
                </c:pt>
                <c:pt idx="6954">
                  <c:v>43755</c:v>
                </c:pt>
                <c:pt idx="6955">
                  <c:v>43755</c:v>
                </c:pt>
                <c:pt idx="6956">
                  <c:v>43755</c:v>
                </c:pt>
                <c:pt idx="6957">
                  <c:v>43755</c:v>
                </c:pt>
                <c:pt idx="6958">
                  <c:v>43755</c:v>
                </c:pt>
                <c:pt idx="6959">
                  <c:v>43755</c:v>
                </c:pt>
                <c:pt idx="6960">
                  <c:v>43756</c:v>
                </c:pt>
                <c:pt idx="6961">
                  <c:v>43756</c:v>
                </c:pt>
                <c:pt idx="6962">
                  <c:v>43756</c:v>
                </c:pt>
                <c:pt idx="6963">
                  <c:v>43756</c:v>
                </c:pt>
                <c:pt idx="6964">
                  <c:v>43756</c:v>
                </c:pt>
                <c:pt idx="6965">
                  <c:v>43756</c:v>
                </c:pt>
                <c:pt idx="6966">
                  <c:v>43756</c:v>
                </c:pt>
                <c:pt idx="6967">
                  <c:v>43756</c:v>
                </c:pt>
                <c:pt idx="6968">
                  <c:v>43756</c:v>
                </c:pt>
                <c:pt idx="6969">
                  <c:v>43756</c:v>
                </c:pt>
                <c:pt idx="6970">
                  <c:v>43756</c:v>
                </c:pt>
                <c:pt idx="6971">
                  <c:v>43756</c:v>
                </c:pt>
                <c:pt idx="6972">
                  <c:v>43756</c:v>
                </c:pt>
                <c:pt idx="6973">
                  <c:v>43756</c:v>
                </c:pt>
                <c:pt idx="6974">
                  <c:v>43756</c:v>
                </c:pt>
                <c:pt idx="6975">
                  <c:v>43756</c:v>
                </c:pt>
                <c:pt idx="6976">
                  <c:v>43756</c:v>
                </c:pt>
                <c:pt idx="6977">
                  <c:v>43756</c:v>
                </c:pt>
                <c:pt idx="6978">
                  <c:v>43756</c:v>
                </c:pt>
                <c:pt idx="6979">
                  <c:v>43756</c:v>
                </c:pt>
                <c:pt idx="6980">
                  <c:v>43756</c:v>
                </c:pt>
                <c:pt idx="6981">
                  <c:v>43756</c:v>
                </c:pt>
                <c:pt idx="6982">
                  <c:v>43756</c:v>
                </c:pt>
                <c:pt idx="6983">
                  <c:v>43756</c:v>
                </c:pt>
                <c:pt idx="6984">
                  <c:v>43757</c:v>
                </c:pt>
                <c:pt idx="6985">
                  <c:v>43757</c:v>
                </c:pt>
                <c:pt idx="6986">
                  <c:v>43757</c:v>
                </c:pt>
                <c:pt idx="6987">
                  <c:v>43757</c:v>
                </c:pt>
                <c:pt idx="6988">
                  <c:v>43757</c:v>
                </c:pt>
                <c:pt idx="6989">
                  <c:v>43757</c:v>
                </c:pt>
                <c:pt idx="6990">
                  <c:v>43757</c:v>
                </c:pt>
                <c:pt idx="6991">
                  <c:v>43757</c:v>
                </c:pt>
                <c:pt idx="6992">
                  <c:v>43757</c:v>
                </c:pt>
                <c:pt idx="6993">
                  <c:v>43757</c:v>
                </c:pt>
                <c:pt idx="6994">
                  <c:v>43757</c:v>
                </c:pt>
                <c:pt idx="6995">
                  <c:v>43757</c:v>
                </c:pt>
                <c:pt idx="6996">
                  <c:v>43757</c:v>
                </c:pt>
                <c:pt idx="6997">
                  <c:v>43757</c:v>
                </c:pt>
                <c:pt idx="6998">
                  <c:v>43757</c:v>
                </c:pt>
                <c:pt idx="6999">
                  <c:v>43757</c:v>
                </c:pt>
                <c:pt idx="7000">
                  <c:v>43757</c:v>
                </c:pt>
                <c:pt idx="7001">
                  <c:v>43757</c:v>
                </c:pt>
                <c:pt idx="7002">
                  <c:v>43757</c:v>
                </c:pt>
                <c:pt idx="7003">
                  <c:v>43757</c:v>
                </c:pt>
                <c:pt idx="7004">
                  <c:v>43757</c:v>
                </c:pt>
                <c:pt idx="7005">
                  <c:v>43757</c:v>
                </c:pt>
                <c:pt idx="7006">
                  <c:v>43757</c:v>
                </c:pt>
                <c:pt idx="7007">
                  <c:v>43757</c:v>
                </c:pt>
                <c:pt idx="7008">
                  <c:v>43758</c:v>
                </c:pt>
                <c:pt idx="7009">
                  <c:v>43758</c:v>
                </c:pt>
                <c:pt idx="7010">
                  <c:v>43758</c:v>
                </c:pt>
                <c:pt idx="7011">
                  <c:v>43758</c:v>
                </c:pt>
                <c:pt idx="7012">
                  <c:v>43758</c:v>
                </c:pt>
                <c:pt idx="7013">
                  <c:v>43758</c:v>
                </c:pt>
                <c:pt idx="7014">
                  <c:v>43758</c:v>
                </c:pt>
                <c:pt idx="7015">
                  <c:v>43758</c:v>
                </c:pt>
                <c:pt idx="7016">
                  <c:v>43758</c:v>
                </c:pt>
                <c:pt idx="7017">
                  <c:v>43758</c:v>
                </c:pt>
                <c:pt idx="7018">
                  <c:v>43758</c:v>
                </c:pt>
                <c:pt idx="7019">
                  <c:v>43758</c:v>
                </c:pt>
                <c:pt idx="7020">
                  <c:v>43758</c:v>
                </c:pt>
                <c:pt idx="7021">
                  <c:v>43758</c:v>
                </c:pt>
                <c:pt idx="7022">
                  <c:v>43758</c:v>
                </c:pt>
                <c:pt idx="7023">
                  <c:v>43758</c:v>
                </c:pt>
                <c:pt idx="7024">
                  <c:v>43758</c:v>
                </c:pt>
                <c:pt idx="7025">
                  <c:v>43758</c:v>
                </c:pt>
                <c:pt idx="7026">
                  <c:v>43758</c:v>
                </c:pt>
                <c:pt idx="7027">
                  <c:v>43758</c:v>
                </c:pt>
                <c:pt idx="7028">
                  <c:v>43758</c:v>
                </c:pt>
                <c:pt idx="7029">
                  <c:v>43758</c:v>
                </c:pt>
                <c:pt idx="7030">
                  <c:v>43758</c:v>
                </c:pt>
                <c:pt idx="7031">
                  <c:v>43758</c:v>
                </c:pt>
                <c:pt idx="7032">
                  <c:v>43759</c:v>
                </c:pt>
                <c:pt idx="7033">
                  <c:v>43759</c:v>
                </c:pt>
                <c:pt idx="7034">
                  <c:v>43759</c:v>
                </c:pt>
                <c:pt idx="7035">
                  <c:v>43759</c:v>
                </c:pt>
                <c:pt idx="7036">
                  <c:v>43759</c:v>
                </c:pt>
                <c:pt idx="7037">
                  <c:v>43759</c:v>
                </c:pt>
                <c:pt idx="7038">
                  <c:v>43759</c:v>
                </c:pt>
                <c:pt idx="7039">
                  <c:v>43759</c:v>
                </c:pt>
                <c:pt idx="7040">
                  <c:v>43759</c:v>
                </c:pt>
                <c:pt idx="7041">
                  <c:v>43759</c:v>
                </c:pt>
                <c:pt idx="7042">
                  <c:v>43759</c:v>
                </c:pt>
                <c:pt idx="7043">
                  <c:v>43759</c:v>
                </c:pt>
                <c:pt idx="7044">
                  <c:v>43759</c:v>
                </c:pt>
                <c:pt idx="7045">
                  <c:v>43759</c:v>
                </c:pt>
                <c:pt idx="7046">
                  <c:v>43759</c:v>
                </c:pt>
                <c:pt idx="7047">
                  <c:v>43759</c:v>
                </c:pt>
                <c:pt idx="7048">
                  <c:v>43759</c:v>
                </c:pt>
                <c:pt idx="7049">
                  <c:v>43759</c:v>
                </c:pt>
                <c:pt idx="7050">
                  <c:v>43759</c:v>
                </c:pt>
                <c:pt idx="7051">
                  <c:v>43759</c:v>
                </c:pt>
                <c:pt idx="7052">
                  <c:v>43759</c:v>
                </c:pt>
                <c:pt idx="7053">
                  <c:v>43759</c:v>
                </c:pt>
                <c:pt idx="7054">
                  <c:v>43759</c:v>
                </c:pt>
                <c:pt idx="7055">
                  <c:v>43759</c:v>
                </c:pt>
                <c:pt idx="7056">
                  <c:v>43760</c:v>
                </c:pt>
                <c:pt idx="7057">
                  <c:v>43760</c:v>
                </c:pt>
                <c:pt idx="7058">
                  <c:v>43760</c:v>
                </c:pt>
                <c:pt idx="7059">
                  <c:v>43760</c:v>
                </c:pt>
                <c:pt idx="7060">
                  <c:v>43760</c:v>
                </c:pt>
                <c:pt idx="7061">
                  <c:v>43760</c:v>
                </c:pt>
                <c:pt idx="7062">
                  <c:v>43760</c:v>
                </c:pt>
                <c:pt idx="7063">
                  <c:v>43760</c:v>
                </c:pt>
                <c:pt idx="7064">
                  <c:v>43760</c:v>
                </c:pt>
                <c:pt idx="7065">
                  <c:v>43760</c:v>
                </c:pt>
                <c:pt idx="7066">
                  <c:v>43760</c:v>
                </c:pt>
                <c:pt idx="7067">
                  <c:v>43760</c:v>
                </c:pt>
                <c:pt idx="7068">
                  <c:v>43760</c:v>
                </c:pt>
                <c:pt idx="7069">
                  <c:v>43760</c:v>
                </c:pt>
                <c:pt idx="7070">
                  <c:v>43760</c:v>
                </c:pt>
                <c:pt idx="7071">
                  <c:v>43760</c:v>
                </c:pt>
                <c:pt idx="7072">
                  <c:v>43760</c:v>
                </c:pt>
                <c:pt idx="7073">
                  <c:v>43760</c:v>
                </c:pt>
                <c:pt idx="7074">
                  <c:v>43760</c:v>
                </c:pt>
                <c:pt idx="7075">
                  <c:v>43760</c:v>
                </c:pt>
                <c:pt idx="7076">
                  <c:v>43760</c:v>
                </c:pt>
                <c:pt idx="7077">
                  <c:v>43760</c:v>
                </c:pt>
                <c:pt idx="7078">
                  <c:v>43760</c:v>
                </c:pt>
                <c:pt idx="7079">
                  <c:v>43760</c:v>
                </c:pt>
                <c:pt idx="7080">
                  <c:v>43761</c:v>
                </c:pt>
                <c:pt idx="7081">
                  <c:v>43761</c:v>
                </c:pt>
                <c:pt idx="7082">
                  <c:v>43761</c:v>
                </c:pt>
                <c:pt idx="7083">
                  <c:v>43761</c:v>
                </c:pt>
                <c:pt idx="7084">
                  <c:v>43761</c:v>
                </c:pt>
                <c:pt idx="7085">
                  <c:v>43761</c:v>
                </c:pt>
                <c:pt idx="7086">
                  <c:v>43761</c:v>
                </c:pt>
                <c:pt idx="7087">
                  <c:v>43761</c:v>
                </c:pt>
                <c:pt idx="7088">
                  <c:v>43761</c:v>
                </c:pt>
                <c:pt idx="7089">
                  <c:v>43761</c:v>
                </c:pt>
                <c:pt idx="7090">
                  <c:v>43761</c:v>
                </c:pt>
                <c:pt idx="7091">
                  <c:v>43761</c:v>
                </c:pt>
                <c:pt idx="7092">
                  <c:v>43761</c:v>
                </c:pt>
                <c:pt idx="7093">
                  <c:v>43761</c:v>
                </c:pt>
                <c:pt idx="7094">
                  <c:v>43761</c:v>
                </c:pt>
                <c:pt idx="7095">
                  <c:v>43761</c:v>
                </c:pt>
                <c:pt idx="7096">
                  <c:v>43761</c:v>
                </c:pt>
                <c:pt idx="7097">
                  <c:v>43761</c:v>
                </c:pt>
                <c:pt idx="7098">
                  <c:v>43761</c:v>
                </c:pt>
                <c:pt idx="7099">
                  <c:v>43761</c:v>
                </c:pt>
                <c:pt idx="7100">
                  <c:v>43761</c:v>
                </c:pt>
                <c:pt idx="7101">
                  <c:v>43761</c:v>
                </c:pt>
                <c:pt idx="7102">
                  <c:v>43761</c:v>
                </c:pt>
                <c:pt idx="7103">
                  <c:v>43761</c:v>
                </c:pt>
                <c:pt idx="7104">
                  <c:v>43762</c:v>
                </c:pt>
                <c:pt idx="7105">
                  <c:v>43762</c:v>
                </c:pt>
                <c:pt idx="7106">
                  <c:v>43762</c:v>
                </c:pt>
                <c:pt idx="7107">
                  <c:v>43762</c:v>
                </c:pt>
                <c:pt idx="7108">
                  <c:v>43762</c:v>
                </c:pt>
                <c:pt idx="7109">
                  <c:v>43762</c:v>
                </c:pt>
                <c:pt idx="7110">
                  <c:v>43762</c:v>
                </c:pt>
                <c:pt idx="7111">
                  <c:v>43762</c:v>
                </c:pt>
                <c:pt idx="7112">
                  <c:v>43762</c:v>
                </c:pt>
                <c:pt idx="7113">
                  <c:v>43762</c:v>
                </c:pt>
                <c:pt idx="7114">
                  <c:v>43762</c:v>
                </c:pt>
                <c:pt idx="7115">
                  <c:v>43762</c:v>
                </c:pt>
                <c:pt idx="7116">
                  <c:v>43762</c:v>
                </c:pt>
                <c:pt idx="7117">
                  <c:v>43762</c:v>
                </c:pt>
                <c:pt idx="7118">
                  <c:v>43762</c:v>
                </c:pt>
                <c:pt idx="7119">
                  <c:v>43762</c:v>
                </c:pt>
                <c:pt idx="7120">
                  <c:v>43762</c:v>
                </c:pt>
                <c:pt idx="7121">
                  <c:v>43762</c:v>
                </c:pt>
                <c:pt idx="7122">
                  <c:v>43762</c:v>
                </c:pt>
                <c:pt idx="7123">
                  <c:v>43762</c:v>
                </c:pt>
                <c:pt idx="7124">
                  <c:v>43762</c:v>
                </c:pt>
                <c:pt idx="7125">
                  <c:v>43762</c:v>
                </c:pt>
                <c:pt idx="7126">
                  <c:v>43762</c:v>
                </c:pt>
                <c:pt idx="7127">
                  <c:v>43762</c:v>
                </c:pt>
                <c:pt idx="7128">
                  <c:v>43763</c:v>
                </c:pt>
                <c:pt idx="7129">
                  <c:v>43763</c:v>
                </c:pt>
                <c:pt idx="7130">
                  <c:v>43763</c:v>
                </c:pt>
                <c:pt idx="7131">
                  <c:v>43763</c:v>
                </c:pt>
                <c:pt idx="7132">
                  <c:v>43763</c:v>
                </c:pt>
                <c:pt idx="7133">
                  <c:v>43763</c:v>
                </c:pt>
                <c:pt idx="7134">
                  <c:v>43763</c:v>
                </c:pt>
                <c:pt idx="7135">
                  <c:v>43763</c:v>
                </c:pt>
                <c:pt idx="7136">
                  <c:v>43763</c:v>
                </c:pt>
                <c:pt idx="7137">
                  <c:v>43763</c:v>
                </c:pt>
                <c:pt idx="7138">
                  <c:v>43763</c:v>
                </c:pt>
                <c:pt idx="7139">
                  <c:v>43763</c:v>
                </c:pt>
                <c:pt idx="7140">
                  <c:v>43763</c:v>
                </c:pt>
                <c:pt idx="7141">
                  <c:v>43763</c:v>
                </c:pt>
                <c:pt idx="7142">
                  <c:v>43763</c:v>
                </c:pt>
                <c:pt idx="7143">
                  <c:v>43763</c:v>
                </c:pt>
                <c:pt idx="7144">
                  <c:v>43763</c:v>
                </c:pt>
                <c:pt idx="7145">
                  <c:v>43763</c:v>
                </c:pt>
                <c:pt idx="7146">
                  <c:v>43763</c:v>
                </c:pt>
                <c:pt idx="7147">
                  <c:v>43763</c:v>
                </c:pt>
                <c:pt idx="7148">
                  <c:v>43763</c:v>
                </c:pt>
                <c:pt idx="7149">
                  <c:v>43763</c:v>
                </c:pt>
                <c:pt idx="7150">
                  <c:v>43763</c:v>
                </c:pt>
                <c:pt idx="7151">
                  <c:v>43763</c:v>
                </c:pt>
                <c:pt idx="7152">
                  <c:v>43764</c:v>
                </c:pt>
                <c:pt idx="7153">
                  <c:v>43764</c:v>
                </c:pt>
                <c:pt idx="7154">
                  <c:v>43764</c:v>
                </c:pt>
                <c:pt idx="7155">
                  <c:v>43764</c:v>
                </c:pt>
                <c:pt idx="7156">
                  <c:v>43764</c:v>
                </c:pt>
                <c:pt idx="7157">
                  <c:v>43764</c:v>
                </c:pt>
                <c:pt idx="7158">
                  <c:v>43764</c:v>
                </c:pt>
                <c:pt idx="7159">
                  <c:v>43764</c:v>
                </c:pt>
                <c:pt idx="7160">
                  <c:v>43764</c:v>
                </c:pt>
                <c:pt idx="7161">
                  <c:v>43764</c:v>
                </c:pt>
                <c:pt idx="7162">
                  <c:v>43764</c:v>
                </c:pt>
                <c:pt idx="7163">
                  <c:v>43764</c:v>
                </c:pt>
                <c:pt idx="7164">
                  <c:v>43764</c:v>
                </c:pt>
                <c:pt idx="7165">
                  <c:v>43764</c:v>
                </c:pt>
                <c:pt idx="7166">
                  <c:v>43764</c:v>
                </c:pt>
                <c:pt idx="7167">
                  <c:v>43764</c:v>
                </c:pt>
                <c:pt idx="7168">
                  <c:v>43764</c:v>
                </c:pt>
                <c:pt idx="7169">
                  <c:v>43764</c:v>
                </c:pt>
                <c:pt idx="7170">
                  <c:v>43764</c:v>
                </c:pt>
                <c:pt idx="7171">
                  <c:v>43764</c:v>
                </c:pt>
                <c:pt idx="7172">
                  <c:v>43764</c:v>
                </c:pt>
                <c:pt idx="7173">
                  <c:v>43764</c:v>
                </c:pt>
                <c:pt idx="7174">
                  <c:v>43764</c:v>
                </c:pt>
                <c:pt idx="7175">
                  <c:v>43764</c:v>
                </c:pt>
                <c:pt idx="7176">
                  <c:v>43765</c:v>
                </c:pt>
                <c:pt idx="7177">
                  <c:v>43765</c:v>
                </c:pt>
                <c:pt idx="7178">
                  <c:v>43765</c:v>
                </c:pt>
                <c:pt idx="7179">
                  <c:v>43765</c:v>
                </c:pt>
                <c:pt idx="7180">
                  <c:v>43765</c:v>
                </c:pt>
                <c:pt idx="7181">
                  <c:v>43765</c:v>
                </c:pt>
                <c:pt idx="7182">
                  <c:v>43765</c:v>
                </c:pt>
                <c:pt idx="7183">
                  <c:v>43765</c:v>
                </c:pt>
                <c:pt idx="7184">
                  <c:v>43765</c:v>
                </c:pt>
                <c:pt idx="7185">
                  <c:v>43765</c:v>
                </c:pt>
                <c:pt idx="7186">
                  <c:v>43765</c:v>
                </c:pt>
                <c:pt idx="7187">
                  <c:v>43765</c:v>
                </c:pt>
                <c:pt idx="7188">
                  <c:v>43765</c:v>
                </c:pt>
                <c:pt idx="7189">
                  <c:v>43765</c:v>
                </c:pt>
                <c:pt idx="7190">
                  <c:v>43765</c:v>
                </c:pt>
                <c:pt idx="7191">
                  <c:v>43765</c:v>
                </c:pt>
                <c:pt idx="7192">
                  <c:v>43765</c:v>
                </c:pt>
                <c:pt idx="7193">
                  <c:v>43765</c:v>
                </c:pt>
                <c:pt idx="7194">
                  <c:v>43765</c:v>
                </c:pt>
                <c:pt idx="7195">
                  <c:v>43765</c:v>
                </c:pt>
                <c:pt idx="7196">
                  <c:v>43765</c:v>
                </c:pt>
                <c:pt idx="7197">
                  <c:v>43765</c:v>
                </c:pt>
                <c:pt idx="7198">
                  <c:v>43765</c:v>
                </c:pt>
                <c:pt idx="7199">
                  <c:v>43765</c:v>
                </c:pt>
                <c:pt idx="7200">
                  <c:v>43766</c:v>
                </c:pt>
                <c:pt idx="7201">
                  <c:v>43766</c:v>
                </c:pt>
                <c:pt idx="7202">
                  <c:v>43766</c:v>
                </c:pt>
                <c:pt idx="7203">
                  <c:v>43766</c:v>
                </c:pt>
                <c:pt idx="7204">
                  <c:v>43766</c:v>
                </c:pt>
                <c:pt idx="7205">
                  <c:v>43766</c:v>
                </c:pt>
                <c:pt idx="7206">
                  <c:v>43766</c:v>
                </c:pt>
                <c:pt idx="7207">
                  <c:v>43766</c:v>
                </c:pt>
                <c:pt idx="7208">
                  <c:v>43766</c:v>
                </c:pt>
                <c:pt idx="7209">
                  <c:v>43766</c:v>
                </c:pt>
                <c:pt idx="7210">
                  <c:v>43766</c:v>
                </c:pt>
                <c:pt idx="7211">
                  <c:v>43766</c:v>
                </c:pt>
                <c:pt idx="7212">
                  <c:v>43766</c:v>
                </c:pt>
                <c:pt idx="7213">
                  <c:v>43766</c:v>
                </c:pt>
                <c:pt idx="7214">
                  <c:v>43766</c:v>
                </c:pt>
                <c:pt idx="7215">
                  <c:v>43766</c:v>
                </c:pt>
                <c:pt idx="7216">
                  <c:v>43766</c:v>
                </c:pt>
                <c:pt idx="7217">
                  <c:v>43766</c:v>
                </c:pt>
                <c:pt idx="7218">
                  <c:v>43766</c:v>
                </c:pt>
                <c:pt idx="7219">
                  <c:v>43766</c:v>
                </c:pt>
                <c:pt idx="7220">
                  <c:v>43766</c:v>
                </c:pt>
                <c:pt idx="7221">
                  <c:v>43766</c:v>
                </c:pt>
                <c:pt idx="7222">
                  <c:v>43766</c:v>
                </c:pt>
                <c:pt idx="7223">
                  <c:v>43766</c:v>
                </c:pt>
                <c:pt idx="7224">
                  <c:v>43767</c:v>
                </c:pt>
                <c:pt idx="7225">
                  <c:v>43767</c:v>
                </c:pt>
                <c:pt idx="7226">
                  <c:v>43767</c:v>
                </c:pt>
                <c:pt idx="7227">
                  <c:v>43767</c:v>
                </c:pt>
                <c:pt idx="7228">
                  <c:v>43767</c:v>
                </c:pt>
                <c:pt idx="7229">
                  <c:v>43767</c:v>
                </c:pt>
                <c:pt idx="7230">
                  <c:v>43767</c:v>
                </c:pt>
                <c:pt idx="7231">
                  <c:v>43767</c:v>
                </c:pt>
                <c:pt idx="7232">
                  <c:v>43767</c:v>
                </c:pt>
                <c:pt idx="7233">
                  <c:v>43767</c:v>
                </c:pt>
                <c:pt idx="7234">
                  <c:v>43767</c:v>
                </c:pt>
                <c:pt idx="7235">
                  <c:v>43767</c:v>
                </c:pt>
                <c:pt idx="7236">
                  <c:v>43767</c:v>
                </c:pt>
                <c:pt idx="7237">
                  <c:v>43767</c:v>
                </c:pt>
                <c:pt idx="7238">
                  <c:v>43767</c:v>
                </c:pt>
                <c:pt idx="7239">
                  <c:v>43767</c:v>
                </c:pt>
                <c:pt idx="7240">
                  <c:v>43767</c:v>
                </c:pt>
                <c:pt idx="7241">
                  <c:v>43767</c:v>
                </c:pt>
                <c:pt idx="7242">
                  <c:v>43767</c:v>
                </c:pt>
                <c:pt idx="7243">
                  <c:v>43767</c:v>
                </c:pt>
                <c:pt idx="7244">
                  <c:v>43767</c:v>
                </c:pt>
                <c:pt idx="7245">
                  <c:v>43767</c:v>
                </c:pt>
                <c:pt idx="7246">
                  <c:v>43767</c:v>
                </c:pt>
                <c:pt idx="7247">
                  <c:v>43767</c:v>
                </c:pt>
                <c:pt idx="7248">
                  <c:v>43768</c:v>
                </c:pt>
                <c:pt idx="7249">
                  <c:v>43768</c:v>
                </c:pt>
                <c:pt idx="7250">
                  <c:v>43768</c:v>
                </c:pt>
                <c:pt idx="7251">
                  <c:v>43768</c:v>
                </c:pt>
                <c:pt idx="7252">
                  <c:v>43768</c:v>
                </c:pt>
                <c:pt idx="7253">
                  <c:v>43768</c:v>
                </c:pt>
                <c:pt idx="7254">
                  <c:v>43768</c:v>
                </c:pt>
                <c:pt idx="7255">
                  <c:v>43768</c:v>
                </c:pt>
                <c:pt idx="7256">
                  <c:v>43768</c:v>
                </c:pt>
                <c:pt idx="7257">
                  <c:v>43768</c:v>
                </c:pt>
                <c:pt idx="7258">
                  <c:v>43768</c:v>
                </c:pt>
                <c:pt idx="7259">
                  <c:v>43768</c:v>
                </c:pt>
                <c:pt idx="7260">
                  <c:v>43768</c:v>
                </c:pt>
                <c:pt idx="7261">
                  <c:v>43768</c:v>
                </c:pt>
                <c:pt idx="7262">
                  <c:v>43768</c:v>
                </c:pt>
                <c:pt idx="7263">
                  <c:v>43768</c:v>
                </c:pt>
                <c:pt idx="7264">
                  <c:v>43768</c:v>
                </c:pt>
                <c:pt idx="7265">
                  <c:v>43768</c:v>
                </c:pt>
                <c:pt idx="7266">
                  <c:v>43768</c:v>
                </c:pt>
                <c:pt idx="7267">
                  <c:v>43768</c:v>
                </c:pt>
                <c:pt idx="7268">
                  <c:v>43768</c:v>
                </c:pt>
                <c:pt idx="7269">
                  <c:v>43768</c:v>
                </c:pt>
                <c:pt idx="7270">
                  <c:v>43768</c:v>
                </c:pt>
                <c:pt idx="7271">
                  <c:v>43768</c:v>
                </c:pt>
                <c:pt idx="7272">
                  <c:v>43769</c:v>
                </c:pt>
                <c:pt idx="7273">
                  <c:v>43769</c:v>
                </c:pt>
                <c:pt idx="7274">
                  <c:v>43769</c:v>
                </c:pt>
                <c:pt idx="7275">
                  <c:v>43769</c:v>
                </c:pt>
                <c:pt idx="7276">
                  <c:v>43769</c:v>
                </c:pt>
                <c:pt idx="7277">
                  <c:v>43769</c:v>
                </c:pt>
                <c:pt idx="7278">
                  <c:v>43769</c:v>
                </c:pt>
                <c:pt idx="7279">
                  <c:v>43769</c:v>
                </c:pt>
                <c:pt idx="7280">
                  <c:v>43769</c:v>
                </c:pt>
                <c:pt idx="7281">
                  <c:v>43769</c:v>
                </c:pt>
                <c:pt idx="7282">
                  <c:v>43769</c:v>
                </c:pt>
                <c:pt idx="7283">
                  <c:v>43769</c:v>
                </c:pt>
                <c:pt idx="7284">
                  <c:v>43769</c:v>
                </c:pt>
                <c:pt idx="7285">
                  <c:v>43769</c:v>
                </c:pt>
                <c:pt idx="7286">
                  <c:v>43769</c:v>
                </c:pt>
                <c:pt idx="7287">
                  <c:v>43769</c:v>
                </c:pt>
                <c:pt idx="7288">
                  <c:v>43769</c:v>
                </c:pt>
                <c:pt idx="7289">
                  <c:v>43769</c:v>
                </c:pt>
                <c:pt idx="7290">
                  <c:v>43769</c:v>
                </c:pt>
                <c:pt idx="7291">
                  <c:v>43769</c:v>
                </c:pt>
                <c:pt idx="7292">
                  <c:v>43769</c:v>
                </c:pt>
                <c:pt idx="7293">
                  <c:v>43769</c:v>
                </c:pt>
                <c:pt idx="7294">
                  <c:v>43769</c:v>
                </c:pt>
                <c:pt idx="7295">
                  <c:v>43769</c:v>
                </c:pt>
                <c:pt idx="7296">
                  <c:v>43770</c:v>
                </c:pt>
                <c:pt idx="7297">
                  <c:v>43770</c:v>
                </c:pt>
                <c:pt idx="7298">
                  <c:v>43770</c:v>
                </c:pt>
                <c:pt idx="7299">
                  <c:v>43770</c:v>
                </c:pt>
                <c:pt idx="7300">
                  <c:v>43770</c:v>
                </c:pt>
                <c:pt idx="7301">
                  <c:v>43770</c:v>
                </c:pt>
                <c:pt idx="7302">
                  <c:v>43770</c:v>
                </c:pt>
                <c:pt idx="7303">
                  <c:v>43770</c:v>
                </c:pt>
                <c:pt idx="7304">
                  <c:v>43770</c:v>
                </c:pt>
                <c:pt idx="7305">
                  <c:v>43770</c:v>
                </c:pt>
                <c:pt idx="7306">
                  <c:v>43770</c:v>
                </c:pt>
                <c:pt idx="7307">
                  <c:v>43770</c:v>
                </c:pt>
                <c:pt idx="7308">
                  <c:v>43770</c:v>
                </c:pt>
                <c:pt idx="7309">
                  <c:v>43770</c:v>
                </c:pt>
                <c:pt idx="7310">
                  <c:v>43770</c:v>
                </c:pt>
                <c:pt idx="7311">
                  <c:v>43770</c:v>
                </c:pt>
                <c:pt idx="7312">
                  <c:v>43770</c:v>
                </c:pt>
                <c:pt idx="7313">
                  <c:v>43770</c:v>
                </c:pt>
                <c:pt idx="7314">
                  <c:v>43770</c:v>
                </c:pt>
                <c:pt idx="7315">
                  <c:v>43770</c:v>
                </c:pt>
                <c:pt idx="7316">
                  <c:v>43770</c:v>
                </c:pt>
                <c:pt idx="7317">
                  <c:v>43770</c:v>
                </c:pt>
                <c:pt idx="7318">
                  <c:v>43770</c:v>
                </c:pt>
                <c:pt idx="7319">
                  <c:v>43770</c:v>
                </c:pt>
                <c:pt idx="7320">
                  <c:v>43771</c:v>
                </c:pt>
                <c:pt idx="7321">
                  <c:v>43771</c:v>
                </c:pt>
                <c:pt idx="7322">
                  <c:v>43771</c:v>
                </c:pt>
                <c:pt idx="7323">
                  <c:v>43771</c:v>
                </c:pt>
                <c:pt idx="7324">
                  <c:v>43771</c:v>
                </c:pt>
                <c:pt idx="7325">
                  <c:v>43771</c:v>
                </c:pt>
                <c:pt idx="7326">
                  <c:v>43771</c:v>
                </c:pt>
                <c:pt idx="7327">
                  <c:v>43771</c:v>
                </c:pt>
                <c:pt idx="7328">
                  <c:v>43771</c:v>
                </c:pt>
                <c:pt idx="7329">
                  <c:v>43771</c:v>
                </c:pt>
                <c:pt idx="7330">
                  <c:v>43771</c:v>
                </c:pt>
                <c:pt idx="7331">
                  <c:v>43771</c:v>
                </c:pt>
                <c:pt idx="7332">
                  <c:v>43771</c:v>
                </c:pt>
                <c:pt idx="7333">
                  <c:v>43771</c:v>
                </c:pt>
                <c:pt idx="7334">
                  <c:v>43771</c:v>
                </c:pt>
                <c:pt idx="7335">
                  <c:v>43771</c:v>
                </c:pt>
                <c:pt idx="7336">
                  <c:v>43771</c:v>
                </c:pt>
                <c:pt idx="7337">
                  <c:v>43771</c:v>
                </c:pt>
                <c:pt idx="7338">
                  <c:v>43771</c:v>
                </c:pt>
                <c:pt idx="7339">
                  <c:v>43771</c:v>
                </c:pt>
                <c:pt idx="7340">
                  <c:v>43771</c:v>
                </c:pt>
                <c:pt idx="7341">
                  <c:v>43771</c:v>
                </c:pt>
                <c:pt idx="7342">
                  <c:v>43771</c:v>
                </c:pt>
                <c:pt idx="7343">
                  <c:v>43771</c:v>
                </c:pt>
                <c:pt idx="7344">
                  <c:v>43772</c:v>
                </c:pt>
                <c:pt idx="7345">
                  <c:v>43772</c:v>
                </c:pt>
                <c:pt idx="7346">
                  <c:v>43772</c:v>
                </c:pt>
                <c:pt idx="7347">
                  <c:v>43772</c:v>
                </c:pt>
                <c:pt idx="7348">
                  <c:v>43772</c:v>
                </c:pt>
                <c:pt idx="7349">
                  <c:v>43772</c:v>
                </c:pt>
                <c:pt idx="7350">
                  <c:v>43772</c:v>
                </c:pt>
                <c:pt idx="7351">
                  <c:v>43772</c:v>
                </c:pt>
                <c:pt idx="7352">
                  <c:v>43772</c:v>
                </c:pt>
                <c:pt idx="7353">
                  <c:v>43772</c:v>
                </c:pt>
                <c:pt idx="7354">
                  <c:v>43772</c:v>
                </c:pt>
                <c:pt idx="7355">
                  <c:v>43772</c:v>
                </c:pt>
                <c:pt idx="7356">
                  <c:v>43772</c:v>
                </c:pt>
                <c:pt idx="7357">
                  <c:v>43772</c:v>
                </c:pt>
                <c:pt idx="7358">
                  <c:v>43772</c:v>
                </c:pt>
                <c:pt idx="7359">
                  <c:v>43772</c:v>
                </c:pt>
                <c:pt idx="7360">
                  <c:v>43772</c:v>
                </c:pt>
                <c:pt idx="7361">
                  <c:v>43772</c:v>
                </c:pt>
                <c:pt idx="7362">
                  <c:v>43772</c:v>
                </c:pt>
                <c:pt idx="7363">
                  <c:v>43772</c:v>
                </c:pt>
                <c:pt idx="7364">
                  <c:v>43772</c:v>
                </c:pt>
                <c:pt idx="7365">
                  <c:v>43772</c:v>
                </c:pt>
                <c:pt idx="7366">
                  <c:v>43772</c:v>
                </c:pt>
                <c:pt idx="7367">
                  <c:v>43772</c:v>
                </c:pt>
                <c:pt idx="7368">
                  <c:v>43773</c:v>
                </c:pt>
                <c:pt idx="7369">
                  <c:v>43773</c:v>
                </c:pt>
                <c:pt idx="7370">
                  <c:v>43773</c:v>
                </c:pt>
                <c:pt idx="7371">
                  <c:v>43773</c:v>
                </c:pt>
                <c:pt idx="7372">
                  <c:v>43773</c:v>
                </c:pt>
                <c:pt idx="7373">
                  <c:v>43773</c:v>
                </c:pt>
                <c:pt idx="7374">
                  <c:v>43773</c:v>
                </c:pt>
                <c:pt idx="7375">
                  <c:v>43773</c:v>
                </c:pt>
                <c:pt idx="7376">
                  <c:v>43773</c:v>
                </c:pt>
                <c:pt idx="7377">
                  <c:v>43773</c:v>
                </c:pt>
                <c:pt idx="7378">
                  <c:v>43773</c:v>
                </c:pt>
                <c:pt idx="7379">
                  <c:v>43773</c:v>
                </c:pt>
                <c:pt idx="7380">
                  <c:v>43773</c:v>
                </c:pt>
                <c:pt idx="7381">
                  <c:v>43773</c:v>
                </c:pt>
                <c:pt idx="7382">
                  <c:v>43773</c:v>
                </c:pt>
                <c:pt idx="7383">
                  <c:v>43773</c:v>
                </c:pt>
                <c:pt idx="7384">
                  <c:v>43773</c:v>
                </c:pt>
                <c:pt idx="7385">
                  <c:v>43773</c:v>
                </c:pt>
                <c:pt idx="7386">
                  <c:v>43773</c:v>
                </c:pt>
                <c:pt idx="7387">
                  <c:v>43773</c:v>
                </c:pt>
                <c:pt idx="7388">
                  <c:v>43773</c:v>
                </c:pt>
                <c:pt idx="7389">
                  <c:v>43773</c:v>
                </c:pt>
                <c:pt idx="7390">
                  <c:v>43773</c:v>
                </c:pt>
                <c:pt idx="7391">
                  <c:v>43773</c:v>
                </c:pt>
                <c:pt idx="7392">
                  <c:v>43774</c:v>
                </c:pt>
                <c:pt idx="7393">
                  <c:v>43774</c:v>
                </c:pt>
                <c:pt idx="7394">
                  <c:v>43774</c:v>
                </c:pt>
                <c:pt idx="7395">
                  <c:v>43774</c:v>
                </c:pt>
                <c:pt idx="7396">
                  <c:v>43774</c:v>
                </c:pt>
                <c:pt idx="7397">
                  <c:v>43774</c:v>
                </c:pt>
                <c:pt idx="7398">
                  <c:v>43774</c:v>
                </c:pt>
                <c:pt idx="7399">
                  <c:v>43774</c:v>
                </c:pt>
                <c:pt idx="7400">
                  <c:v>43774</c:v>
                </c:pt>
                <c:pt idx="7401">
                  <c:v>43774</c:v>
                </c:pt>
                <c:pt idx="7402">
                  <c:v>43774</c:v>
                </c:pt>
                <c:pt idx="7403">
                  <c:v>43774</c:v>
                </c:pt>
                <c:pt idx="7404">
                  <c:v>43774</c:v>
                </c:pt>
                <c:pt idx="7405">
                  <c:v>43774</c:v>
                </c:pt>
                <c:pt idx="7406">
                  <c:v>43774</c:v>
                </c:pt>
                <c:pt idx="7407">
                  <c:v>43774</c:v>
                </c:pt>
                <c:pt idx="7408">
                  <c:v>43774</c:v>
                </c:pt>
                <c:pt idx="7409">
                  <c:v>43774</c:v>
                </c:pt>
                <c:pt idx="7410">
                  <c:v>43774</c:v>
                </c:pt>
                <c:pt idx="7411">
                  <c:v>43774</c:v>
                </c:pt>
                <c:pt idx="7412">
                  <c:v>43774</c:v>
                </c:pt>
                <c:pt idx="7413">
                  <c:v>43774</c:v>
                </c:pt>
                <c:pt idx="7414">
                  <c:v>43774</c:v>
                </c:pt>
                <c:pt idx="7415">
                  <c:v>43774</c:v>
                </c:pt>
                <c:pt idx="7416">
                  <c:v>43775</c:v>
                </c:pt>
                <c:pt idx="7417">
                  <c:v>43775</c:v>
                </c:pt>
                <c:pt idx="7418">
                  <c:v>43775</c:v>
                </c:pt>
                <c:pt idx="7419">
                  <c:v>43775</c:v>
                </c:pt>
                <c:pt idx="7420">
                  <c:v>43775</c:v>
                </c:pt>
                <c:pt idx="7421">
                  <c:v>43775</c:v>
                </c:pt>
                <c:pt idx="7422">
                  <c:v>43775</c:v>
                </c:pt>
                <c:pt idx="7423">
                  <c:v>43775</c:v>
                </c:pt>
                <c:pt idx="7424">
                  <c:v>43775</c:v>
                </c:pt>
                <c:pt idx="7425">
                  <c:v>43775</c:v>
                </c:pt>
                <c:pt idx="7426">
                  <c:v>43775</c:v>
                </c:pt>
                <c:pt idx="7427">
                  <c:v>43775</c:v>
                </c:pt>
                <c:pt idx="7428">
                  <c:v>43775</c:v>
                </c:pt>
                <c:pt idx="7429">
                  <c:v>43775</c:v>
                </c:pt>
                <c:pt idx="7430">
                  <c:v>43775</c:v>
                </c:pt>
                <c:pt idx="7431">
                  <c:v>43775</c:v>
                </c:pt>
                <c:pt idx="7432">
                  <c:v>43775</c:v>
                </c:pt>
                <c:pt idx="7433">
                  <c:v>43775</c:v>
                </c:pt>
                <c:pt idx="7434">
                  <c:v>43775</c:v>
                </c:pt>
                <c:pt idx="7435">
                  <c:v>43775</c:v>
                </c:pt>
                <c:pt idx="7436">
                  <c:v>43775</c:v>
                </c:pt>
                <c:pt idx="7437">
                  <c:v>43775</c:v>
                </c:pt>
                <c:pt idx="7438">
                  <c:v>43775</c:v>
                </c:pt>
                <c:pt idx="7439">
                  <c:v>43775</c:v>
                </c:pt>
                <c:pt idx="7440">
                  <c:v>43776</c:v>
                </c:pt>
                <c:pt idx="7441">
                  <c:v>43776</c:v>
                </c:pt>
                <c:pt idx="7442">
                  <c:v>43776</c:v>
                </c:pt>
                <c:pt idx="7443">
                  <c:v>43776</c:v>
                </c:pt>
                <c:pt idx="7444">
                  <c:v>43776</c:v>
                </c:pt>
                <c:pt idx="7445">
                  <c:v>43776</c:v>
                </c:pt>
                <c:pt idx="7446">
                  <c:v>43776</c:v>
                </c:pt>
                <c:pt idx="7447">
                  <c:v>43776</c:v>
                </c:pt>
                <c:pt idx="7448">
                  <c:v>43776</c:v>
                </c:pt>
                <c:pt idx="7449">
                  <c:v>43776</c:v>
                </c:pt>
                <c:pt idx="7450">
                  <c:v>43776</c:v>
                </c:pt>
                <c:pt idx="7451">
                  <c:v>43776</c:v>
                </c:pt>
                <c:pt idx="7452">
                  <c:v>43776</c:v>
                </c:pt>
                <c:pt idx="7453">
                  <c:v>43776</c:v>
                </c:pt>
                <c:pt idx="7454">
                  <c:v>43776</c:v>
                </c:pt>
                <c:pt idx="7455">
                  <c:v>43776</c:v>
                </c:pt>
                <c:pt idx="7456">
                  <c:v>43776</c:v>
                </c:pt>
                <c:pt idx="7457">
                  <c:v>43776</c:v>
                </c:pt>
                <c:pt idx="7458">
                  <c:v>43776</c:v>
                </c:pt>
                <c:pt idx="7459">
                  <c:v>43776</c:v>
                </c:pt>
                <c:pt idx="7460">
                  <c:v>43776</c:v>
                </c:pt>
                <c:pt idx="7461">
                  <c:v>43776</c:v>
                </c:pt>
                <c:pt idx="7462">
                  <c:v>43776</c:v>
                </c:pt>
                <c:pt idx="7463">
                  <c:v>43776</c:v>
                </c:pt>
                <c:pt idx="7464">
                  <c:v>43777</c:v>
                </c:pt>
                <c:pt idx="7465">
                  <c:v>43777</c:v>
                </c:pt>
                <c:pt idx="7466">
                  <c:v>43777</c:v>
                </c:pt>
                <c:pt idx="7467">
                  <c:v>43777</c:v>
                </c:pt>
                <c:pt idx="7468">
                  <c:v>43777</c:v>
                </c:pt>
                <c:pt idx="7469">
                  <c:v>43777</c:v>
                </c:pt>
                <c:pt idx="7470">
                  <c:v>43777</c:v>
                </c:pt>
                <c:pt idx="7471">
                  <c:v>43777</c:v>
                </c:pt>
                <c:pt idx="7472">
                  <c:v>43777</c:v>
                </c:pt>
                <c:pt idx="7473">
                  <c:v>43777</c:v>
                </c:pt>
                <c:pt idx="7474">
                  <c:v>43777</c:v>
                </c:pt>
                <c:pt idx="7475">
                  <c:v>43777</c:v>
                </c:pt>
                <c:pt idx="7476">
                  <c:v>43777</c:v>
                </c:pt>
                <c:pt idx="7477">
                  <c:v>43777</c:v>
                </c:pt>
                <c:pt idx="7478">
                  <c:v>43777</c:v>
                </c:pt>
                <c:pt idx="7479">
                  <c:v>43777</c:v>
                </c:pt>
                <c:pt idx="7480">
                  <c:v>43777</c:v>
                </c:pt>
                <c:pt idx="7481">
                  <c:v>43777</c:v>
                </c:pt>
                <c:pt idx="7482">
                  <c:v>43777</c:v>
                </c:pt>
                <c:pt idx="7483">
                  <c:v>43777</c:v>
                </c:pt>
                <c:pt idx="7484">
                  <c:v>43777</c:v>
                </c:pt>
                <c:pt idx="7485">
                  <c:v>43777</c:v>
                </c:pt>
                <c:pt idx="7486">
                  <c:v>43777</c:v>
                </c:pt>
                <c:pt idx="7487">
                  <c:v>43777</c:v>
                </c:pt>
                <c:pt idx="7488">
                  <c:v>43778</c:v>
                </c:pt>
                <c:pt idx="7489">
                  <c:v>43778</c:v>
                </c:pt>
                <c:pt idx="7490">
                  <c:v>43778</c:v>
                </c:pt>
                <c:pt idx="7491">
                  <c:v>43778</c:v>
                </c:pt>
                <c:pt idx="7492">
                  <c:v>43778</c:v>
                </c:pt>
                <c:pt idx="7493">
                  <c:v>43778</c:v>
                </c:pt>
                <c:pt idx="7494">
                  <c:v>43778</c:v>
                </c:pt>
                <c:pt idx="7495">
                  <c:v>43778</c:v>
                </c:pt>
                <c:pt idx="7496">
                  <c:v>43778</c:v>
                </c:pt>
                <c:pt idx="7497">
                  <c:v>43778</c:v>
                </c:pt>
                <c:pt idx="7498">
                  <c:v>43778</c:v>
                </c:pt>
                <c:pt idx="7499">
                  <c:v>43778</c:v>
                </c:pt>
                <c:pt idx="7500">
                  <c:v>43778</c:v>
                </c:pt>
                <c:pt idx="7501">
                  <c:v>43778</c:v>
                </c:pt>
                <c:pt idx="7502">
                  <c:v>43778</c:v>
                </c:pt>
                <c:pt idx="7503">
                  <c:v>43778</c:v>
                </c:pt>
                <c:pt idx="7504">
                  <c:v>43778</c:v>
                </c:pt>
                <c:pt idx="7505">
                  <c:v>43778</c:v>
                </c:pt>
                <c:pt idx="7506">
                  <c:v>43778</c:v>
                </c:pt>
                <c:pt idx="7507">
                  <c:v>43778</c:v>
                </c:pt>
                <c:pt idx="7508">
                  <c:v>43778</c:v>
                </c:pt>
                <c:pt idx="7509">
                  <c:v>43778</c:v>
                </c:pt>
                <c:pt idx="7510">
                  <c:v>43778</c:v>
                </c:pt>
                <c:pt idx="7511">
                  <c:v>43778</c:v>
                </c:pt>
                <c:pt idx="7512">
                  <c:v>43779</c:v>
                </c:pt>
                <c:pt idx="7513">
                  <c:v>43779</c:v>
                </c:pt>
                <c:pt idx="7514">
                  <c:v>43779</c:v>
                </c:pt>
                <c:pt idx="7515">
                  <c:v>43779</c:v>
                </c:pt>
                <c:pt idx="7516">
                  <c:v>43779</c:v>
                </c:pt>
                <c:pt idx="7517">
                  <c:v>43779</c:v>
                </c:pt>
                <c:pt idx="7518">
                  <c:v>43779</c:v>
                </c:pt>
                <c:pt idx="7519">
                  <c:v>43779</c:v>
                </c:pt>
                <c:pt idx="7520">
                  <c:v>43779</c:v>
                </c:pt>
                <c:pt idx="7521">
                  <c:v>43779</c:v>
                </c:pt>
                <c:pt idx="7522">
                  <c:v>43779</c:v>
                </c:pt>
                <c:pt idx="7523">
                  <c:v>43779</c:v>
                </c:pt>
                <c:pt idx="7524">
                  <c:v>43779</c:v>
                </c:pt>
                <c:pt idx="7525">
                  <c:v>43779</c:v>
                </c:pt>
                <c:pt idx="7526">
                  <c:v>43779</c:v>
                </c:pt>
                <c:pt idx="7527">
                  <c:v>43779</c:v>
                </c:pt>
                <c:pt idx="7528">
                  <c:v>43779</c:v>
                </c:pt>
                <c:pt idx="7529">
                  <c:v>43779</c:v>
                </c:pt>
                <c:pt idx="7530">
                  <c:v>43779</c:v>
                </c:pt>
                <c:pt idx="7531">
                  <c:v>43779</c:v>
                </c:pt>
                <c:pt idx="7532">
                  <c:v>43779</c:v>
                </c:pt>
                <c:pt idx="7533">
                  <c:v>43779</c:v>
                </c:pt>
                <c:pt idx="7534">
                  <c:v>43779</c:v>
                </c:pt>
                <c:pt idx="7535">
                  <c:v>43779</c:v>
                </c:pt>
                <c:pt idx="7536">
                  <c:v>43780</c:v>
                </c:pt>
                <c:pt idx="7537">
                  <c:v>43780</c:v>
                </c:pt>
                <c:pt idx="7538">
                  <c:v>43780</c:v>
                </c:pt>
                <c:pt idx="7539">
                  <c:v>43780</c:v>
                </c:pt>
                <c:pt idx="7540">
                  <c:v>43780</c:v>
                </c:pt>
                <c:pt idx="7541">
                  <c:v>43780</c:v>
                </c:pt>
                <c:pt idx="7542">
                  <c:v>43780</c:v>
                </c:pt>
                <c:pt idx="7543">
                  <c:v>43780</c:v>
                </c:pt>
                <c:pt idx="7544">
                  <c:v>43780</c:v>
                </c:pt>
                <c:pt idx="7545">
                  <c:v>43780</c:v>
                </c:pt>
                <c:pt idx="7546">
                  <c:v>43780</c:v>
                </c:pt>
                <c:pt idx="7547">
                  <c:v>43780</c:v>
                </c:pt>
                <c:pt idx="7548">
                  <c:v>43780</c:v>
                </c:pt>
                <c:pt idx="7549">
                  <c:v>43780</c:v>
                </c:pt>
                <c:pt idx="7550">
                  <c:v>43780</c:v>
                </c:pt>
                <c:pt idx="7551">
                  <c:v>43780</c:v>
                </c:pt>
                <c:pt idx="7552">
                  <c:v>43780</c:v>
                </c:pt>
                <c:pt idx="7553">
                  <c:v>43780</c:v>
                </c:pt>
                <c:pt idx="7554">
                  <c:v>43780</c:v>
                </c:pt>
                <c:pt idx="7555">
                  <c:v>43780</c:v>
                </c:pt>
                <c:pt idx="7556">
                  <c:v>43780</c:v>
                </c:pt>
                <c:pt idx="7557">
                  <c:v>43780</c:v>
                </c:pt>
                <c:pt idx="7558">
                  <c:v>43780</c:v>
                </c:pt>
                <c:pt idx="7559">
                  <c:v>43780</c:v>
                </c:pt>
                <c:pt idx="7560">
                  <c:v>43781</c:v>
                </c:pt>
                <c:pt idx="7561">
                  <c:v>43781</c:v>
                </c:pt>
                <c:pt idx="7562">
                  <c:v>43781</c:v>
                </c:pt>
                <c:pt idx="7563">
                  <c:v>43781</c:v>
                </c:pt>
                <c:pt idx="7564">
                  <c:v>43781</c:v>
                </c:pt>
                <c:pt idx="7565">
                  <c:v>43781</c:v>
                </c:pt>
                <c:pt idx="7566">
                  <c:v>43781</c:v>
                </c:pt>
                <c:pt idx="7567">
                  <c:v>43781</c:v>
                </c:pt>
                <c:pt idx="7568">
                  <c:v>43781</c:v>
                </c:pt>
                <c:pt idx="7569">
                  <c:v>43781</c:v>
                </c:pt>
                <c:pt idx="7570">
                  <c:v>43781</c:v>
                </c:pt>
                <c:pt idx="7571">
                  <c:v>43781</c:v>
                </c:pt>
                <c:pt idx="7572">
                  <c:v>43781</c:v>
                </c:pt>
                <c:pt idx="7573">
                  <c:v>43781</c:v>
                </c:pt>
                <c:pt idx="7574">
                  <c:v>43781</c:v>
                </c:pt>
                <c:pt idx="7575">
                  <c:v>43781</c:v>
                </c:pt>
                <c:pt idx="7576">
                  <c:v>43781</c:v>
                </c:pt>
                <c:pt idx="7577">
                  <c:v>43781</c:v>
                </c:pt>
                <c:pt idx="7578">
                  <c:v>43781</c:v>
                </c:pt>
                <c:pt idx="7579">
                  <c:v>43781</c:v>
                </c:pt>
                <c:pt idx="7580">
                  <c:v>43781</c:v>
                </c:pt>
                <c:pt idx="7581">
                  <c:v>43781</c:v>
                </c:pt>
                <c:pt idx="7582">
                  <c:v>43781</c:v>
                </c:pt>
                <c:pt idx="7583">
                  <c:v>43781</c:v>
                </c:pt>
                <c:pt idx="7584">
                  <c:v>43782</c:v>
                </c:pt>
                <c:pt idx="7585">
                  <c:v>43782</c:v>
                </c:pt>
                <c:pt idx="7586">
                  <c:v>43782</c:v>
                </c:pt>
                <c:pt idx="7587">
                  <c:v>43782</c:v>
                </c:pt>
                <c:pt idx="7588">
                  <c:v>43782</c:v>
                </c:pt>
                <c:pt idx="7589">
                  <c:v>43782</c:v>
                </c:pt>
                <c:pt idx="7590">
                  <c:v>43782</c:v>
                </c:pt>
                <c:pt idx="7591">
                  <c:v>43782</c:v>
                </c:pt>
                <c:pt idx="7592">
                  <c:v>43782</c:v>
                </c:pt>
                <c:pt idx="7593">
                  <c:v>43782</c:v>
                </c:pt>
                <c:pt idx="7594">
                  <c:v>43782</c:v>
                </c:pt>
                <c:pt idx="7595">
                  <c:v>43782</c:v>
                </c:pt>
                <c:pt idx="7596">
                  <c:v>43782</c:v>
                </c:pt>
                <c:pt idx="7597">
                  <c:v>43782</c:v>
                </c:pt>
                <c:pt idx="7598">
                  <c:v>43782</c:v>
                </c:pt>
                <c:pt idx="7599">
                  <c:v>43782</c:v>
                </c:pt>
                <c:pt idx="7600">
                  <c:v>43782</c:v>
                </c:pt>
                <c:pt idx="7601">
                  <c:v>43782</c:v>
                </c:pt>
                <c:pt idx="7602">
                  <c:v>43782</c:v>
                </c:pt>
                <c:pt idx="7603">
                  <c:v>43782</c:v>
                </c:pt>
                <c:pt idx="7604">
                  <c:v>43782</c:v>
                </c:pt>
                <c:pt idx="7605">
                  <c:v>43782</c:v>
                </c:pt>
                <c:pt idx="7606">
                  <c:v>43782</c:v>
                </c:pt>
                <c:pt idx="7607">
                  <c:v>43782</c:v>
                </c:pt>
                <c:pt idx="7608">
                  <c:v>43783</c:v>
                </c:pt>
                <c:pt idx="7609">
                  <c:v>43783</c:v>
                </c:pt>
                <c:pt idx="7610">
                  <c:v>43783</c:v>
                </c:pt>
                <c:pt idx="7611">
                  <c:v>43783</c:v>
                </c:pt>
                <c:pt idx="7612">
                  <c:v>43783</c:v>
                </c:pt>
                <c:pt idx="7613">
                  <c:v>43783</c:v>
                </c:pt>
                <c:pt idx="7614">
                  <c:v>43783</c:v>
                </c:pt>
                <c:pt idx="7615">
                  <c:v>43783</c:v>
                </c:pt>
                <c:pt idx="7616">
                  <c:v>43783</c:v>
                </c:pt>
                <c:pt idx="7617">
                  <c:v>43783</c:v>
                </c:pt>
                <c:pt idx="7618">
                  <c:v>43783</c:v>
                </c:pt>
                <c:pt idx="7619">
                  <c:v>43783</c:v>
                </c:pt>
                <c:pt idx="7620">
                  <c:v>43783</c:v>
                </c:pt>
                <c:pt idx="7621">
                  <c:v>43783</c:v>
                </c:pt>
                <c:pt idx="7622">
                  <c:v>43783</c:v>
                </c:pt>
                <c:pt idx="7623">
                  <c:v>43783</c:v>
                </c:pt>
                <c:pt idx="7624">
                  <c:v>43783</c:v>
                </c:pt>
                <c:pt idx="7625">
                  <c:v>43783</c:v>
                </c:pt>
                <c:pt idx="7626">
                  <c:v>43783</c:v>
                </c:pt>
                <c:pt idx="7627">
                  <c:v>43783</c:v>
                </c:pt>
                <c:pt idx="7628">
                  <c:v>43783</c:v>
                </c:pt>
                <c:pt idx="7629">
                  <c:v>43783</c:v>
                </c:pt>
                <c:pt idx="7630">
                  <c:v>43783</c:v>
                </c:pt>
                <c:pt idx="7631">
                  <c:v>43783</c:v>
                </c:pt>
                <c:pt idx="7632">
                  <c:v>43784</c:v>
                </c:pt>
                <c:pt idx="7633">
                  <c:v>43784</c:v>
                </c:pt>
                <c:pt idx="7634">
                  <c:v>43784</c:v>
                </c:pt>
                <c:pt idx="7635">
                  <c:v>43784</c:v>
                </c:pt>
                <c:pt idx="7636">
                  <c:v>43784</c:v>
                </c:pt>
                <c:pt idx="7637">
                  <c:v>43784</c:v>
                </c:pt>
                <c:pt idx="7638">
                  <c:v>43784</c:v>
                </c:pt>
                <c:pt idx="7639">
                  <c:v>43784</c:v>
                </c:pt>
                <c:pt idx="7640">
                  <c:v>43784</c:v>
                </c:pt>
                <c:pt idx="7641">
                  <c:v>43784</c:v>
                </c:pt>
                <c:pt idx="7642">
                  <c:v>43784</c:v>
                </c:pt>
                <c:pt idx="7643">
                  <c:v>43784</c:v>
                </c:pt>
                <c:pt idx="7644">
                  <c:v>43784</c:v>
                </c:pt>
                <c:pt idx="7645">
                  <c:v>43784</c:v>
                </c:pt>
                <c:pt idx="7646">
                  <c:v>43784</c:v>
                </c:pt>
                <c:pt idx="7647">
                  <c:v>43784</c:v>
                </c:pt>
                <c:pt idx="7648">
                  <c:v>43784</c:v>
                </c:pt>
                <c:pt idx="7649">
                  <c:v>43784</c:v>
                </c:pt>
                <c:pt idx="7650">
                  <c:v>43784</c:v>
                </c:pt>
                <c:pt idx="7651">
                  <c:v>43784</c:v>
                </c:pt>
                <c:pt idx="7652">
                  <c:v>43784</c:v>
                </c:pt>
                <c:pt idx="7653">
                  <c:v>43784</c:v>
                </c:pt>
                <c:pt idx="7654">
                  <c:v>43784</c:v>
                </c:pt>
                <c:pt idx="7655">
                  <c:v>43784</c:v>
                </c:pt>
                <c:pt idx="7656">
                  <c:v>43785</c:v>
                </c:pt>
                <c:pt idx="7657">
                  <c:v>43785</c:v>
                </c:pt>
                <c:pt idx="7658">
                  <c:v>43785</c:v>
                </c:pt>
                <c:pt idx="7659">
                  <c:v>43785</c:v>
                </c:pt>
                <c:pt idx="7660">
                  <c:v>43785</c:v>
                </c:pt>
                <c:pt idx="7661">
                  <c:v>43785</c:v>
                </c:pt>
                <c:pt idx="7662">
                  <c:v>43785</c:v>
                </c:pt>
                <c:pt idx="7663">
                  <c:v>43785</c:v>
                </c:pt>
                <c:pt idx="7664">
                  <c:v>43785</c:v>
                </c:pt>
                <c:pt idx="7665">
                  <c:v>43785</c:v>
                </c:pt>
                <c:pt idx="7666">
                  <c:v>43785</c:v>
                </c:pt>
                <c:pt idx="7667">
                  <c:v>43785</c:v>
                </c:pt>
                <c:pt idx="7668">
                  <c:v>43785</c:v>
                </c:pt>
                <c:pt idx="7669">
                  <c:v>43785</c:v>
                </c:pt>
                <c:pt idx="7670">
                  <c:v>43785</c:v>
                </c:pt>
                <c:pt idx="7671">
                  <c:v>43785</c:v>
                </c:pt>
                <c:pt idx="7672">
                  <c:v>43785</c:v>
                </c:pt>
                <c:pt idx="7673">
                  <c:v>43785</c:v>
                </c:pt>
                <c:pt idx="7674">
                  <c:v>43785</c:v>
                </c:pt>
                <c:pt idx="7675">
                  <c:v>43785</c:v>
                </c:pt>
                <c:pt idx="7676">
                  <c:v>43785</c:v>
                </c:pt>
                <c:pt idx="7677">
                  <c:v>43785</c:v>
                </c:pt>
                <c:pt idx="7678">
                  <c:v>43785</c:v>
                </c:pt>
                <c:pt idx="7679">
                  <c:v>43785</c:v>
                </c:pt>
                <c:pt idx="7680">
                  <c:v>43786</c:v>
                </c:pt>
                <c:pt idx="7681">
                  <c:v>43786</c:v>
                </c:pt>
                <c:pt idx="7682">
                  <c:v>43786</c:v>
                </c:pt>
                <c:pt idx="7683">
                  <c:v>43786</c:v>
                </c:pt>
                <c:pt idx="7684">
                  <c:v>43786</c:v>
                </c:pt>
                <c:pt idx="7685">
                  <c:v>43786</c:v>
                </c:pt>
                <c:pt idx="7686">
                  <c:v>43786</c:v>
                </c:pt>
                <c:pt idx="7687">
                  <c:v>43786</c:v>
                </c:pt>
                <c:pt idx="7688">
                  <c:v>43786</c:v>
                </c:pt>
                <c:pt idx="7689">
                  <c:v>43786</c:v>
                </c:pt>
                <c:pt idx="7690">
                  <c:v>43786</c:v>
                </c:pt>
                <c:pt idx="7691">
                  <c:v>43786</c:v>
                </c:pt>
                <c:pt idx="7692">
                  <c:v>43786</c:v>
                </c:pt>
                <c:pt idx="7693">
                  <c:v>43786</c:v>
                </c:pt>
                <c:pt idx="7694">
                  <c:v>43786</c:v>
                </c:pt>
                <c:pt idx="7695">
                  <c:v>43786</c:v>
                </c:pt>
                <c:pt idx="7696">
                  <c:v>43786</c:v>
                </c:pt>
                <c:pt idx="7697">
                  <c:v>43786</c:v>
                </c:pt>
                <c:pt idx="7698">
                  <c:v>43786</c:v>
                </c:pt>
                <c:pt idx="7699">
                  <c:v>43786</c:v>
                </c:pt>
                <c:pt idx="7700">
                  <c:v>43786</c:v>
                </c:pt>
                <c:pt idx="7701">
                  <c:v>43786</c:v>
                </c:pt>
                <c:pt idx="7702">
                  <c:v>43786</c:v>
                </c:pt>
                <c:pt idx="7703">
                  <c:v>43786</c:v>
                </c:pt>
                <c:pt idx="7704">
                  <c:v>43787</c:v>
                </c:pt>
                <c:pt idx="7705">
                  <c:v>43787</c:v>
                </c:pt>
                <c:pt idx="7706">
                  <c:v>43787</c:v>
                </c:pt>
                <c:pt idx="7707">
                  <c:v>43787</c:v>
                </c:pt>
                <c:pt idx="7708">
                  <c:v>43787</c:v>
                </c:pt>
                <c:pt idx="7709">
                  <c:v>43787</c:v>
                </c:pt>
                <c:pt idx="7710">
                  <c:v>43787</c:v>
                </c:pt>
                <c:pt idx="7711">
                  <c:v>43787</c:v>
                </c:pt>
                <c:pt idx="7712">
                  <c:v>43787</c:v>
                </c:pt>
                <c:pt idx="7713">
                  <c:v>43787</c:v>
                </c:pt>
                <c:pt idx="7714">
                  <c:v>43787</c:v>
                </c:pt>
                <c:pt idx="7715">
                  <c:v>43787</c:v>
                </c:pt>
                <c:pt idx="7716">
                  <c:v>43787</c:v>
                </c:pt>
                <c:pt idx="7717">
                  <c:v>43787</c:v>
                </c:pt>
                <c:pt idx="7718">
                  <c:v>43787</c:v>
                </c:pt>
                <c:pt idx="7719">
                  <c:v>43787</c:v>
                </c:pt>
                <c:pt idx="7720">
                  <c:v>43787</c:v>
                </c:pt>
                <c:pt idx="7721">
                  <c:v>43787</c:v>
                </c:pt>
                <c:pt idx="7722">
                  <c:v>43787</c:v>
                </c:pt>
                <c:pt idx="7723">
                  <c:v>43787</c:v>
                </c:pt>
                <c:pt idx="7724">
                  <c:v>43787</c:v>
                </c:pt>
                <c:pt idx="7725">
                  <c:v>43787</c:v>
                </c:pt>
                <c:pt idx="7726">
                  <c:v>43787</c:v>
                </c:pt>
                <c:pt idx="7727">
                  <c:v>43787</c:v>
                </c:pt>
                <c:pt idx="7728">
                  <c:v>43788</c:v>
                </c:pt>
                <c:pt idx="7729">
                  <c:v>43788</c:v>
                </c:pt>
                <c:pt idx="7730">
                  <c:v>43788</c:v>
                </c:pt>
                <c:pt idx="7731">
                  <c:v>43788</c:v>
                </c:pt>
                <c:pt idx="7732">
                  <c:v>43788</c:v>
                </c:pt>
                <c:pt idx="7733">
                  <c:v>43788</c:v>
                </c:pt>
                <c:pt idx="7734">
                  <c:v>43788</c:v>
                </c:pt>
                <c:pt idx="7735">
                  <c:v>43788</c:v>
                </c:pt>
                <c:pt idx="7736">
                  <c:v>43788</c:v>
                </c:pt>
                <c:pt idx="7737">
                  <c:v>43788</c:v>
                </c:pt>
                <c:pt idx="7738">
                  <c:v>43788</c:v>
                </c:pt>
                <c:pt idx="7739">
                  <c:v>43788</c:v>
                </c:pt>
                <c:pt idx="7740">
                  <c:v>43788</c:v>
                </c:pt>
                <c:pt idx="7741">
                  <c:v>43788</c:v>
                </c:pt>
                <c:pt idx="7742">
                  <c:v>43788</c:v>
                </c:pt>
                <c:pt idx="7743">
                  <c:v>43788</c:v>
                </c:pt>
                <c:pt idx="7744">
                  <c:v>43788</c:v>
                </c:pt>
                <c:pt idx="7745">
                  <c:v>43788</c:v>
                </c:pt>
                <c:pt idx="7746">
                  <c:v>43788</c:v>
                </c:pt>
                <c:pt idx="7747">
                  <c:v>43788</c:v>
                </c:pt>
                <c:pt idx="7748">
                  <c:v>43788</c:v>
                </c:pt>
                <c:pt idx="7749">
                  <c:v>43788</c:v>
                </c:pt>
                <c:pt idx="7750">
                  <c:v>43788</c:v>
                </c:pt>
                <c:pt idx="7751">
                  <c:v>43788</c:v>
                </c:pt>
                <c:pt idx="7752">
                  <c:v>43789</c:v>
                </c:pt>
                <c:pt idx="7753">
                  <c:v>43789</c:v>
                </c:pt>
                <c:pt idx="7754">
                  <c:v>43789</c:v>
                </c:pt>
                <c:pt idx="7755">
                  <c:v>43789</c:v>
                </c:pt>
                <c:pt idx="7756">
                  <c:v>43789</c:v>
                </c:pt>
                <c:pt idx="7757">
                  <c:v>43789</c:v>
                </c:pt>
                <c:pt idx="7758">
                  <c:v>43789</c:v>
                </c:pt>
                <c:pt idx="7759">
                  <c:v>43789</c:v>
                </c:pt>
                <c:pt idx="7760">
                  <c:v>43789</c:v>
                </c:pt>
                <c:pt idx="7761">
                  <c:v>43789</c:v>
                </c:pt>
                <c:pt idx="7762">
                  <c:v>43789</c:v>
                </c:pt>
                <c:pt idx="7763">
                  <c:v>43789</c:v>
                </c:pt>
                <c:pt idx="7764">
                  <c:v>43789</c:v>
                </c:pt>
                <c:pt idx="7765">
                  <c:v>43789</c:v>
                </c:pt>
                <c:pt idx="7766">
                  <c:v>43789</c:v>
                </c:pt>
                <c:pt idx="7767">
                  <c:v>43789</c:v>
                </c:pt>
                <c:pt idx="7768">
                  <c:v>43789</c:v>
                </c:pt>
                <c:pt idx="7769">
                  <c:v>43789</c:v>
                </c:pt>
                <c:pt idx="7770">
                  <c:v>43789</c:v>
                </c:pt>
                <c:pt idx="7771">
                  <c:v>43789</c:v>
                </c:pt>
                <c:pt idx="7772">
                  <c:v>43789</c:v>
                </c:pt>
                <c:pt idx="7773">
                  <c:v>43789</c:v>
                </c:pt>
                <c:pt idx="7774">
                  <c:v>43789</c:v>
                </c:pt>
                <c:pt idx="7775">
                  <c:v>43789</c:v>
                </c:pt>
                <c:pt idx="7776">
                  <c:v>43790</c:v>
                </c:pt>
                <c:pt idx="7777">
                  <c:v>43790</c:v>
                </c:pt>
                <c:pt idx="7778">
                  <c:v>43790</c:v>
                </c:pt>
                <c:pt idx="7779">
                  <c:v>43790</c:v>
                </c:pt>
                <c:pt idx="7780">
                  <c:v>43790</c:v>
                </c:pt>
                <c:pt idx="7781">
                  <c:v>43790</c:v>
                </c:pt>
                <c:pt idx="7782">
                  <c:v>43790</c:v>
                </c:pt>
                <c:pt idx="7783">
                  <c:v>43790</c:v>
                </c:pt>
                <c:pt idx="7784">
                  <c:v>43790</c:v>
                </c:pt>
                <c:pt idx="7785">
                  <c:v>43790</c:v>
                </c:pt>
                <c:pt idx="7786">
                  <c:v>43790</c:v>
                </c:pt>
                <c:pt idx="7787">
                  <c:v>43790</c:v>
                </c:pt>
                <c:pt idx="7788">
                  <c:v>43790</c:v>
                </c:pt>
                <c:pt idx="7789">
                  <c:v>43790</c:v>
                </c:pt>
                <c:pt idx="7790">
                  <c:v>43790</c:v>
                </c:pt>
                <c:pt idx="7791">
                  <c:v>43790</c:v>
                </c:pt>
                <c:pt idx="7792">
                  <c:v>43790</c:v>
                </c:pt>
                <c:pt idx="7793">
                  <c:v>43790</c:v>
                </c:pt>
                <c:pt idx="7794">
                  <c:v>43790</c:v>
                </c:pt>
                <c:pt idx="7795">
                  <c:v>43790</c:v>
                </c:pt>
                <c:pt idx="7796">
                  <c:v>43790</c:v>
                </c:pt>
                <c:pt idx="7797">
                  <c:v>43790</c:v>
                </c:pt>
                <c:pt idx="7798">
                  <c:v>43790</c:v>
                </c:pt>
                <c:pt idx="7799">
                  <c:v>43790</c:v>
                </c:pt>
                <c:pt idx="7800">
                  <c:v>43791</c:v>
                </c:pt>
                <c:pt idx="7801">
                  <c:v>43791</c:v>
                </c:pt>
                <c:pt idx="7802">
                  <c:v>43791</c:v>
                </c:pt>
                <c:pt idx="7803">
                  <c:v>43791</c:v>
                </c:pt>
                <c:pt idx="7804">
                  <c:v>43791</c:v>
                </c:pt>
                <c:pt idx="7805">
                  <c:v>43791</c:v>
                </c:pt>
                <c:pt idx="7806">
                  <c:v>43791</c:v>
                </c:pt>
                <c:pt idx="7807">
                  <c:v>43791</c:v>
                </c:pt>
                <c:pt idx="7808">
                  <c:v>43791</c:v>
                </c:pt>
                <c:pt idx="7809">
                  <c:v>43791</c:v>
                </c:pt>
                <c:pt idx="7810">
                  <c:v>43791</c:v>
                </c:pt>
                <c:pt idx="7811">
                  <c:v>43791</c:v>
                </c:pt>
                <c:pt idx="7812">
                  <c:v>43791</c:v>
                </c:pt>
                <c:pt idx="7813">
                  <c:v>43791</c:v>
                </c:pt>
                <c:pt idx="7814">
                  <c:v>43791</c:v>
                </c:pt>
                <c:pt idx="7815">
                  <c:v>43791</c:v>
                </c:pt>
                <c:pt idx="7816">
                  <c:v>43791</c:v>
                </c:pt>
                <c:pt idx="7817">
                  <c:v>43791</c:v>
                </c:pt>
                <c:pt idx="7818">
                  <c:v>43791</c:v>
                </c:pt>
                <c:pt idx="7819">
                  <c:v>43791</c:v>
                </c:pt>
                <c:pt idx="7820">
                  <c:v>43791</c:v>
                </c:pt>
                <c:pt idx="7821">
                  <c:v>43791</c:v>
                </c:pt>
                <c:pt idx="7822">
                  <c:v>43791</c:v>
                </c:pt>
                <c:pt idx="7823">
                  <c:v>43791</c:v>
                </c:pt>
                <c:pt idx="7824">
                  <c:v>43792</c:v>
                </c:pt>
                <c:pt idx="7825">
                  <c:v>43792</c:v>
                </c:pt>
                <c:pt idx="7826">
                  <c:v>43792</c:v>
                </c:pt>
                <c:pt idx="7827">
                  <c:v>43792</c:v>
                </c:pt>
                <c:pt idx="7828">
                  <c:v>43792</c:v>
                </c:pt>
                <c:pt idx="7829">
                  <c:v>43792</c:v>
                </c:pt>
                <c:pt idx="7830">
                  <c:v>43792</c:v>
                </c:pt>
                <c:pt idx="7831">
                  <c:v>43792</c:v>
                </c:pt>
                <c:pt idx="7832">
                  <c:v>43792</c:v>
                </c:pt>
                <c:pt idx="7833">
                  <c:v>43792</c:v>
                </c:pt>
                <c:pt idx="7834">
                  <c:v>43792</c:v>
                </c:pt>
                <c:pt idx="7835">
                  <c:v>43792</c:v>
                </c:pt>
                <c:pt idx="7836">
                  <c:v>43792</c:v>
                </c:pt>
                <c:pt idx="7837">
                  <c:v>43792</c:v>
                </c:pt>
                <c:pt idx="7838">
                  <c:v>43792</c:v>
                </c:pt>
                <c:pt idx="7839">
                  <c:v>43792</c:v>
                </c:pt>
                <c:pt idx="7840">
                  <c:v>43792</c:v>
                </c:pt>
                <c:pt idx="7841">
                  <c:v>43792</c:v>
                </c:pt>
                <c:pt idx="7842">
                  <c:v>43792</c:v>
                </c:pt>
                <c:pt idx="7843">
                  <c:v>43792</c:v>
                </c:pt>
                <c:pt idx="7844">
                  <c:v>43792</c:v>
                </c:pt>
                <c:pt idx="7845">
                  <c:v>43792</c:v>
                </c:pt>
                <c:pt idx="7846">
                  <c:v>43792</c:v>
                </c:pt>
                <c:pt idx="7847">
                  <c:v>43792</c:v>
                </c:pt>
                <c:pt idx="7848">
                  <c:v>43793</c:v>
                </c:pt>
                <c:pt idx="7849">
                  <c:v>43793</c:v>
                </c:pt>
                <c:pt idx="7850">
                  <c:v>43793</c:v>
                </c:pt>
                <c:pt idx="7851">
                  <c:v>43793</c:v>
                </c:pt>
                <c:pt idx="7852">
                  <c:v>43793</c:v>
                </c:pt>
                <c:pt idx="7853">
                  <c:v>43793</c:v>
                </c:pt>
                <c:pt idx="7854">
                  <c:v>43793</c:v>
                </c:pt>
                <c:pt idx="7855">
                  <c:v>43793</c:v>
                </c:pt>
                <c:pt idx="7856">
                  <c:v>43793</c:v>
                </c:pt>
                <c:pt idx="7857">
                  <c:v>43793</c:v>
                </c:pt>
                <c:pt idx="7858">
                  <c:v>43793</c:v>
                </c:pt>
                <c:pt idx="7859">
                  <c:v>43793</c:v>
                </c:pt>
                <c:pt idx="7860">
                  <c:v>43793</c:v>
                </c:pt>
                <c:pt idx="7861">
                  <c:v>43793</c:v>
                </c:pt>
                <c:pt idx="7862">
                  <c:v>43793</c:v>
                </c:pt>
                <c:pt idx="7863">
                  <c:v>43793</c:v>
                </c:pt>
                <c:pt idx="7864">
                  <c:v>43793</c:v>
                </c:pt>
                <c:pt idx="7865">
                  <c:v>43793</c:v>
                </c:pt>
                <c:pt idx="7866">
                  <c:v>43793</c:v>
                </c:pt>
                <c:pt idx="7867">
                  <c:v>43793</c:v>
                </c:pt>
                <c:pt idx="7868">
                  <c:v>43793</c:v>
                </c:pt>
                <c:pt idx="7869">
                  <c:v>43793</c:v>
                </c:pt>
                <c:pt idx="7870">
                  <c:v>43793</c:v>
                </c:pt>
                <c:pt idx="7871">
                  <c:v>43793</c:v>
                </c:pt>
                <c:pt idx="7872">
                  <c:v>43794</c:v>
                </c:pt>
                <c:pt idx="7873">
                  <c:v>43794</c:v>
                </c:pt>
                <c:pt idx="7874">
                  <c:v>43794</c:v>
                </c:pt>
                <c:pt idx="7875">
                  <c:v>43794</c:v>
                </c:pt>
                <c:pt idx="7876">
                  <c:v>43794</c:v>
                </c:pt>
                <c:pt idx="7877">
                  <c:v>43794</c:v>
                </c:pt>
                <c:pt idx="7878">
                  <c:v>43794</c:v>
                </c:pt>
                <c:pt idx="7879">
                  <c:v>43794</c:v>
                </c:pt>
                <c:pt idx="7880">
                  <c:v>43794</c:v>
                </c:pt>
                <c:pt idx="7881">
                  <c:v>43794</c:v>
                </c:pt>
                <c:pt idx="7882">
                  <c:v>43794</c:v>
                </c:pt>
                <c:pt idx="7883">
                  <c:v>43794</c:v>
                </c:pt>
                <c:pt idx="7884">
                  <c:v>43794</c:v>
                </c:pt>
                <c:pt idx="7885">
                  <c:v>43794</c:v>
                </c:pt>
                <c:pt idx="7886">
                  <c:v>43794</c:v>
                </c:pt>
                <c:pt idx="7887">
                  <c:v>43794</c:v>
                </c:pt>
                <c:pt idx="7888">
                  <c:v>43794</c:v>
                </c:pt>
                <c:pt idx="7889">
                  <c:v>43794</c:v>
                </c:pt>
                <c:pt idx="7890">
                  <c:v>43794</c:v>
                </c:pt>
                <c:pt idx="7891">
                  <c:v>43794</c:v>
                </c:pt>
                <c:pt idx="7892">
                  <c:v>43794</c:v>
                </c:pt>
                <c:pt idx="7893">
                  <c:v>43794</c:v>
                </c:pt>
                <c:pt idx="7894">
                  <c:v>43794</c:v>
                </c:pt>
                <c:pt idx="7895">
                  <c:v>43794</c:v>
                </c:pt>
                <c:pt idx="7896">
                  <c:v>43795</c:v>
                </c:pt>
                <c:pt idx="7897">
                  <c:v>43795</c:v>
                </c:pt>
                <c:pt idx="7898">
                  <c:v>43795</c:v>
                </c:pt>
                <c:pt idx="7899">
                  <c:v>43795</c:v>
                </c:pt>
                <c:pt idx="7900">
                  <c:v>43795</c:v>
                </c:pt>
                <c:pt idx="7901">
                  <c:v>43795</c:v>
                </c:pt>
                <c:pt idx="7902">
                  <c:v>43795</c:v>
                </c:pt>
                <c:pt idx="7903">
                  <c:v>43795</c:v>
                </c:pt>
                <c:pt idx="7904">
                  <c:v>43795</c:v>
                </c:pt>
                <c:pt idx="7905">
                  <c:v>43795</c:v>
                </c:pt>
                <c:pt idx="7906">
                  <c:v>43795</c:v>
                </c:pt>
                <c:pt idx="7907">
                  <c:v>43795</c:v>
                </c:pt>
                <c:pt idx="7908">
                  <c:v>43795</c:v>
                </c:pt>
                <c:pt idx="7909">
                  <c:v>43795</c:v>
                </c:pt>
                <c:pt idx="7910">
                  <c:v>43795</c:v>
                </c:pt>
                <c:pt idx="7911">
                  <c:v>43795</c:v>
                </c:pt>
                <c:pt idx="7912">
                  <c:v>43795</c:v>
                </c:pt>
                <c:pt idx="7913">
                  <c:v>43795</c:v>
                </c:pt>
                <c:pt idx="7914">
                  <c:v>43795</c:v>
                </c:pt>
                <c:pt idx="7915">
                  <c:v>43795</c:v>
                </c:pt>
                <c:pt idx="7916">
                  <c:v>43795</c:v>
                </c:pt>
                <c:pt idx="7917">
                  <c:v>43795</c:v>
                </c:pt>
                <c:pt idx="7918">
                  <c:v>43795</c:v>
                </c:pt>
                <c:pt idx="7919">
                  <c:v>43795</c:v>
                </c:pt>
                <c:pt idx="7920">
                  <c:v>43796</c:v>
                </c:pt>
                <c:pt idx="7921">
                  <c:v>43796</c:v>
                </c:pt>
                <c:pt idx="7922">
                  <c:v>43796</c:v>
                </c:pt>
                <c:pt idx="7923">
                  <c:v>43796</c:v>
                </c:pt>
                <c:pt idx="7924">
                  <c:v>43796</c:v>
                </c:pt>
                <c:pt idx="7925">
                  <c:v>43796</c:v>
                </c:pt>
                <c:pt idx="7926">
                  <c:v>43796</c:v>
                </c:pt>
                <c:pt idx="7927">
                  <c:v>43796</c:v>
                </c:pt>
                <c:pt idx="7928">
                  <c:v>43796</c:v>
                </c:pt>
                <c:pt idx="7929">
                  <c:v>43796</c:v>
                </c:pt>
                <c:pt idx="7930">
                  <c:v>43796</c:v>
                </c:pt>
                <c:pt idx="7931">
                  <c:v>43796</c:v>
                </c:pt>
                <c:pt idx="7932">
                  <c:v>43796</c:v>
                </c:pt>
                <c:pt idx="7933">
                  <c:v>43796</c:v>
                </c:pt>
                <c:pt idx="7934">
                  <c:v>43796</c:v>
                </c:pt>
                <c:pt idx="7935">
                  <c:v>43796</c:v>
                </c:pt>
                <c:pt idx="7936">
                  <c:v>43796</c:v>
                </c:pt>
                <c:pt idx="7937">
                  <c:v>43796</c:v>
                </c:pt>
                <c:pt idx="7938">
                  <c:v>43796</c:v>
                </c:pt>
                <c:pt idx="7939">
                  <c:v>43796</c:v>
                </c:pt>
                <c:pt idx="7940">
                  <c:v>43796</c:v>
                </c:pt>
                <c:pt idx="7941">
                  <c:v>43796</c:v>
                </c:pt>
                <c:pt idx="7942">
                  <c:v>43796</c:v>
                </c:pt>
                <c:pt idx="7943">
                  <c:v>43796</c:v>
                </c:pt>
                <c:pt idx="7944">
                  <c:v>43797</c:v>
                </c:pt>
                <c:pt idx="7945">
                  <c:v>43797</c:v>
                </c:pt>
                <c:pt idx="7946">
                  <c:v>43797</c:v>
                </c:pt>
                <c:pt idx="7947">
                  <c:v>43797</c:v>
                </c:pt>
                <c:pt idx="7948">
                  <c:v>43797</c:v>
                </c:pt>
                <c:pt idx="7949">
                  <c:v>43797</c:v>
                </c:pt>
                <c:pt idx="7950">
                  <c:v>43797</c:v>
                </c:pt>
                <c:pt idx="7951">
                  <c:v>43797</c:v>
                </c:pt>
                <c:pt idx="7952">
                  <c:v>43797</c:v>
                </c:pt>
                <c:pt idx="7953">
                  <c:v>43797</c:v>
                </c:pt>
                <c:pt idx="7954">
                  <c:v>43797</c:v>
                </c:pt>
                <c:pt idx="7955">
                  <c:v>43797</c:v>
                </c:pt>
                <c:pt idx="7956">
                  <c:v>43797</c:v>
                </c:pt>
                <c:pt idx="7957">
                  <c:v>43797</c:v>
                </c:pt>
                <c:pt idx="7958">
                  <c:v>43797</c:v>
                </c:pt>
                <c:pt idx="7959">
                  <c:v>43797</c:v>
                </c:pt>
                <c:pt idx="7960">
                  <c:v>43797</c:v>
                </c:pt>
                <c:pt idx="7961">
                  <c:v>43797</c:v>
                </c:pt>
                <c:pt idx="7962">
                  <c:v>43797</c:v>
                </c:pt>
                <c:pt idx="7963">
                  <c:v>43797</c:v>
                </c:pt>
                <c:pt idx="7964">
                  <c:v>43797</c:v>
                </c:pt>
                <c:pt idx="7965">
                  <c:v>43797</c:v>
                </c:pt>
                <c:pt idx="7966">
                  <c:v>43797</c:v>
                </c:pt>
                <c:pt idx="7967">
                  <c:v>43797</c:v>
                </c:pt>
                <c:pt idx="7968">
                  <c:v>43798</c:v>
                </c:pt>
                <c:pt idx="7969">
                  <c:v>43798</c:v>
                </c:pt>
                <c:pt idx="7970">
                  <c:v>43798</c:v>
                </c:pt>
                <c:pt idx="7971">
                  <c:v>43798</c:v>
                </c:pt>
                <c:pt idx="7972">
                  <c:v>43798</c:v>
                </c:pt>
                <c:pt idx="7973">
                  <c:v>43798</c:v>
                </c:pt>
                <c:pt idx="7974">
                  <c:v>43798</c:v>
                </c:pt>
                <c:pt idx="7975">
                  <c:v>43798</c:v>
                </c:pt>
                <c:pt idx="7976">
                  <c:v>43798</c:v>
                </c:pt>
                <c:pt idx="7977">
                  <c:v>43798</c:v>
                </c:pt>
                <c:pt idx="7978">
                  <c:v>43798</c:v>
                </c:pt>
                <c:pt idx="7979">
                  <c:v>43798</c:v>
                </c:pt>
                <c:pt idx="7980">
                  <c:v>43798</c:v>
                </c:pt>
                <c:pt idx="7981">
                  <c:v>43798</c:v>
                </c:pt>
                <c:pt idx="7982">
                  <c:v>43798</c:v>
                </c:pt>
                <c:pt idx="7983">
                  <c:v>43798</c:v>
                </c:pt>
                <c:pt idx="7984">
                  <c:v>43798</c:v>
                </c:pt>
                <c:pt idx="7985">
                  <c:v>43798</c:v>
                </c:pt>
                <c:pt idx="7986">
                  <c:v>43798</c:v>
                </c:pt>
                <c:pt idx="7987">
                  <c:v>43798</c:v>
                </c:pt>
                <c:pt idx="7988">
                  <c:v>43798</c:v>
                </c:pt>
                <c:pt idx="7989">
                  <c:v>43798</c:v>
                </c:pt>
                <c:pt idx="7990">
                  <c:v>43798</c:v>
                </c:pt>
                <c:pt idx="7991">
                  <c:v>43798</c:v>
                </c:pt>
                <c:pt idx="7992">
                  <c:v>43799</c:v>
                </c:pt>
                <c:pt idx="7993">
                  <c:v>43799</c:v>
                </c:pt>
                <c:pt idx="7994">
                  <c:v>43799</c:v>
                </c:pt>
                <c:pt idx="7995">
                  <c:v>43799</c:v>
                </c:pt>
                <c:pt idx="7996">
                  <c:v>43799</c:v>
                </c:pt>
                <c:pt idx="7997">
                  <c:v>43799</c:v>
                </c:pt>
                <c:pt idx="7998">
                  <c:v>43799</c:v>
                </c:pt>
                <c:pt idx="7999">
                  <c:v>43799</c:v>
                </c:pt>
                <c:pt idx="8000">
                  <c:v>43799</c:v>
                </c:pt>
                <c:pt idx="8001">
                  <c:v>43799</c:v>
                </c:pt>
                <c:pt idx="8002">
                  <c:v>43799</c:v>
                </c:pt>
                <c:pt idx="8003">
                  <c:v>43799</c:v>
                </c:pt>
                <c:pt idx="8004">
                  <c:v>43799</c:v>
                </c:pt>
                <c:pt idx="8005">
                  <c:v>43799</c:v>
                </c:pt>
                <c:pt idx="8006">
                  <c:v>43799</c:v>
                </c:pt>
                <c:pt idx="8007">
                  <c:v>43799</c:v>
                </c:pt>
                <c:pt idx="8008">
                  <c:v>43799</c:v>
                </c:pt>
                <c:pt idx="8009">
                  <c:v>43799</c:v>
                </c:pt>
                <c:pt idx="8010">
                  <c:v>43799</c:v>
                </c:pt>
                <c:pt idx="8011">
                  <c:v>43799</c:v>
                </c:pt>
                <c:pt idx="8012">
                  <c:v>43799</c:v>
                </c:pt>
                <c:pt idx="8013">
                  <c:v>43799</c:v>
                </c:pt>
                <c:pt idx="8014">
                  <c:v>43799</c:v>
                </c:pt>
                <c:pt idx="8015">
                  <c:v>43799</c:v>
                </c:pt>
                <c:pt idx="8016">
                  <c:v>43800</c:v>
                </c:pt>
                <c:pt idx="8017">
                  <c:v>43800</c:v>
                </c:pt>
                <c:pt idx="8018">
                  <c:v>43800</c:v>
                </c:pt>
                <c:pt idx="8019">
                  <c:v>43800</c:v>
                </c:pt>
                <c:pt idx="8020">
                  <c:v>43800</c:v>
                </c:pt>
                <c:pt idx="8021">
                  <c:v>43800</c:v>
                </c:pt>
                <c:pt idx="8022">
                  <c:v>43800</c:v>
                </c:pt>
                <c:pt idx="8023">
                  <c:v>43800</c:v>
                </c:pt>
                <c:pt idx="8024">
                  <c:v>43800</c:v>
                </c:pt>
                <c:pt idx="8025">
                  <c:v>43800</c:v>
                </c:pt>
                <c:pt idx="8026">
                  <c:v>43800</c:v>
                </c:pt>
                <c:pt idx="8027">
                  <c:v>43800</c:v>
                </c:pt>
                <c:pt idx="8028">
                  <c:v>43800</c:v>
                </c:pt>
                <c:pt idx="8029">
                  <c:v>43800</c:v>
                </c:pt>
                <c:pt idx="8030">
                  <c:v>43800</c:v>
                </c:pt>
                <c:pt idx="8031">
                  <c:v>43800</c:v>
                </c:pt>
                <c:pt idx="8032">
                  <c:v>43800</c:v>
                </c:pt>
                <c:pt idx="8033">
                  <c:v>43800</c:v>
                </c:pt>
                <c:pt idx="8034">
                  <c:v>43800</c:v>
                </c:pt>
                <c:pt idx="8035">
                  <c:v>43800</c:v>
                </c:pt>
                <c:pt idx="8036">
                  <c:v>43800</c:v>
                </c:pt>
                <c:pt idx="8037">
                  <c:v>43800</c:v>
                </c:pt>
                <c:pt idx="8038">
                  <c:v>43800</c:v>
                </c:pt>
                <c:pt idx="8039">
                  <c:v>43800</c:v>
                </c:pt>
                <c:pt idx="8040">
                  <c:v>43801</c:v>
                </c:pt>
                <c:pt idx="8041">
                  <c:v>43801</c:v>
                </c:pt>
                <c:pt idx="8042">
                  <c:v>43801</c:v>
                </c:pt>
                <c:pt idx="8043">
                  <c:v>43801</c:v>
                </c:pt>
                <c:pt idx="8044">
                  <c:v>43801</c:v>
                </c:pt>
                <c:pt idx="8045">
                  <c:v>43801</c:v>
                </c:pt>
                <c:pt idx="8046">
                  <c:v>43801</c:v>
                </c:pt>
                <c:pt idx="8047">
                  <c:v>43801</c:v>
                </c:pt>
                <c:pt idx="8048">
                  <c:v>43801</c:v>
                </c:pt>
                <c:pt idx="8049">
                  <c:v>43801</c:v>
                </c:pt>
                <c:pt idx="8050">
                  <c:v>43801</c:v>
                </c:pt>
                <c:pt idx="8051">
                  <c:v>43801</c:v>
                </c:pt>
                <c:pt idx="8052">
                  <c:v>43801</c:v>
                </c:pt>
                <c:pt idx="8053">
                  <c:v>43801</c:v>
                </c:pt>
                <c:pt idx="8054">
                  <c:v>43801</c:v>
                </c:pt>
                <c:pt idx="8055">
                  <c:v>43801</c:v>
                </c:pt>
                <c:pt idx="8056">
                  <c:v>43801</c:v>
                </c:pt>
                <c:pt idx="8057">
                  <c:v>43801</c:v>
                </c:pt>
                <c:pt idx="8058">
                  <c:v>43801</c:v>
                </c:pt>
                <c:pt idx="8059">
                  <c:v>43801</c:v>
                </c:pt>
                <c:pt idx="8060">
                  <c:v>43801</c:v>
                </c:pt>
                <c:pt idx="8061">
                  <c:v>43801</c:v>
                </c:pt>
                <c:pt idx="8062">
                  <c:v>43801</c:v>
                </c:pt>
                <c:pt idx="8063">
                  <c:v>43801</c:v>
                </c:pt>
                <c:pt idx="8064">
                  <c:v>43802</c:v>
                </c:pt>
                <c:pt idx="8065">
                  <c:v>43802</c:v>
                </c:pt>
                <c:pt idx="8066">
                  <c:v>43802</c:v>
                </c:pt>
                <c:pt idx="8067">
                  <c:v>43802</c:v>
                </c:pt>
                <c:pt idx="8068">
                  <c:v>43802</c:v>
                </c:pt>
                <c:pt idx="8069">
                  <c:v>43802</c:v>
                </c:pt>
                <c:pt idx="8070">
                  <c:v>43802</c:v>
                </c:pt>
                <c:pt idx="8071">
                  <c:v>43802</c:v>
                </c:pt>
                <c:pt idx="8072">
                  <c:v>43802</c:v>
                </c:pt>
                <c:pt idx="8073">
                  <c:v>43802</c:v>
                </c:pt>
                <c:pt idx="8074">
                  <c:v>43802</c:v>
                </c:pt>
                <c:pt idx="8075">
                  <c:v>43802</c:v>
                </c:pt>
                <c:pt idx="8076">
                  <c:v>43802</c:v>
                </c:pt>
                <c:pt idx="8077">
                  <c:v>43802</c:v>
                </c:pt>
                <c:pt idx="8078">
                  <c:v>43802</c:v>
                </c:pt>
                <c:pt idx="8079">
                  <c:v>43802</c:v>
                </c:pt>
                <c:pt idx="8080">
                  <c:v>43802</c:v>
                </c:pt>
                <c:pt idx="8081">
                  <c:v>43802</c:v>
                </c:pt>
                <c:pt idx="8082">
                  <c:v>43802</c:v>
                </c:pt>
                <c:pt idx="8083">
                  <c:v>43802</c:v>
                </c:pt>
                <c:pt idx="8084">
                  <c:v>43802</c:v>
                </c:pt>
                <c:pt idx="8085">
                  <c:v>43802</c:v>
                </c:pt>
                <c:pt idx="8086">
                  <c:v>43802</c:v>
                </c:pt>
                <c:pt idx="8087">
                  <c:v>43802</c:v>
                </c:pt>
                <c:pt idx="8088">
                  <c:v>43803</c:v>
                </c:pt>
                <c:pt idx="8089">
                  <c:v>43803</c:v>
                </c:pt>
                <c:pt idx="8090">
                  <c:v>43803</c:v>
                </c:pt>
                <c:pt idx="8091">
                  <c:v>43803</c:v>
                </c:pt>
                <c:pt idx="8092">
                  <c:v>43803</c:v>
                </c:pt>
                <c:pt idx="8093">
                  <c:v>43803</c:v>
                </c:pt>
                <c:pt idx="8094">
                  <c:v>43803</c:v>
                </c:pt>
                <c:pt idx="8095">
                  <c:v>43803</c:v>
                </c:pt>
                <c:pt idx="8096">
                  <c:v>43803</c:v>
                </c:pt>
                <c:pt idx="8097">
                  <c:v>43803</c:v>
                </c:pt>
                <c:pt idx="8098">
                  <c:v>43803</c:v>
                </c:pt>
                <c:pt idx="8099">
                  <c:v>43803</c:v>
                </c:pt>
                <c:pt idx="8100">
                  <c:v>43803</c:v>
                </c:pt>
                <c:pt idx="8101">
                  <c:v>43803</c:v>
                </c:pt>
                <c:pt idx="8102">
                  <c:v>43803</c:v>
                </c:pt>
                <c:pt idx="8103">
                  <c:v>43803</c:v>
                </c:pt>
                <c:pt idx="8104">
                  <c:v>43803</c:v>
                </c:pt>
                <c:pt idx="8105">
                  <c:v>43803</c:v>
                </c:pt>
                <c:pt idx="8106">
                  <c:v>43803</c:v>
                </c:pt>
                <c:pt idx="8107">
                  <c:v>43803</c:v>
                </c:pt>
                <c:pt idx="8108">
                  <c:v>43803</c:v>
                </c:pt>
                <c:pt idx="8109">
                  <c:v>43803</c:v>
                </c:pt>
                <c:pt idx="8110">
                  <c:v>43803</c:v>
                </c:pt>
                <c:pt idx="8111">
                  <c:v>43803</c:v>
                </c:pt>
                <c:pt idx="8112">
                  <c:v>43804</c:v>
                </c:pt>
                <c:pt idx="8113">
                  <c:v>43804</c:v>
                </c:pt>
                <c:pt idx="8114">
                  <c:v>43804</c:v>
                </c:pt>
                <c:pt idx="8115">
                  <c:v>43804</c:v>
                </c:pt>
                <c:pt idx="8116">
                  <c:v>43804</c:v>
                </c:pt>
                <c:pt idx="8117">
                  <c:v>43804</c:v>
                </c:pt>
                <c:pt idx="8118">
                  <c:v>43804</c:v>
                </c:pt>
                <c:pt idx="8119">
                  <c:v>43804</c:v>
                </c:pt>
                <c:pt idx="8120">
                  <c:v>43804</c:v>
                </c:pt>
                <c:pt idx="8121">
                  <c:v>43804</c:v>
                </c:pt>
                <c:pt idx="8122">
                  <c:v>43804</c:v>
                </c:pt>
                <c:pt idx="8123">
                  <c:v>43804</c:v>
                </c:pt>
                <c:pt idx="8124">
                  <c:v>43804</c:v>
                </c:pt>
                <c:pt idx="8125">
                  <c:v>43804</c:v>
                </c:pt>
                <c:pt idx="8126">
                  <c:v>43804</c:v>
                </c:pt>
                <c:pt idx="8127">
                  <c:v>43804</c:v>
                </c:pt>
                <c:pt idx="8128">
                  <c:v>43804</c:v>
                </c:pt>
                <c:pt idx="8129">
                  <c:v>43804</c:v>
                </c:pt>
                <c:pt idx="8130">
                  <c:v>43804</c:v>
                </c:pt>
                <c:pt idx="8131">
                  <c:v>43804</c:v>
                </c:pt>
                <c:pt idx="8132">
                  <c:v>43804</c:v>
                </c:pt>
                <c:pt idx="8133">
                  <c:v>43804</c:v>
                </c:pt>
                <c:pt idx="8134">
                  <c:v>43804</c:v>
                </c:pt>
                <c:pt idx="8135">
                  <c:v>43804</c:v>
                </c:pt>
                <c:pt idx="8136">
                  <c:v>43805</c:v>
                </c:pt>
                <c:pt idx="8137">
                  <c:v>43805</c:v>
                </c:pt>
                <c:pt idx="8138">
                  <c:v>43805</c:v>
                </c:pt>
                <c:pt idx="8139">
                  <c:v>43805</c:v>
                </c:pt>
                <c:pt idx="8140">
                  <c:v>43805</c:v>
                </c:pt>
                <c:pt idx="8141">
                  <c:v>43805</c:v>
                </c:pt>
                <c:pt idx="8142">
                  <c:v>43805</c:v>
                </c:pt>
                <c:pt idx="8143">
                  <c:v>43805</c:v>
                </c:pt>
                <c:pt idx="8144">
                  <c:v>43805</c:v>
                </c:pt>
                <c:pt idx="8145">
                  <c:v>43805</c:v>
                </c:pt>
                <c:pt idx="8146">
                  <c:v>43805</c:v>
                </c:pt>
                <c:pt idx="8147">
                  <c:v>43805</c:v>
                </c:pt>
                <c:pt idx="8148">
                  <c:v>43805</c:v>
                </c:pt>
                <c:pt idx="8149">
                  <c:v>43805</c:v>
                </c:pt>
                <c:pt idx="8150">
                  <c:v>43805</c:v>
                </c:pt>
                <c:pt idx="8151">
                  <c:v>43805</c:v>
                </c:pt>
                <c:pt idx="8152">
                  <c:v>43805</c:v>
                </c:pt>
                <c:pt idx="8153">
                  <c:v>43805</c:v>
                </c:pt>
                <c:pt idx="8154">
                  <c:v>43805</c:v>
                </c:pt>
                <c:pt idx="8155">
                  <c:v>43805</c:v>
                </c:pt>
                <c:pt idx="8156">
                  <c:v>43805</c:v>
                </c:pt>
                <c:pt idx="8157">
                  <c:v>43805</c:v>
                </c:pt>
                <c:pt idx="8158">
                  <c:v>43805</c:v>
                </c:pt>
                <c:pt idx="8159">
                  <c:v>43805</c:v>
                </c:pt>
                <c:pt idx="8160">
                  <c:v>43806</c:v>
                </c:pt>
                <c:pt idx="8161">
                  <c:v>43806</c:v>
                </c:pt>
                <c:pt idx="8162">
                  <c:v>43806</c:v>
                </c:pt>
                <c:pt idx="8163">
                  <c:v>43806</c:v>
                </c:pt>
                <c:pt idx="8164">
                  <c:v>43806</c:v>
                </c:pt>
                <c:pt idx="8165">
                  <c:v>43806</c:v>
                </c:pt>
                <c:pt idx="8166">
                  <c:v>43806</c:v>
                </c:pt>
                <c:pt idx="8167">
                  <c:v>43806</c:v>
                </c:pt>
                <c:pt idx="8168">
                  <c:v>43806</c:v>
                </c:pt>
                <c:pt idx="8169">
                  <c:v>43806</c:v>
                </c:pt>
                <c:pt idx="8170">
                  <c:v>43806</c:v>
                </c:pt>
                <c:pt idx="8171">
                  <c:v>43806</c:v>
                </c:pt>
                <c:pt idx="8172">
                  <c:v>43806</c:v>
                </c:pt>
                <c:pt idx="8173">
                  <c:v>43806</c:v>
                </c:pt>
                <c:pt idx="8174">
                  <c:v>43806</c:v>
                </c:pt>
                <c:pt idx="8175">
                  <c:v>43806</c:v>
                </c:pt>
                <c:pt idx="8176">
                  <c:v>43806</c:v>
                </c:pt>
                <c:pt idx="8177">
                  <c:v>43806</c:v>
                </c:pt>
                <c:pt idx="8178">
                  <c:v>43806</c:v>
                </c:pt>
                <c:pt idx="8179">
                  <c:v>43806</c:v>
                </c:pt>
                <c:pt idx="8180">
                  <c:v>43806</c:v>
                </c:pt>
                <c:pt idx="8181">
                  <c:v>43806</c:v>
                </c:pt>
                <c:pt idx="8182">
                  <c:v>43806</c:v>
                </c:pt>
                <c:pt idx="8183">
                  <c:v>43806</c:v>
                </c:pt>
                <c:pt idx="8184">
                  <c:v>43807</c:v>
                </c:pt>
                <c:pt idx="8185">
                  <c:v>43807</c:v>
                </c:pt>
                <c:pt idx="8186">
                  <c:v>43807</c:v>
                </c:pt>
                <c:pt idx="8187">
                  <c:v>43807</c:v>
                </c:pt>
                <c:pt idx="8188">
                  <c:v>43807</c:v>
                </c:pt>
                <c:pt idx="8189">
                  <c:v>43807</c:v>
                </c:pt>
                <c:pt idx="8190">
                  <c:v>43807</c:v>
                </c:pt>
                <c:pt idx="8191">
                  <c:v>43807</c:v>
                </c:pt>
                <c:pt idx="8192">
                  <c:v>43807</c:v>
                </c:pt>
                <c:pt idx="8193">
                  <c:v>43807</c:v>
                </c:pt>
                <c:pt idx="8194">
                  <c:v>43807</c:v>
                </c:pt>
                <c:pt idx="8195">
                  <c:v>43807</c:v>
                </c:pt>
                <c:pt idx="8196">
                  <c:v>43807</c:v>
                </c:pt>
                <c:pt idx="8197">
                  <c:v>43807</c:v>
                </c:pt>
                <c:pt idx="8198">
                  <c:v>43807</c:v>
                </c:pt>
                <c:pt idx="8199">
                  <c:v>43807</c:v>
                </c:pt>
                <c:pt idx="8200">
                  <c:v>43807</c:v>
                </c:pt>
                <c:pt idx="8201">
                  <c:v>43807</c:v>
                </c:pt>
                <c:pt idx="8202">
                  <c:v>43807</c:v>
                </c:pt>
                <c:pt idx="8203">
                  <c:v>43807</c:v>
                </c:pt>
                <c:pt idx="8204">
                  <c:v>43807</c:v>
                </c:pt>
                <c:pt idx="8205">
                  <c:v>43807</c:v>
                </c:pt>
                <c:pt idx="8206">
                  <c:v>43807</c:v>
                </c:pt>
                <c:pt idx="8207">
                  <c:v>43807</c:v>
                </c:pt>
                <c:pt idx="8208">
                  <c:v>43808</c:v>
                </c:pt>
                <c:pt idx="8209">
                  <c:v>43808</c:v>
                </c:pt>
                <c:pt idx="8210">
                  <c:v>43808</c:v>
                </c:pt>
                <c:pt idx="8211">
                  <c:v>43808</c:v>
                </c:pt>
                <c:pt idx="8212">
                  <c:v>43808</c:v>
                </c:pt>
                <c:pt idx="8213">
                  <c:v>43808</c:v>
                </c:pt>
                <c:pt idx="8214">
                  <c:v>43808</c:v>
                </c:pt>
                <c:pt idx="8215">
                  <c:v>43808</c:v>
                </c:pt>
                <c:pt idx="8216">
                  <c:v>43808</c:v>
                </c:pt>
                <c:pt idx="8217">
                  <c:v>43808</c:v>
                </c:pt>
                <c:pt idx="8218">
                  <c:v>43808</c:v>
                </c:pt>
                <c:pt idx="8219">
                  <c:v>43808</c:v>
                </c:pt>
                <c:pt idx="8220">
                  <c:v>43808</c:v>
                </c:pt>
                <c:pt idx="8221">
                  <c:v>43808</c:v>
                </c:pt>
                <c:pt idx="8222">
                  <c:v>43808</c:v>
                </c:pt>
                <c:pt idx="8223">
                  <c:v>43808</c:v>
                </c:pt>
                <c:pt idx="8224">
                  <c:v>43808</c:v>
                </c:pt>
                <c:pt idx="8225">
                  <c:v>43808</c:v>
                </c:pt>
                <c:pt idx="8226">
                  <c:v>43808</c:v>
                </c:pt>
                <c:pt idx="8227">
                  <c:v>43808</c:v>
                </c:pt>
                <c:pt idx="8228">
                  <c:v>43808</c:v>
                </c:pt>
                <c:pt idx="8229">
                  <c:v>43808</c:v>
                </c:pt>
                <c:pt idx="8230">
                  <c:v>43808</c:v>
                </c:pt>
                <c:pt idx="8231">
                  <c:v>43808</c:v>
                </c:pt>
                <c:pt idx="8232">
                  <c:v>43809</c:v>
                </c:pt>
                <c:pt idx="8233">
                  <c:v>43809</c:v>
                </c:pt>
                <c:pt idx="8234">
                  <c:v>43809</c:v>
                </c:pt>
                <c:pt idx="8235">
                  <c:v>43809</c:v>
                </c:pt>
                <c:pt idx="8236">
                  <c:v>43809</c:v>
                </c:pt>
                <c:pt idx="8237">
                  <c:v>43809</c:v>
                </c:pt>
                <c:pt idx="8238">
                  <c:v>43809</c:v>
                </c:pt>
                <c:pt idx="8239">
                  <c:v>43809</c:v>
                </c:pt>
                <c:pt idx="8240">
                  <c:v>43809</c:v>
                </c:pt>
                <c:pt idx="8241">
                  <c:v>43809</c:v>
                </c:pt>
                <c:pt idx="8242">
                  <c:v>43809</c:v>
                </c:pt>
                <c:pt idx="8243">
                  <c:v>43809</c:v>
                </c:pt>
                <c:pt idx="8244">
                  <c:v>43809</c:v>
                </c:pt>
                <c:pt idx="8245">
                  <c:v>43809</c:v>
                </c:pt>
                <c:pt idx="8246">
                  <c:v>43809</c:v>
                </c:pt>
                <c:pt idx="8247">
                  <c:v>43809</c:v>
                </c:pt>
                <c:pt idx="8248">
                  <c:v>43809</c:v>
                </c:pt>
                <c:pt idx="8249">
                  <c:v>43809</c:v>
                </c:pt>
                <c:pt idx="8250">
                  <c:v>43809</c:v>
                </c:pt>
                <c:pt idx="8251">
                  <c:v>43809</c:v>
                </c:pt>
                <c:pt idx="8252">
                  <c:v>43809</c:v>
                </c:pt>
                <c:pt idx="8253">
                  <c:v>43809</c:v>
                </c:pt>
                <c:pt idx="8254">
                  <c:v>43809</c:v>
                </c:pt>
                <c:pt idx="8255">
                  <c:v>43809</c:v>
                </c:pt>
                <c:pt idx="8256">
                  <c:v>43810</c:v>
                </c:pt>
                <c:pt idx="8257">
                  <c:v>43810</c:v>
                </c:pt>
                <c:pt idx="8258">
                  <c:v>43810</c:v>
                </c:pt>
                <c:pt idx="8259">
                  <c:v>43810</c:v>
                </c:pt>
                <c:pt idx="8260">
                  <c:v>43810</c:v>
                </c:pt>
                <c:pt idx="8261">
                  <c:v>43810</c:v>
                </c:pt>
                <c:pt idx="8262">
                  <c:v>43810</c:v>
                </c:pt>
                <c:pt idx="8263">
                  <c:v>43810</c:v>
                </c:pt>
                <c:pt idx="8264">
                  <c:v>43810</c:v>
                </c:pt>
                <c:pt idx="8265">
                  <c:v>43810</c:v>
                </c:pt>
                <c:pt idx="8266">
                  <c:v>43810</c:v>
                </c:pt>
                <c:pt idx="8267">
                  <c:v>43810</c:v>
                </c:pt>
                <c:pt idx="8268">
                  <c:v>43810</c:v>
                </c:pt>
                <c:pt idx="8269">
                  <c:v>43810</c:v>
                </c:pt>
                <c:pt idx="8270">
                  <c:v>43810</c:v>
                </c:pt>
                <c:pt idx="8271">
                  <c:v>43810</c:v>
                </c:pt>
                <c:pt idx="8272">
                  <c:v>43810</c:v>
                </c:pt>
                <c:pt idx="8273">
                  <c:v>43810</c:v>
                </c:pt>
                <c:pt idx="8274">
                  <c:v>43810</c:v>
                </c:pt>
                <c:pt idx="8275">
                  <c:v>43810</c:v>
                </c:pt>
                <c:pt idx="8276">
                  <c:v>43810</c:v>
                </c:pt>
                <c:pt idx="8277">
                  <c:v>43810</c:v>
                </c:pt>
                <c:pt idx="8278">
                  <c:v>43810</c:v>
                </c:pt>
                <c:pt idx="8279">
                  <c:v>43810</c:v>
                </c:pt>
                <c:pt idx="8280">
                  <c:v>43811</c:v>
                </c:pt>
                <c:pt idx="8281">
                  <c:v>43811</c:v>
                </c:pt>
                <c:pt idx="8282">
                  <c:v>43811</c:v>
                </c:pt>
                <c:pt idx="8283">
                  <c:v>43811</c:v>
                </c:pt>
                <c:pt idx="8284">
                  <c:v>43811</c:v>
                </c:pt>
                <c:pt idx="8285">
                  <c:v>43811</c:v>
                </c:pt>
                <c:pt idx="8286">
                  <c:v>43811</c:v>
                </c:pt>
                <c:pt idx="8287">
                  <c:v>43811</c:v>
                </c:pt>
                <c:pt idx="8288">
                  <c:v>43811</c:v>
                </c:pt>
                <c:pt idx="8289">
                  <c:v>43811</c:v>
                </c:pt>
                <c:pt idx="8290">
                  <c:v>43811</c:v>
                </c:pt>
                <c:pt idx="8291">
                  <c:v>43811</c:v>
                </c:pt>
                <c:pt idx="8292">
                  <c:v>43811</c:v>
                </c:pt>
                <c:pt idx="8293">
                  <c:v>43811</c:v>
                </c:pt>
                <c:pt idx="8294">
                  <c:v>43811</c:v>
                </c:pt>
                <c:pt idx="8295">
                  <c:v>43811</c:v>
                </c:pt>
                <c:pt idx="8296">
                  <c:v>43811</c:v>
                </c:pt>
                <c:pt idx="8297">
                  <c:v>43811</c:v>
                </c:pt>
                <c:pt idx="8298">
                  <c:v>43811</c:v>
                </c:pt>
                <c:pt idx="8299">
                  <c:v>43811</c:v>
                </c:pt>
                <c:pt idx="8300">
                  <c:v>43811</c:v>
                </c:pt>
                <c:pt idx="8301">
                  <c:v>43811</c:v>
                </c:pt>
                <c:pt idx="8302">
                  <c:v>43811</c:v>
                </c:pt>
                <c:pt idx="8303">
                  <c:v>43811</c:v>
                </c:pt>
                <c:pt idx="8304">
                  <c:v>43812</c:v>
                </c:pt>
                <c:pt idx="8305">
                  <c:v>43812</c:v>
                </c:pt>
                <c:pt idx="8306">
                  <c:v>43812</c:v>
                </c:pt>
                <c:pt idx="8307">
                  <c:v>43812</c:v>
                </c:pt>
                <c:pt idx="8308">
                  <c:v>43812</c:v>
                </c:pt>
                <c:pt idx="8309">
                  <c:v>43812</c:v>
                </c:pt>
                <c:pt idx="8310">
                  <c:v>43812</c:v>
                </c:pt>
                <c:pt idx="8311">
                  <c:v>43812</c:v>
                </c:pt>
                <c:pt idx="8312">
                  <c:v>43812</c:v>
                </c:pt>
                <c:pt idx="8313">
                  <c:v>43812</c:v>
                </c:pt>
                <c:pt idx="8314">
                  <c:v>43812</c:v>
                </c:pt>
                <c:pt idx="8315">
                  <c:v>43812</c:v>
                </c:pt>
                <c:pt idx="8316">
                  <c:v>43812</c:v>
                </c:pt>
                <c:pt idx="8317">
                  <c:v>43812</c:v>
                </c:pt>
                <c:pt idx="8318">
                  <c:v>43812</c:v>
                </c:pt>
                <c:pt idx="8319">
                  <c:v>43812</c:v>
                </c:pt>
                <c:pt idx="8320">
                  <c:v>43812</c:v>
                </c:pt>
                <c:pt idx="8321">
                  <c:v>43812</c:v>
                </c:pt>
                <c:pt idx="8322">
                  <c:v>43812</c:v>
                </c:pt>
                <c:pt idx="8323">
                  <c:v>43812</c:v>
                </c:pt>
                <c:pt idx="8324">
                  <c:v>43812</c:v>
                </c:pt>
                <c:pt idx="8325">
                  <c:v>43812</c:v>
                </c:pt>
                <c:pt idx="8326">
                  <c:v>43812</c:v>
                </c:pt>
                <c:pt idx="8327">
                  <c:v>43812</c:v>
                </c:pt>
                <c:pt idx="8328">
                  <c:v>43813</c:v>
                </c:pt>
                <c:pt idx="8329">
                  <c:v>43813</c:v>
                </c:pt>
                <c:pt idx="8330">
                  <c:v>43813</c:v>
                </c:pt>
                <c:pt idx="8331">
                  <c:v>43813</c:v>
                </c:pt>
                <c:pt idx="8332">
                  <c:v>43813</c:v>
                </c:pt>
                <c:pt idx="8333">
                  <c:v>43813</c:v>
                </c:pt>
                <c:pt idx="8334">
                  <c:v>43813</c:v>
                </c:pt>
                <c:pt idx="8335">
                  <c:v>43813</c:v>
                </c:pt>
                <c:pt idx="8336">
                  <c:v>43813</c:v>
                </c:pt>
                <c:pt idx="8337">
                  <c:v>43813</c:v>
                </c:pt>
                <c:pt idx="8338">
                  <c:v>43813</c:v>
                </c:pt>
                <c:pt idx="8339">
                  <c:v>43813</c:v>
                </c:pt>
                <c:pt idx="8340">
                  <c:v>43813</c:v>
                </c:pt>
                <c:pt idx="8341">
                  <c:v>43813</c:v>
                </c:pt>
                <c:pt idx="8342">
                  <c:v>43813</c:v>
                </c:pt>
                <c:pt idx="8343">
                  <c:v>43813</c:v>
                </c:pt>
                <c:pt idx="8344">
                  <c:v>43813</c:v>
                </c:pt>
                <c:pt idx="8345">
                  <c:v>43813</c:v>
                </c:pt>
                <c:pt idx="8346">
                  <c:v>43813</c:v>
                </c:pt>
                <c:pt idx="8347">
                  <c:v>43813</c:v>
                </c:pt>
                <c:pt idx="8348">
                  <c:v>43813</c:v>
                </c:pt>
                <c:pt idx="8349">
                  <c:v>43813</c:v>
                </c:pt>
                <c:pt idx="8350">
                  <c:v>43813</c:v>
                </c:pt>
                <c:pt idx="8351">
                  <c:v>43813</c:v>
                </c:pt>
                <c:pt idx="8352">
                  <c:v>43814</c:v>
                </c:pt>
                <c:pt idx="8353">
                  <c:v>43814</c:v>
                </c:pt>
                <c:pt idx="8354">
                  <c:v>43814</c:v>
                </c:pt>
                <c:pt idx="8355">
                  <c:v>43814</c:v>
                </c:pt>
                <c:pt idx="8356">
                  <c:v>43814</c:v>
                </c:pt>
                <c:pt idx="8357">
                  <c:v>43814</c:v>
                </c:pt>
                <c:pt idx="8358">
                  <c:v>43814</c:v>
                </c:pt>
                <c:pt idx="8359">
                  <c:v>43814</c:v>
                </c:pt>
                <c:pt idx="8360">
                  <c:v>43814</c:v>
                </c:pt>
                <c:pt idx="8361">
                  <c:v>43814</c:v>
                </c:pt>
                <c:pt idx="8362">
                  <c:v>43814</c:v>
                </c:pt>
                <c:pt idx="8363">
                  <c:v>43814</c:v>
                </c:pt>
                <c:pt idx="8364">
                  <c:v>43814</c:v>
                </c:pt>
                <c:pt idx="8365">
                  <c:v>43814</c:v>
                </c:pt>
                <c:pt idx="8366">
                  <c:v>43814</c:v>
                </c:pt>
                <c:pt idx="8367">
                  <c:v>43814</c:v>
                </c:pt>
                <c:pt idx="8368">
                  <c:v>43814</c:v>
                </c:pt>
                <c:pt idx="8369">
                  <c:v>43814</c:v>
                </c:pt>
                <c:pt idx="8370">
                  <c:v>43814</c:v>
                </c:pt>
                <c:pt idx="8371">
                  <c:v>43814</c:v>
                </c:pt>
                <c:pt idx="8372">
                  <c:v>43814</c:v>
                </c:pt>
                <c:pt idx="8373">
                  <c:v>43814</c:v>
                </c:pt>
                <c:pt idx="8374">
                  <c:v>43814</c:v>
                </c:pt>
                <c:pt idx="8375">
                  <c:v>43814</c:v>
                </c:pt>
                <c:pt idx="8376">
                  <c:v>43815</c:v>
                </c:pt>
                <c:pt idx="8377">
                  <c:v>43815</c:v>
                </c:pt>
                <c:pt idx="8378">
                  <c:v>43815</c:v>
                </c:pt>
                <c:pt idx="8379">
                  <c:v>43815</c:v>
                </c:pt>
                <c:pt idx="8380">
                  <c:v>43815</c:v>
                </c:pt>
                <c:pt idx="8381">
                  <c:v>43815</c:v>
                </c:pt>
                <c:pt idx="8382">
                  <c:v>43815</c:v>
                </c:pt>
                <c:pt idx="8383">
                  <c:v>43815</c:v>
                </c:pt>
                <c:pt idx="8384">
                  <c:v>43815</c:v>
                </c:pt>
                <c:pt idx="8385">
                  <c:v>43815</c:v>
                </c:pt>
                <c:pt idx="8386">
                  <c:v>43815</c:v>
                </c:pt>
                <c:pt idx="8387">
                  <c:v>43815</c:v>
                </c:pt>
                <c:pt idx="8388">
                  <c:v>43815</c:v>
                </c:pt>
                <c:pt idx="8389">
                  <c:v>43815</c:v>
                </c:pt>
                <c:pt idx="8390">
                  <c:v>43815</c:v>
                </c:pt>
                <c:pt idx="8391">
                  <c:v>43815</c:v>
                </c:pt>
                <c:pt idx="8392">
                  <c:v>43815</c:v>
                </c:pt>
                <c:pt idx="8393">
                  <c:v>43815</c:v>
                </c:pt>
                <c:pt idx="8394">
                  <c:v>43815</c:v>
                </c:pt>
                <c:pt idx="8395">
                  <c:v>43815</c:v>
                </c:pt>
                <c:pt idx="8396">
                  <c:v>43815</c:v>
                </c:pt>
                <c:pt idx="8397">
                  <c:v>43815</c:v>
                </c:pt>
                <c:pt idx="8398">
                  <c:v>43815</c:v>
                </c:pt>
                <c:pt idx="8399">
                  <c:v>43815</c:v>
                </c:pt>
                <c:pt idx="8400">
                  <c:v>43816</c:v>
                </c:pt>
                <c:pt idx="8401">
                  <c:v>43816</c:v>
                </c:pt>
                <c:pt idx="8402">
                  <c:v>43816</c:v>
                </c:pt>
                <c:pt idx="8403">
                  <c:v>43816</c:v>
                </c:pt>
                <c:pt idx="8404">
                  <c:v>43816</c:v>
                </c:pt>
                <c:pt idx="8405">
                  <c:v>43816</c:v>
                </c:pt>
                <c:pt idx="8406">
                  <c:v>43816</c:v>
                </c:pt>
                <c:pt idx="8407">
                  <c:v>43816</c:v>
                </c:pt>
                <c:pt idx="8408">
                  <c:v>43816</c:v>
                </c:pt>
                <c:pt idx="8409">
                  <c:v>43816</c:v>
                </c:pt>
                <c:pt idx="8410">
                  <c:v>43816</c:v>
                </c:pt>
                <c:pt idx="8411">
                  <c:v>43816</c:v>
                </c:pt>
                <c:pt idx="8412">
                  <c:v>43816</c:v>
                </c:pt>
                <c:pt idx="8413">
                  <c:v>43816</c:v>
                </c:pt>
                <c:pt idx="8414">
                  <c:v>43816</c:v>
                </c:pt>
                <c:pt idx="8415">
                  <c:v>43816</c:v>
                </c:pt>
                <c:pt idx="8416">
                  <c:v>43816</c:v>
                </c:pt>
                <c:pt idx="8417">
                  <c:v>43816</c:v>
                </c:pt>
                <c:pt idx="8418">
                  <c:v>43816</c:v>
                </c:pt>
                <c:pt idx="8419">
                  <c:v>43816</c:v>
                </c:pt>
                <c:pt idx="8420">
                  <c:v>43816</c:v>
                </c:pt>
                <c:pt idx="8421">
                  <c:v>43816</c:v>
                </c:pt>
                <c:pt idx="8422">
                  <c:v>43816</c:v>
                </c:pt>
                <c:pt idx="8423">
                  <c:v>43816</c:v>
                </c:pt>
                <c:pt idx="8424">
                  <c:v>43817</c:v>
                </c:pt>
                <c:pt idx="8425">
                  <c:v>43817</c:v>
                </c:pt>
                <c:pt idx="8426">
                  <c:v>43817</c:v>
                </c:pt>
                <c:pt idx="8427">
                  <c:v>43817</c:v>
                </c:pt>
                <c:pt idx="8428">
                  <c:v>43817</c:v>
                </c:pt>
                <c:pt idx="8429">
                  <c:v>43817</c:v>
                </c:pt>
                <c:pt idx="8430">
                  <c:v>43817</c:v>
                </c:pt>
                <c:pt idx="8431">
                  <c:v>43817</c:v>
                </c:pt>
                <c:pt idx="8432">
                  <c:v>43817</c:v>
                </c:pt>
                <c:pt idx="8433">
                  <c:v>43817</c:v>
                </c:pt>
                <c:pt idx="8434">
                  <c:v>43817</c:v>
                </c:pt>
                <c:pt idx="8435">
                  <c:v>43817</c:v>
                </c:pt>
                <c:pt idx="8436">
                  <c:v>43817</c:v>
                </c:pt>
                <c:pt idx="8437">
                  <c:v>43817</c:v>
                </c:pt>
                <c:pt idx="8438">
                  <c:v>43817</c:v>
                </c:pt>
                <c:pt idx="8439">
                  <c:v>43817</c:v>
                </c:pt>
                <c:pt idx="8440">
                  <c:v>43817</c:v>
                </c:pt>
                <c:pt idx="8441">
                  <c:v>43817</c:v>
                </c:pt>
                <c:pt idx="8442">
                  <c:v>43817</c:v>
                </c:pt>
                <c:pt idx="8443">
                  <c:v>43817</c:v>
                </c:pt>
                <c:pt idx="8444">
                  <c:v>43817</c:v>
                </c:pt>
                <c:pt idx="8445">
                  <c:v>43817</c:v>
                </c:pt>
                <c:pt idx="8446">
                  <c:v>43817</c:v>
                </c:pt>
                <c:pt idx="8447">
                  <c:v>43817</c:v>
                </c:pt>
                <c:pt idx="8448">
                  <c:v>43818</c:v>
                </c:pt>
                <c:pt idx="8449">
                  <c:v>43818</c:v>
                </c:pt>
                <c:pt idx="8450">
                  <c:v>43818</c:v>
                </c:pt>
                <c:pt idx="8451">
                  <c:v>43818</c:v>
                </c:pt>
                <c:pt idx="8452">
                  <c:v>43818</c:v>
                </c:pt>
                <c:pt idx="8453">
                  <c:v>43818</c:v>
                </c:pt>
                <c:pt idx="8454">
                  <c:v>43818</c:v>
                </c:pt>
                <c:pt idx="8455">
                  <c:v>43818</c:v>
                </c:pt>
                <c:pt idx="8456">
                  <c:v>43818</c:v>
                </c:pt>
                <c:pt idx="8457">
                  <c:v>43818</c:v>
                </c:pt>
                <c:pt idx="8458">
                  <c:v>43818</c:v>
                </c:pt>
                <c:pt idx="8459">
                  <c:v>43818</c:v>
                </c:pt>
                <c:pt idx="8460">
                  <c:v>43818</c:v>
                </c:pt>
                <c:pt idx="8461">
                  <c:v>43818</c:v>
                </c:pt>
                <c:pt idx="8462">
                  <c:v>43818</c:v>
                </c:pt>
                <c:pt idx="8463">
                  <c:v>43818</c:v>
                </c:pt>
                <c:pt idx="8464">
                  <c:v>43818</c:v>
                </c:pt>
                <c:pt idx="8465">
                  <c:v>43818</c:v>
                </c:pt>
                <c:pt idx="8466">
                  <c:v>43818</c:v>
                </c:pt>
                <c:pt idx="8467">
                  <c:v>43818</c:v>
                </c:pt>
                <c:pt idx="8468">
                  <c:v>43818</c:v>
                </c:pt>
                <c:pt idx="8469">
                  <c:v>43818</c:v>
                </c:pt>
                <c:pt idx="8470">
                  <c:v>43818</c:v>
                </c:pt>
                <c:pt idx="8471">
                  <c:v>43818</c:v>
                </c:pt>
                <c:pt idx="8472">
                  <c:v>43819</c:v>
                </c:pt>
                <c:pt idx="8473">
                  <c:v>43819</c:v>
                </c:pt>
                <c:pt idx="8474">
                  <c:v>43819</c:v>
                </c:pt>
                <c:pt idx="8475">
                  <c:v>43819</c:v>
                </c:pt>
                <c:pt idx="8476">
                  <c:v>43819</c:v>
                </c:pt>
                <c:pt idx="8477">
                  <c:v>43819</c:v>
                </c:pt>
                <c:pt idx="8478">
                  <c:v>43819</c:v>
                </c:pt>
                <c:pt idx="8479">
                  <c:v>43819</c:v>
                </c:pt>
                <c:pt idx="8480">
                  <c:v>43819</c:v>
                </c:pt>
                <c:pt idx="8481">
                  <c:v>43819</c:v>
                </c:pt>
                <c:pt idx="8482">
                  <c:v>43819</c:v>
                </c:pt>
                <c:pt idx="8483">
                  <c:v>43819</c:v>
                </c:pt>
                <c:pt idx="8484">
                  <c:v>43819</c:v>
                </c:pt>
                <c:pt idx="8485">
                  <c:v>43819</c:v>
                </c:pt>
                <c:pt idx="8486">
                  <c:v>43819</c:v>
                </c:pt>
                <c:pt idx="8487">
                  <c:v>43819</c:v>
                </c:pt>
                <c:pt idx="8488">
                  <c:v>43819</c:v>
                </c:pt>
                <c:pt idx="8489">
                  <c:v>43819</c:v>
                </c:pt>
                <c:pt idx="8490">
                  <c:v>43819</c:v>
                </c:pt>
                <c:pt idx="8491">
                  <c:v>43819</c:v>
                </c:pt>
                <c:pt idx="8492">
                  <c:v>43819</c:v>
                </c:pt>
                <c:pt idx="8493">
                  <c:v>43819</c:v>
                </c:pt>
                <c:pt idx="8494">
                  <c:v>43819</c:v>
                </c:pt>
                <c:pt idx="8495">
                  <c:v>43819</c:v>
                </c:pt>
                <c:pt idx="8496">
                  <c:v>43820</c:v>
                </c:pt>
                <c:pt idx="8497">
                  <c:v>43820</c:v>
                </c:pt>
                <c:pt idx="8498">
                  <c:v>43820</c:v>
                </c:pt>
                <c:pt idx="8499">
                  <c:v>43820</c:v>
                </c:pt>
                <c:pt idx="8500">
                  <c:v>43820</c:v>
                </c:pt>
                <c:pt idx="8501">
                  <c:v>43820</c:v>
                </c:pt>
                <c:pt idx="8502">
                  <c:v>43820</c:v>
                </c:pt>
                <c:pt idx="8503">
                  <c:v>43820</c:v>
                </c:pt>
                <c:pt idx="8504">
                  <c:v>43820</c:v>
                </c:pt>
                <c:pt idx="8505">
                  <c:v>43820</c:v>
                </c:pt>
                <c:pt idx="8506">
                  <c:v>43820</c:v>
                </c:pt>
                <c:pt idx="8507">
                  <c:v>43820</c:v>
                </c:pt>
                <c:pt idx="8508">
                  <c:v>43820</c:v>
                </c:pt>
                <c:pt idx="8509">
                  <c:v>43820</c:v>
                </c:pt>
                <c:pt idx="8510">
                  <c:v>43820</c:v>
                </c:pt>
                <c:pt idx="8511">
                  <c:v>43820</c:v>
                </c:pt>
                <c:pt idx="8512">
                  <c:v>43820</c:v>
                </c:pt>
                <c:pt idx="8513">
                  <c:v>43820</c:v>
                </c:pt>
                <c:pt idx="8514">
                  <c:v>43820</c:v>
                </c:pt>
                <c:pt idx="8515">
                  <c:v>43820</c:v>
                </c:pt>
                <c:pt idx="8516">
                  <c:v>43820</c:v>
                </c:pt>
                <c:pt idx="8517">
                  <c:v>43820</c:v>
                </c:pt>
                <c:pt idx="8518">
                  <c:v>43820</c:v>
                </c:pt>
                <c:pt idx="8519">
                  <c:v>43820</c:v>
                </c:pt>
                <c:pt idx="8520">
                  <c:v>43821</c:v>
                </c:pt>
                <c:pt idx="8521">
                  <c:v>43821</c:v>
                </c:pt>
                <c:pt idx="8522">
                  <c:v>43821</c:v>
                </c:pt>
                <c:pt idx="8523">
                  <c:v>43821</c:v>
                </c:pt>
                <c:pt idx="8524">
                  <c:v>43821</c:v>
                </c:pt>
                <c:pt idx="8525">
                  <c:v>43821</c:v>
                </c:pt>
                <c:pt idx="8526">
                  <c:v>43821</c:v>
                </c:pt>
                <c:pt idx="8527">
                  <c:v>43821</c:v>
                </c:pt>
                <c:pt idx="8528">
                  <c:v>43821</c:v>
                </c:pt>
                <c:pt idx="8529">
                  <c:v>43821</c:v>
                </c:pt>
                <c:pt idx="8530">
                  <c:v>43821</c:v>
                </c:pt>
                <c:pt idx="8531">
                  <c:v>43821</c:v>
                </c:pt>
                <c:pt idx="8532">
                  <c:v>43821</c:v>
                </c:pt>
                <c:pt idx="8533">
                  <c:v>43821</c:v>
                </c:pt>
                <c:pt idx="8534">
                  <c:v>43821</c:v>
                </c:pt>
                <c:pt idx="8535">
                  <c:v>43821</c:v>
                </c:pt>
                <c:pt idx="8536">
                  <c:v>43821</c:v>
                </c:pt>
                <c:pt idx="8537">
                  <c:v>43821</c:v>
                </c:pt>
                <c:pt idx="8538">
                  <c:v>43821</c:v>
                </c:pt>
                <c:pt idx="8539">
                  <c:v>43821</c:v>
                </c:pt>
                <c:pt idx="8540">
                  <c:v>43821</c:v>
                </c:pt>
                <c:pt idx="8541">
                  <c:v>43821</c:v>
                </c:pt>
                <c:pt idx="8542">
                  <c:v>43821</c:v>
                </c:pt>
                <c:pt idx="8543">
                  <c:v>43821</c:v>
                </c:pt>
                <c:pt idx="8544">
                  <c:v>43822</c:v>
                </c:pt>
                <c:pt idx="8545">
                  <c:v>43822</c:v>
                </c:pt>
                <c:pt idx="8546">
                  <c:v>43822</c:v>
                </c:pt>
                <c:pt idx="8547">
                  <c:v>43822</c:v>
                </c:pt>
                <c:pt idx="8548">
                  <c:v>43822</c:v>
                </c:pt>
                <c:pt idx="8549">
                  <c:v>43822</c:v>
                </c:pt>
                <c:pt idx="8550">
                  <c:v>43822</c:v>
                </c:pt>
                <c:pt idx="8551">
                  <c:v>43822</c:v>
                </c:pt>
                <c:pt idx="8552">
                  <c:v>43822</c:v>
                </c:pt>
                <c:pt idx="8553">
                  <c:v>43822</c:v>
                </c:pt>
                <c:pt idx="8554">
                  <c:v>43822</c:v>
                </c:pt>
                <c:pt idx="8555">
                  <c:v>43822</c:v>
                </c:pt>
                <c:pt idx="8556">
                  <c:v>43822</c:v>
                </c:pt>
                <c:pt idx="8557">
                  <c:v>43822</c:v>
                </c:pt>
                <c:pt idx="8558">
                  <c:v>43822</c:v>
                </c:pt>
                <c:pt idx="8559">
                  <c:v>43822</c:v>
                </c:pt>
                <c:pt idx="8560">
                  <c:v>43822</c:v>
                </c:pt>
                <c:pt idx="8561">
                  <c:v>43822</c:v>
                </c:pt>
                <c:pt idx="8562">
                  <c:v>43822</c:v>
                </c:pt>
                <c:pt idx="8563">
                  <c:v>43822</c:v>
                </c:pt>
                <c:pt idx="8564">
                  <c:v>43822</c:v>
                </c:pt>
                <c:pt idx="8565">
                  <c:v>43822</c:v>
                </c:pt>
                <c:pt idx="8566">
                  <c:v>43822</c:v>
                </c:pt>
                <c:pt idx="8567">
                  <c:v>43822</c:v>
                </c:pt>
                <c:pt idx="8568">
                  <c:v>43823</c:v>
                </c:pt>
                <c:pt idx="8569">
                  <c:v>43823</c:v>
                </c:pt>
                <c:pt idx="8570">
                  <c:v>43823</c:v>
                </c:pt>
                <c:pt idx="8571">
                  <c:v>43823</c:v>
                </c:pt>
                <c:pt idx="8572">
                  <c:v>43823</c:v>
                </c:pt>
                <c:pt idx="8573">
                  <c:v>43823</c:v>
                </c:pt>
                <c:pt idx="8574">
                  <c:v>43823</c:v>
                </c:pt>
                <c:pt idx="8575">
                  <c:v>43823</c:v>
                </c:pt>
                <c:pt idx="8576">
                  <c:v>43823</c:v>
                </c:pt>
                <c:pt idx="8577">
                  <c:v>43823</c:v>
                </c:pt>
                <c:pt idx="8578">
                  <c:v>43823</c:v>
                </c:pt>
                <c:pt idx="8579">
                  <c:v>43823</c:v>
                </c:pt>
                <c:pt idx="8580">
                  <c:v>43823</c:v>
                </c:pt>
                <c:pt idx="8581">
                  <c:v>43823</c:v>
                </c:pt>
                <c:pt idx="8582">
                  <c:v>43823</c:v>
                </c:pt>
                <c:pt idx="8583">
                  <c:v>43823</c:v>
                </c:pt>
                <c:pt idx="8584">
                  <c:v>43823</c:v>
                </c:pt>
                <c:pt idx="8585">
                  <c:v>43823</c:v>
                </c:pt>
                <c:pt idx="8586">
                  <c:v>43823</c:v>
                </c:pt>
                <c:pt idx="8587">
                  <c:v>43823</c:v>
                </c:pt>
                <c:pt idx="8588">
                  <c:v>43823</c:v>
                </c:pt>
                <c:pt idx="8589">
                  <c:v>43823</c:v>
                </c:pt>
                <c:pt idx="8590">
                  <c:v>43823</c:v>
                </c:pt>
                <c:pt idx="8591">
                  <c:v>43823</c:v>
                </c:pt>
                <c:pt idx="8592">
                  <c:v>43824</c:v>
                </c:pt>
                <c:pt idx="8593">
                  <c:v>43824</c:v>
                </c:pt>
                <c:pt idx="8594">
                  <c:v>43824</c:v>
                </c:pt>
                <c:pt idx="8595">
                  <c:v>43824</c:v>
                </c:pt>
                <c:pt idx="8596">
                  <c:v>43824</c:v>
                </c:pt>
                <c:pt idx="8597">
                  <c:v>43824</c:v>
                </c:pt>
                <c:pt idx="8598">
                  <c:v>43824</c:v>
                </c:pt>
                <c:pt idx="8599">
                  <c:v>43824</c:v>
                </c:pt>
                <c:pt idx="8600">
                  <c:v>43824</c:v>
                </c:pt>
                <c:pt idx="8601">
                  <c:v>43824</c:v>
                </c:pt>
                <c:pt idx="8602">
                  <c:v>43824</c:v>
                </c:pt>
                <c:pt idx="8603">
                  <c:v>43824</c:v>
                </c:pt>
                <c:pt idx="8604">
                  <c:v>43824</c:v>
                </c:pt>
                <c:pt idx="8605">
                  <c:v>43824</c:v>
                </c:pt>
                <c:pt idx="8606">
                  <c:v>43824</c:v>
                </c:pt>
                <c:pt idx="8607">
                  <c:v>43824</c:v>
                </c:pt>
                <c:pt idx="8608">
                  <c:v>43824</c:v>
                </c:pt>
                <c:pt idx="8609">
                  <c:v>43824</c:v>
                </c:pt>
                <c:pt idx="8610">
                  <c:v>43824</c:v>
                </c:pt>
                <c:pt idx="8611">
                  <c:v>43824</c:v>
                </c:pt>
                <c:pt idx="8612">
                  <c:v>43824</c:v>
                </c:pt>
                <c:pt idx="8613">
                  <c:v>43824</c:v>
                </c:pt>
                <c:pt idx="8614">
                  <c:v>43824</c:v>
                </c:pt>
                <c:pt idx="8615">
                  <c:v>43824</c:v>
                </c:pt>
                <c:pt idx="8616">
                  <c:v>43825</c:v>
                </c:pt>
                <c:pt idx="8617">
                  <c:v>43825</c:v>
                </c:pt>
                <c:pt idx="8618">
                  <c:v>43825</c:v>
                </c:pt>
                <c:pt idx="8619">
                  <c:v>43825</c:v>
                </c:pt>
                <c:pt idx="8620">
                  <c:v>43825</c:v>
                </c:pt>
                <c:pt idx="8621">
                  <c:v>43825</c:v>
                </c:pt>
                <c:pt idx="8622">
                  <c:v>43825</c:v>
                </c:pt>
                <c:pt idx="8623">
                  <c:v>43825</c:v>
                </c:pt>
                <c:pt idx="8624">
                  <c:v>43825</c:v>
                </c:pt>
                <c:pt idx="8625">
                  <c:v>43825</c:v>
                </c:pt>
                <c:pt idx="8626">
                  <c:v>43825</c:v>
                </c:pt>
                <c:pt idx="8627">
                  <c:v>43825</c:v>
                </c:pt>
                <c:pt idx="8628">
                  <c:v>43825</c:v>
                </c:pt>
                <c:pt idx="8629">
                  <c:v>43825</c:v>
                </c:pt>
                <c:pt idx="8630">
                  <c:v>43825</c:v>
                </c:pt>
                <c:pt idx="8631">
                  <c:v>43825</c:v>
                </c:pt>
                <c:pt idx="8632">
                  <c:v>43825</c:v>
                </c:pt>
                <c:pt idx="8633">
                  <c:v>43825</c:v>
                </c:pt>
                <c:pt idx="8634">
                  <c:v>43825</c:v>
                </c:pt>
                <c:pt idx="8635">
                  <c:v>43825</c:v>
                </c:pt>
                <c:pt idx="8636">
                  <c:v>43825</c:v>
                </c:pt>
                <c:pt idx="8637">
                  <c:v>43825</c:v>
                </c:pt>
                <c:pt idx="8638">
                  <c:v>43825</c:v>
                </c:pt>
                <c:pt idx="8639">
                  <c:v>43825</c:v>
                </c:pt>
                <c:pt idx="8640">
                  <c:v>43826</c:v>
                </c:pt>
                <c:pt idx="8641">
                  <c:v>43826</c:v>
                </c:pt>
                <c:pt idx="8642">
                  <c:v>43826</c:v>
                </c:pt>
                <c:pt idx="8643">
                  <c:v>43826</c:v>
                </c:pt>
                <c:pt idx="8644">
                  <c:v>43826</c:v>
                </c:pt>
                <c:pt idx="8645">
                  <c:v>43826</c:v>
                </c:pt>
                <c:pt idx="8646">
                  <c:v>43826</c:v>
                </c:pt>
                <c:pt idx="8647">
                  <c:v>43826</c:v>
                </c:pt>
                <c:pt idx="8648">
                  <c:v>43826</c:v>
                </c:pt>
                <c:pt idx="8649">
                  <c:v>43826</c:v>
                </c:pt>
                <c:pt idx="8650">
                  <c:v>43826</c:v>
                </c:pt>
                <c:pt idx="8651">
                  <c:v>43826</c:v>
                </c:pt>
                <c:pt idx="8652">
                  <c:v>43826</c:v>
                </c:pt>
                <c:pt idx="8653">
                  <c:v>43826</c:v>
                </c:pt>
                <c:pt idx="8654">
                  <c:v>43826</c:v>
                </c:pt>
                <c:pt idx="8655">
                  <c:v>43826</c:v>
                </c:pt>
                <c:pt idx="8656">
                  <c:v>43826</c:v>
                </c:pt>
                <c:pt idx="8657">
                  <c:v>43826</c:v>
                </c:pt>
                <c:pt idx="8658">
                  <c:v>43826</c:v>
                </c:pt>
                <c:pt idx="8659">
                  <c:v>43826</c:v>
                </c:pt>
                <c:pt idx="8660">
                  <c:v>43826</c:v>
                </c:pt>
                <c:pt idx="8661">
                  <c:v>43826</c:v>
                </c:pt>
                <c:pt idx="8662">
                  <c:v>43826</c:v>
                </c:pt>
                <c:pt idx="8663">
                  <c:v>43826</c:v>
                </c:pt>
                <c:pt idx="8664">
                  <c:v>43827</c:v>
                </c:pt>
                <c:pt idx="8665">
                  <c:v>43827</c:v>
                </c:pt>
                <c:pt idx="8666">
                  <c:v>43827</c:v>
                </c:pt>
                <c:pt idx="8667">
                  <c:v>43827</c:v>
                </c:pt>
                <c:pt idx="8668">
                  <c:v>43827</c:v>
                </c:pt>
                <c:pt idx="8669">
                  <c:v>43827</c:v>
                </c:pt>
                <c:pt idx="8670">
                  <c:v>43827</c:v>
                </c:pt>
                <c:pt idx="8671">
                  <c:v>43827</c:v>
                </c:pt>
                <c:pt idx="8672">
                  <c:v>43827</c:v>
                </c:pt>
                <c:pt idx="8673">
                  <c:v>43827</c:v>
                </c:pt>
                <c:pt idx="8674">
                  <c:v>43827</c:v>
                </c:pt>
                <c:pt idx="8675">
                  <c:v>43827</c:v>
                </c:pt>
                <c:pt idx="8676">
                  <c:v>43827</c:v>
                </c:pt>
                <c:pt idx="8677">
                  <c:v>43827</c:v>
                </c:pt>
                <c:pt idx="8678">
                  <c:v>43827</c:v>
                </c:pt>
                <c:pt idx="8679">
                  <c:v>43827</c:v>
                </c:pt>
                <c:pt idx="8680">
                  <c:v>43827</c:v>
                </c:pt>
                <c:pt idx="8681">
                  <c:v>43827</c:v>
                </c:pt>
                <c:pt idx="8682">
                  <c:v>43827</c:v>
                </c:pt>
                <c:pt idx="8683">
                  <c:v>43827</c:v>
                </c:pt>
                <c:pt idx="8684">
                  <c:v>43827</c:v>
                </c:pt>
                <c:pt idx="8685">
                  <c:v>43827</c:v>
                </c:pt>
                <c:pt idx="8686">
                  <c:v>43827</c:v>
                </c:pt>
                <c:pt idx="8687">
                  <c:v>43827</c:v>
                </c:pt>
                <c:pt idx="8688">
                  <c:v>43828</c:v>
                </c:pt>
                <c:pt idx="8689">
                  <c:v>43828</c:v>
                </c:pt>
                <c:pt idx="8690">
                  <c:v>43828</c:v>
                </c:pt>
                <c:pt idx="8691">
                  <c:v>43828</c:v>
                </c:pt>
                <c:pt idx="8692">
                  <c:v>43828</c:v>
                </c:pt>
                <c:pt idx="8693">
                  <c:v>43828</c:v>
                </c:pt>
                <c:pt idx="8694">
                  <c:v>43828</c:v>
                </c:pt>
                <c:pt idx="8695">
                  <c:v>43828</c:v>
                </c:pt>
                <c:pt idx="8696">
                  <c:v>43828</c:v>
                </c:pt>
                <c:pt idx="8697">
                  <c:v>43828</c:v>
                </c:pt>
                <c:pt idx="8698">
                  <c:v>43828</c:v>
                </c:pt>
                <c:pt idx="8699">
                  <c:v>43828</c:v>
                </c:pt>
                <c:pt idx="8700">
                  <c:v>43828</c:v>
                </c:pt>
                <c:pt idx="8701">
                  <c:v>43828</c:v>
                </c:pt>
                <c:pt idx="8702">
                  <c:v>43828</c:v>
                </c:pt>
                <c:pt idx="8703">
                  <c:v>43828</c:v>
                </c:pt>
                <c:pt idx="8704">
                  <c:v>43828</c:v>
                </c:pt>
                <c:pt idx="8705">
                  <c:v>43828</c:v>
                </c:pt>
                <c:pt idx="8706">
                  <c:v>43828</c:v>
                </c:pt>
                <c:pt idx="8707">
                  <c:v>43828</c:v>
                </c:pt>
                <c:pt idx="8708">
                  <c:v>43828</c:v>
                </c:pt>
                <c:pt idx="8709">
                  <c:v>43828</c:v>
                </c:pt>
                <c:pt idx="8710">
                  <c:v>43828</c:v>
                </c:pt>
                <c:pt idx="8711">
                  <c:v>43828</c:v>
                </c:pt>
                <c:pt idx="8712">
                  <c:v>43829</c:v>
                </c:pt>
                <c:pt idx="8713">
                  <c:v>43829</c:v>
                </c:pt>
                <c:pt idx="8714">
                  <c:v>43829</c:v>
                </c:pt>
                <c:pt idx="8715">
                  <c:v>43829</c:v>
                </c:pt>
                <c:pt idx="8716">
                  <c:v>43829</c:v>
                </c:pt>
                <c:pt idx="8717">
                  <c:v>43829</c:v>
                </c:pt>
                <c:pt idx="8718">
                  <c:v>43829</c:v>
                </c:pt>
                <c:pt idx="8719">
                  <c:v>43829</c:v>
                </c:pt>
                <c:pt idx="8720">
                  <c:v>43829</c:v>
                </c:pt>
                <c:pt idx="8721">
                  <c:v>43829</c:v>
                </c:pt>
                <c:pt idx="8722">
                  <c:v>43829</c:v>
                </c:pt>
                <c:pt idx="8723">
                  <c:v>43829</c:v>
                </c:pt>
                <c:pt idx="8724">
                  <c:v>43829</c:v>
                </c:pt>
                <c:pt idx="8725">
                  <c:v>43829</c:v>
                </c:pt>
                <c:pt idx="8726">
                  <c:v>43829</c:v>
                </c:pt>
                <c:pt idx="8727">
                  <c:v>43829</c:v>
                </c:pt>
                <c:pt idx="8728">
                  <c:v>43829</c:v>
                </c:pt>
                <c:pt idx="8729">
                  <c:v>43829</c:v>
                </c:pt>
                <c:pt idx="8730">
                  <c:v>43829</c:v>
                </c:pt>
                <c:pt idx="8731">
                  <c:v>43829</c:v>
                </c:pt>
                <c:pt idx="8732">
                  <c:v>43829</c:v>
                </c:pt>
                <c:pt idx="8733">
                  <c:v>43829</c:v>
                </c:pt>
                <c:pt idx="8734">
                  <c:v>43829</c:v>
                </c:pt>
                <c:pt idx="8735">
                  <c:v>43829</c:v>
                </c:pt>
                <c:pt idx="8736">
                  <c:v>43830</c:v>
                </c:pt>
                <c:pt idx="8737">
                  <c:v>43830</c:v>
                </c:pt>
                <c:pt idx="8738">
                  <c:v>43830</c:v>
                </c:pt>
                <c:pt idx="8739">
                  <c:v>43830</c:v>
                </c:pt>
                <c:pt idx="8740">
                  <c:v>43830</c:v>
                </c:pt>
                <c:pt idx="8741">
                  <c:v>43830</c:v>
                </c:pt>
                <c:pt idx="8742">
                  <c:v>43830</c:v>
                </c:pt>
                <c:pt idx="8743">
                  <c:v>43830</c:v>
                </c:pt>
                <c:pt idx="8744">
                  <c:v>43830</c:v>
                </c:pt>
                <c:pt idx="8745">
                  <c:v>43830</c:v>
                </c:pt>
                <c:pt idx="8746">
                  <c:v>43830</c:v>
                </c:pt>
                <c:pt idx="8747">
                  <c:v>43830</c:v>
                </c:pt>
                <c:pt idx="8748">
                  <c:v>43830</c:v>
                </c:pt>
                <c:pt idx="8749">
                  <c:v>43830</c:v>
                </c:pt>
                <c:pt idx="8750">
                  <c:v>43830</c:v>
                </c:pt>
                <c:pt idx="8751">
                  <c:v>43830</c:v>
                </c:pt>
                <c:pt idx="8752">
                  <c:v>43830</c:v>
                </c:pt>
                <c:pt idx="8753">
                  <c:v>43830</c:v>
                </c:pt>
                <c:pt idx="8754">
                  <c:v>43830</c:v>
                </c:pt>
                <c:pt idx="8755">
                  <c:v>43830</c:v>
                </c:pt>
                <c:pt idx="8756">
                  <c:v>43830</c:v>
                </c:pt>
                <c:pt idx="8757">
                  <c:v>43830</c:v>
                </c:pt>
                <c:pt idx="8758">
                  <c:v>43830</c:v>
                </c:pt>
                <c:pt idx="8759">
                  <c:v>43830</c:v>
                </c:pt>
              </c:numCache>
            </c:numRef>
          </c:cat>
          <c:val>
            <c:numRef>
              <c:f>'ANÁLISE PLD'!$B$2:$B$9505</c:f>
              <c:numCache>
                <c:formatCode>General</c:formatCode>
                <c:ptCount val="9504"/>
                <c:pt idx="0">
                  <c:v>124.05</c:v>
                </c:pt>
                <c:pt idx="1">
                  <c:v>123.95</c:v>
                </c:pt>
                <c:pt idx="2">
                  <c:v>123.82</c:v>
                </c:pt>
                <c:pt idx="3">
                  <c:v>123.73</c:v>
                </c:pt>
                <c:pt idx="4">
                  <c:v>123.63</c:v>
                </c:pt>
                <c:pt idx="5">
                  <c:v>123.22</c:v>
                </c:pt>
                <c:pt idx="6">
                  <c:v>113.8</c:v>
                </c:pt>
                <c:pt idx="7">
                  <c:v>106.51</c:v>
                </c:pt>
                <c:pt idx="8">
                  <c:v>113.67</c:v>
                </c:pt>
                <c:pt idx="9">
                  <c:v>122.52</c:v>
                </c:pt>
                <c:pt idx="10">
                  <c:v>123.43</c:v>
                </c:pt>
                <c:pt idx="11">
                  <c:v>123.49</c:v>
                </c:pt>
                <c:pt idx="12">
                  <c:v>123.47</c:v>
                </c:pt>
                <c:pt idx="13">
                  <c:v>123.41</c:v>
                </c:pt>
                <c:pt idx="14">
                  <c:v>123.31</c:v>
                </c:pt>
                <c:pt idx="15">
                  <c:v>123.33</c:v>
                </c:pt>
                <c:pt idx="16">
                  <c:v>123.32</c:v>
                </c:pt>
                <c:pt idx="17">
                  <c:v>124.06</c:v>
                </c:pt>
                <c:pt idx="18">
                  <c:v>131.44999999999999</c:v>
                </c:pt>
                <c:pt idx="19">
                  <c:v>136.96</c:v>
                </c:pt>
                <c:pt idx="20">
                  <c:v>139.97999999999999</c:v>
                </c:pt>
                <c:pt idx="21">
                  <c:v>140.24</c:v>
                </c:pt>
                <c:pt idx="22">
                  <c:v>140.18</c:v>
                </c:pt>
                <c:pt idx="23">
                  <c:v>139.91</c:v>
                </c:pt>
                <c:pt idx="24">
                  <c:v>132.97999999999999</c:v>
                </c:pt>
                <c:pt idx="25">
                  <c:v>129.01</c:v>
                </c:pt>
                <c:pt idx="26">
                  <c:v>127.92</c:v>
                </c:pt>
                <c:pt idx="27">
                  <c:v>127.27</c:v>
                </c:pt>
                <c:pt idx="28">
                  <c:v>127.27</c:v>
                </c:pt>
                <c:pt idx="29">
                  <c:v>128.62</c:v>
                </c:pt>
                <c:pt idx="30">
                  <c:v>132.61000000000001</c:v>
                </c:pt>
                <c:pt idx="31">
                  <c:v>137.44</c:v>
                </c:pt>
                <c:pt idx="32">
                  <c:v>139.84</c:v>
                </c:pt>
                <c:pt idx="33">
                  <c:v>141.11000000000001</c:v>
                </c:pt>
                <c:pt idx="34">
                  <c:v>141.12</c:v>
                </c:pt>
                <c:pt idx="35">
                  <c:v>141.29</c:v>
                </c:pt>
                <c:pt idx="36">
                  <c:v>141.29</c:v>
                </c:pt>
                <c:pt idx="37">
                  <c:v>141.62</c:v>
                </c:pt>
                <c:pt idx="38">
                  <c:v>141.59</c:v>
                </c:pt>
                <c:pt idx="39">
                  <c:v>141.57</c:v>
                </c:pt>
                <c:pt idx="40">
                  <c:v>141.54</c:v>
                </c:pt>
                <c:pt idx="41">
                  <c:v>141.16999999999999</c:v>
                </c:pt>
                <c:pt idx="42">
                  <c:v>140.37</c:v>
                </c:pt>
                <c:pt idx="43">
                  <c:v>140.24</c:v>
                </c:pt>
                <c:pt idx="44">
                  <c:v>141.09</c:v>
                </c:pt>
                <c:pt idx="45">
                  <c:v>141.41999999999999</c:v>
                </c:pt>
                <c:pt idx="46">
                  <c:v>141.22999999999999</c:v>
                </c:pt>
                <c:pt idx="47">
                  <c:v>141.01</c:v>
                </c:pt>
                <c:pt idx="48">
                  <c:v>138.57</c:v>
                </c:pt>
                <c:pt idx="49">
                  <c:v>136.02000000000001</c:v>
                </c:pt>
                <c:pt idx="50">
                  <c:v>134.84</c:v>
                </c:pt>
                <c:pt idx="51">
                  <c:v>134.37</c:v>
                </c:pt>
                <c:pt idx="52">
                  <c:v>133.84</c:v>
                </c:pt>
                <c:pt idx="53">
                  <c:v>134.72999999999999</c:v>
                </c:pt>
                <c:pt idx="54">
                  <c:v>135.9</c:v>
                </c:pt>
                <c:pt idx="55">
                  <c:v>138.41999999999999</c:v>
                </c:pt>
                <c:pt idx="56">
                  <c:v>140.03</c:v>
                </c:pt>
                <c:pt idx="57">
                  <c:v>140.84</c:v>
                </c:pt>
                <c:pt idx="58">
                  <c:v>140.91999999999999</c:v>
                </c:pt>
                <c:pt idx="59">
                  <c:v>140.91999999999999</c:v>
                </c:pt>
                <c:pt idx="60">
                  <c:v>140.88999999999999</c:v>
                </c:pt>
                <c:pt idx="61">
                  <c:v>140.9</c:v>
                </c:pt>
                <c:pt idx="62">
                  <c:v>140.91999999999999</c:v>
                </c:pt>
                <c:pt idx="63">
                  <c:v>140.91999999999999</c:v>
                </c:pt>
                <c:pt idx="64">
                  <c:v>140.91999999999999</c:v>
                </c:pt>
                <c:pt idx="65">
                  <c:v>140.80000000000001</c:v>
                </c:pt>
                <c:pt idx="66">
                  <c:v>140.25</c:v>
                </c:pt>
                <c:pt idx="67">
                  <c:v>140.04</c:v>
                </c:pt>
                <c:pt idx="68">
                  <c:v>140.72</c:v>
                </c:pt>
                <c:pt idx="69">
                  <c:v>140.69999999999999</c:v>
                </c:pt>
                <c:pt idx="70">
                  <c:v>140.66999999999999</c:v>
                </c:pt>
                <c:pt idx="71">
                  <c:v>140.4</c:v>
                </c:pt>
                <c:pt idx="72">
                  <c:v>140.38999999999999</c:v>
                </c:pt>
                <c:pt idx="73">
                  <c:v>139.83000000000001</c:v>
                </c:pt>
                <c:pt idx="74">
                  <c:v>139.75</c:v>
                </c:pt>
                <c:pt idx="75">
                  <c:v>139.46</c:v>
                </c:pt>
                <c:pt idx="76">
                  <c:v>139.38999999999999</c:v>
                </c:pt>
                <c:pt idx="77">
                  <c:v>139.55000000000001</c:v>
                </c:pt>
                <c:pt idx="78">
                  <c:v>139.81</c:v>
                </c:pt>
                <c:pt idx="79">
                  <c:v>140.22</c:v>
                </c:pt>
                <c:pt idx="80">
                  <c:v>140.74</c:v>
                </c:pt>
                <c:pt idx="81">
                  <c:v>141.82</c:v>
                </c:pt>
                <c:pt idx="82">
                  <c:v>142.19</c:v>
                </c:pt>
                <c:pt idx="83">
                  <c:v>142.25</c:v>
                </c:pt>
                <c:pt idx="84">
                  <c:v>142.08000000000001</c:v>
                </c:pt>
                <c:pt idx="85">
                  <c:v>143.27000000000001</c:v>
                </c:pt>
                <c:pt idx="86">
                  <c:v>144.19</c:v>
                </c:pt>
                <c:pt idx="87">
                  <c:v>144.03</c:v>
                </c:pt>
                <c:pt idx="88">
                  <c:v>143.09</c:v>
                </c:pt>
                <c:pt idx="89">
                  <c:v>141.46</c:v>
                </c:pt>
                <c:pt idx="90">
                  <c:v>139.91</c:v>
                </c:pt>
                <c:pt idx="91">
                  <c:v>139.88</c:v>
                </c:pt>
                <c:pt idx="92">
                  <c:v>140.09</c:v>
                </c:pt>
                <c:pt idx="93">
                  <c:v>140.31</c:v>
                </c:pt>
                <c:pt idx="94">
                  <c:v>140.25</c:v>
                </c:pt>
                <c:pt idx="95">
                  <c:v>139.97999999999999</c:v>
                </c:pt>
                <c:pt idx="96">
                  <c:v>138.13</c:v>
                </c:pt>
                <c:pt idx="97">
                  <c:v>138</c:v>
                </c:pt>
                <c:pt idx="98">
                  <c:v>137.88</c:v>
                </c:pt>
                <c:pt idx="99">
                  <c:v>137.43</c:v>
                </c:pt>
                <c:pt idx="100">
                  <c:v>137.37</c:v>
                </c:pt>
                <c:pt idx="101">
                  <c:v>137.32</c:v>
                </c:pt>
                <c:pt idx="102">
                  <c:v>137.33000000000001</c:v>
                </c:pt>
                <c:pt idx="103">
                  <c:v>137.36000000000001</c:v>
                </c:pt>
                <c:pt idx="104">
                  <c:v>137.86000000000001</c:v>
                </c:pt>
                <c:pt idx="105">
                  <c:v>137.91</c:v>
                </c:pt>
                <c:pt idx="106">
                  <c:v>137.88</c:v>
                </c:pt>
                <c:pt idx="107">
                  <c:v>137.86000000000001</c:v>
                </c:pt>
                <c:pt idx="108">
                  <c:v>137.84</c:v>
                </c:pt>
                <c:pt idx="109">
                  <c:v>137.81</c:v>
                </c:pt>
                <c:pt idx="110">
                  <c:v>137.79</c:v>
                </c:pt>
                <c:pt idx="111">
                  <c:v>137.76</c:v>
                </c:pt>
                <c:pt idx="112">
                  <c:v>137.74</c:v>
                </c:pt>
                <c:pt idx="113">
                  <c:v>137.71</c:v>
                </c:pt>
                <c:pt idx="114">
                  <c:v>137.69</c:v>
                </c:pt>
                <c:pt idx="115">
                  <c:v>137.66</c:v>
                </c:pt>
                <c:pt idx="116">
                  <c:v>138.47999999999999</c:v>
                </c:pt>
                <c:pt idx="117">
                  <c:v>138.47999999999999</c:v>
                </c:pt>
                <c:pt idx="118">
                  <c:v>137.74</c:v>
                </c:pt>
                <c:pt idx="119">
                  <c:v>137.56</c:v>
                </c:pt>
                <c:pt idx="120">
                  <c:v>134.21</c:v>
                </c:pt>
                <c:pt idx="121">
                  <c:v>133.30000000000001</c:v>
                </c:pt>
                <c:pt idx="122">
                  <c:v>131.1</c:v>
                </c:pt>
                <c:pt idx="123">
                  <c:v>129.99</c:v>
                </c:pt>
                <c:pt idx="124">
                  <c:v>128.94999999999999</c:v>
                </c:pt>
                <c:pt idx="125">
                  <c:v>128.99</c:v>
                </c:pt>
                <c:pt idx="126">
                  <c:v>127.22</c:v>
                </c:pt>
                <c:pt idx="127">
                  <c:v>126.37</c:v>
                </c:pt>
                <c:pt idx="128">
                  <c:v>129.16999999999999</c:v>
                </c:pt>
                <c:pt idx="129">
                  <c:v>131.63</c:v>
                </c:pt>
                <c:pt idx="130">
                  <c:v>133.29</c:v>
                </c:pt>
                <c:pt idx="131">
                  <c:v>133.94999999999999</c:v>
                </c:pt>
                <c:pt idx="132">
                  <c:v>133.91999999999999</c:v>
                </c:pt>
                <c:pt idx="133">
                  <c:v>133.9</c:v>
                </c:pt>
                <c:pt idx="134">
                  <c:v>133.87</c:v>
                </c:pt>
                <c:pt idx="135">
                  <c:v>133.85</c:v>
                </c:pt>
                <c:pt idx="136">
                  <c:v>133.83000000000001</c:v>
                </c:pt>
                <c:pt idx="137">
                  <c:v>133.80000000000001</c:v>
                </c:pt>
                <c:pt idx="138">
                  <c:v>134.07</c:v>
                </c:pt>
                <c:pt idx="139">
                  <c:v>135.1</c:v>
                </c:pt>
                <c:pt idx="140">
                  <c:v>138.19</c:v>
                </c:pt>
                <c:pt idx="141">
                  <c:v>138.26</c:v>
                </c:pt>
                <c:pt idx="142">
                  <c:v>138.26</c:v>
                </c:pt>
                <c:pt idx="143">
                  <c:v>137.18</c:v>
                </c:pt>
                <c:pt idx="144">
                  <c:v>139.13999999999999</c:v>
                </c:pt>
                <c:pt idx="145">
                  <c:v>138.54</c:v>
                </c:pt>
                <c:pt idx="146">
                  <c:v>137.80000000000001</c:v>
                </c:pt>
                <c:pt idx="147">
                  <c:v>137.80000000000001</c:v>
                </c:pt>
                <c:pt idx="148">
                  <c:v>137.83000000000001</c:v>
                </c:pt>
                <c:pt idx="149">
                  <c:v>138.22999999999999</c:v>
                </c:pt>
                <c:pt idx="150">
                  <c:v>139.38</c:v>
                </c:pt>
                <c:pt idx="151">
                  <c:v>139.38</c:v>
                </c:pt>
                <c:pt idx="152">
                  <c:v>140.86000000000001</c:v>
                </c:pt>
                <c:pt idx="153">
                  <c:v>142.5</c:v>
                </c:pt>
                <c:pt idx="154">
                  <c:v>143.22999999999999</c:v>
                </c:pt>
                <c:pt idx="155">
                  <c:v>143.24</c:v>
                </c:pt>
                <c:pt idx="156">
                  <c:v>143.26</c:v>
                </c:pt>
                <c:pt idx="157">
                  <c:v>143.88</c:v>
                </c:pt>
                <c:pt idx="158">
                  <c:v>144.63</c:v>
                </c:pt>
                <c:pt idx="159">
                  <c:v>144.5</c:v>
                </c:pt>
                <c:pt idx="160">
                  <c:v>143.88</c:v>
                </c:pt>
                <c:pt idx="161">
                  <c:v>143.09</c:v>
                </c:pt>
                <c:pt idx="162">
                  <c:v>141.33000000000001</c:v>
                </c:pt>
                <c:pt idx="163">
                  <c:v>141.02000000000001</c:v>
                </c:pt>
                <c:pt idx="164">
                  <c:v>142.32</c:v>
                </c:pt>
                <c:pt idx="165">
                  <c:v>142.5</c:v>
                </c:pt>
                <c:pt idx="166">
                  <c:v>142.5</c:v>
                </c:pt>
                <c:pt idx="167">
                  <c:v>141.91</c:v>
                </c:pt>
                <c:pt idx="168">
                  <c:v>140.13999999999999</c:v>
                </c:pt>
                <c:pt idx="169">
                  <c:v>138.99</c:v>
                </c:pt>
                <c:pt idx="170">
                  <c:v>138.97</c:v>
                </c:pt>
                <c:pt idx="171">
                  <c:v>138.94</c:v>
                </c:pt>
                <c:pt idx="172">
                  <c:v>138.91999999999999</c:v>
                </c:pt>
                <c:pt idx="173">
                  <c:v>138.88999999999999</c:v>
                </c:pt>
                <c:pt idx="174">
                  <c:v>138.96</c:v>
                </c:pt>
                <c:pt idx="175">
                  <c:v>139.65</c:v>
                </c:pt>
                <c:pt idx="176">
                  <c:v>143.16</c:v>
                </c:pt>
                <c:pt idx="177">
                  <c:v>143.97999999999999</c:v>
                </c:pt>
                <c:pt idx="178">
                  <c:v>144.55000000000001</c:v>
                </c:pt>
                <c:pt idx="179">
                  <c:v>144.55000000000001</c:v>
                </c:pt>
                <c:pt idx="180">
                  <c:v>144.44</c:v>
                </c:pt>
                <c:pt idx="181">
                  <c:v>144.59</c:v>
                </c:pt>
                <c:pt idx="182">
                  <c:v>145.36000000000001</c:v>
                </c:pt>
                <c:pt idx="183">
                  <c:v>145.04</c:v>
                </c:pt>
                <c:pt idx="184">
                  <c:v>144.47</c:v>
                </c:pt>
                <c:pt idx="185">
                  <c:v>143.94999999999999</c:v>
                </c:pt>
                <c:pt idx="186">
                  <c:v>143.03</c:v>
                </c:pt>
                <c:pt idx="187">
                  <c:v>142.51</c:v>
                </c:pt>
                <c:pt idx="188">
                  <c:v>143.94999999999999</c:v>
                </c:pt>
                <c:pt idx="189">
                  <c:v>143.94999999999999</c:v>
                </c:pt>
                <c:pt idx="190">
                  <c:v>143.85</c:v>
                </c:pt>
                <c:pt idx="191">
                  <c:v>143.19999999999999</c:v>
                </c:pt>
                <c:pt idx="192">
                  <c:v>139.85</c:v>
                </c:pt>
                <c:pt idx="193">
                  <c:v>138.83000000000001</c:v>
                </c:pt>
                <c:pt idx="194">
                  <c:v>138.37</c:v>
                </c:pt>
                <c:pt idx="195">
                  <c:v>138.32</c:v>
                </c:pt>
                <c:pt idx="196">
                  <c:v>138.27000000000001</c:v>
                </c:pt>
                <c:pt idx="197">
                  <c:v>138.36000000000001</c:v>
                </c:pt>
                <c:pt idx="198">
                  <c:v>138.47</c:v>
                </c:pt>
                <c:pt idx="199">
                  <c:v>139.35</c:v>
                </c:pt>
                <c:pt idx="200">
                  <c:v>142.24</c:v>
                </c:pt>
                <c:pt idx="201">
                  <c:v>143.53</c:v>
                </c:pt>
                <c:pt idx="202">
                  <c:v>144.46</c:v>
                </c:pt>
                <c:pt idx="203">
                  <c:v>144.46</c:v>
                </c:pt>
                <c:pt idx="204">
                  <c:v>144.46</c:v>
                </c:pt>
                <c:pt idx="205">
                  <c:v>144.61000000000001</c:v>
                </c:pt>
                <c:pt idx="206">
                  <c:v>144.57</c:v>
                </c:pt>
                <c:pt idx="207">
                  <c:v>144.53</c:v>
                </c:pt>
                <c:pt idx="208">
                  <c:v>144.49</c:v>
                </c:pt>
                <c:pt idx="209">
                  <c:v>144.33000000000001</c:v>
                </c:pt>
                <c:pt idx="210">
                  <c:v>142.74</c:v>
                </c:pt>
                <c:pt idx="211">
                  <c:v>142.33000000000001</c:v>
                </c:pt>
                <c:pt idx="212">
                  <c:v>143.63999999999999</c:v>
                </c:pt>
                <c:pt idx="213">
                  <c:v>144.28</c:v>
                </c:pt>
                <c:pt idx="214">
                  <c:v>144.21</c:v>
                </c:pt>
                <c:pt idx="215">
                  <c:v>143.16999999999999</c:v>
                </c:pt>
                <c:pt idx="216">
                  <c:v>140.63</c:v>
                </c:pt>
                <c:pt idx="217">
                  <c:v>139.47</c:v>
                </c:pt>
                <c:pt idx="218">
                  <c:v>139.25</c:v>
                </c:pt>
                <c:pt idx="219">
                  <c:v>138.83000000000001</c:v>
                </c:pt>
                <c:pt idx="220">
                  <c:v>138.72999999999999</c:v>
                </c:pt>
                <c:pt idx="221">
                  <c:v>138.83000000000001</c:v>
                </c:pt>
                <c:pt idx="222">
                  <c:v>139.19999999999999</c:v>
                </c:pt>
                <c:pt idx="223">
                  <c:v>139.52000000000001</c:v>
                </c:pt>
                <c:pt idx="224">
                  <c:v>140.93</c:v>
                </c:pt>
                <c:pt idx="225">
                  <c:v>142.33000000000001</c:v>
                </c:pt>
                <c:pt idx="226">
                  <c:v>142.86000000000001</c:v>
                </c:pt>
                <c:pt idx="227">
                  <c:v>142.86000000000001</c:v>
                </c:pt>
                <c:pt idx="228">
                  <c:v>142.86000000000001</c:v>
                </c:pt>
                <c:pt idx="229">
                  <c:v>143.04</c:v>
                </c:pt>
                <c:pt idx="230">
                  <c:v>143.61000000000001</c:v>
                </c:pt>
                <c:pt idx="231">
                  <c:v>143.61000000000001</c:v>
                </c:pt>
                <c:pt idx="232">
                  <c:v>143.15</c:v>
                </c:pt>
                <c:pt idx="233">
                  <c:v>142.29</c:v>
                </c:pt>
                <c:pt idx="234">
                  <c:v>140.74</c:v>
                </c:pt>
                <c:pt idx="235">
                  <c:v>140.47</c:v>
                </c:pt>
                <c:pt idx="236">
                  <c:v>141.66999999999999</c:v>
                </c:pt>
                <c:pt idx="237">
                  <c:v>142.07</c:v>
                </c:pt>
                <c:pt idx="238">
                  <c:v>142.01</c:v>
                </c:pt>
                <c:pt idx="239">
                  <c:v>141.03</c:v>
                </c:pt>
                <c:pt idx="240">
                  <c:v>142.16</c:v>
                </c:pt>
                <c:pt idx="241">
                  <c:v>140</c:v>
                </c:pt>
                <c:pt idx="242">
                  <c:v>139.53</c:v>
                </c:pt>
                <c:pt idx="243">
                  <c:v>138.9</c:v>
                </c:pt>
                <c:pt idx="244">
                  <c:v>138.86000000000001</c:v>
                </c:pt>
                <c:pt idx="245">
                  <c:v>139.12</c:v>
                </c:pt>
                <c:pt idx="246">
                  <c:v>139.76</c:v>
                </c:pt>
                <c:pt idx="247">
                  <c:v>140.55000000000001</c:v>
                </c:pt>
                <c:pt idx="248">
                  <c:v>143.56</c:v>
                </c:pt>
                <c:pt idx="249">
                  <c:v>145.21</c:v>
                </c:pt>
                <c:pt idx="250">
                  <c:v>145.16999999999999</c:v>
                </c:pt>
                <c:pt idx="251">
                  <c:v>145.13</c:v>
                </c:pt>
                <c:pt idx="252">
                  <c:v>145.09</c:v>
                </c:pt>
                <c:pt idx="253">
                  <c:v>145.25</c:v>
                </c:pt>
                <c:pt idx="254">
                  <c:v>147.87</c:v>
                </c:pt>
                <c:pt idx="255">
                  <c:v>147.87</c:v>
                </c:pt>
                <c:pt idx="256">
                  <c:v>145.35</c:v>
                </c:pt>
                <c:pt idx="257">
                  <c:v>144.34</c:v>
                </c:pt>
                <c:pt idx="258">
                  <c:v>142</c:v>
                </c:pt>
                <c:pt idx="259">
                  <c:v>140.16</c:v>
                </c:pt>
                <c:pt idx="260">
                  <c:v>143.09</c:v>
                </c:pt>
                <c:pt idx="261">
                  <c:v>143.96</c:v>
                </c:pt>
                <c:pt idx="262">
                  <c:v>143.94999999999999</c:v>
                </c:pt>
                <c:pt idx="263">
                  <c:v>143.05000000000001</c:v>
                </c:pt>
                <c:pt idx="264">
                  <c:v>168.1</c:v>
                </c:pt>
                <c:pt idx="265">
                  <c:v>167.24</c:v>
                </c:pt>
                <c:pt idx="266">
                  <c:v>166.67</c:v>
                </c:pt>
                <c:pt idx="267">
                  <c:v>165.89</c:v>
                </c:pt>
                <c:pt idx="268">
                  <c:v>165.19</c:v>
                </c:pt>
                <c:pt idx="269">
                  <c:v>164.85</c:v>
                </c:pt>
                <c:pt idx="270">
                  <c:v>164.64</c:v>
                </c:pt>
                <c:pt idx="271">
                  <c:v>165.45</c:v>
                </c:pt>
                <c:pt idx="272">
                  <c:v>167.25</c:v>
                </c:pt>
                <c:pt idx="273">
                  <c:v>167.63</c:v>
                </c:pt>
                <c:pt idx="274">
                  <c:v>167.83</c:v>
                </c:pt>
                <c:pt idx="275">
                  <c:v>167.84</c:v>
                </c:pt>
                <c:pt idx="276">
                  <c:v>167.84</c:v>
                </c:pt>
                <c:pt idx="277">
                  <c:v>167.85</c:v>
                </c:pt>
                <c:pt idx="278">
                  <c:v>167.83</c:v>
                </c:pt>
                <c:pt idx="279">
                  <c:v>167.84</c:v>
                </c:pt>
                <c:pt idx="280">
                  <c:v>167.85</c:v>
                </c:pt>
                <c:pt idx="281">
                  <c:v>167.85</c:v>
                </c:pt>
                <c:pt idx="282">
                  <c:v>167.85</c:v>
                </c:pt>
                <c:pt idx="283">
                  <c:v>167.91</c:v>
                </c:pt>
                <c:pt idx="284">
                  <c:v>169.13</c:v>
                </c:pt>
                <c:pt idx="285">
                  <c:v>169.08</c:v>
                </c:pt>
                <c:pt idx="286">
                  <c:v>168.76</c:v>
                </c:pt>
                <c:pt idx="287">
                  <c:v>167.54</c:v>
                </c:pt>
                <c:pt idx="288">
                  <c:v>166.35</c:v>
                </c:pt>
                <c:pt idx="289">
                  <c:v>164.96</c:v>
                </c:pt>
                <c:pt idx="290">
                  <c:v>164.49</c:v>
                </c:pt>
                <c:pt idx="291">
                  <c:v>164.46</c:v>
                </c:pt>
                <c:pt idx="292">
                  <c:v>164.43</c:v>
                </c:pt>
                <c:pt idx="293">
                  <c:v>164.4</c:v>
                </c:pt>
                <c:pt idx="294">
                  <c:v>164.32</c:v>
                </c:pt>
                <c:pt idx="295">
                  <c:v>163.26</c:v>
                </c:pt>
                <c:pt idx="296">
                  <c:v>164.04</c:v>
                </c:pt>
                <c:pt idx="297">
                  <c:v>164.28</c:v>
                </c:pt>
                <c:pt idx="298">
                  <c:v>164.25</c:v>
                </c:pt>
                <c:pt idx="299">
                  <c:v>164.42</c:v>
                </c:pt>
                <c:pt idx="300">
                  <c:v>164.42</c:v>
                </c:pt>
                <c:pt idx="301">
                  <c:v>164.42</c:v>
                </c:pt>
                <c:pt idx="302">
                  <c:v>164.42</c:v>
                </c:pt>
                <c:pt idx="303">
                  <c:v>164.43</c:v>
                </c:pt>
                <c:pt idx="304">
                  <c:v>164.48</c:v>
                </c:pt>
                <c:pt idx="305">
                  <c:v>164.72</c:v>
                </c:pt>
                <c:pt idx="306">
                  <c:v>164.92</c:v>
                </c:pt>
                <c:pt idx="307">
                  <c:v>166.3</c:v>
                </c:pt>
                <c:pt idx="308">
                  <c:v>167.22</c:v>
                </c:pt>
                <c:pt idx="309">
                  <c:v>168.97</c:v>
                </c:pt>
                <c:pt idx="310">
                  <c:v>168.99</c:v>
                </c:pt>
                <c:pt idx="311">
                  <c:v>167.71</c:v>
                </c:pt>
                <c:pt idx="312">
                  <c:v>166.53</c:v>
                </c:pt>
                <c:pt idx="313">
                  <c:v>166.2</c:v>
                </c:pt>
                <c:pt idx="314">
                  <c:v>166.17</c:v>
                </c:pt>
                <c:pt idx="315">
                  <c:v>166.14</c:v>
                </c:pt>
                <c:pt idx="316">
                  <c:v>166.11</c:v>
                </c:pt>
                <c:pt idx="317">
                  <c:v>166.08</c:v>
                </c:pt>
                <c:pt idx="318">
                  <c:v>166.46</c:v>
                </c:pt>
                <c:pt idx="319">
                  <c:v>166.94</c:v>
                </c:pt>
                <c:pt idx="320">
                  <c:v>171.23</c:v>
                </c:pt>
                <c:pt idx="321">
                  <c:v>173.59</c:v>
                </c:pt>
                <c:pt idx="322">
                  <c:v>174.47</c:v>
                </c:pt>
                <c:pt idx="323">
                  <c:v>174.55</c:v>
                </c:pt>
                <c:pt idx="324">
                  <c:v>173.96</c:v>
                </c:pt>
                <c:pt idx="325">
                  <c:v>175.29</c:v>
                </c:pt>
                <c:pt idx="326">
                  <c:v>175.25</c:v>
                </c:pt>
                <c:pt idx="327">
                  <c:v>175.2</c:v>
                </c:pt>
                <c:pt idx="328">
                  <c:v>175.15</c:v>
                </c:pt>
                <c:pt idx="329">
                  <c:v>174.05</c:v>
                </c:pt>
                <c:pt idx="330">
                  <c:v>171.34</c:v>
                </c:pt>
                <c:pt idx="331">
                  <c:v>170.95</c:v>
                </c:pt>
                <c:pt idx="332">
                  <c:v>172.69</c:v>
                </c:pt>
                <c:pt idx="333">
                  <c:v>173.29</c:v>
                </c:pt>
                <c:pt idx="334">
                  <c:v>173.21</c:v>
                </c:pt>
                <c:pt idx="335">
                  <c:v>171.33</c:v>
                </c:pt>
                <c:pt idx="336">
                  <c:v>172.87</c:v>
                </c:pt>
                <c:pt idx="337">
                  <c:v>171.68</c:v>
                </c:pt>
                <c:pt idx="338">
                  <c:v>170.81</c:v>
                </c:pt>
                <c:pt idx="339">
                  <c:v>170.25</c:v>
                </c:pt>
                <c:pt idx="340">
                  <c:v>170.17</c:v>
                </c:pt>
                <c:pt idx="341">
                  <c:v>170.73</c:v>
                </c:pt>
                <c:pt idx="342">
                  <c:v>170.81</c:v>
                </c:pt>
                <c:pt idx="343">
                  <c:v>171.87</c:v>
                </c:pt>
                <c:pt idx="344">
                  <c:v>175.46</c:v>
                </c:pt>
                <c:pt idx="345">
                  <c:v>175.72</c:v>
                </c:pt>
                <c:pt idx="346">
                  <c:v>176.91</c:v>
                </c:pt>
                <c:pt idx="347">
                  <c:v>177.01</c:v>
                </c:pt>
                <c:pt idx="348">
                  <c:v>177.09</c:v>
                </c:pt>
                <c:pt idx="349">
                  <c:v>180.38</c:v>
                </c:pt>
                <c:pt idx="350">
                  <c:v>183.03</c:v>
                </c:pt>
                <c:pt idx="351">
                  <c:v>182.76</c:v>
                </c:pt>
                <c:pt idx="352">
                  <c:v>178.43</c:v>
                </c:pt>
                <c:pt idx="353">
                  <c:v>175.25</c:v>
                </c:pt>
                <c:pt idx="354">
                  <c:v>174.95</c:v>
                </c:pt>
                <c:pt idx="355">
                  <c:v>174.03</c:v>
                </c:pt>
                <c:pt idx="356">
                  <c:v>174.87</c:v>
                </c:pt>
                <c:pt idx="357">
                  <c:v>175.01</c:v>
                </c:pt>
                <c:pt idx="358">
                  <c:v>175.01</c:v>
                </c:pt>
                <c:pt idx="359">
                  <c:v>174.73</c:v>
                </c:pt>
                <c:pt idx="360">
                  <c:v>172.7</c:v>
                </c:pt>
                <c:pt idx="361">
                  <c:v>171.02</c:v>
                </c:pt>
                <c:pt idx="362">
                  <c:v>169.65</c:v>
                </c:pt>
                <c:pt idx="363">
                  <c:v>169.45</c:v>
                </c:pt>
                <c:pt idx="364">
                  <c:v>169.39</c:v>
                </c:pt>
                <c:pt idx="365">
                  <c:v>169.39</c:v>
                </c:pt>
                <c:pt idx="366">
                  <c:v>169.4</c:v>
                </c:pt>
                <c:pt idx="367">
                  <c:v>171.34</c:v>
                </c:pt>
                <c:pt idx="368">
                  <c:v>174.9</c:v>
                </c:pt>
                <c:pt idx="369">
                  <c:v>176.55</c:v>
                </c:pt>
                <c:pt idx="370">
                  <c:v>176.77</c:v>
                </c:pt>
                <c:pt idx="371">
                  <c:v>176.97</c:v>
                </c:pt>
                <c:pt idx="372">
                  <c:v>177.1</c:v>
                </c:pt>
                <c:pt idx="373">
                  <c:v>179.27</c:v>
                </c:pt>
                <c:pt idx="374">
                  <c:v>182.96</c:v>
                </c:pt>
                <c:pt idx="375">
                  <c:v>182.83</c:v>
                </c:pt>
                <c:pt idx="376">
                  <c:v>180.38</c:v>
                </c:pt>
                <c:pt idx="377">
                  <c:v>176.5</c:v>
                </c:pt>
                <c:pt idx="378">
                  <c:v>175.38</c:v>
                </c:pt>
                <c:pt idx="379">
                  <c:v>174.65</c:v>
                </c:pt>
                <c:pt idx="380">
                  <c:v>176.01</c:v>
                </c:pt>
                <c:pt idx="381">
                  <c:v>176.23</c:v>
                </c:pt>
                <c:pt idx="382">
                  <c:v>176.19</c:v>
                </c:pt>
                <c:pt idx="383">
                  <c:v>175.86</c:v>
                </c:pt>
                <c:pt idx="384">
                  <c:v>172.2</c:v>
                </c:pt>
                <c:pt idx="385">
                  <c:v>169.65</c:v>
                </c:pt>
                <c:pt idx="386">
                  <c:v>169.17</c:v>
                </c:pt>
                <c:pt idx="387">
                  <c:v>168.59</c:v>
                </c:pt>
                <c:pt idx="388">
                  <c:v>168.54</c:v>
                </c:pt>
                <c:pt idx="389">
                  <c:v>168.54</c:v>
                </c:pt>
                <c:pt idx="390">
                  <c:v>169.27</c:v>
                </c:pt>
                <c:pt idx="391">
                  <c:v>170.2</c:v>
                </c:pt>
                <c:pt idx="392">
                  <c:v>174.95</c:v>
                </c:pt>
                <c:pt idx="393">
                  <c:v>175.54</c:v>
                </c:pt>
                <c:pt idx="394">
                  <c:v>176.5</c:v>
                </c:pt>
                <c:pt idx="395">
                  <c:v>176.59</c:v>
                </c:pt>
                <c:pt idx="396">
                  <c:v>175.77</c:v>
                </c:pt>
                <c:pt idx="397">
                  <c:v>178.26</c:v>
                </c:pt>
                <c:pt idx="398">
                  <c:v>182.41</c:v>
                </c:pt>
                <c:pt idx="399">
                  <c:v>182.39</c:v>
                </c:pt>
                <c:pt idx="400">
                  <c:v>178.3</c:v>
                </c:pt>
                <c:pt idx="401">
                  <c:v>175.13</c:v>
                </c:pt>
                <c:pt idx="402">
                  <c:v>174.21</c:v>
                </c:pt>
                <c:pt idx="403">
                  <c:v>173.01</c:v>
                </c:pt>
                <c:pt idx="404">
                  <c:v>174.89</c:v>
                </c:pt>
                <c:pt idx="405">
                  <c:v>174.94</c:v>
                </c:pt>
                <c:pt idx="406">
                  <c:v>174.85</c:v>
                </c:pt>
                <c:pt idx="407">
                  <c:v>174.37</c:v>
                </c:pt>
                <c:pt idx="408">
                  <c:v>170.8</c:v>
                </c:pt>
                <c:pt idx="409">
                  <c:v>169.41</c:v>
                </c:pt>
                <c:pt idx="410">
                  <c:v>167.74</c:v>
                </c:pt>
                <c:pt idx="411">
                  <c:v>167.7</c:v>
                </c:pt>
                <c:pt idx="412">
                  <c:v>167.7</c:v>
                </c:pt>
                <c:pt idx="413">
                  <c:v>167.7</c:v>
                </c:pt>
                <c:pt idx="414">
                  <c:v>167.91</c:v>
                </c:pt>
                <c:pt idx="415">
                  <c:v>169.45</c:v>
                </c:pt>
                <c:pt idx="416">
                  <c:v>174.59</c:v>
                </c:pt>
                <c:pt idx="417">
                  <c:v>175.11</c:v>
                </c:pt>
                <c:pt idx="418">
                  <c:v>175.41</c:v>
                </c:pt>
                <c:pt idx="419">
                  <c:v>175.42</c:v>
                </c:pt>
                <c:pt idx="420">
                  <c:v>175.01</c:v>
                </c:pt>
                <c:pt idx="421">
                  <c:v>177.43</c:v>
                </c:pt>
                <c:pt idx="422">
                  <c:v>177.7</c:v>
                </c:pt>
                <c:pt idx="423">
                  <c:v>177.46</c:v>
                </c:pt>
                <c:pt idx="424">
                  <c:v>176.89</c:v>
                </c:pt>
                <c:pt idx="425">
                  <c:v>174.72</c:v>
                </c:pt>
                <c:pt idx="426">
                  <c:v>172.87</c:v>
                </c:pt>
                <c:pt idx="427">
                  <c:v>171.66</c:v>
                </c:pt>
                <c:pt idx="428">
                  <c:v>174.54</c:v>
                </c:pt>
                <c:pt idx="429">
                  <c:v>174.53</c:v>
                </c:pt>
                <c:pt idx="430">
                  <c:v>174.48</c:v>
                </c:pt>
                <c:pt idx="431">
                  <c:v>173.43</c:v>
                </c:pt>
                <c:pt idx="432">
                  <c:v>176.26</c:v>
                </c:pt>
                <c:pt idx="433">
                  <c:v>175.77</c:v>
                </c:pt>
                <c:pt idx="434">
                  <c:v>174.7</c:v>
                </c:pt>
                <c:pt idx="435">
                  <c:v>173.91</c:v>
                </c:pt>
                <c:pt idx="436">
                  <c:v>173.55</c:v>
                </c:pt>
                <c:pt idx="437">
                  <c:v>173.55</c:v>
                </c:pt>
                <c:pt idx="438">
                  <c:v>173.37</c:v>
                </c:pt>
                <c:pt idx="439">
                  <c:v>173.19</c:v>
                </c:pt>
                <c:pt idx="440">
                  <c:v>174.02</c:v>
                </c:pt>
                <c:pt idx="441">
                  <c:v>175.39</c:v>
                </c:pt>
                <c:pt idx="442">
                  <c:v>175.36</c:v>
                </c:pt>
                <c:pt idx="443">
                  <c:v>175.36</c:v>
                </c:pt>
                <c:pt idx="444">
                  <c:v>175.26</c:v>
                </c:pt>
                <c:pt idx="445">
                  <c:v>175.21</c:v>
                </c:pt>
                <c:pt idx="446">
                  <c:v>175.16</c:v>
                </c:pt>
                <c:pt idx="447">
                  <c:v>175.11</c:v>
                </c:pt>
                <c:pt idx="448">
                  <c:v>175.06</c:v>
                </c:pt>
                <c:pt idx="449">
                  <c:v>175.01</c:v>
                </c:pt>
                <c:pt idx="450">
                  <c:v>174.97</c:v>
                </c:pt>
                <c:pt idx="451">
                  <c:v>174.92</c:v>
                </c:pt>
                <c:pt idx="452">
                  <c:v>176.67</c:v>
                </c:pt>
                <c:pt idx="453">
                  <c:v>177.09</c:v>
                </c:pt>
                <c:pt idx="454">
                  <c:v>175.6</c:v>
                </c:pt>
                <c:pt idx="455">
                  <c:v>175.28</c:v>
                </c:pt>
                <c:pt idx="456">
                  <c:v>178.92</c:v>
                </c:pt>
                <c:pt idx="457">
                  <c:v>177.64</c:v>
                </c:pt>
                <c:pt idx="458">
                  <c:v>176.67</c:v>
                </c:pt>
                <c:pt idx="459">
                  <c:v>175.43</c:v>
                </c:pt>
                <c:pt idx="460">
                  <c:v>174.4</c:v>
                </c:pt>
                <c:pt idx="461">
                  <c:v>174.25</c:v>
                </c:pt>
                <c:pt idx="462">
                  <c:v>174.14</c:v>
                </c:pt>
                <c:pt idx="463">
                  <c:v>174.11</c:v>
                </c:pt>
                <c:pt idx="464">
                  <c:v>174.08</c:v>
                </c:pt>
                <c:pt idx="465">
                  <c:v>174.05</c:v>
                </c:pt>
                <c:pt idx="466">
                  <c:v>174.25</c:v>
                </c:pt>
                <c:pt idx="467">
                  <c:v>174.72</c:v>
                </c:pt>
                <c:pt idx="468">
                  <c:v>174.77</c:v>
                </c:pt>
                <c:pt idx="469">
                  <c:v>174.82</c:v>
                </c:pt>
                <c:pt idx="470">
                  <c:v>175</c:v>
                </c:pt>
                <c:pt idx="471">
                  <c:v>175.21</c:v>
                </c:pt>
                <c:pt idx="472">
                  <c:v>175.65</c:v>
                </c:pt>
                <c:pt idx="473">
                  <c:v>176.02</c:v>
                </c:pt>
                <c:pt idx="474">
                  <c:v>177.2</c:v>
                </c:pt>
                <c:pt idx="475">
                  <c:v>177.27</c:v>
                </c:pt>
                <c:pt idx="476">
                  <c:v>180.04</c:v>
                </c:pt>
                <c:pt idx="477">
                  <c:v>180.17</c:v>
                </c:pt>
                <c:pt idx="478">
                  <c:v>180.17</c:v>
                </c:pt>
                <c:pt idx="479">
                  <c:v>180.04</c:v>
                </c:pt>
                <c:pt idx="480">
                  <c:v>166.53</c:v>
                </c:pt>
                <c:pt idx="481">
                  <c:v>166.2</c:v>
                </c:pt>
                <c:pt idx="482">
                  <c:v>166.17</c:v>
                </c:pt>
                <c:pt idx="483">
                  <c:v>166.14</c:v>
                </c:pt>
                <c:pt idx="484">
                  <c:v>166.11</c:v>
                </c:pt>
                <c:pt idx="485">
                  <c:v>166.08</c:v>
                </c:pt>
                <c:pt idx="486">
                  <c:v>166.46</c:v>
                </c:pt>
                <c:pt idx="487">
                  <c:v>166.94</c:v>
                </c:pt>
                <c:pt idx="488">
                  <c:v>171.23</c:v>
                </c:pt>
                <c:pt idx="489">
                  <c:v>173.59</c:v>
                </c:pt>
                <c:pt idx="490">
                  <c:v>174.47</c:v>
                </c:pt>
                <c:pt idx="491">
                  <c:v>174.55</c:v>
                </c:pt>
                <c:pt idx="492">
                  <c:v>173.96</c:v>
                </c:pt>
                <c:pt idx="493">
                  <c:v>175.29</c:v>
                </c:pt>
                <c:pt idx="494">
                  <c:v>175.25</c:v>
                </c:pt>
                <c:pt idx="495">
                  <c:v>175.2</c:v>
                </c:pt>
                <c:pt idx="496">
                  <c:v>175.15</c:v>
                </c:pt>
                <c:pt idx="497">
                  <c:v>174.05</c:v>
                </c:pt>
                <c:pt idx="498">
                  <c:v>171.34</c:v>
                </c:pt>
                <c:pt idx="499">
                  <c:v>170.95</c:v>
                </c:pt>
                <c:pt idx="500">
                  <c:v>172.69</c:v>
                </c:pt>
                <c:pt idx="501">
                  <c:v>173.29</c:v>
                </c:pt>
                <c:pt idx="502">
                  <c:v>173.21</c:v>
                </c:pt>
                <c:pt idx="503">
                  <c:v>171.33</c:v>
                </c:pt>
                <c:pt idx="504">
                  <c:v>180.49</c:v>
                </c:pt>
                <c:pt idx="505">
                  <c:v>179.72</c:v>
                </c:pt>
                <c:pt idx="506">
                  <c:v>178.81</c:v>
                </c:pt>
                <c:pt idx="507">
                  <c:v>178.78</c:v>
                </c:pt>
                <c:pt idx="508">
                  <c:v>178.75</c:v>
                </c:pt>
                <c:pt idx="509">
                  <c:v>178.72</c:v>
                </c:pt>
                <c:pt idx="510">
                  <c:v>178.73</c:v>
                </c:pt>
                <c:pt idx="511">
                  <c:v>180.16</c:v>
                </c:pt>
                <c:pt idx="512">
                  <c:v>181.71</c:v>
                </c:pt>
                <c:pt idx="513">
                  <c:v>182.4</c:v>
                </c:pt>
                <c:pt idx="514">
                  <c:v>184.14</c:v>
                </c:pt>
                <c:pt idx="515">
                  <c:v>184.25</c:v>
                </c:pt>
                <c:pt idx="516">
                  <c:v>184.14</c:v>
                </c:pt>
                <c:pt idx="517">
                  <c:v>188.67</c:v>
                </c:pt>
                <c:pt idx="518">
                  <c:v>188.62</c:v>
                </c:pt>
                <c:pt idx="519">
                  <c:v>188.56</c:v>
                </c:pt>
                <c:pt idx="520">
                  <c:v>188.51</c:v>
                </c:pt>
                <c:pt idx="521">
                  <c:v>183.48</c:v>
                </c:pt>
                <c:pt idx="522">
                  <c:v>181.82</c:v>
                </c:pt>
                <c:pt idx="523">
                  <c:v>180.86</c:v>
                </c:pt>
                <c:pt idx="524">
                  <c:v>181.72</c:v>
                </c:pt>
                <c:pt idx="525">
                  <c:v>181.96</c:v>
                </c:pt>
                <c:pt idx="526">
                  <c:v>182.13</c:v>
                </c:pt>
                <c:pt idx="527">
                  <c:v>181.52</c:v>
                </c:pt>
                <c:pt idx="528">
                  <c:v>172.7</c:v>
                </c:pt>
                <c:pt idx="529">
                  <c:v>171.02</c:v>
                </c:pt>
                <c:pt idx="530">
                  <c:v>169.65</c:v>
                </c:pt>
                <c:pt idx="531">
                  <c:v>169.45</c:v>
                </c:pt>
                <c:pt idx="532">
                  <c:v>169.39</c:v>
                </c:pt>
                <c:pt idx="533">
                  <c:v>169.39</c:v>
                </c:pt>
                <c:pt idx="534">
                  <c:v>169.4</c:v>
                </c:pt>
                <c:pt idx="535">
                  <c:v>171.34</c:v>
                </c:pt>
                <c:pt idx="536">
                  <c:v>174.9</c:v>
                </c:pt>
                <c:pt idx="537">
                  <c:v>176.55</c:v>
                </c:pt>
                <c:pt idx="538">
                  <c:v>176.77</c:v>
                </c:pt>
                <c:pt idx="539">
                  <c:v>176.97</c:v>
                </c:pt>
                <c:pt idx="540">
                  <c:v>177.1</c:v>
                </c:pt>
                <c:pt idx="541">
                  <c:v>179.27</c:v>
                </c:pt>
                <c:pt idx="542">
                  <c:v>182.96</c:v>
                </c:pt>
                <c:pt idx="543">
                  <c:v>182.83</c:v>
                </c:pt>
                <c:pt idx="544">
                  <c:v>180.38</c:v>
                </c:pt>
                <c:pt idx="545">
                  <c:v>176.5</c:v>
                </c:pt>
                <c:pt idx="546">
                  <c:v>175.38</c:v>
                </c:pt>
                <c:pt idx="547">
                  <c:v>174.65</c:v>
                </c:pt>
                <c:pt idx="548">
                  <c:v>176.01</c:v>
                </c:pt>
                <c:pt idx="549">
                  <c:v>176.23</c:v>
                </c:pt>
                <c:pt idx="550">
                  <c:v>176.19</c:v>
                </c:pt>
                <c:pt idx="551">
                  <c:v>175.86</c:v>
                </c:pt>
                <c:pt idx="552">
                  <c:v>182.29</c:v>
                </c:pt>
                <c:pt idx="553">
                  <c:v>180.47</c:v>
                </c:pt>
                <c:pt idx="554">
                  <c:v>180.12</c:v>
                </c:pt>
                <c:pt idx="555">
                  <c:v>179.64</c:v>
                </c:pt>
                <c:pt idx="556">
                  <c:v>179.64</c:v>
                </c:pt>
                <c:pt idx="557">
                  <c:v>179.64</c:v>
                </c:pt>
                <c:pt idx="558">
                  <c:v>180.47</c:v>
                </c:pt>
                <c:pt idx="559">
                  <c:v>180.51</c:v>
                </c:pt>
                <c:pt idx="560">
                  <c:v>185.39</c:v>
                </c:pt>
                <c:pt idx="561">
                  <c:v>187.48</c:v>
                </c:pt>
                <c:pt idx="562">
                  <c:v>188.34</c:v>
                </c:pt>
                <c:pt idx="563">
                  <c:v>188.34</c:v>
                </c:pt>
                <c:pt idx="564">
                  <c:v>187.33</c:v>
                </c:pt>
                <c:pt idx="565">
                  <c:v>192.73</c:v>
                </c:pt>
                <c:pt idx="566">
                  <c:v>200.78</c:v>
                </c:pt>
                <c:pt idx="567">
                  <c:v>200.78</c:v>
                </c:pt>
                <c:pt idx="568">
                  <c:v>192.9</c:v>
                </c:pt>
                <c:pt idx="569">
                  <c:v>187.06</c:v>
                </c:pt>
                <c:pt idx="570">
                  <c:v>183.43</c:v>
                </c:pt>
                <c:pt idx="571">
                  <c:v>182.65</c:v>
                </c:pt>
                <c:pt idx="572">
                  <c:v>183.44</c:v>
                </c:pt>
                <c:pt idx="573">
                  <c:v>185.56</c:v>
                </c:pt>
                <c:pt idx="574">
                  <c:v>186.74</c:v>
                </c:pt>
                <c:pt idx="575">
                  <c:v>183.41</c:v>
                </c:pt>
                <c:pt idx="576">
                  <c:v>179.64</c:v>
                </c:pt>
                <c:pt idx="577">
                  <c:v>179.1</c:v>
                </c:pt>
                <c:pt idx="578">
                  <c:v>178.9</c:v>
                </c:pt>
                <c:pt idx="579">
                  <c:v>178.46</c:v>
                </c:pt>
                <c:pt idx="580">
                  <c:v>178.41</c:v>
                </c:pt>
                <c:pt idx="581">
                  <c:v>178.45</c:v>
                </c:pt>
                <c:pt idx="582">
                  <c:v>178.9</c:v>
                </c:pt>
                <c:pt idx="583">
                  <c:v>179.28</c:v>
                </c:pt>
                <c:pt idx="584">
                  <c:v>182.23</c:v>
                </c:pt>
                <c:pt idx="585">
                  <c:v>183.43</c:v>
                </c:pt>
                <c:pt idx="586">
                  <c:v>186.36</c:v>
                </c:pt>
                <c:pt idx="587">
                  <c:v>186.31</c:v>
                </c:pt>
                <c:pt idx="588">
                  <c:v>185.94</c:v>
                </c:pt>
                <c:pt idx="589">
                  <c:v>186.22</c:v>
                </c:pt>
                <c:pt idx="590">
                  <c:v>186.17</c:v>
                </c:pt>
                <c:pt idx="591">
                  <c:v>186.12</c:v>
                </c:pt>
                <c:pt idx="592">
                  <c:v>186.07</c:v>
                </c:pt>
                <c:pt idx="593">
                  <c:v>182.32</c:v>
                </c:pt>
                <c:pt idx="594">
                  <c:v>179.35</c:v>
                </c:pt>
                <c:pt idx="595">
                  <c:v>179.3</c:v>
                </c:pt>
                <c:pt idx="596">
                  <c:v>180.67</c:v>
                </c:pt>
                <c:pt idx="597">
                  <c:v>181.18</c:v>
                </c:pt>
                <c:pt idx="598">
                  <c:v>181.18</c:v>
                </c:pt>
                <c:pt idx="599">
                  <c:v>180.94</c:v>
                </c:pt>
                <c:pt idx="600">
                  <c:v>337.4</c:v>
                </c:pt>
                <c:pt idx="601">
                  <c:v>337.08</c:v>
                </c:pt>
                <c:pt idx="602">
                  <c:v>336.95</c:v>
                </c:pt>
                <c:pt idx="603">
                  <c:v>336.78</c:v>
                </c:pt>
                <c:pt idx="604">
                  <c:v>336.73</c:v>
                </c:pt>
                <c:pt idx="605">
                  <c:v>336.67</c:v>
                </c:pt>
                <c:pt idx="606">
                  <c:v>336.61</c:v>
                </c:pt>
                <c:pt idx="607">
                  <c:v>336.55</c:v>
                </c:pt>
                <c:pt idx="608">
                  <c:v>336.86</c:v>
                </c:pt>
                <c:pt idx="609">
                  <c:v>337.19</c:v>
                </c:pt>
                <c:pt idx="610">
                  <c:v>337.25</c:v>
                </c:pt>
                <c:pt idx="611">
                  <c:v>337.32</c:v>
                </c:pt>
                <c:pt idx="612">
                  <c:v>337.36</c:v>
                </c:pt>
                <c:pt idx="613">
                  <c:v>337.39</c:v>
                </c:pt>
                <c:pt idx="614">
                  <c:v>337.4</c:v>
                </c:pt>
                <c:pt idx="615">
                  <c:v>337.39</c:v>
                </c:pt>
                <c:pt idx="616">
                  <c:v>337.4</c:v>
                </c:pt>
                <c:pt idx="617">
                  <c:v>337.4</c:v>
                </c:pt>
                <c:pt idx="618">
                  <c:v>337.4</c:v>
                </c:pt>
                <c:pt idx="619">
                  <c:v>337.4</c:v>
                </c:pt>
                <c:pt idx="620">
                  <c:v>337.99</c:v>
                </c:pt>
                <c:pt idx="621">
                  <c:v>337.99</c:v>
                </c:pt>
                <c:pt idx="622">
                  <c:v>337.84</c:v>
                </c:pt>
                <c:pt idx="623">
                  <c:v>337.4</c:v>
                </c:pt>
                <c:pt idx="624">
                  <c:v>336.72</c:v>
                </c:pt>
                <c:pt idx="625">
                  <c:v>334.52</c:v>
                </c:pt>
                <c:pt idx="626">
                  <c:v>334.46</c:v>
                </c:pt>
                <c:pt idx="627">
                  <c:v>334.4</c:v>
                </c:pt>
                <c:pt idx="628">
                  <c:v>334.07</c:v>
                </c:pt>
                <c:pt idx="629">
                  <c:v>333.43</c:v>
                </c:pt>
                <c:pt idx="630">
                  <c:v>331.64</c:v>
                </c:pt>
                <c:pt idx="631">
                  <c:v>330.11</c:v>
                </c:pt>
                <c:pt idx="632">
                  <c:v>330.82</c:v>
                </c:pt>
                <c:pt idx="633">
                  <c:v>331.85</c:v>
                </c:pt>
                <c:pt idx="634">
                  <c:v>333.65</c:v>
                </c:pt>
                <c:pt idx="635">
                  <c:v>333.93</c:v>
                </c:pt>
                <c:pt idx="636">
                  <c:v>333.87</c:v>
                </c:pt>
                <c:pt idx="637">
                  <c:v>333.81</c:v>
                </c:pt>
                <c:pt idx="638">
                  <c:v>333.75</c:v>
                </c:pt>
                <c:pt idx="639">
                  <c:v>333.69</c:v>
                </c:pt>
                <c:pt idx="640">
                  <c:v>333.63</c:v>
                </c:pt>
                <c:pt idx="641">
                  <c:v>333.57</c:v>
                </c:pt>
                <c:pt idx="642">
                  <c:v>334.13</c:v>
                </c:pt>
                <c:pt idx="643">
                  <c:v>334.78</c:v>
                </c:pt>
                <c:pt idx="644">
                  <c:v>338.61</c:v>
                </c:pt>
                <c:pt idx="645">
                  <c:v>339.79</c:v>
                </c:pt>
                <c:pt idx="646">
                  <c:v>339.88</c:v>
                </c:pt>
                <c:pt idx="647">
                  <c:v>338.12</c:v>
                </c:pt>
                <c:pt idx="648">
                  <c:v>340.25</c:v>
                </c:pt>
                <c:pt idx="649">
                  <c:v>339.96</c:v>
                </c:pt>
                <c:pt idx="650">
                  <c:v>339.67</c:v>
                </c:pt>
                <c:pt idx="651">
                  <c:v>339.4</c:v>
                </c:pt>
                <c:pt idx="652">
                  <c:v>339.54</c:v>
                </c:pt>
                <c:pt idx="653">
                  <c:v>339.52</c:v>
                </c:pt>
                <c:pt idx="654">
                  <c:v>340.12</c:v>
                </c:pt>
                <c:pt idx="655">
                  <c:v>341.4</c:v>
                </c:pt>
                <c:pt idx="656">
                  <c:v>342.96</c:v>
                </c:pt>
                <c:pt idx="657">
                  <c:v>344.36</c:v>
                </c:pt>
                <c:pt idx="658">
                  <c:v>350.4</c:v>
                </c:pt>
                <c:pt idx="659">
                  <c:v>351.64</c:v>
                </c:pt>
                <c:pt idx="660">
                  <c:v>350.57</c:v>
                </c:pt>
                <c:pt idx="661">
                  <c:v>355.43</c:v>
                </c:pt>
                <c:pt idx="662">
                  <c:v>359.6</c:v>
                </c:pt>
                <c:pt idx="663">
                  <c:v>359.88</c:v>
                </c:pt>
                <c:pt idx="664">
                  <c:v>357.07</c:v>
                </c:pt>
                <c:pt idx="665">
                  <c:v>347.44</c:v>
                </c:pt>
                <c:pt idx="666">
                  <c:v>342.84</c:v>
                </c:pt>
                <c:pt idx="667">
                  <c:v>342.48</c:v>
                </c:pt>
                <c:pt idx="668">
                  <c:v>343.3</c:v>
                </c:pt>
                <c:pt idx="669">
                  <c:v>345.96</c:v>
                </c:pt>
                <c:pt idx="670">
                  <c:v>346.23</c:v>
                </c:pt>
                <c:pt idx="671">
                  <c:v>343.38</c:v>
                </c:pt>
                <c:pt idx="672">
                  <c:v>144.72999999999999</c:v>
                </c:pt>
                <c:pt idx="673">
                  <c:v>142.97</c:v>
                </c:pt>
                <c:pt idx="674">
                  <c:v>142.87</c:v>
                </c:pt>
                <c:pt idx="675">
                  <c:v>142.84</c:v>
                </c:pt>
                <c:pt idx="676">
                  <c:v>142.79</c:v>
                </c:pt>
                <c:pt idx="677">
                  <c:v>142.79</c:v>
                </c:pt>
                <c:pt idx="678">
                  <c:v>142.77000000000001</c:v>
                </c:pt>
                <c:pt idx="679">
                  <c:v>143.65</c:v>
                </c:pt>
                <c:pt idx="680">
                  <c:v>146.82</c:v>
                </c:pt>
                <c:pt idx="681">
                  <c:v>150.79</c:v>
                </c:pt>
                <c:pt idx="682">
                  <c:v>150.84</c:v>
                </c:pt>
                <c:pt idx="683">
                  <c:v>150.79</c:v>
                </c:pt>
                <c:pt idx="684">
                  <c:v>150.75</c:v>
                </c:pt>
                <c:pt idx="685">
                  <c:v>151.25</c:v>
                </c:pt>
                <c:pt idx="686">
                  <c:v>152.34</c:v>
                </c:pt>
                <c:pt idx="687">
                  <c:v>151.62</c:v>
                </c:pt>
                <c:pt idx="688">
                  <c:v>150.94999999999999</c:v>
                </c:pt>
                <c:pt idx="689">
                  <c:v>150.51</c:v>
                </c:pt>
                <c:pt idx="690">
                  <c:v>146.66</c:v>
                </c:pt>
                <c:pt idx="691">
                  <c:v>146.62</c:v>
                </c:pt>
                <c:pt idx="692">
                  <c:v>147.05000000000001</c:v>
                </c:pt>
                <c:pt idx="693">
                  <c:v>150.04</c:v>
                </c:pt>
                <c:pt idx="694">
                  <c:v>150.08000000000001</c:v>
                </c:pt>
                <c:pt idx="695">
                  <c:v>147.5</c:v>
                </c:pt>
                <c:pt idx="696">
                  <c:v>145.47</c:v>
                </c:pt>
                <c:pt idx="697">
                  <c:v>144.52000000000001</c:v>
                </c:pt>
                <c:pt idx="698">
                  <c:v>143.43</c:v>
                </c:pt>
                <c:pt idx="699">
                  <c:v>142.58000000000001</c:v>
                </c:pt>
                <c:pt idx="700">
                  <c:v>142.44999999999999</c:v>
                </c:pt>
                <c:pt idx="701">
                  <c:v>142.59</c:v>
                </c:pt>
                <c:pt idx="702">
                  <c:v>143.53</c:v>
                </c:pt>
                <c:pt idx="703">
                  <c:v>144.53</c:v>
                </c:pt>
                <c:pt idx="704">
                  <c:v>147.96</c:v>
                </c:pt>
                <c:pt idx="705">
                  <c:v>150.19</c:v>
                </c:pt>
                <c:pt idx="706">
                  <c:v>150.19</c:v>
                </c:pt>
                <c:pt idx="707">
                  <c:v>150.25</c:v>
                </c:pt>
                <c:pt idx="708">
                  <c:v>150.16999999999999</c:v>
                </c:pt>
                <c:pt idx="709">
                  <c:v>152.80000000000001</c:v>
                </c:pt>
                <c:pt idx="710">
                  <c:v>157.29</c:v>
                </c:pt>
                <c:pt idx="711">
                  <c:v>157.29</c:v>
                </c:pt>
                <c:pt idx="712">
                  <c:v>154.1</c:v>
                </c:pt>
                <c:pt idx="713">
                  <c:v>149.85</c:v>
                </c:pt>
                <c:pt idx="714">
                  <c:v>148.19</c:v>
                </c:pt>
                <c:pt idx="715">
                  <c:v>146.01</c:v>
                </c:pt>
                <c:pt idx="716">
                  <c:v>148.78</c:v>
                </c:pt>
                <c:pt idx="717">
                  <c:v>149.69</c:v>
                </c:pt>
                <c:pt idx="718">
                  <c:v>149.65</c:v>
                </c:pt>
                <c:pt idx="719">
                  <c:v>149.61000000000001</c:v>
                </c:pt>
                <c:pt idx="720">
                  <c:v>172.2</c:v>
                </c:pt>
                <c:pt idx="721">
                  <c:v>169.65</c:v>
                </c:pt>
                <c:pt idx="722">
                  <c:v>169.17</c:v>
                </c:pt>
                <c:pt idx="723">
                  <c:v>168.59</c:v>
                </c:pt>
                <c:pt idx="724">
                  <c:v>168.54</c:v>
                </c:pt>
                <c:pt idx="725">
                  <c:v>168.54</c:v>
                </c:pt>
                <c:pt idx="726">
                  <c:v>169.27</c:v>
                </c:pt>
                <c:pt idx="727">
                  <c:v>170.2</c:v>
                </c:pt>
                <c:pt idx="728">
                  <c:v>174.95</c:v>
                </c:pt>
                <c:pt idx="729">
                  <c:v>175.54</c:v>
                </c:pt>
                <c:pt idx="730">
                  <c:v>176.5</c:v>
                </c:pt>
                <c:pt idx="731">
                  <c:v>176.59</c:v>
                </c:pt>
                <c:pt idx="732">
                  <c:v>175.77</c:v>
                </c:pt>
                <c:pt idx="733">
                  <c:v>178.26</c:v>
                </c:pt>
                <c:pt idx="734">
                  <c:v>182.41</c:v>
                </c:pt>
                <c:pt idx="735">
                  <c:v>182.39</c:v>
                </c:pt>
                <c:pt idx="736">
                  <c:v>178.3</c:v>
                </c:pt>
                <c:pt idx="737">
                  <c:v>175.13</c:v>
                </c:pt>
                <c:pt idx="738">
                  <c:v>174.21</c:v>
                </c:pt>
                <c:pt idx="739">
                  <c:v>173.01</c:v>
                </c:pt>
                <c:pt idx="740">
                  <c:v>174.89</c:v>
                </c:pt>
                <c:pt idx="741">
                  <c:v>174.94</c:v>
                </c:pt>
                <c:pt idx="742">
                  <c:v>174.85</c:v>
                </c:pt>
                <c:pt idx="743">
                  <c:v>174.37</c:v>
                </c:pt>
                <c:pt idx="744">
                  <c:v>343.75</c:v>
                </c:pt>
                <c:pt idx="745">
                  <c:v>338.9</c:v>
                </c:pt>
                <c:pt idx="746">
                  <c:v>338.02</c:v>
                </c:pt>
                <c:pt idx="747">
                  <c:v>337.96</c:v>
                </c:pt>
                <c:pt idx="748">
                  <c:v>337.9</c:v>
                </c:pt>
                <c:pt idx="749">
                  <c:v>337.84</c:v>
                </c:pt>
                <c:pt idx="750">
                  <c:v>337.9</c:v>
                </c:pt>
                <c:pt idx="751">
                  <c:v>338.98</c:v>
                </c:pt>
                <c:pt idx="752">
                  <c:v>345.86</c:v>
                </c:pt>
                <c:pt idx="753">
                  <c:v>348.64</c:v>
                </c:pt>
                <c:pt idx="754">
                  <c:v>354.69</c:v>
                </c:pt>
                <c:pt idx="755">
                  <c:v>355.15</c:v>
                </c:pt>
                <c:pt idx="756">
                  <c:v>353.22</c:v>
                </c:pt>
                <c:pt idx="757">
                  <c:v>356.62</c:v>
                </c:pt>
                <c:pt idx="758">
                  <c:v>356.52</c:v>
                </c:pt>
                <c:pt idx="759">
                  <c:v>356.42</c:v>
                </c:pt>
                <c:pt idx="760">
                  <c:v>356.32</c:v>
                </c:pt>
                <c:pt idx="761">
                  <c:v>348.57</c:v>
                </c:pt>
                <c:pt idx="762">
                  <c:v>343.13</c:v>
                </c:pt>
                <c:pt idx="763">
                  <c:v>340.7</c:v>
                </c:pt>
                <c:pt idx="764">
                  <c:v>344.37</c:v>
                </c:pt>
                <c:pt idx="765">
                  <c:v>346.37</c:v>
                </c:pt>
                <c:pt idx="766">
                  <c:v>346.37</c:v>
                </c:pt>
                <c:pt idx="767">
                  <c:v>343.42</c:v>
                </c:pt>
                <c:pt idx="768">
                  <c:v>447.22</c:v>
                </c:pt>
                <c:pt idx="769">
                  <c:v>445.81</c:v>
                </c:pt>
                <c:pt idx="770">
                  <c:v>436.03</c:v>
                </c:pt>
                <c:pt idx="771">
                  <c:v>434.96</c:v>
                </c:pt>
                <c:pt idx="772">
                  <c:v>434.88</c:v>
                </c:pt>
                <c:pt idx="773">
                  <c:v>434.81</c:v>
                </c:pt>
                <c:pt idx="774">
                  <c:v>434.46</c:v>
                </c:pt>
                <c:pt idx="775">
                  <c:v>434.66</c:v>
                </c:pt>
                <c:pt idx="776">
                  <c:v>434.58</c:v>
                </c:pt>
                <c:pt idx="777">
                  <c:v>435.12</c:v>
                </c:pt>
                <c:pt idx="778">
                  <c:v>435.51</c:v>
                </c:pt>
                <c:pt idx="779">
                  <c:v>435.56</c:v>
                </c:pt>
                <c:pt idx="780">
                  <c:v>435.67</c:v>
                </c:pt>
                <c:pt idx="781">
                  <c:v>435.65</c:v>
                </c:pt>
                <c:pt idx="782">
                  <c:v>435.61</c:v>
                </c:pt>
                <c:pt idx="783">
                  <c:v>435.46</c:v>
                </c:pt>
                <c:pt idx="784">
                  <c:v>435.31</c:v>
                </c:pt>
                <c:pt idx="785">
                  <c:v>434.85</c:v>
                </c:pt>
                <c:pt idx="786">
                  <c:v>435.1</c:v>
                </c:pt>
                <c:pt idx="787">
                  <c:v>435.87</c:v>
                </c:pt>
                <c:pt idx="788">
                  <c:v>441.93</c:v>
                </c:pt>
                <c:pt idx="789">
                  <c:v>439.96</c:v>
                </c:pt>
                <c:pt idx="790">
                  <c:v>436.99</c:v>
                </c:pt>
                <c:pt idx="791">
                  <c:v>433.38</c:v>
                </c:pt>
                <c:pt idx="792">
                  <c:v>429.82</c:v>
                </c:pt>
                <c:pt idx="793">
                  <c:v>427.17</c:v>
                </c:pt>
                <c:pt idx="794">
                  <c:v>427.09</c:v>
                </c:pt>
                <c:pt idx="795">
                  <c:v>427.02</c:v>
                </c:pt>
                <c:pt idx="796">
                  <c:v>426.9</c:v>
                </c:pt>
                <c:pt idx="797">
                  <c:v>426.14</c:v>
                </c:pt>
                <c:pt idx="798">
                  <c:v>425.06</c:v>
                </c:pt>
                <c:pt idx="799">
                  <c:v>418.51</c:v>
                </c:pt>
                <c:pt idx="800">
                  <c:v>423.85</c:v>
                </c:pt>
                <c:pt idx="801">
                  <c:v>426.03</c:v>
                </c:pt>
                <c:pt idx="802">
                  <c:v>426.5</c:v>
                </c:pt>
                <c:pt idx="803">
                  <c:v>426.42</c:v>
                </c:pt>
                <c:pt idx="804">
                  <c:v>426.35</c:v>
                </c:pt>
                <c:pt idx="805">
                  <c:v>426.27</c:v>
                </c:pt>
                <c:pt idx="806">
                  <c:v>426.2</c:v>
                </c:pt>
                <c:pt idx="807">
                  <c:v>426.12</c:v>
                </c:pt>
                <c:pt idx="808">
                  <c:v>426.13</c:v>
                </c:pt>
                <c:pt idx="809">
                  <c:v>426.58</c:v>
                </c:pt>
                <c:pt idx="810">
                  <c:v>427.07</c:v>
                </c:pt>
                <c:pt idx="811">
                  <c:v>427.08</c:v>
                </c:pt>
                <c:pt idx="812">
                  <c:v>442.63</c:v>
                </c:pt>
                <c:pt idx="813">
                  <c:v>443.98</c:v>
                </c:pt>
                <c:pt idx="814">
                  <c:v>443.95</c:v>
                </c:pt>
                <c:pt idx="815">
                  <c:v>442.27</c:v>
                </c:pt>
                <c:pt idx="816">
                  <c:v>448.3</c:v>
                </c:pt>
                <c:pt idx="817">
                  <c:v>447.69</c:v>
                </c:pt>
                <c:pt idx="818">
                  <c:v>446.19</c:v>
                </c:pt>
                <c:pt idx="819">
                  <c:v>446.2</c:v>
                </c:pt>
                <c:pt idx="820">
                  <c:v>446.06</c:v>
                </c:pt>
                <c:pt idx="821">
                  <c:v>446.72</c:v>
                </c:pt>
                <c:pt idx="822">
                  <c:v>448.3</c:v>
                </c:pt>
                <c:pt idx="823">
                  <c:v>449.84</c:v>
                </c:pt>
                <c:pt idx="824">
                  <c:v>452.87</c:v>
                </c:pt>
                <c:pt idx="825">
                  <c:v>455.36</c:v>
                </c:pt>
                <c:pt idx="826">
                  <c:v>458.06</c:v>
                </c:pt>
                <c:pt idx="827">
                  <c:v>457.97</c:v>
                </c:pt>
                <c:pt idx="828">
                  <c:v>457.96</c:v>
                </c:pt>
                <c:pt idx="829">
                  <c:v>460.24</c:v>
                </c:pt>
                <c:pt idx="830">
                  <c:v>464.74</c:v>
                </c:pt>
                <c:pt idx="831">
                  <c:v>464.75</c:v>
                </c:pt>
                <c:pt idx="832">
                  <c:v>463.77</c:v>
                </c:pt>
                <c:pt idx="833">
                  <c:v>456.72</c:v>
                </c:pt>
                <c:pt idx="834">
                  <c:v>453.81</c:v>
                </c:pt>
                <c:pt idx="835">
                  <c:v>451.87</c:v>
                </c:pt>
                <c:pt idx="836">
                  <c:v>454.4</c:v>
                </c:pt>
                <c:pt idx="837">
                  <c:v>456.31</c:v>
                </c:pt>
                <c:pt idx="838">
                  <c:v>455.51</c:v>
                </c:pt>
                <c:pt idx="839">
                  <c:v>454.16</c:v>
                </c:pt>
                <c:pt idx="840">
                  <c:v>450.67</c:v>
                </c:pt>
                <c:pt idx="841">
                  <c:v>447.96</c:v>
                </c:pt>
                <c:pt idx="842">
                  <c:v>447.89</c:v>
                </c:pt>
                <c:pt idx="843">
                  <c:v>446.55</c:v>
                </c:pt>
                <c:pt idx="844">
                  <c:v>446.78</c:v>
                </c:pt>
                <c:pt idx="845">
                  <c:v>447.21</c:v>
                </c:pt>
                <c:pt idx="846">
                  <c:v>447.96</c:v>
                </c:pt>
                <c:pt idx="847">
                  <c:v>449.91</c:v>
                </c:pt>
                <c:pt idx="848">
                  <c:v>454.28</c:v>
                </c:pt>
                <c:pt idx="849">
                  <c:v>456.81</c:v>
                </c:pt>
                <c:pt idx="850">
                  <c:v>457.34</c:v>
                </c:pt>
                <c:pt idx="851">
                  <c:v>457.18</c:v>
                </c:pt>
                <c:pt idx="852">
                  <c:v>456.61</c:v>
                </c:pt>
                <c:pt idx="853">
                  <c:v>458.51</c:v>
                </c:pt>
                <c:pt idx="854">
                  <c:v>459.78</c:v>
                </c:pt>
                <c:pt idx="855">
                  <c:v>459.71</c:v>
                </c:pt>
                <c:pt idx="856">
                  <c:v>458.36</c:v>
                </c:pt>
                <c:pt idx="857">
                  <c:v>456.15</c:v>
                </c:pt>
                <c:pt idx="858">
                  <c:v>452.52</c:v>
                </c:pt>
                <c:pt idx="859">
                  <c:v>451.97</c:v>
                </c:pt>
                <c:pt idx="860">
                  <c:v>455.26</c:v>
                </c:pt>
                <c:pt idx="861">
                  <c:v>455.81</c:v>
                </c:pt>
                <c:pt idx="862">
                  <c:v>455.72</c:v>
                </c:pt>
                <c:pt idx="863">
                  <c:v>452.75</c:v>
                </c:pt>
                <c:pt idx="864">
                  <c:v>444.44</c:v>
                </c:pt>
                <c:pt idx="865">
                  <c:v>443.81</c:v>
                </c:pt>
                <c:pt idx="866">
                  <c:v>442.25</c:v>
                </c:pt>
                <c:pt idx="867">
                  <c:v>442.12</c:v>
                </c:pt>
                <c:pt idx="868">
                  <c:v>442.07</c:v>
                </c:pt>
                <c:pt idx="869">
                  <c:v>443.38</c:v>
                </c:pt>
                <c:pt idx="870">
                  <c:v>444.09</c:v>
                </c:pt>
                <c:pt idx="871">
                  <c:v>446.33</c:v>
                </c:pt>
                <c:pt idx="872">
                  <c:v>449.67</c:v>
                </c:pt>
                <c:pt idx="873">
                  <c:v>450.51</c:v>
                </c:pt>
                <c:pt idx="874">
                  <c:v>452.58</c:v>
                </c:pt>
                <c:pt idx="875">
                  <c:v>452.59</c:v>
                </c:pt>
                <c:pt idx="876">
                  <c:v>450.8</c:v>
                </c:pt>
                <c:pt idx="877">
                  <c:v>452.83</c:v>
                </c:pt>
                <c:pt idx="878">
                  <c:v>452.68</c:v>
                </c:pt>
                <c:pt idx="879">
                  <c:v>452.63</c:v>
                </c:pt>
                <c:pt idx="880">
                  <c:v>452.16</c:v>
                </c:pt>
                <c:pt idx="881">
                  <c:v>449.74</c:v>
                </c:pt>
                <c:pt idx="882">
                  <c:v>448.72</c:v>
                </c:pt>
                <c:pt idx="883">
                  <c:v>447.47</c:v>
                </c:pt>
                <c:pt idx="884">
                  <c:v>448.67</c:v>
                </c:pt>
                <c:pt idx="885">
                  <c:v>449.21</c:v>
                </c:pt>
                <c:pt idx="886">
                  <c:v>449.02</c:v>
                </c:pt>
                <c:pt idx="887">
                  <c:v>448.43</c:v>
                </c:pt>
                <c:pt idx="888">
                  <c:v>443.37</c:v>
                </c:pt>
                <c:pt idx="889">
                  <c:v>441.03</c:v>
                </c:pt>
                <c:pt idx="890">
                  <c:v>440.2</c:v>
                </c:pt>
                <c:pt idx="891">
                  <c:v>440.2</c:v>
                </c:pt>
                <c:pt idx="892">
                  <c:v>440.2</c:v>
                </c:pt>
                <c:pt idx="893">
                  <c:v>440.93</c:v>
                </c:pt>
                <c:pt idx="894">
                  <c:v>442.34</c:v>
                </c:pt>
                <c:pt idx="895">
                  <c:v>445.99</c:v>
                </c:pt>
                <c:pt idx="896">
                  <c:v>448.47</c:v>
                </c:pt>
                <c:pt idx="897">
                  <c:v>450.12</c:v>
                </c:pt>
                <c:pt idx="898">
                  <c:v>450.66</c:v>
                </c:pt>
                <c:pt idx="899">
                  <c:v>450.6</c:v>
                </c:pt>
                <c:pt idx="900">
                  <c:v>449.89</c:v>
                </c:pt>
                <c:pt idx="901">
                  <c:v>450.68</c:v>
                </c:pt>
                <c:pt idx="902">
                  <c:v>450.87</c:v>
                </c:pt>
                <c:pt idx="903">
                  <c:v>450.88</c:v>
                </c:pt>
                <c:pt idx="904">
                  <c:v>450.02</c:v>
                </c:pt>
                <c:pt idx="905">
                  <c:v>449.49</c:v>
                </c:pt>
                <c:pt idx="906">
                  <c:v>445.98</c:v>
                </c:pt>
                <c:pt idx="907">
                  <c:v>445.76</c:v>
                </c:pt>
                <c:pt idx="908">
                  <c:v>448.96</c:v>
                </c:pt>
                <c:pt idx="909">
                  <c:v>449.02</c:v>
                </c:pt>
                <c:pt idx="910">
                  <c:v>448.8</c:v>
                </c:pt>
                <c:pt idx="911">
                  <c:v>447.04</c:v>
                </c:pt>
                <c:pt idx="912">
                  <c:v>445.26</c:v>
                </c:pt>
                <c:pt idx="913">
                  <c:v>443.02</c:v>
                </c:pt>
                <c:pt idx="914">
                  <c:v>441.95</c:v>
                </c:pt>
                <c:pt idx="915">
                  <c:v>440.63</c:v>
                </c:pt>
                <c:pt idx="916">
                  <c:v>440.75</c:v>
                </c:pt>
                <c:pt idx="917">
                  <c:v>442.99</c:v>
                </c:pt>
                <c:pt idx="918">
                  <c:v>446.39</c:v>
                </c:pt>
                <c:pt idx="919">
                  <c:v>446.94</c:v>
                </c:pt>
                <c:pt idx="920">
                  <c:v>452.41</c:v>
                </c:pt>
                <c:pt idx="921">
                  <c:v>454.12</c:v>
                </c:pt>
                <c:pt idx="922">
                  <c:v>457.19</c:v>
                </c:pt>
                <c:pt idx="923">
                  <c:v>458.13</c:v>
                </c:pt>
                <c:pt idx="924">
                  <c:v>456.49</c:v>
                </c:pt>
                <c:pt idx="925">
                  <c:v>460.52</c:v>
                </c:pt>
                <c:pt idx="926">
                  <c:v>462.55</c:v>
                </c:pt>
                <c:pt idx="927">
                  <c:v>462.78</c:v>
                </c:pt>
                <c:pt idx="928">
                  <c:v>461.07</c:v>
                </c:pt>
                <c:pt idx="929">
                  <c:v>456.4</c:v>
                </c:pt>
                <c:pt idx="930">
                  <c:v>449.24</c:v>
                </c:pt>
                <c:pt idx="931">
                  <c:v>448.26</c:v>
                </c:pt>
                <c:pt idx="932">
                  <c:v>452.16</c:v>
                </c:pt>
                <c:pt idx="933">
                  <c:v>452.51</c:v>
                </c:pt>
                <c:pt idx="934">
                  <c:v>451.85</c:v>
                </c:pt>
                <c:pt idx="935">
                  <c:v>449.19</c:v>
                </c:pt>
                <c:pt idx="936">
                  <c:v>513.89</c:v>
                </c:pt>
                <c:pt idx="937">
                  <c:v>513.89</c:v>
                </c:pt>
                <c:pt idx="938">
                  <c:v>513.89</c:v>
                </c:pt>
                <c:pt idx="939">
                  <c:v>513.35</c:v>
                </c:pt>
                <c:pt idx="940">
                  <c:v>513.46</c:v>
                </c:pt>
                <c:pt idx="941">
                  <c:v>513.46</c:v>
                </c:pt>
                <c:pt idx="942">
                  <c:v>513.49</c:v>
                </c:pt>
                <c:pt idx="943">
                  <c:v>513.51</c:v>
                </c:pt>
                <c:pt idx="944">
                  <c:v>513.89</c:v>
                </c:pt>
                <c:pt idx="945">
                  <c:v>513.89</c:v>
                </c:pt>
                <c:pt idx="946">
                  <c:v>513.89</c:v>
                </c:pt>
                <c:pt idx="947">
                  <c:v>513.89</c:v>
                </c:pt>
                <c:pt idx="948">
                  <c:v>513.89</c:v>
                </c:pt>
                <c:pt idx="949">
                  <c:v>513.89</c:v>
                </c:pt>
                <c:pt idx="950">
                  <c:v>513.89</c:v>
                </c:pt>
                <c:pt idx="951">
                  <c:v>513.89</c:v>
                </c:pt>
                <c:pt idx="952">
                  <c:v>513.89</c:v>
                </c:pt>
                <c:pt idx="953">
                  <c:v>513.89</c:v>
                </c:pt>
                <c:pt idx="954">
                  <c:v>513.89</c:v>
                </c:pt>
                <c:pt idx="955">
                  <c:v>513.89</c:v>
                </c:pt>
                <c:pt idx="956">
                  <c:v>513.89</c:v>
                </c:pt>
                <c:pt idx="957">
                  <c:v>513.89</c:v>
                </c:pt>
                <c:pt idx="958">
                  <c:v>513.89</c:v>
                </c:pt>
                <c:pt idx="959">
                  <c:v>513.89</c:v>
                </c:pt>
                <c:pt idx="960">
                  <c:v>513.89</c:v>
                </c:pt>
                <c:pt idx="961">
                  <c:v>513.44000000000005</c:v>
                </c:pt>
                <c:pt idx="962">
                  <c:v>511.34</c:v>
                </c:pt>
                <c:pt idx="963">
                  <c:v>508.49</c:v>
                </c:pt>
                <c:pt idx="964">
                  <c:v>508.48</c:v>
                </c:pt>
                <c:pt idx="965">
                  <c:v>507.48</c:v>
                </c:pt>
                <c:pt idx="966">
                  <c:v>507.5</c:v>
                </c:pt>
                <c:pt idx="967">
                  <c:v>502.55</c:v>
                </c:pt>
                <c:pt idx="968">
                  <c:v>506.28</c:v>
                </c:pt>
                <c:pt idx="969">
                  <c:v>508.53</c:v>
                </c:pt>
                <c:pt idx="970">
                  <c:v>508.95</c:v>
                </c:pt>
                <c:pt idx="971">
                  <c:v>511.01</c:v>
                </c:pt>
                <c:pt idx="972">
                  <c:v>511.38</c:v>
                </c:pt>
                <c:pt idx="973">
                  <c:v>511.61</c:v>
                </c:pt>
                <c:pt idx="974">
                  <c:v>512.30999999999995</c:v>
                </c:pt>
                <c:pt idx="975">
                  <c:v>512.82000000000005</c:v>
                </c:pt>
                <c:pt idx="976">
                  <c:v>512.98</c:v>
                </c:pt>
                <c:pt idx="977">
                  <c:v>513.53</c:v>
                </c:pt>
                <c:pt idx="978">
                  <c:v>510.75</c:v>
                </c:pt>
                <c:pt idx="979">
                  <c:v>511.56</c:v>
                </c:pt>
                <c:pt idx="980">
                  <c:v>513.89</c:v>
                </c:pt>
                <c:pt idx="981">
                  <c:v>513.89</c:v>
                </c:pt>
                <c:pt idx="982">
                  <c:v>513.89</c:v>
                </c:pt>
                <c:pt idx="983">
                  <c:v>513.89</c:v>
                </c:pt>
                <c:pt idx="984">
                  <c:v>513.89</c:v>
                </c:pt>
                <c:pt idx="985">
                  <c:v>513.89</c:v>
                </c:pt>
                <c:pt idx="986">
                  <c:v>513.89</c:v>
                </c:pt>
                <c:pt idx="987">
                  <c:v>513.89</c:v>
                </c:pt>
                <c:pt idx="988">
                  <c:v>512.84</c:v>
                </c:pt>
                <c:pt idx="989">
                  <c:v>513.89</c:v>
                </c:pt>
                <c:pt idx="990">
                  <c:v>513.89</c:v>
                </c:pt>
                <c:pt idx="991">
                  <c:v>513.89</c:v>
                </c:pt>
                <c:pt idx="992">
                  <c:v>513.89</c:v>
                </c:pt>
                <c:pt idx="993">
                  <c:v>513.89</c:v>
                </c:pt>
                <c:pt idx="994">
                  <c:v>513.89</c:v>
                </c:pt>
                <c:pt idx="995">
                  <c:v>513.89</c:v>
                </c:pt>
                <c:pt idx="996">
                  <c:v>513.89</c:v>
                </c:pt>
                <c:pt idx="997">
                  <c:v>513.89</c:v>
                </c:pt>
                <c:pt idx="998">
                  <c:v>513.89</c:v>
                </c:pt>
                <c:pt idx="999">
                  <c:v>513.89</c:v>
                </c:pt>
                <c:pt idx="1000">
                  <c:v>513.89</c:v>
                </c:pt>
                <c:pt idx="1001">
                  <c:v>513.89</c:v>
                </c:pt>
                <c:pt idx="1002">
                  <c:v>513.89</c:v>
                </c:pt>
                <c:pt idx="1003">
                  <c:v>513.89</c:v>
                </c:pt>
                <c:pt idx="1004">
                  <c:v>513.89</c:v>
                </c:pt>
                <c:pt idx="1005">
                  <c:v>513.89</c:v>
                </c:pt>
                <c:pt idx="1006">
                  <c:v>513.89</c:v>
                </c:pt>
                <c:pt idx="1007">
                  <c:v>513.89</c:v>
                </c:pt>
                <c:pt idx="1008">
                  <c:v>513.89</c:v>
                </c:pt>
                <c:pt idx="1009">
                  <c:v>513.89</c:v>
                </c:pt>
                <c:pt idx="1010">
                  <c:v>513.89</c:v>
                </c:pt>
                <c:pt idx="1011">
                  <c:v>513.89</c:v>
                </c:pt>
                <c:pt idx="1012">
                  <c:v>513.89</c:v>
                </c:pt>
                <c:pt idx="1013">
                  <c:v>513.89</c:v>
                </c:pt>
                <c:pt idx="1014">
                  <c:v>513.89</c:v>
                </c:pt>
                <c:pt idx="1015">
                  <c:v>513.89</c:v>
                </c:pt>
                <c:pt idx="1016">
                  <c:v>513.89</c:v>
                </c:pt>
                <c:pt idx="1017">
                  <c:v>513.89</c:v>
                </c:pt>
                <c:pt idx="1018">
                  <c:v>513.89</c:v>
                </c:pt>
                <c:pt idx="1019">
                  <c:v>513.89</c:v>
                </c:pt>
                <c:pt idx="1020">
                  <c:v>513.89</c:v>
                </c:pt>
                <c:pt idx="1021">
                  <c:v>513.89</c:v>
                </c:pt>
                <c:pt idx="1022">
                  <c:v>513.89</c:v>
                </c:pt>
                <c:pt idx="1023">
                  <c:v>513.89</c:v>
                </c:pt>
                <c:pt idx="1024">
                  <c:v>513.89</c:v>
                </c:pt>
                <c:pt idx="1025">
                  <c:v>513.89</c:v>
                </c:pt>
                <c:pt idx="1026">
                  <c:v>513.89</c:v>
                </c:pt>
                <c:pt idx="1027">
                  <c:v>513.89</c:v>
                </c:pt>
                <c:pt idx="1028">
                  <c:v>513.89</c:v>
                </c:pt>
                <c:pt idx="1029">
                  <c:v>513.89</c:v>
                </c:pt>
                <c:pt idx="1030">
                  <c:v>513.89</c:v>
                </c:pt>
                <c:pt idx="1031">
                  <c:v>513.89</c:v>
                </c:pt>
                <c:pt idx="1032">
                  <c:v>513.89</c:v>
                </c:pt>
                <c:pt idx="1033">
                  <c:v>513.89</c:v>
                </c:pt>
                <c:pt idx="1034">
                  <c:v>512.87</c:v>
                </c:pt>
                <c:pt idx="1035">
                  <c:v>511.29</c:v>
                </c:pt>
                <c:pt idx="1036">
                  <c:v>510.87</c:v>
                </c:pt>
                <c:pt idx="1037">
                  <c:v>512.87</c:v>
                </c:pt>
                <c:pt idx="1038">
                  <c:v>513.89</c:v>
                </c:pt>
                <c:pt idx="1039">
                  <c:v>513.89</c:v>
                </c:pt>
                <c:pt idx="1040">
                  <c:v>513.89</c:v>
                </c:pt>
                <c:pt idx="1041">
                  <c:v>513.89</c:v>
                </c:pt>
                <c:pt idx="1042">
                  <c:v>513.89</c:v>
                </c:pt>
                <c:pt idx="1043">
                  <c:v>513.89</c:v>
                </c:pt>
                <c:pt idx="1044">
                  <c:v>513.89</c:v>
                </c:pt>
                <c:pt idx="1045">
                  <c:v>513.89</c:v>
                </c:pt>
                <c:pt idx="1046">
                  <c:v>513.89</c:v>
                </c:pt>
                <c:pt idx="1047">
                  <c:v>513.89</c:v>
                </c:pt>
                <c:pt idx="1048">
                  <c:v>513.89</c:v>
                </c:pt>
                <c:pt idx="1049">
                  <c:v>513.89</c:v>
                </c:pt>
                <c:pt idx="1050">
                  <c:v>513.89</c:v>
                </c:pt>
                <c:pt idx="1051">
                  <c:v>513.89</c:v>
                </c:pt>
                <c:pt idx="1052">
                  <c:v>513.89</c:v>
                </c:pt>
                <c:pt idx="1053">
                  <c:v>513.89</c:v>
                </c:pt>
                <c:pt idx="1054">
                  <c:v>513.89</c:v>
                </c:pt>
                <c:pt idx="1055">
                  <c:v>513.89</c:v>
                </c:pt>
                <c:pt idx="1056">
                  <c:v>513.89</c:v>
                </c:pt>
                <c:pt idx="1057">
                  <c:v>513.13</c:v>
                </c:pt>
                <c:pt idx="1058">
                  <c:v>513.07000000000005</c:v>
                </c:pt>
                <c:pt idx="1059">
                  <c:v>510.27</c:v>
                </c:pt>
                <c:pt idx="1060">
                  <c:v>510.41</c:v>
                </c:pt>
                <c:pt idx="1061">
                  <c:v>513.21</c:v>
                </c:pt>
                <c:pt idx="1062">
                  <c:v>513.89</c:v>
                </c:pt>
                <c:pt idx="1063">
                  <c:v>513.89</c:v>
                </c:pt>
                <c:pt idx="1064">
                  <c:v>513.89</c:v>
                </c:pt>
                <c:pt idx="1065">
                  <c:v>513.89</c:v>
                </c:pt>
                <c:pt idx="1066">
                  <c:v>513.89</c:v>
                </c:pt>
                <c:pt idx="1067">
                  <c:v>513.89</c:v>
                </c:pt>
                <c:pt idx="1068">
                  <c:v>513.89</c:v>
                </c:pt>
                <c:pt idx="1069">
                  <c:v>513.89</c:v>
                </c:pt>
                <c:pt idx="1070">
                  <c:v>513.89</c:v>
                </c:pt>
                <c:pt idx="1071">
                  <c:v>513.89</c:v>
                </c:pt>
                <c:pt idx="1072">
                  <c:v>513.89</c:v>
                </c:pt>
                <c:pt idx="1073">
                  <c:v>513.89</c:v>
                </c:pt>
                <c:pt idx="1074">
                  <c:v>513.89</c:v>
                </c:pt>
                <c:pt idx="1075">
                  <c:v>513.89</c:v>
                </c:pt>
                <c:pt idx="1076">
                  <c:v>513.89</c:v>
                </c:pt>
                <c:pt idx="1077">
                  <c:v>513.89</c:v>
                </c:pt>
                <c:pt idx="1078">
                  <c:v>513.89</c:v>
                </c:pt>
                <c:pt idx="1079">
                  <c:v>513.89</c:v>
                </c:pt>
                <c:pt idx="1080">
                  <c:v>513.89</c:v>
                </c:pt>
                <c:pt idx="1081">
                  <c:v>510.25</c:v>
                </c:pt>
                <c:pt idx="1082">
                  <c:v>506.89</c:v>
                </c:pt>
                <c:pt idx="1083">
                  <c:v>501.11</c:v>
                </c:pt>
                <c:pt idx="1084">
                  <c:v>501.1</c:v>
                </c:pt>
                <c:pt idx="1085">
                  <c:v>509.82</c:v>
                </c:pt>
                <c:pt idx="1086">
                  <c:v>513.89</c:v>
                </c:pt>
                <c:pt idx="1087">
                  <c:v>513.89</c:v>
                </c:pt>
                <c:pt idx="1088">
                  <c:v>513.89</c:v>
                </c:pt>
                <c:pt idx="1089">
                  <c:v>513.89</c:v>
                </c:pt>
                <c:pt idx="1090">
                  <c:v>513.89</c:v>
                </c:pt>
                <c:pt idx="1091">
                  <c:v>513.89</c:v>
                </c:pt>
                <c:pt idx="1092">
                  <c:v>513.89</c:v>
                </c:pt>
                <c:pt idx="1093">
                  <c:v>513.89</c:v>
                </c:pt>
                <c:pt idx="1094">
                  <c:v>513.89</c:v>
                </c:pt>
                <c:pt idx="1095">
                  <c:v>513.89</c:v>
                </c:pt>
                <c:pt idx="1096">
                  <c:v>513.89</c:v>
                </c:pt>
                <c:pt idx="1097">
                  <c:v>513.89</c:v>
                </c:pt>
                <c:pt idx="1098">
                  <c:v>513.89</c:v>
                </c:pt>
                <c:pt idx="1099">
                  <c:v>513.89</c:v>
                </c:pt>
                <c:pt idx="1100">
                  <c:v>513.89</c:v>
                </c:pt>
                <c:pt idx="1101">
                  <c:v>513.89</c:v>
                </c:pt>
                <c:pt idx="1102">
                  <c:v>513.89</c:v>
                </c:pt>
                <c:pt idx="1103">
                  <c:v>513.89</c:v>
                </c:pt>
                <c:pt idx="1104">
                  <c:v>460.28</c:v>
                </c:pt>
                <c:pt idx="1105">
                  <c:v>458.81</c:v>
                </c:pt>
                <c:pt idx="1106">
                  <c:v>455.94</c:v>
                </c:pt>
                <c:pt idx="1107">
                  <c:v>454.36</c:v>
                </c:pt>
                <c:pt idx="1108">
                  <c:v>454.34</c:v>
                </c:pt>
                <c:pt idx="1109">
                  <c:v>454.34</c:v>
                </c:pt>
                <c:pt idx="1110">
                  <c:v>454.73</c:v>
                </c:pt>
                <c:pt idx="1111">
                  <c:v>454.75</c:v>
                </c:pt>
                <c:pt idx="1112">
                  <c:v>458.36</c:v>
                </c:pt>
                <c:pt idx="1113">
                  <c:v>459.53</c:v>
                </c:pt>
                <c:pt idx="1114">
                  <c:v>459.8</c:v>
                </c:pt>
                <c:pt idx="1115">
                  <c:v>459.72</c:v>
                </c:pt>
                <c:pt idx="1116">
                  <c:v>459.63</c:v>
                </c:pt>
                <c:pt idx="1117">
                  <c:v>459.46</c:v>
                </c:pt>
                <c:pt idx="1118">
                  <c:v>459.38</c:v>
                </c:pt>
                <c:pt idx="1119">
                  <c:v>459.39</c:v>
                </c:pt>
                <c:pt idx="1120">
                  <c:v>459.3</c:v>
                </c:pt>
                <c:pt idx="1121">
                  <c:v>459.22</c:v>
                </c:pt>
                <c:pt idx="1122">
                  <c:v>459.14</c:v>
                </c:pt>
                <c:pt idx="1123">
                  <c:v>459.07</c:v>
                </c:pt>
                <c:pt idx="1124">
                  <c:v>462.99</c:v>
                </c:pt>
                <c:pt idx="1125">
                  <c:v>462.76</c:v>
                </c:pt>
                <c:pt idx="1126">
                  <c:v>458.96</c:v>
                </c:pt>
                <c:pt idx="1127">
                  <c:v>458.74</c:v>
                </c:pt>
                <c:pt idx="1128">
                  <c:v>454.47</c:v>
                </c:pt>
                <c:pt idx="1129">
                  <c:v>450.43</c:v>
                </c:pt>
                <c:pt idx="1130">
                  <c:v>449.84</c:v>
                </c:pt>
                <c:pt idx="1131">
                  <c:v>449.09</c:v>
                </c:pt>
                <c:pt idx="1132">
                  <c:v>447.73</c:v>
                </c:pt>
                <c:pt idx="1133">
                  <c:v>447.07</c:v>
                </c:pt>
                <c:pt idx="1134">
                  <c:v>435.16</c:v>
                </c:pt>
                <c:pt idx="1135">
                  <c:v>444.45</c:v>
                </c:pt>
                <c:pt idx="1136">
                  <c:v>449.82</c:v>
                </c:pt>
                <c:pt idx="1137">
                  <c:v>451.21</c:v>
                </c:pt>
                <c:pt idx="1138">
                  <c:v>454.58</c:v>
                </c:pt>
                <c:pt idx="1139">
                  <c:v>454.92</c:v>
                </c:pt>
                <c:pt idx="1140">
                  <c:v>454.92</c:v>
                </c:pt>
                <c:pt idx="1141">
                  <c:v>454.92</c:v>
                </c:pt>
                <c:pt idx="1142">
                  <c:v>455.31</c:v>
                </c:pt>
                <c:pt idx="1143">
                  <c:v>456.14</c:v>
                </c:pt>
                <c:pt idx="1144">
                  <c:v>456.75</c:v>
                </c:pt>
                <c:pt idx="1145">
                  <c:v>459.19</c:v>
                </c:pt>
                <c:pt idx="1146">
                  <c:v>462.41</c:v>
                </c:pt>
                <c:pt idx="1147">
                  <c:v>462.71</c:v>
                </c:pt>
                <c:pt idx="1148">
                  <c:v>462.94</c:v>
                </c:pt>
                <c:pt idx="1149">
                  <c:v>462.7</c:v>
                </c:pt>
                <c:pt idx="1150">
                  <c:v>462.47</c:v>
                </c:pt>
                <c:pt idx="1151">
                  <c:v>461.52</c:v>
                </c:pt>
                <c:pt idx="1152">
                  <c:v>456.82</c:v>
                </c:pt>
                <c:pt idx="1153">
                  <c:v>455.76</c:v>
                </c:pt>
                <c:pt idx="1154">
                  <c:v>454.52</c:v>
                </c:pt>
                <c:pt idx="1155">
                  <c:v>454.59</c:v>
                </c:pt>
                <c:pt idx="1156">
                  <c:v>454.98</c:v>
                </c:pt>
                <c:pt idx="1157">
                  <c:v>456.86</c:v>
                </c:pt>
                <c:pt idx="1158">
                  <c:v>459.8</c:v>
                </c:pt>
                <c:pt idx="1159">
                  <c:v>465.28</c:v>
                </c:pt>
                <c:pt idx="1160">
                  <c:v>472.2</c:v>
                </c:pt>
                <c:pt idx="1161">
                  <c:v>473.84</c:v>
                </c:pt>
                <c:pt idx="1162">
                  <c:v>474.37</c:v>
                </c:pt>
                <c:pt idx="1163">
                  <c:v>474.37</c:v>
                </c:pt>
                <c:pt idx="1164">
                  <c:v>474.14</c:v>
                </c:pt>
                <c:pt idx="1165">
                  <c:v>474.37</c:v>
                </c:pt>
                <c:pt idx="1166">
                  <c:v>474.55</c:v>
                </c:pt>
                <c:pt idx="1167">
                  <c:v>474.38</c:v>
                </c:pt>
                <c:pt idx="1168">
                  <c:v>474.29</c:v>
                </c:pt>
                <c:pt idx="1169">
                  <c:v>473.81</c:v>
                </c:pt>
                <c:pt idx="1170">
                  <c:v>472.88</c:v>
                </c:pt>
                <c:pt idx="1171">
                  <c:v>473.89</c:v>
                </c:pt>
                <c:pt idx="1172">
                  <c:v>473.71</c:v>
                </c:pt>
                <c:pt idx="1173">
                  <c:v>473.53</c:v>
                </c:pt>
                <c:pt idx="1174">
                  <c:v>472.8</c:v>
                </c:pt>
                <c:pt idx="1175">
                  <c:v>469.75</c:v>
                </c:pt>
                <c:pt idx="1176">
                  <c:v>463.66</c:v>
                </c:pt>
                <c:pt idx="1177">
                  <c:v>463.16</c:v>
                </c:pt>
                <c:pt idx="1178">
                  <c:v>462.16</c:v>
                </c:pt>
                <c:pt idx="1179">
                  <c:v>460.47</c:v>
                </c:pt>
                <c:pt idx="1180">
                  <c:v>460.99</c:v>
                </c:pt>
                <c:pt idx="1181">
                  <c:v>463.64</c:v>
                </c:pt>
                <c:pt idx="1182">
                  <c:v>464</c:v>
                </c:pt>
                <c:pt idx="1183">
                  <c:v>469.34</c:v>
                </c:pt>
                <c:pt idx="1184">
                  <c:v>474.81</c:v>
                </c:pt>
                <c:pt idx="1185">
                  <c:v>476.03</c:v>
                </c:pt>
                <c:pt idx="1186">
                  <c:v>478.65</c:v>
                </c:pt>
                <c:pt idx="1187">
                  <c:v>479.58</c:v>
                </c:pt>
                <c:pt idx="1188">
                  <c:v>476.35</c:v>
                </c:pt>
                <c:pt idx="1189">
                  <c:v>480.29</c:v>
                </c:pt>
                <c:pt idx="1190">
                  <c:v>484.67</c:v>
                </c:pt>
                <c:pt idx="1191">
                  <c:v>484.6</c:v>
                </c:pt>
                <c:pt idx="1192">
                  <c:v>482.15</c:v>
                </c:pt>
                <c:pt idx="1193">
                  <c:v>475.65</c:v>
                </c:pt>
                <c:pt idx="1194">
                  <c:v>474.98</c:v>
                </c:pt>
                <c:pt idx="1195">
                  <c:v>475.49</c:v>
                </c:pt>
                <c:pt idx="1196">
                  <c:v>475.56</c:v>
                </c:pt>
                <c:pt idx="1197">
                  <c:v>475.32</c:v>
                </c:pt>
                <c:pt idx="1198">
                  <c:v>474.7</c:v>
                </c:pt>
                <c:pt idx="1199">
                  <c:v>471.18</c:v>
                </c:pt>
                <c:pt idx="1200">
                  <c:v>463.04</c:v>
                </c:pt>
                <c:pt idx="1201">
                  <c:v>461.95</c:v>
                </c:pt>
                <c:pt idx="1202">
                  <c:v>459.4</c:v>
                </c:pt>
                <c:pt idx="1203">
                  <c:v>457.53</c:v>
                </c:pt>
                <c:pt idx="1204">
                  <c:v>457.21</c:v>
                </c:pt>
                <c:pt idx="1205">
                  <c:v>461.53</c:v>
                </c:pt>
                <c:pt idx="1206">
                  <c:v>463.34</c:v>
                </c:pt>
                <c:pt idx="1207">
                  <c:v>464.96</c:v>
                </c:pt>
                <c:pt idx="1208">
                  <c:v>470.96</c:v>
                </c:pt>
                <c:pt idx="1209">
                  <c:v>472</c:v>
                </c:pt>
                <c:pt idx="1210">
                  <c:v>473.32</c:v>
                </c:pt>
                <c:pt idx="1211">
                  <c:v>473.23</c:v>
                </c:pt>
                <c:pt idx="1212">
                  <c:v>472.97</c:v>
                </c:pt>
                <c:pt idx="1213">
                  <c:v>473.31</c:v>
                </c:pt>
                <c:pt idx="1214">
                  <c:v>474.81</c:v>
                </c:pt>
                <c:pt idx="1215">
                  <c:v>473.91</c:v>
                </c:pt>
                <c:pt idx="1216">
                  <c:v>473.2</c:v>
                </c:pt>
                <c:pt idx="1217">
                  <c:v>471.71</c:v>
                </c:pt>
                <c:pt idx="1218">
                  <c:v>471.01</c:v>
                </c:pt>
                <c:pt idx="1219">
                  <c:v>472.32</c:v>
                </c:pt>
                <c:pt idx="1220">
                  <c:v>472.09</c:v>
                </c:pt>
                <c:pt idx="1221">
                  <c:v>471.67</c:v>
                </c:pt>
                <c:pt idx="1222">
                  <c:v>470.87</c:v>
                </c:pt>
                <c:pt idx="1223">
                  <c:v>467.68</c:v>
                </c:pt>
                <c:pt idx="1224">
                  <c:v>464.11</c:v>
                </c:pt>
                <c:pt idx="1225">
                  <c:v>462.8</c:v>
                </c:pt>
                <c:pt idx="1226">
                  <c:v>461.59</c:v>
                </c:pt>
                <c:pt idx="1227">
                  <c:v>461.08</c:v>
                </c:pt>
                <c:pt idx="1228">
                  <c:v>461.08</c:v>
                </c:pt>
                <c:pt idx="1229">
                  <c:v>462.48</c:v>
                </c:pt>
                <c:pt idx="1230">
                  <c:v>464.27</c:v>
                </c:pt>
                <c:pt idx="1231">
                  <c:v>466.34</c:v>
                </c:pt>
                <c:pt idx="1232">
                  <c:v>472.23</c:v>
                </c:pt>
                <c:pt idx="1233">
                  <c:v>473.53</c:v>
                </c:pt>
                <c:pt idx="1234">
                  <c:v>475.31</c:v>
                </c:pt>
                <c:pt idx="1235">
                  <c:v>476.62</c:v>
                </c:pt>
                <c:pt idx="1236">
                  <c:v>473.27</c:v>
                </c:pt>
                <c:pt idx="1237">
                  <c:v>477.06</c:v>
                </c:pt>
                <c:pt idx="1238">
                  <c:v>479.16</c:v>
                </c:pt>
                <c:pt idx="1239">
                  <c:v>478.54</c:v>
                </c:pt>
                <c:pt idx="1240">
                  <c:v>476.12</c:v>
                </c:pt>
                <c:pt idx="1241">
                  <c:v>472.84</c:v>
                </c:pt>
                <c:pt idx="1242">
                  <c:v>472.55</c:v>
                </c:pt>
                <c:pt idx="1243">
                  <c:v>472.64</c:v>
                </c:pt>
                <c:pt idx="1244">
                  <c:v>472.57</c:v>
                </c:pt>
                <c:pt idx="1245">
                  <c:v>472.49</c:v>
                </c:pt>
                <c:pt idx="1246">
                  <c:v>472.14</c:v>
                </c:pt>
                <c:pt idx="1247">
                  <c:v>466.84</c:v>
                </c:pt>
                <c:pt idx="1248">
                  <c:v>463.42</c:v>
                </c:pt>
                <c:pt idx="1249">
                  <c:v>461.5</c:v>
                </c:pt>
                <c:pt idx="1250">
                  <c:v>460.35</c:v>
                </c:pt>
                <c:pt idx="1251">
                  <c:v>458.64</c:v>
                </c:pt>
                <c:pt idx="1252">
                  <c:v>458.62</c:v>
                </c:pt>
                <c:pt idx="1253">
                  <c:v>461.49</c:v>
                </c:pt>
                <c:pt idx="1254">
                  <c:v>463.14</c:v>
                </c:pt>
                <c:pt idx="1255">
                  <c:v>464.55</c:v>
                </c:pt>
                <c:pt idx="1256">
                  <c:v>470.24</c:v>
                </c:pt>
                <c:pt idx="1257">
                  <c:v>471.53</c:v>
                </c:pt>
                <c:pt idx="1258">
                  <c:v>474.25</c:v>
                </c:pt>
                <c:pt idx="1259">
                  <c:v>474.51</c:v>
                </c:pt>
                <c:pt idx="1260">
                  <c:v>473.99</c:v>
                </c:pt>
                <c:pt idx="1261">
                  <c:v>474.75</c:v>
                </c:pt>
                <c:pt idx="1262">
                  <c:v>477.25</c:v>
                </c:pt>
                <c:pt idx="1263">
                  <c:v>476.55</c:v>
                </c:pt>
                <c:pt idx="1264">
                  <c:v>474.59</c:v>
                </c:pt>
                <c:pt idx="1265">
                  <c:v>471.42</c:v>
                </c:pt>
                <c:pt idx="1266">
                  <c:v>470.73</c:v>
                </c:pt>
                <c:pt idx="1267">
                  <c:v>471.1</c:v>
                </c:pt>
                <c:pt idx="1268">
                  <c:v>470.92</c:v>
                </c:pt>
                <c:pt idx="1269">
                  <c:v>470.74</c:v>
                </c:pt>
                <c:pt idx="1270">
                  <c:v>470.4</c:v>
                </c:pt>
                <c:pt idx="1271">
                  <c:v>467.3</c:v>
                </c:pt>
                <c:pt idx="1272">
                  <c:v>347.39</c:v>
                </c:pt>
                <c:pt idx="1273">
                  <c:v>346.43</c:v>
                </c:pt>
                <c:pt idx="1274">
                  <c:v>344.65</c:v>
                </c:pt>
                <c:pt idx="1275">
                  <c:v>344.59</c:v>
                </c:pt>
                <c:pt idx="1276">
                  <c:v>344.53</c:v>
                </c:pt>
                <c:pt idx="1277">
                  <c:v>344.47</c:v>
                </c:pt>
                <c:pt idx="1278">
                  <c:v>344.41</c:v>
                </c:pt>
                <c:pt idx="1279">
                  <c:v>344.35</c:v>
                </c:pt>
                <c:pt idx="1280">
                  <c:v>346.18</c:v>
                </c:pt>
                <c:pt idx="1281">
                  <c:v>347.8</c:v>
                </c:pt>
                <c:pt idx="1282">
                  <c:v>347.88</c:v>
                </c:pt>
                <c:pt idx="1283">
                  <c:v>347.95</c:v>
                </c:pt>
                <c:pt idx="1284">
                  <c:v>348.01</c:v>
                </c:pt>
                <c:pt idx="1285">
                  <c:v>348.09</c:v>
                </c:pt>
                <c:pt idx="1286">
                  <c:v>348.17</c:v>
                </c:pt>
                <c:pt idx="1287">
                  <c:v>348.24</c:v>
                </c:pt>
                <c:pt idx="1288">
                  <c:v>348.15</c:v>
                </c:pt>
                <c:pt idx="1289">
                  <c:v>348.18</c:v>
                </c:pt>
                <c:pt idx="1290">
                  <c:v>348.38</c:v>
                </c:pt>
                <c:pt idx="1291">
                  <c:v>351.38</c:v>
                </c:pt>
                <c:pt idx="1292">
                  <c:v>351.16</c:v>
                </c:pt>
                <c:pt idx="1293">
                  <c:v>348.47</c:v>
                </c:pt>
                <c:pt idx="1294">
                  <c:v>348.28</c:v>
                </c:pt>
                <c:pt idx="1295">
                  <c:v>346.01</c:v>
                </c:pt>
                <c:pt idx="1296">
                  <c:v>342.49</c:v>
                </c:pt>
                <c:pt idx="1297">
                  <c:v>341.51</c:v>
                </c:pt>
                <c:pt idx="1298">
                  <c:v>340.65</c:v>
                </c:pt>
                <c:pt idx="1299">
                  <c:v>340.15</c:v>
                </c:pt>
                <c:pt idx="1300">
                  <c:v>339.74</c:v>
                </c:pt>
                <c:pt idx="1301">
                  <c:v>339.58</c:v>
                </c:pt>
                <c:pt idx="1302">
                  <c:v>336.16</c:v>
                </c:pt>
                <c:pt idx="1303">
                  <c:v>337.07</c:v>
                </c:pt>
                <c:pt idx="1304">
                  <c:v>339.75</c:v>
                </c:pt>
                <c:pt idx="1305">
                  <c:v>340.65</c:v>
                </c:pt>
                <c:pt idx="1306">
                  <c:v>341.27</c:v>
                </c:pt>
                <c:pt idx="1307">
                  <c:v>341.54</c:v>
                </c:pt>
                <c:pt idx="1308">
                  <c:v>341.71</c:v>
                </c:pt>
                <c:pt idx="1309">
                  <c:v>341.88</c:v>
                </c:pt>
                <c:pt idx="1310">
                  <c:v>342.06</c:v>
                </c:pt>
                <c:pt idx="1311">
                  <c:v>342.23</c:v>
                </c:pt>
                <c:pt idx="1312">
                  <c:v>342.43</c:v>
                </c:pt>
                <c:pt idx="1313">
                  <c:v>343.17</c:v>
                </c:pt>
                <c:pt idx="1314">
                  <c:v>343.43</c:v>
                </c:pt>
                <c:pt idx="1315">
                  <c:v>347.54</c:v>
                </c:pt>
                <c:pt idx="1316">
                  <c:v>347.75</c:v>
                </c:pt>
                <c:pt idx="1317">
                  <c:v>347.73</c:v>
                </c:pt>
                <c:pt idx="1318">
                  <c:v>346.97</c:v>
                </c:pt>
                <c:pt idx="1319">
                  <c:v>343.93</c:v>
                </c:pt>
                <c:pt idx="1320">
                  <c:v>342.55</c:v>
                </c:pt>
                <c:pt idx="1321">
                  <c:v>341.16</c:v>
                </c:pt>
                <c:pt idx="1322">
                  <c:v>339.62</c:v>
                </c:pt>
                <c:pt idx="1323">
                  <c:v>338.76</c:v>
                </c:pt>
                <c:pt idx="1324">
                  <c:v>338.75</c:v>
                </c:pt>
                <c:pt idx="1325">
                  <c:v>340.76</c:v>
                </c:pt>
                <c:pt idx="1326">
                  <c:v>342.36</c:v>
                </c:pt>
                <c:pt idx="1327">
                  <c:v>344.95</c:v>
                </c:pt>
                <c:pt idx="1328">
                  <c:v>348.94</c:v>
                </c:pt>
                <c:pt idx="1329">
                  <c:v>351.63</c:v>
                </c:pt>
                <c:pt idx="1330">
                  <c:v>352.4</c:v>
                </c:pt>
                <c:pt idx="1331">
                  <c:v>352.49</c:v>
                </c:pt>
                <c:pt idx="1332">
                  <c:v>352.21</c:v>
                </c:pt>
                <c:pt idx="1333">
                  <c:v>352.3</c:v>
                </c:pt>
                <c:pt idx="1334">
                  <c:v>352.2</c:v>
                </c:pt>
                <c:pt idx="1335">
                  <c:v>352.1</c:v>
                </c:pt>
                <c:pt idx="1336">
                  <c:v>352</c:v>
                </c:pt>
                <c:pt idx="1337">
                  <c:v>350.7</c:v>
                </c:pt>
                <c:pt idx="1338">
                  <c:v>349.5</c:v>
                </c:pt>
                <c:pt idx="1339">
                  <c:v>350.05</c:v>
                </c:pt>
                <c:pt idx="1340">
                  <c:v>350.05</c:v>
                </c:pt>
                <c:pt idx="1341">
                  <c:v>350.05</c:v>
                </c:pt>
                <c:pt idx="1342">
                  <c:v>349.52</c:v>
                </c:pt>
                <c:pt idx="1343">
                  <c:v>348.85</c:v>
                </c:pt>
                <c:pt idx="1344">
                  <c:v>346.04</c:v>
                </c:pt>
                <c:pt idx="1345">
                  <c:v>345.67</c:v>
                </c:pt>
                <c:pt idx="1346">
                  <c:v>345.15</c:v>
                </c:pt>
                <c:pt idx="1347">
                  <c:v>344.89</c:v>
                </c:pt>
                <c:pt idx="1348">
                  <c:v>344.85</c:v>
                </c:pt>
                <c:pt idx="1349">
                  <c:v>345.56</c:v>
                </c:pt>
                <c:pt idx="1350">
                  <c:v>345.68</c:v>
                </c:pt>
                <c:pt idx="1351">
                  <c:v>346.79</c:v>
                </c:pt>
                <c:pt idx="1352">
                  <c:v>350.85</c:v>
                </c:pt>
                <c:pt idx="1353">
                  <c:v>351.54</c:v>
                </c:pt>
                <c:pt idx="1354">
                  <c:v>355.26</c:v>
                </c:pt>
                <c:pt idx="1355">
                  <c:v>355.37</c:v>
                </c:pt>
                <c:pt idx="1356">
                  <c:v>352.74</c:v>
                </c:pt>
                <c:pt idx="1357">
                  <c:v>355.51</c:v>
                </c:pt>
                <c:pt idx="1358">
                  <c:v>355.66</c:v>
                </c:pt>
                <c:pt idx="1359">
                  <c:v>355.66</c:v>
                </c:pt>
                <c:pt idx="1360">
                  <c:v>355.4</c:v>
                </c:pt>
                <c:pt idx="1361">
                  <c:v>351.32</c:v>
                </c:pt>
                <c:pt idx="1362">
                  <c:v>350.75</c:v>
                </c:pt>
                <c:pt idx="1363">
                  <c:v>351.08</c:v>
                </c:pt>
                <c:pt idx="1364">
                  <c:v>350.94</c:v>
                </c:pt>
                <c:pt idx="1365">
                  <c:v>350.79</c:v>
                </c:pt>
                <c:pt idx="1366">
                  <c:v>350.71</c:v>
                </c:pt>
                <c:pt idx="1367">
                  <c:v>348.34</c:v>
                </c:pt>
                <c:pt idx="1368">
                  <c:v>343.98</c:v>
                </c:pt>
                <c:pt idx="1369">
                  <c:v>343.14</c:v>
                </c:pt>
                <c:pt idx="1370">
                  <c:v>342.07</c:v>
                </c:pt>
                <c:pt idx="1371">
                  <c:v>341.74</c:v>
                </c:pt>
                <c:pt idx="1372">
                  <c:v>341.76</c:v>
                </c:pt>
                <c:pt idx="1373">
                  <c:v>343.1</c:v>
                </c:pt>
                <c:pt idx="1374">
                  <c:v>344.34</c:v>
                </c:pt>
                <c:pt idx="1375">
                  <c:v>344.79</c:v>
                </c:pt>
                <c:pt idx="1376">
                  <c:v>346.77</c:v>
                </c:pt>
                <c:pt idx="1377">
                  <c:v>348.94</c:v>
                </c:pt>
                <c:pt idx="1378">
                  <c:v>350.29</c:v>
                </c:pt>
                <c:pt idx="1379">
                  <c:v>350.29</c:v>
                </c:pt>
                <c:pt idx="1380">
                  <c:v>349.45</c:v>
                </c:pt>
                <c:pt idx="1381">
                  <c:v>350.29</c:v>
                </c:pt>
                <c:pt idx="1382">
                  <c:v>350.4</c:v>
                </c:pt>
                <c:pt idx="1383">
                  <c:v>350.3</c:v>
                </c:pt>
                <c:pt idx="1384">
                  <c:v>350.3</c:v>
                </c:pt>
                <c:pt idx="1385">
                  <c:v>348.48</c:v>
                </c:pt>
                <c:pt idx="1386">
                  <c:v>346.44</c:v>
                </c:pt>
                <c:pt idx="1387">
                  <c:v>348.34</c:v>
                </c:pt>
                <c:pt idx="1388">
                  <c:v>348.35</c:v>
                </c:pt>
                <c:pt idx="1389">
                  <c:v>347.08</c:v>
                </c:pt>
                <c:pt idx="1390">
                  <c:v>346.88</c:v>
                </c:pt>
                <c:pt idx="1391">
                  <c:v>344.98</c:v>
                </c:pt>
                <c:pt idx="1392">
                  <c:v>341.1</c:v>
                </c:pt>
                <c:pt idx="1393">
                  <c:v>339.86</c:v>
                </c:pt>
                <c:pt idx="1394">
                  <c:v>338.28</c:v>
                </c:pt>
                <c:pt idx="1395">
                  <c:v>337.86</c:v>
                </c:pt>
                <c:pt idx="1396">
                  <c:v>338.04</c:v>
                </c:pt>
                <c:pt idx="1397">
                  <c:v>339.28</c:v>
                </c:pt>
                <c:pt idx="1398">
                  <c:v>341.44</c:v>
                </c:pt>
                <c:pt idx="1399">
                  <c:v>341.41</c:v>
                </c:pt>
                <c:pt idx="1400">
                  <c:v>343.84</c:v>
                </c:pt>
                <c:pt idx="1401">
                  <c:v>345.17</c:v>
                </c:pt>
                <c:pt idx="1402">
                  <c:v>346.12</c:v>
                </c:pt>
                <c:pt idx="1403">
                  <c:v>346.33</c:v>
                </c:pt>
                <c:pt idx="1404">
                  <c:v>345.12</c:v>
                </c:pt>
                <c:pt idx="1405">
                  <c:v>346.43</c:v>
                </c:pt>
                <c:pt idx="1406">
                  <c:v>346.54</c:v>
                </c:pt>
                <c:pt idx="1407">
                  <c:v>346.57</c:v>
                </c:pt>
                <c:pt idx="1408">
                  <c:v>346.58</c:v>
                </c:pt>
                <c:pt idx="1409">
                  <c:v>343.95</c:v>
                </c:pt>
                <c:pt idx="1410">
                  <c:v>342.41</c:v>
                </c:pt>
                <c:pt idx="1411">
                  <c:v>343.31</c:v>
                </c:pt>
                <c:pt idx="1412">
                  <c:v>343.1</c:v>
                </c:pt>
                <c:pt idx="1413">
                  <c:v>342.76</c:v>
                </c:pt>
                <c:pt idx="1414">
                  <c:v>342.15</c:v>
                </c:pt>
                <c:pt idx="1415">
                  <c:v>340.93</c:v>
                </c:pt>
                <c:pt idx="1416">
                  <c:v>339.35</c:v>
                </c:pt>
                <c:pt idx="1417">
                  <c:v>339.07</c:v>
                </c:pt>
                <c:pt idx="1418">
                  <c:v>338.54</c:v>
                </c:pt>
                <c:pt idx="1419">
                  <c:v>336.31</c:v>
                </c:pt>
                <c:pt idx="1420">
                  <c:v>336.38</c:v>
                </c:pt>
                <c:pt idx="1421">
                  <c:v>338.47</c:v>
                </c:pt>
                <c:pt idx="1422">
                  <c:v>339.35</c:v>
                </c:pt>
                <c:pt idx="1423">
                  <c:v>340.55</c:v>
                </c:pt>
                <c:pt idx="1424">
                  <c:v>344.63</c:v>
                </c:pt>
                <c:pt idx="1425">
                  <c:v>345.57</c:v>
                </c:pt>
                <c:pt idx="1426">
                  <c:v>346.41</c:v>
                </c:pt>
                <c:pt idx="1427">
                  <c:v>346.35</c:v>
                </c:pt>
                <c:pt idx="1428">
                  <c:v>345.66</c:v>
                </c:pt>
                <c:pt idx="1429">
                  <c:v>346.23</c:v>
                </c:pt>
                <c:pt idx="1430">
                  <c:v>346.17</c:v>
                </c:pt>
                <c:pt idx="1431">
                  <c:v>346.11</c:v>
                </c:pt>
                <c:pt idx="1432">
                  <c:v>346.05</c:v>
                </c:pt>
                <c:pt idx="1433">
                  <c:v>345.01</c:v>
                </c:pt>
                <c:pt idx="1434">
                  <c:v>344.31</c:v>
                </c:pt>
                <c:pt idx="1435">
                  <c:v>344.94</c:v>
                </c:pt>
                <c:pt idx="1436">
                  <c:v>344.99</c:v>
                </c:pt>
                <c:pt idx="1437">
                  <c:v>342.93</c:v>
                </c:pt>
                <c:pt idx="1438">
                  <c:v>340.87</c:v>
                </c:pt>
                <c:pt idx="1439">
                  <c:v>337.9</c:v>
                </c:pt>
                <c:pt idx="1440">
                  <c:v>250.79</c:v>
                </c:pt>
                <c:pt idx="1441">
                  <c:v>249.52</c:v>
                </c:pt>
                <c:pt idx="1442">
                  <c:v>248.35</c:v>
                </c:pt>
                <c:pt idx="1443">
                  <c:v>248.22</c:v>
                </c:pt>
                <c:pt idx="1444">
                  <c:v>248.17</c:v>
                </c:pt>
                <c:pt idx="1445">
                  <c:v>248.13</c:v>
                </c:pt>
                <c:pt idx="1446">
                  <c:v>248.09</c:v>
                </c:pt>
                <c:pt idx="1447">
                  <c:v>248.33</c:v>
                </c:pt>
                <c:pt idx="1448">
                  <c:v>250.97</c:v>
                </c:pt>
                <c:pt idx="1449">
                  <c:v>251.33</c:v>
                </c:pt>
                <c:pt idx="1450">
                  <c:v>251.43</c:v>
                </c:pt>
                <c:pt idx="1451">
                  <c:v>251.42</c:v>
                </c:pt>
                <c:pt idx="1452">
                  <c:v>251.41</c:v>
                </c:pt>
                <c:pt idx="1453">
                  <c:v>251.38</c:v>
                </c:pt>
                <c:pt idx="1454">
                  <c:v>251.31</c:v>
                </c:pt>
                <c:pt idx="1455">
                  <c:v>251.25</c:v>
                </c:pt>
                <c:pt idx="1456">
                  <c:v>251.23</c:v>
                </c:pt>
                <c:pt idx="1457">
                  <c:v>251.2</c:v>
                </c:pt>
                <c:pt idx="1458">
                  <c:v>251.72</c:v>
                </c:pt>
                <c:pt idx="1459">
                  <c:v>253.53</c:v>
                </c:pt>
                <c:pt idx="1460">
                  <c:v>253.2</c:v>
                </c:pt>
                <c:pt idx="1461">
                  <c:v>252.42</c:v>
                </c:pt>
                <c:pt idx="1462">
                  <c:v>251.79</c:v>
                </c:pt>
                <c:pt idx="1463">
                  <c:v>250.03</c:v>
                </c:pt>
                <c:pt idx="1464">
                  <c:v>245.46</c:v>
                </c:pt>
                <c:pt idx="1465">
                  <c:v>243.54</c:v>
                </c:pt>
                <c:pt idx="1466">
                  <c:v>242.93</c:v>
                </c:pt>
                <c:pt idx="1467">
                  <c:v>242.88</c:v>
                </c:pt>
                <c:pt idx="1468">
                  <c:v>242.84</c:v>
                </c:pt>
                <c:pt idx="1469">
                  <c:v>242.8</c:v>
                </c:pt>
                <c:pt idx="1470">
                  <c:v>242.76</c:v>
                </c:pt>
                <c:pt idx="1471">
                  <c:v>242.71</c:v>
                </c:pt>
                <c:pt idx="1472">
                  <c:v>242.67</c:v>
                </c:pt>
                <c:pt idx="1473">
                  <c:v>243.41</c:v>
                </c:pt>
                <c:pt idx="1474">
                  <c:v>244.6</c:v>
                </c:pt>
                <c:pt idx="1475">
                  <c:v>244.94</c:v>
                </c:pt>
                <c:pt idx="1476">
                  <c:v>244.82</c:v>
                </c:pt>
                <c:pt idx="1477">
                  <c:v>244.7</c:v>
                </c:pt>
                <c:pt idx="1478">
                  <c:v>244.67</c:v>
                </c:pt>
                <c:pt idx="1479">
                  <c:v>244.76</c:v>
                </c:pt>
                <c:pt idx="1480">
                  <c:v>244.83</c:v>
                </c:pt>
                <c:pt idx="1481">
                  <c:v>247.01</c:v>
                </c:pt>
                <c:pt idx="1482">
                  <c:v>251.58</c:v>
                </c:pt>
                <c:pt idx="1483">
                  <c:v>252.66</c:v>
                </c:pt>
                <c:pt idx="1484">
                  <c:v>252.78</c:v>
                </c:pt>
                <c:pt idx="1485">
                  <c:v>252.65</c:v>
                </c:pt>
                <c:pt idx="1486">
                  <c:v>252.52</c:v>
                </c:pt>
                <c:pt idx="1487">
                  <c:v>250.23</c:v>
                </c:pt>
                <c:pt idx="1488">
                  <c:v>251.05</c:v>
                </c:pt>
                <c:pt idx="1489">
                  <c:v>250.43</c:v>
                </c:pt>
                <c:pt idx="1490">
                  <c:v>249.02</c:v>
                </c:pt>
                <c:pt idx="1491">
                  <c:v>248.66</c:v>
                </c:pt>
                <c:pt idx="1492">
                  <c:v>248.68</c:v>
                </c:pt>
                <c:pt idx="1493">
                  <c:v>248.71</c:v>
                </c:pt>
                <c:pt idx="1494">
                  <c:v>248.72</c:v>
                </c:pt>
                <c:pt idx="1495">
                  <c:v>250.79</c:v>
                </c:pt>
                <c:pt idx="1496">
                  <c:v>252.51</c:v>
                </c:pt>
                <c:pt idx="1497">
                  <c:v>253.23</c:v>
                </c:pt>
                <c:pt idx="1498">
                  <c:v>253.21</c:v>
                </c:pt>
                <c:pt idx="1499">
                  <c:v>253.21</c:v>
                </c:pt>
                <c:pt idx="1500">
                  <c:v>253.1</c:v>
                </c:pt>
                <c:pt idx="1501">
                  <c:v>253.28</c:v>
                </c:pt>
                <c:pt idx="1502">
                  <c:v>253.35</c:v>
                </c:pt>
                <c:pt idx="1503">
                  <c:v>253.33</c:v>
                </c:pt>
                <c:pt idx="1504">
                  <c:v>253.3</c:v>
                </c:pt>
                <c:pt idx="1505">
                  <c:v>252.88</c:v>
                </c:pt>
                <c:pt idx="1506">
                  <c:v>252.92</c:v>
                </c:pt>
                <c:pt idx="1507">
                  <c:v>254.04</c:v>
                </c:pt>
                <c:pt idx="1508">
                  <c:v>254.06</c:v>
                </c:pt>
                <c:pt idx="1509">
                  <c:v>253.55</c:v>
                </c:pt>
                <c:pt idx="1510">
                  <c:v>253.13</c:v>
                </c:pt>
                <c:pt idx="1511">
                  <c:v>252.61</c:v>
                </c:pt>
                <c:pt idx="1512">
                  <c:v>251.55</c:v>
                </c:pt>
                <c:pt idx="1513">
                  <c:v>250.85</c:v>
                </c:pt>
                <c:pt idx="1514">
                  <c:v>250.25</c:v>
                </c:pt>
                <c:pt idx="1515">
                  <c:v>249.59</c:v>
                </c:pt>
                <c:pt idx="1516">
                  <c:v>249.21</c:v>
                </c:pt>
                <c:pt idx="1517">
                  <c:v>249.33</c:v>
                </c:pt>
                <c:pt idx="1518">
                  <c:v>246.85</c:v>
                </c:pt>
                <c:pt idx="1519">
                  <c:v>249.63</c:v>
                </c:pt>
                <c:pt idx="1520">
                  <c:v>251.15</c:v>
                </c:pt>
                <c:pt idx="1521">
                  <c:v>251.44</c:v>
                </c:pt>
                <c:pt idx="1522">
                  <c:v>251.4</c:v>
                </c:pt>
                <c:pt idx="1523">
                  <c:v>251.35</c:v>
                </c:pt>
                <c:pt idx="1524">
                  <c:v>251.31</c:v>
                </c:pt>
                <c:pt idx="1525">
                  <c:v>251.27</c:v>
                </c:pt>
                <c:pt idx="1526">
                  <c:v>251.22</c:v>
                </c:pt>
                <c:pt idx="1527">
                  <c:v>251.22</c:v>
                </c:pt>
                <c:pt idx="1528">
                  <c:v>251.13</c:v>
                </c:pt>
                <c:pt idx="1529">
                  <c:v>251.09</c:v>
                </c:pt>
                <c:pt idx="1530">
                  <c:v>251.19</c:v>
                </c:pt>
                <c:pt idx="1531">
                  <c:v>252.93</c:v>
                </c:pt>
                <c:pt idx="1532">
                  <c:v>253.46</c:v>
                </c:pt>
                <c:pt idx="1533">
                  <c:v>253.13</c:v>
                </c:pt>
                <c:pt idx="1534">
                  <c:v>252.54</c:v>
                </c:pt>
                <c:pt idx="1535">
                  <c:v>251.25</c:v>
                </c:pt>
                <c:pt idx="1536">
                  <c:v>252.47</c:v>
                </c:pt>
                <c:pt idx="1537">
                  <c:v>251.59</c:v>
                </c:pt>
                <c:pt idx="1538">
                  <c:v>251.19</c:v>
                </c:pt>
                <c:pt idx="1539">
                  <c:v>250.84</c:v>
                </c:pt>
                <c:pt idx="1540">
                  <c:v>250.5</c:v>
                </c:pt>
                <c:pt idx="1541">
                  <c:v>251.13</c:v>
                </c:pt>
                <c:pt idx="1542">
                  <c:v>251.56</c:v>
                </c:pt>
                <c:pt idx="1543">
                  <c:v>252.76</c:v>
                </c:pt>
                <c:pt idx="1544">
                  <c:v>253.6</c:v>
                </c:pt>
                <c:pt idx="1545">
                  <c:v>255.09</c:v>
                </c:pt>
                <c:pt idx="1546">
                  <c:v>256.08</c:v>
                </c:pt>
                <c:pt idx="1547">
                  <c:v>256.47000000000003</c:v>
                </c:pt>
                <c:pt idx="1548">
                  <c:v>256.17</c:v>
                </c:pt>
                <c:pt idx="1549">
                  <c:v>257.48</c:v>
                </c:pt>
                <c:pt idx="1550">
                  <c:v>257.77999999999997</c:v>
                </c:pt>
                <c:pt idx="1551">
                  <c:v>257.83999999999997</c:v>
                </c:pt>
                <c:pt idx="1552">
                  <c:v>257.83999999999997</c:v>
                </c:pt>
                <c:pt idx="1553">
                  <c:v>256.19</c:v>
                </c:pt>
                <c:pt idx="1554">
                  <c:v>255.41</c:v>
                </c:pt>
                <c:pt idx="1555">
                  <c:v>256.17</c:v>
                </c:pt>
                <c:pt idx="1556">
                  <c:v>256.17</c:v>
                </c:pt>
                <c:pt idx="1557">
                  <c:v>256.17</c:v>
                </c:pt>
                <c:pt idx="1558">
                  <c:v>255.11</c:v>
                </c:pt>
                <c:pt idx="1559">
                  <c:v>253.16</c:v>
                </c:pt>
                <c:pt idx="1560">
                  <c:v>251.94</c:v>
                </c:pt>
                <c:pt idx="1561">
                  <c:v>251.9</c:v>
                </c:pt>
                <c:pt idx="1562">
                  <c:v>251.79</c:v>
                </c:pt>
                <c:pt idx="1563">
                  <c:v>251.32</c:v>
                </c:pt>
                <c:pt idx="1564">
                  <c:v>251.19</c:v>
                </c:pt>
                <c:pt idx="1565">
                  <c:v>251.72</c:v>
                </c:pt>
                <c:pt idx="1566">
                  <c:v>251.68</c:v>
                </c:pt>
                <c:pt idx="1567">
                  <c:v>252.39</c:v>
                </c:pt>
                <c:pt idx="1568">
                  <c:v>254.61</c:v>
                </c:pt>
                <c:pt idx="1569">
                  <c:v>255.49</c:v>
                </c:pt>
                <c:pt idx="1570">
                  <c:v>256.39</c:v>
                </c:pt>
                <c:pt idx="1571">
                  <c:v>256.45</c:v>
                </c:pt>
                <c:pt idx="1572">
                  <c:v>255.49</c:v>
                </c:pt>
                <c:pt idx="1573">
                  <c:v>257.01</c:v>
                </c:pt>
                <c:pt idx="1574">
                  <c:v>258.55</c:v>
                </c:pt>
                <c:pt idx="1575">
                  <c:v>258.51</c:v>
                </c:pt>
                <c:pt idx="1576">
                  <c:v>257.41000000000003</c:v>
                </c:pt>
                <c:pt idx="1577">
                  <c:v>255.49</c:v>
                </c:pt>
                <c:pt idx="1578">
                  <c:v>254.76</c:v>
                </c:pt>
                <c:pt idx="1579">
                  <c:v>255.49</c:v>
                </c:pt>
                <c:pt idx="1580">
                  <c:v>255.49</c:v>
                </c:pt>
                <c:pt idx="1581">
                  <c:v>255.44</c:v>
                </c:pt>
                <c:pt idx="1582">
                  <c:v>254.38</c:v>
                </c:pt>
                <c:pt idx="1583">
                  <c:v>252.7</c:v>
                </c:pt>
                <c:pt idx="1584">
                  <c:v>252.53</c:v>
                </c:pt>
                <c:pt idx="1585">
                  <c:v>251.38</c:v>
                </c:pt>
                <c:pt idx="1586">
                  <c:v>251.15</c:v>
                </c:pt>
                <c:pt idx="1587">
                  <c:v>251.11</c:v>
                </c:pt>
                <c:pt idx="1588">
                  <c:v>251.06</c:v>
                </c:pt>
                <c:pt idx="1589">
                  <c:v>251.36</c:v>
                </c:pt>
                <c:pt idx="1590">
                  <c:v>252.44</c:v>
                </c:pt>
                <c:pt idx="1591">
                  <c:v>252.96</c:v>
                </c:pt>
                <c:pt idx="1592">
                  <c:v>256.37</c:v>
                </c:pt>
                <c:pt idx="1593">
                  <c:v>258.74</c:v>
                </c:pt>
                <c:pt idx="1594">
                  <c:v>260.43</c:v>
                </c:pt>
                <c:pt idx="1595">
                  <c:v>260.97000000000003</c:v>
                </c:pt>
                <c:pt idx="1596">
                  <c:v>260.3</c:v>
                </c:pt>
                <c:pt idx="1597">
                  <c:v>261.08999999999997</c:v>
                </c:pt>
                <c:pt idx="1598">
                  <c:v>261.16000000000003</c:v>
                </c:pt>
                <c:pt idx="1599">
                  <c:v>261.22000000000003</c:v>
                </c:pt>
                <c:pt idx="1600">
                  <c:v>261.08999999999997</c:v>
                </c:pt>
                <c:pt idx="1601">
                  <c:v>258.38</c:v>
                </c:pt>
                <c:pt idx="1602">
                  <c:v>255.16</c:v>
                </c:pt>
                <c:pt idx="1603">
                  <c:v>257.29000000000002</c:v>
                </c:pt>
                <c:pt idx="1604">
                  <c:v>257.25</c:v>
                </c:pt>
                <c:pt idx="1605">
                  <c:v>255.99</c:v>
                </c:pt>
                <c:pt idx="1606">
                  <c:v>254.79</c:v>
                </c:pt>
                <c:pt idx="1607">
                  <c:v>252.78</c:v>
                </c:pt>
                <c:pt idx="1608">
                  <c:v>181.75</c:v>
                </c:pt>
                <c:pt idx="1609">
                  <c:v>177.94</c:v>
                </c:pt>
                <c:pt idx="1610">
                  <c:v>177.91</c:v>
                </c:pt>
                <c:pt idx="1611">
                  <c:v>175.53</c:v>
                </c:pt>
                <c:pt idx="1612">
                  <c:v>173.3</c:v>
                </c:pt>
                <c:pt idx="1613">
                  <c:v>174.32</c:v>
                </c:pt>
                <c:pt idx="1614">
                  <c:v>172.01</c:v>
                </c:pt>
                <c:pt idx="1615">
                  <c:v>177.95</c:v>
                </c:pt>
                <c:pt idx="1616">
                  <c:v>179.95</c:v>
                </c:pt>
                <c:pt idx="1617">
                  <c:v>181.31</c:v>
                </c:pt>
                <c:pt idx="1618">
                  <c:v>181.33</c:v>
                </c:pt>
                <c:pt idx="1619">
                  <c:v>181.28</c:v>
                </c:pt>
                <c:pt idx="1620">
                  <c:v>181.23</c:v>
                </c:pt>
                <c:pt idx="1621">
                  <c:v>181.18</c:v>
                </c:pt>
                <c:pt idx="1622">
                  <c:v>181.13</c:v>
                </c:pt>
                <c:pt idx="1623">
                  <c:v>181.08</c:v>
                </c:pt>
                <c:pt idx="1624">
                  <c:v>181.03</c:v>
                </c:pt>
                <c:pt idx="1625">
                  <c:v>181.02</c:v>
                </c:pt>
                <c:pt idx="1626">
                  <c:v>184.46</c:v>
                </c:pt>
                <c:pt idx="1627">
                  <c:v>186.8</c:v>
                </c:pt>
                <c:pt idx="1628">
                  <c:v>186.77</c:v>
                </c:pt>
                <c:pt idx="1629">
                  <c:v>182.95</c:v>
                </c:pt>
                <c:pt idx="1630">
                  <c:v>180.87</c:v>
                </c:pt>
                <c:pt idx="1631">
                  <c:v>180.68</c:v>
                </c:pt>
                <c:pt idx="1632">
                  <c:v>228.36</c:v>
                </c:pt>
                <c:pt idx="1633">
                  <c:v>227.44</c:v>
                </c:pt>
                <c:pt idx="1634">
                  <c:v>227.04</c:v>
                </c:pt>
                <c:pt idx="1635">
                  <c:v>222.06</c:v>
                </c:pt>
                <c:pt idx="1636">
                  <c:v>221.77</c:v>
                </c:pt>
                <c:pt idx="1637">
                  <c:v>219.45</c:v>
                </c:pt>
                <c:pt idx="1638">
                  <c:v>210.4</c:v>
                </c:pt>
                <c:pt idx="1639">
                  <c:v>212.68</c:v>
                </c:pt>
                <c:pt idx="1640">
                  <c:v>221.85</c:v>
                </c:pt>
                <c:pt idx="1641">
                  <c:v>227.04</c:v>
                </c:pt>
                <c:pt idx="1642">
                  <c:v>227.09</c:v>
                </c:pt>
                <c:pt idx="1643">
                  <c:v>227.05</c:v>
                </c:pt>
                <c:pt idx="1644">
                  <c:v>227.01</c:v>
                </c:pt>
                <c:pt idx="1645">
                  <c:v>226.97</c:v>
                </c:pt>
                <c:pt idx="1646">
                  <c:v>227.01</c:v>
                </c:pt>
                <c:pt idx="1647">
                  <c:v>227.06</c:v>
                </c:pt>
                <c:pt idx="1648">
                  <c:v>229.32</c:v>
                </c:pt>
                <c:pt idx="1649">
                  <c:v>229.92</c:v>
                </c:pt>
                <c:pt idx="1650">
                  <c:v>236.98</c:v>
                </c:pt>
                <c:pt idx="1651">
                  <c:v>239.63</c:v>
                </c:pt>
                <c:pt idx="1652">
                  <c:v>239.66</c:v>
                </c:pt>
                <c:pt idx="1653">
                  <c:v>239.59</c:v>
                </c:pt>
                <c:pt idx="1654">
                  <c:v>239.53</c:v>
                </c:pt>
                <c:pt idx="1655">
                  <c:v>237.28</c:v>
                </c:pt>
                <c:pt idx="1656">
                  <c:v>246.36</c:v>
                </c:pt>
                <c:pt idx="1657">
                  <c:v>245.81</c:v>
                </c:pt>
                <c:pt idx="1658">
                  <c:v>245.26</c:v>
                </c:pt>
                <c:pt idx="1659">
                  <c:v>245.26</c:v>
                </c:pt>
                <c:pt idx="1660">
                  <c:v>245.26</c:v>
                </c:pt>
                <c:pt idx="1661">
                  <c:v>246.23</c:v>
                </c:pt>
                <c:pt idx="1662">
                  <c:v>246.41</c:v>
                </c:pt>
                <c:pt idx="1663">
                  <c:v>246.8</c:v>
                </c:pt>
                <c:pt idx="1664">
                  <c:v>250</c:v>
                </c:pt>
                <c:pt idx="1665">
                  <c:v>250.36</c:v>
                </c:pt>
                <c:pt idx="1666">
                  <c:v>252.13</c:v>
                </c:pt>
                <c:pt idx="1667">
                  <c:v>252.58</c:v>
                </c:pt>
                <c:pt idx="1668">
                  <c:v>251.58</c:v>
                </c:pt>
                <c:pt idx="1669">
                  <c:v>252.83</c:v>
                </c:pt>
                <c:pt idx="1670">
                  <c:v>254.05</c:v>
                </c:pt>
                <c:pt idx="1671">
                  <c:v>253.95</c:v>
                </c:pt>
                <c:pt idx="1672">
                  <c:v>252.72</c:v>
                </c:pt>
                <c:pt idx="1673">
                  <c:v>250.3</c:v>
                </c:pt>
                <c:pt idx="1674">
                  <c:v>248.92</c:v>
                </c:pt>
                <c:pt idx="1675">
                  <c:v>250.31</c:v>
                </c:pt>
                <c:pt idx="1676">
                  <c:v>250.31</c:v>
                </c:pt>
                <c:pt idx="1677">
                  <c:v>250.13</c:v>
                </c:pt>
                <c:pt idx="1678">
                  <c:v>248.87</c:v>
                </c:pt>
                <c:pt idx="1679">
                  <c:v>246.74</c:v>
                </c:pt>
                <c:pt idx="1680">
                  <c:v>244.36</c:v>
                </c:pt>
                <c:pt idx="1681">
                  <c:v>244.3</c:v>
                </c:pt>
                <c:pt idx="1682">
                  <c:v>244.26</c:v>
                </c:pt>
                <c:pt idx="1683">
                  <c:v>244.22</c:v>
                </c:pt>
                <c:pt idx="1684">
                  <c:v>244.18</c:v>
                </c:pt>
                <c:pt idx="1685">
                  <c:v>244.15</c:v>
                </c:pt>
                <c:pt idx="1686">
                  <c:v>244.6</c:v>
                </c:pt>
                <c:pt idx="1687">
                  <c:v>245.01</c:v>
                </c:pt>
                <c:pt idx="1688">
                  <c:v>248.71</c:v>
                </c:pt>
                <c:pt idx="1689">
                  <c:v>250.34</c:v>
                </c:pt>
                <c:pt idx="1690">
                  <c:v>252.45</c:v>
                </c:pt>
                <c:pt idx="1691">
                  <c:v>252.47</c:v>
                </c:pt>
                <c:pt idx="1692">
                  <c:v>251.1</c:v>
                </c:pt>
                <c:pt idx="1693">
                  <c:v>252.52</c:v>
                </c:pt>
                <c:pt idx="1694">
                  <c:v>252.76</c:v>
                </c:pt>
                <c:pt idx="1695">
                  <c:v>252.68</c:v>
                </c:pt>
                <c:pt idx="1696">
                  <c:v>252.59</c:v>
                </c:pt>
                <c:pt idx="1697">
                  <c:v>250.35</c:v>
                </c:pt>
                <c:pt idx="1698">
                  <c:v>249.11</c:v>
                </c:pt>
                <c:pt idx="1699">
                  <c:v>250.11</c:v>
                </c:pt>
                <c:pt idx="1700">
                  <c:v>249.98</c:v>
                </c:pt>
                <c:pt idx="1701">
                  <c:v>249.85</c:v>
                </c:pt>
                <c:pt idx="1702">
                  <c:v>248.54</c:v>
                </c:pt>
                <c:pt idx="1703">
                  <c:v>246.1</c:v>
                </c:pt>
                <c:pt idx="1704">
                  <c:v>242.1</c:v>
                </c:pt>
                <c:pt idx="1705">
                  <c:v>242.02</c:v>
                </c:pt>
                <c:pt idx="1706">
                  <c:v>240.99</c:v>
                </c:pt>
                <c:pt idx="1707">
                  <c:v>240.83</c:v>
                </c:pt>
                <c:pt idx="1708">
                  <c:v>240.86</c:v>
                </c:pt>
                <c:pt idx="1709">
                  <c:v>240.98</c:v>
                </c:pt>
                <c:pt idx="1710">
                  <c:v>242.13</c:v>
                </c:pt>
                <c:pt idx="1711">
                  <c:v>244.39</c:v>
                </c:pt>
                <c:pt idx="1712">
                  <c:v>245.08</c:v>
                </c:pt>
                <c:pt idx="1713">
                  <c:v>247.59</c:v>
                </c:pt>
                <c:pt idx="1714">
                  <c:v>248.8</c:v>
                </c:pt>
                <c:pt idx="1715">
                  <c:v>248.98</c:v>
                </c:pt>
                <c:pt idx="1716">
                  <c:v>248.16</c:v>
                </c:pt>
                <c:pt idx="1717">
                  <c:v>248.89</c:v>
                </c:pt>
                <c:pt idx="1718">
                  <c:v>249.07</c:v>
                </c:pt>
                <c:pt idx="1719">
                  <c:v>249.07</c:v>
                </c:pt>
                <c:pt idx="1720">
                  <c:v>248.81</c:v>
                </c:pt>
                <c:pt idx="1721">
                  <c:v>247.24</c:v>
                </c:pt>
                <c:pt idx="1722">
                  <c:v>246.05</c:v>
                </c:pt>
                <c:pt idx="1723">
                  <c:v>247.26</c:v>
                </c:pt>
                <c:pt idx="1724">
                  <c:v>247.17</c:v>
                </c:pt>
                <c:pt idx="1725">
                  <c:v>247.08</c:v>
                </c:pt>
                <c:pt idx="1726">
                  <c:v>244.78</c:v>
                </c:pt>
                <c:pt idx="1727">
                  <c:v>244.47</c:v>
                </c:pt>
                <c:pt idx="1728">
                  <c:v>241.86</c:v>
                </c:pt>
                <c:pt idx="1729">
                  <c:v>240.93</c:v>
                </c:pt>
                <c:pt idx="1730">
                  <c:v>240.6</c:v>
                </c:pt>
                <c:pt idx="1731">
                  <c:v>239.01</c:v>
                </c:pt>
                <c:pt idx="1732">
                  <c:v>240.19</c:v>
                </c:pt>
                <c:pt idx="1733">
                  <c:v>240.87</c:v>
                </c:pt>
                <c:pt idx="1734">
                  <c:v>241.86</c:v>
                </c:pt>
                <c:pt idx="1735">
                  <c:v>243.31</c:v>
                </c:pt>
                <c:pt idx="1736">
                  <c:v>247.29</c:v>
                </c:pt>
                <c:pt idx="1737">
                  <c:v>249.73</c:v>
                </c:pt>
                <c:pt idx="1738">
                  <c:v>250.21</c:v>
                </c:pt>
                <c:pt idx="1739">
                  <c:v>250.31</c:v>
                </c:pt>
                <c:pt idx="1740">
                  <c:v>249.87</c:v>
                </c:pt>
                <c:pt idx="1741">
                  <c:v>250.39</c:v>
                </c:pt>
                <c:pt idx="1742">
                  <c:v>250.48</c:v>
                </c:pt>
                <c:pt idx="1743">
                  <c:v>250.54</c:v>
                </c:pt>
                <c:pt idx="1744">
                  <c:v>250.53</c:v>
                </c:pt>
                <c:pt idx="1745">
                  <c:v>248.92</c:v>
                </c:pt>
                <c:pt idx="1746">
                  <c:v>248.72</c:v>
                </c:pt>
                <c:pt idx="1747">
                  <c:v>249.06</c:v>
                </c:pt>
                <c:pt idx="1748">
                  <c:v>248.97</c:v>
                </c:pt>
                <c:pt idx="1749">
                  <c:v>248.88</c:v>
                </c:pt>
                <c:pt idx="1750">
                  <c:v>248.28</c:v>
                </c:pt>
                <c:pt idx="1751">
                  <c:v>245.34</c:v>
                </c:pt>
                <c:pt idx="1752">
                  <c:v>243.5</c:v>
                </c:pt>
                <c:pt idx="1753">
                  <c:v>241.46</c:v>
                </c:pt>
                <c:pt idx="1754">
                  <c:v>241.09</c:v>
                </c:pt>
                <c:pt idx="1755">
                  <c:v>241.01</c:v>
                </c:pt>
                <c:pt idx="1756">
                  <c:v>240.99</c:v>
                </c:pt>
                <c:pt idx="1757">
                  <c:v>241.31</c:v>
                </c:pt>
                <c:pt idx="1758">
                  <c:v>243.31</c:v>
                </c:pt>
                <c:pt idx="1759">
                  <c:v>245.87</c:v>
                </c:pt>
                <c:pt idx="1760">
                  <c:v>247.79</c:v>
                </c:pt>
                <c:pt idx="1761">
                  <c:v>248.6</c:v>
                </c:pt>
                <c:pt idx="1762">
                  <c:v>249.65</c:v>
                </c:pt>
                <c:pt idx="1763">
                  <c:v>249.67</c:v>
                </c:pt>
                <c:pt idx="1764">
                  <c:v>249.19</c:v>
                </c:pt>
                <c:pt idx="1765">
                  <c:v>249.77</c:v>
                </c:pt>
                <c:pt idx="1766">
                  <c:v>249.86</c:v>
                </c:pt>
                <c:pt idx="1767">
                  <c:v>249.9</c:v>
                </c:pt>
                <c:pt idx="1768">
                  <c:v>248.79</c:v>
                </c:pt>
                <c:pt idx="1769">
                  <c:v>247.37</c:v>
                </c:pt>
                <c:pt idx="1770">
                  <c:v>247.27</c:v>
                </c:pt>
                <c:pt idx="1771">
                  <c:v>247.29</c:v>
                </c:pt>
                <c:pt idx="1772">
                  <c:v>247.24</c:v>
                </c:pt>
                <c:pt idx="1773">
                  <c:v>247.2</c:v>
                </c:pt>
                <c:pt idx="1774">
                  <c:v>246.51</c:v>
                </c:pt>
                <c:pt idx="1775">
                  <c:v>246.21</c:v>
                </c:pt>
                <c:pt idx="1776">
                  <c:v>181.75</c:v>
                </c:pt>
                <c:pt idx="1777">
                  <c:v>177.94</c:v>
                </c:pt>
                <c:pt idx="1778">
                  <c:v>177.91</c:v>
                </c:pt>
                <c:pt idx="1779">
                  <c:v>175.53</c:v>
                </c:pt>
                <c:pt idx="1780">
                  <c:v>173.3</c:v>
                </c:pt>
                <c:pt idx="1781">
                  <c:v>174.32</c:v>
                </c:pt>
                <c:pt idx="1782">
                  <c:v>172.01</c:v>
                </c:pt>
                <c:pt idx="1783">
                  <c:v>177.95</c:v>
                </c:pt>
                <c:pt idx="1784">
                  <c:v>179.95</c:v>
                </c:pt>
                <c:pt idx="1785">
                  <c:v>181.31</c:v>
                </c:pt>
                <c:pt idx="1786">
                  <c:v>181.33</c:v>
                </c:pt>
                <c:pt idx="1787">
                  <c:v>181.28</c:v>
                </c:pt>
                <c:pt idx="1788">
                  <c:v>181.23</c:v>
                </c:pt>
                <c:pt idx="1789">
                  <c:v>181.18</c:v>
                </c:pt>
                <c:pt idx="1790">
                  <c:v>181.13</c:v>
                </c:pt>
                <c:pt idx="1791">
                  <c:v>181.08</c:v>
                </c:pt>
                <c:pt idx="1792">
                  <c:v>181.03</c:v>
                </c:pt>
                <c:pt idx="1793">
                  <c:v>181.02</c:v>
                </c:pt>
                <c:pt idx="1794">
                  <c:v>184.46</c:v>
                </c:pt>
                <c:pt idx="1795">
                  <c:v>186.8</c:v>
                </c:pt>
                <c:pt idx="1796">
                  <c:v>186.77</c:v>
                </c:pt>
                <c:pt idx="1797">
                  <c:v>182.95</c:v>
                </c:pt>
                <c:pt idx="1798">
                  <c:v>180.87</c:v>
                </c:pt>
                <c:pt idx="1799">
                  <c:v>180.68</c:v>
                </c:pt>
                <c:pt idx="1800">
                  <c:v>158.44</c:v>
                </c:pt>
                <c:pt idx="1801">
                  <c:v>155.44999999999999</c:v>
                </c:pt>
                <c:pt idx="1802">
                  <c:v>155.41999999999999</c:v>
                </c:pt>
                <c:pt idx="1803">
                  <c:v>155.38999999999999</c:v>
                </c:pt>
                <c:pt idx="1804">
                  <c:v>155.37</c:v>
                </c:pt>
                <c:pt idx="1805">
                  <c:v>155.34</c:v>
                </c:pt>
                <c:pt idx="1806">
                  <c:v>154.57</c:v>
                </c:pt>
                <c:pt idx="1807">
                  <c:v>154.71</c:v>
                </c:pt>
                <c:pt idx="1808">
                  <c:v>155.26</c:v>
                </c:pt>
                <c:pt idx="1809">
                  <c:v>155.22999999999999</c:v>
                </c:pt>
                <c:pt idx="1810">
                  <c:v>155.26</c:v>
                </c:pt>
                <c:pt idx="1811">
                  <c:v>155.41</c:v>
                </c:pt>
                <c:pt idx="1812">
                  <c:v>155.41</c:v>
                </c:pt>
                <c:pt idx="1813">
                  <c:v>155.41</c:v>
                </c:pt>
                <c:pt idx="1814">
                  <c:v>155.41</c:v>
                </c:pt>
                <c:pt idx="1815">
                  <c:v>155.46</c:v>
                </c:pt>
                <c:pt idx="1816">
                  <c:v>158.46</c:v>
                </c:pt>
                <c:pt idx="1817">
                  <c:v>160.72999999999999</c:v>
                </c:pt>
                <c:pt idx="1818">
                  <c:v>163.87</c:v>
                </c:pt>
                <c:pt idx="1819">
                  <c:v>164.79</c:v>
                </c:pt>
                <c:pt idx="1820">
                  <c:v>163.9</c:v>
                </c:pt>
                <c:pt idx="1821">
                  <c:v>163.72999999999999</c:v>
                </c:pt>
                <c:pt idx="1822">
                  <c:v>163.69</c:v>
                </c:pt>
                <c:pt idx="1823">
                  <c:v>162.94999999999999</c:v>
                </c:pt>
                <c:pt idx="1824">
                  <c:v>189.85</c:v>
                </c:pt>
                <c:pt idx="1825">
                  <c:v>188.4</c:v>
                </c:pt>
                <c:pt idx="1826">
                  <c:v>188.3</c:v>
                </c:pt>
                <c:pt idx="1827">
                  <c:v>188.3</c:v>
                </c:pt>
                <c:pt idx="1828">
                  <c:v>188.36</c:v>
                </c:pt>
                <c:pt idx="1829">
                  <c:v>189.82</c:v>
                </c:pt>
                <c:pt idx="1830">
                  <c:v>189.85</c:v>
                </c:pt>
                <c:pt idx="1831">
                  <c:v>193.58</c:v>
                </c:pt>
                <c:pt idx="1832">
                  <c:v>198.8</c:v>
                </c:pt>
                <c:pt idx="1833">
                  <c:v>200.59</c:v>
                </c:pt>
                <c:pt idx="1834">
                  <c:v>200.59</c:v>
                </c:pt>
                <c:pt idx="1835">
                  <c:v>200.53</c:v>
                </c:pt>
                <c:pt idx="1836">
                  <c:v>200.38</c:v>
                </c:pt>
                <c:pt idx="1837">
                  <c:v>200.42</c:v>
                </c:pt>
                <c:pt idx="1838">
                  <c:v>200.37</c:v>
                </c:pt>
                <c:pt idx="1839">
                  <c:v>200.7</c:v>
                </c:pt>
                <c:pt idx="1840">
                  <c:v>200.26</c:v>
                </c:pt>
                <c:pt idx="1841">
                  <c:v>200.14</c:v>
                </c:pt>
                <c:pt idx="1842">
                  <c:v>200.08</c:v>
                </c:pt>
                <c:pt idx="1843">
                  <c:v>200.05</c:v>
                </c:pt>
                <c:pt idx="1844">
                  <c:v>199.99</c:v>
                </c:pt>
                <c:pt idx="1845">
                  <c:v>199.92</c:v>
                </c:pt>
                <c:pt idx="1846">
                  <c:v>199.76</c:v>
                </c:pt>
                <c:pt idx="1847">
                  <c:v>195.77</c:v>
                </c:pt>
                <c:pt idx="1848">
                  <c:v>189.54</c:v>
                </c:pt>
                <c:pt idx="1849">
                  <c:v>187.72</c:v>
                </c:pt>
                <c:pt idx="1850">
                  <c:v>187.7</c:v>
                </c:pt>
                <c:pt idx="1851">
                  <c:v>187.72</c:v>
                </c:pt>
                <c:pt idx="1852">
                  <c:v>187.72</c:v>
                </c:pt>
                <c:pt idx="1853">
                  <c:v>188.04</c:v>
                </c:pt>
                <c:pt idx="1854">
                  <c:v>189.54</c:v>
                </c:pt>
                <c:pt idx="1855">
                  <c:v>191.63</c:v>
                </c:pt>
                <c:pt idx="1856">
                  <c:v>194.02</c:v>
                </c:pt>
                <c:pt idx="1857">
                  <c:v>196.45</c:v>
                </c:pt>
                <c:pt idx="1858">
                  <c:v>198.05</c:v>
                </c:pt>
                <c:pt idx="1859">
                  <c:v>198.16</c:v>
                </c:pt>
                <c:pt idx="1860">
                  <c:v>197.69</c:v>
                </c:pt>
                <c:pt idx="1861">
                  <c:v>198.18</c:v>
                </c:pt>
                <c:pt idx="1862">
                  <c:v>198.54</c:v>
                </c:pt>
                <c:pt idx="1863">
                  <c:v>198.43</c:v>
                </c:pt>
                <c:pt idx="1864">
                  <c:v>198.21</c:v>
                </c:pt>
                <c:pt idx="1865">
                  <c:v>195.97</c:v>
                </c:pt>
                <c:pt idx="1866">
                  <c:v>195.43</c:v>
                </c:pt>
                <c:pt idx="1867">
                  <c:v>195.98</c:v>
                </c:pt>
                <c:pt idx="1868">
                  <c:v>195.91</c:v>
                </c:pt>
                <c:pt idx="1869">
                  <c:v>195.84</c:v>
                </c:pt>
                <c:pt idx="1870">
                  <c:v>195.66</c:v>
                </c:pt>
                <c:pt idx="1871">
                  <c:v>192.76</c:v>
                </c:pt>
                <c:pt idx="1872">
                  <c:v>192.05</c:v>
                </c:pt>
                <c:pt idx="1873">
                  <c:v>190.23</c:v>
                </c:pt>
                <c:pt idx="1874">
                  <c:v>190.18</c:v>
                </c:pt>
                <c:pt idx="1875">
                  <c:v>190.15</c:v>
                </c:pt>
                <c:pt idx="1876">
                  <c:v>190.13</c:v>
                </c:pt>
                <c:pt idx="1877">
                  <c:v>190.13</c:v>
                </c:pt>
                <c:pt idx="1878">
                  <c:v>190.3</c:v>
                </c:pt>
                <c:pt idx="1879">
                  <c:v>193.82</c:v>
                </c:pt>
                <c:pt idx="1880">
                  <c:v>199.71</c:v>
                </c:pt>
                <c:pt idx="1881">
                  <c:v>200.67</c:v>
                </c:pt>
                <c:pt idx="1882">
                  <c:v>200.77</c:v>
                </c:pt>
                <c:pt idx="1883">
                  <c:v>200.71</c:v>
                </c:pt>
                <c:pt idx="1884">
                  <c:v>200.64</c:v>
                </c:pt>
                <c:pt idx="1885">
                  <c:v>200.6</c:v>
                </c:pt>
                <c:pt idx="1886">
                  <c:v>200.69</c:v>
                </c:pt>
                <c:pt idx="1887">
                  <c:v>200.73</c:v>
                </c:pt>
                <c:pt idx="1888">
                  <c:v>200.44</c:v>
                </c:pt>
                <c:pt idx="1889">
                  <c:v>200.24</c:v>
                </c:pt>
                <c:pt idx="1890">
                  <c:v>200.08</c:v>
                </c:pt>
                <c:pt idx="1891">
                  <c:v>200.25</c:v>
                </c:pt>
                <c:pt idx="1892">
                  <c:v>200.18</c:v>
                </c:pt>
                <c:pt idx="1893">
                  <c:v>200.11</c:v>
                </c:pt>
                <c:pt idx="1894">
                  <c:v>199.02</c:v>
                </c:pt>
                <c:pt idx="1895">
                  <c:v>194.94</c:v>
                </c:pt>
                <c:pt idx="1896">
                  <c:v>187.6</c:v>
                </c:pt>
                <c:pt idx="1897">
                  <c:v>187.06</c:v>
                </c:pt>
                <c:pt idx="1898">
                  <c:v>185.42</c:v>
                </c:pt>
                <c:pt idx="1899">
                  <c:v>185.39</c:v>
                </c:pt>
                <c:pt idx="1900">
                  <c:v>185.36</c:v>
                </c:pt>
                <c:pt idx="1901">
                  <c:v>185.37</c:v>
                </c:pt>
                <c:pt idx="1902">
                  <c:v>187.01</c:v>
                </c:pt>
                <c:pt idx="1903">
                  <c:v>191.09</c:v>
                </c:pt>
                <c:pt idx="1904">
                  <c:v>195.4</c:v>
                </c:pt>
                <c:pt idx="1905">
                  <c:v>195.79</c:v>
                </c:pt>
                <c:pt idx="1906">
                  <c:v>195.74</c:v>
                </c:pt>
                <c:pt idx="1907">
                  <c:v>195.69</c:v>
                </c:pt>
                <c:pt idx="1908">
                  <c:v>195.63</c:v>
                </c:pt>
                <c:pt idx="1909">
                  <c:v>195.84</c:v>
                </c:pt>
                <c:pt idx="1910">
                  <c:v>196.26</c:v>
                </c:pt>
                <c:pt idx="1911">
                  <c:v>196.28</c:v>
                </c:pt>
                <c:pt idx="1912">
                  <c:v>196.29</c:v>
                </c:pt>
                <c:pt idx="1913">
                  <c:v>195.36</c:v>
                </c:pt>
                <c:pt idx="1914">
                  <c:v>195.29</c:v>
                </c:pt>
                <c:pt idx="1915">
                  <c:v>195.25</c:v>
                </c:pt>
                <c:pt idx="1916">
                  <c:v>195.2</c:v>
                </c:pt>
                <c:pt idx="1917">
                  <c:v>195.15</c:v>
                </c:pt>
                <c:pt idx="1918">
                  <c:v>195.09</c:v>
                </c:pt>
                <c:pt idx="1919">
                  <c:v>191.7</c:v>
                </c:pt>
                <c:pt idx="1920">
                  <c:v>185.99</c:v>
                </c:pt>
                <c:pt idx="1921">
                  <c:v>184.56</c:v>
                </c:pt>
                <c:pt idx="1922">
                  <c:v>184.31</c:v>
                </c:pt>
                <c:pt idx="1923">
                  <c:v>184.16</c:v>
                </c:pt>
                <c:pt idx="1924">
                  <c:v>184.29</c:v>
                </c:pt>
                <c:pt idx="1925">
                  <c:v>184.43</c:v>
                </c:pt>
                <c:pt idx="1926">
                  <c:v>184.87</c:v>
                </c:pt>
                <c:pt idx="1927">
                  <c:v>189.72</c:v>
                </c:pt>
                <c:pt idx="1928">
                  <c:v>194.31</c:v>
                </c:pt>
                <c:pt idx="1929">
                  <c:v>194.83</c:v>
                </c:pt>
                <c:pt idx="1930">
                  <c:v>194.8</c:v>
                </c:pt>
                <c:pt idx="1931">
                  <c:v>194.74</c:v>
                </c:pt>
                <c:pt idx="1932">
                  <c:v>194.52</c:v>
                </c:pt>
                <c:pt idx="1933">
                  <c:v>194.62</c:v>
                </c:pt>
                <c:pt idx="1934">
                  <c:v>194.58</c:v>
                </c:pt>
                <c:pt idx="1935">
                  <c:v>194.53</c:v>
                </c:pt>
                <c:pt idx="1936">
                  <c:v>194.48</c:v>
                </c:pt>
                <c:pt idx="1937">
                  <c:v>193.86</c:v>
                </c:pt>
                <c:pt idx="1938">
                  <c:v>193.1</c:v>
                </c:pt>
                <c:pt idx="1939">
                  <c:v>193.45</c:v>
                </c:pt>
                <c:pt idx="1940">
                  <c:v>193.24</c:v>
                </c:pt>
                <c:pt idx="1941">
                  <c:v>193.05</c:v>
                </c:pt>
                <c:pt idx="1942">
                  <c:v>191.28</c:v>
                </c:pt>
                <c:pt idx="1943">
                  <c:v>187.46</c:v>
                </c:pt>
                <c:pt idx="1944">
                  <c:v>160.78</c:v>
                </c:pt>
                <c:pt idx="1945">
                  <c:v>158</c:v>
                </c:pt>
                <c:pt idx="1946">
                  <c:v>157.97</c:v>
                </c:pt>
                <c:pt idx="1947">
                  <c:v>157.94</c:v>
                </c:pt>
                <c:pt idx="1948">
                  <c:v>157.91</c:v>
                </c:pt>
                <c:pt idx="1949">
                  <c:v>157.88999999999999</c:v>
                </c:pt>
                <c:pt idx="1950">
                  <c:v>157.86000000000001</c:v>
                </c:pt>
                <c:pt idx="1951">
                  <c:v>157.83000000000001</c:v>
                </c:pt>
                <c:pt idx="1952">
                  <c:v>159.55000000000001</c:v>
                </c:pt>
                <c:pt idx="1953">
                  <c:v>162.6</c:v>
                </c:pt>
                <c:pt idx="1954">
                  <c:v>164.76</c:v>
                </c:pt>
                <c:pt idx="1955">
                  <c:v>164.79</c:v>
                </c:pt>
                <c:pt idx="1956">
                  <c:v>164.79</c:v>
                </c:pt>
                <c:pt idx="1957">
                  <c:v>164.79</c:v>
                </c:pt>
                <c:pt idx="1958">
                  <c:v>164.79</c:v>
                </c:pt>
                <c:pt idx="1959">
                  <c:v>164.79</c:v>
                </c:pt>
                <c:pt idx="1960">
                  <c:v>164.79</c:v>
                </c:pt>
                <c:pt idx="1961">
                  <c:v>164.79</c:v>
                </c:pt>
                <c:pt idx="1962">
                  <c:v>166.45</c:v>
                </c:pt>
                <c:pt idx="1963">
                  <c:v>166.45</c:v>
                </c:pt>
                <c:pt idx="1964">
                  <c:v>166.38</c:v>
                </c:pt>
                <c:pt idx="1965">
                  <c:v>166.32</c:v>
                </c:pt>
                <c:pt idx="1966">
                  <c:v>166.27</c:v>
                </c:pt>
                <c:pt idx="1967">
                  <c:v>161.51</c:v>
                </c:pt>
                <c:pt idx="1968">
                  <c:v>95</c:v>
                </c:pt>
                <c:pt idx="1969">
                  <c:v>91.73</c:v>
                </c:pt>
                <c:pt idx="1970">
                  <c:v>72.400000000000006</c:v>
                </c:pt>
                <c:pt idx="1971">
                  <c:v>49.37</c:v>
                </c:pt>
                <c:pt idx="1972">
                  <c:v>44.01</c:v>
                </c:pt>
                <c:pt idx="1973">
                  <c:v>42.35</c:v>
                </c:pt>
                <c:pt idx="1974">
                  <c:v>42.35</c:v>
                </c:pt>
                <c:pt idx="1975">
                  <c:v>42.35</c:v>
                </c:pt>
                <c:pt idx="1976">
                  <c:v>51.62</c:v>
                </c:pt>
                <c:pt idx="1977">
                  <c:v>91.95</c:v>
                </c:pt>
                <c:pt idx="1978">
                  <c:v>94.81</c:v>
                </c:pt>
                <c:pt idx="1979">
                  <c:v>94.82</c:v>
                </c:pt>
                <c:pt idx="1980">
                  <c:v>94.81</c:v>
                </c:pt>
                <c:pt idx="1981">
                  <c:v>94.79</c:v>
                </c:pt>
                <c:pt idx="1982">
                  <c:v>94.77</c:v>
                </c:pt>
                <c:pt idx="1983">
                  <c:v>94.76</c:v>
                </c:pt>
                <c:pt idx="1984">
                  <c:v>94.74</c:v>
                </c:pt>
                <c:pt idx="1985">
                  <c:v>94.8</c:v>
                </c:pt>
                <c:pt idx="1986">
                  <c:v>103.15</c:v>
                </c:pt>
                <c:pt idx="1987">
                  <c:v>108.5</c:v>
                </c:pt>
                <c:pt idx="1988">
                  <c:v>108.47</c:v>
                </c:pt>
                <c:pt idx="1989">
                  <c:v>108.44</c:v>
                </c:pt>
                <c:pt idx="1990">
                  <c:v>108.41</c:v>
                </c:pt>
                <c:pt idx="1991">
                  <c:v>105.59</c:v>
                </c:pt>
                <c:pt idx="1992">
                  <c:v>220.04</c:v>
                </c:pt>
                <c:pt idx="1993">
                  <c:v>213.89</c:v>
                </c:pt>
                <c:pt idx="1994">
                  <c:v>211.07</c:v>
                </c:pt>
                <c:pt idx="1995">
                  <c:v>185.22</c:v>
                </c:pt>
                <c:pt idx="1996">
                  <c:v>208.87</c:v>
                </c:pt>
                <c:pt idx="1997">
                  <c:v>218.79</c:v>
                </c:pt>
                <c:pt idx="1998">
                  <c:v>223.18</c:v>
                </c:pt>
                <c:pt idx="1999">
                  <c:v>225.74</c:v>
                </c:pt>
                <c:pt idx="2000">
                  <c:v>228.91</c:v>
                </c:pt>
                <c:pt idx="2001">
                  <c:v>230.16</c:v>
                </c:pt>
                <c:pt idx="2002">
                  <c:v>230.68</c:v>
                </c:pt>
                <c:pt idx="2003">
                  <c:v>230.72</c:v>
                </c:pt>
                <c:pt idx="2004">
                  <c:v>230.21</c:v>
                </c:pt>
                <c:pt idx="2005">
                  <c:v>230.8</c:v>
                </c:pt>
                <c:pt idx="2006">
                  <c:v>231.32</c:v>
                </c:pt>
                <c:pt idx="2007">
                  <c:v>231.3</c:v>
                </c:pt>
                <c:pt idx="2008">
                  <c:v>230.82</c:v>
                </c:pt>
                <c:pt idx="2009">
                  <c:v>230.19</c:v>
                </c:pt>
                <c:pt idx="2010">
                  <c:v>230.26</c:v>
                </c:pt>
                <c:pt idx="2011">
                  <c:v>230.81</c:v>
                </c:pt>
                <c:pt idx="2012">
                  <c:v>230.53</c:v>
                </c:pt>
                <c:pt idx="2013">
                  <c:v>230.32</c:v>
                </c:pt>
                <c:pt idx="2014">
                  <c:v>230.04</c:v>
                </c:pt>
                <c:pt idx="2015">
                  <c:v>227.11</c:v>
                </c:pt>
                <c:pt idx="2016">
                  <c:v>228.56</c:v>
                </c:pt>
                <c:pt idx="2017">
                  <c:v>226.36</c:v>
                </c:pt>
                <c:pt idx="2018">
                  <c:v>223.05</c:v>
                </c:pt>
                <c:pt idx="2019">
                  <c:v>221.88</c:v>
                </c:pt>
                <c:pt idx="2020">
                  <c:v>222.4</c:v>
                </c:pt>
                <c:pt idx="2021">
                  <c:v>224.48</c:v>
                </c:pt>
                <c:pt idx="2022">
                  <c:v>228.5</c:v>
                </c:pt>
                <c:pt idx="2023">
                  <c:v>230.18</c:v>
                </c:pt>
                <c:pt idx="2024">
                  <c:v>230.83</c:v>
                </c:pt>
                <c:pt idx="2025">
                  <c:v>231.61</c:v>
                </c:pt>
                <c:pt idx="2026">
                  <c:v>232.14</c:v>
                </c:pt>
                <c:pt idx="2027">
                  <c:v>232.16</c:v>
                </c:pt>
                <c:pt idx="2028">
                  <c:v>231.91</c:v>
                </c:pt>
                <c:pt idx="2029">
                  <c:v>232.16</c:v>
                </c:pt>
                <c:pt idx="2030">
                  <c:v>233.84</c:v>
                </c:pt>
                <c:pt idx="2031">
                  <c:v>233.84</c:v>
                </c:pt>
                <c:pt idx="2032">
                  <c:v>233.14</c:v>
                </c:pt>
                <c:pt idx="2033">
                  <c:v>231.46</c:v>
                </c:pt>
                <c:pt idx="2034">
                  <c:v>231.35</c:v>
                </c:pt>
                <c:pt idx="2035">
                  <c:v>231.48</c:v>
                </c:pt>
                <c:pt idx="2036">
                  <c:v>231.48</c:v>
                </c:pt>
                <c:pt idx="2037">
                  <c:v>231.23</c:v>
                </c:pt>
                <c:pt idx="2038">
                  <c:v>230.98</c:v>
                </c:pt>
                <c:pt idx="2039">
                  <c:v>229.48</c:v>
                </c:pt>
                <c:pt idx="2040">
                  <c:v>227.08</c:v>
                </c:pt>
                <c:pt idx="2041">
                  <c:v>225.53</c:v>
                </c:pt>
                <c:pt idx="2042">
                  <c:v>221.38</c:v>
                </c:pt>
                <c:pt idx="2043">
                  <c:v>220.35</c:v>
                </c:pt>
                <c:pt idx="2044">
                  <c:v>220.47</c:v>
                </c:pt>
                <c:pt idx="2045">
                  <c:v>222.32</c:v>
                </c:pt>
                <c:pt idx="2046">
                  <c:v>226.84</c:v>
                </c:pt>
                <c:pt idx="2047">
                  <c:v>226.81</c:v>
                </c:pt>
                <c:pt idx="2048">
                  <c:v>229.43</c:v>
                </c:pt>
                <c:pt idx="2049">
                  <c:v>230.47</c:v>
                </c:pt>
                <c:pt idx="2050">
                  <c:v>231.73</c:v>
                </c:pt>
                <c:pt idx="2051">
                  <c:v>231.8</c:v>
                </c:pt>
                <c:pt idx="2052">
                  <c:v>231.09</c:v>
                </c:pt>
                <c:pt idx="2053">
                  <c:v>231.73</c:v>
                </c:pt>
                <c:pt idx="2054">
                  <c:v>232.04</c:v>
                </c:pt>
                <c:pt idx="2055">
                  <c:v>232.06</c:v>
                </c:pt>
                <c:pt idx="2056">
                  <c:v>231.71</c:v>
                </c:pt>
                <c:pt idx="2057">
                  <c:v>230.53</c:v>
                </c:pt>
                <c:pt idx="2058">
                  <c:v>230.44</c:v>
                </c:pt>
                <c:pt idx="2059">
                  <c:v>230.53</c:v>
                </c:pt>
                <c:pt idx="2060">
                  <c:v>230.48</c:v>
                </c:pt>
                <c:pt idx="2061">
                  <c:v>230.34</c:v>
                </c:pt>
                <c:pt idx="2062">
                  <c:v>228.71</c:v>
                </c:pt>
                <c:pt idx="2063">
                  <c:v>226.06</c:v>
                </c:pt>
                <c:pt idx="2064">
                  <c:v>219.98</c:v>
                </c:pt>
                <c:pt idx="2065">
                  <c:v>211.46</c:v>
                </c:pt>
                <c:pt idx="2066">
                  <c:v>177.87</c:v>
                </c:pt>
                <c:pt idx="2067">
                  <c:v>164.38</c:v>
                </c:pt>
                <c:pt idx="2068">
                  <c:v>164.38</c:v>
                </c:pt>
                <c:pt idx="2069">
                  <c:v>171.23</c:v>
                </c:pt>
                <c:pt idx="2070">
                  <c:v>214.32</c:v>
                </c:pt>
                <c:pt idx="2071">
                  <c:v>219.37</c:v>
                </c:pt>
                <c:pt idx="2072">
                  <c:v>220.46</c:v>
                </c:pt>
                <c:pt idx="2073">
                  <c:v>223.83</c:v>
                </c:pt>
                <c:pt idx="2074">
                  <c:v>225.55</c:v>
                </c:pt>
                <c:pt idx="2075">
                  <c:v>225.26</c:v>
                </c:pt>
                <c:pt idx="2076">
                  <c:v>223.87</c:v>
                </c:pt>
                <c:pt idx="2077">
                  <c:v>225.98</c:v>
                </c:pt>
                <c:pt idx="2078">
                  <c:v>227.41</c:v>
                </c:pt>
                <c:pt idx="2079">
                  <c:v>227.68</c:v>
                </c:pt>
                <c:pt idx="2080">
                  <c:v>226.12</c:v>
                </c:pt>
                <c:pt idx="2081">
                  <c:v>222.79</c:v>
                </c:pt>
                <c:pt idx="2082">
                  <c:v>222.71</c:v>
                </c:pt>
                <c:pt idx="2083">
                  <c:v>223.44</c:v>
                </c:pt>
                <c:pt idx="2084">
                  <c:v>223.5</c:v>
                </c:pt>
                <c:pt idx="2085">
                  <c:v>222.17</c:v>
                </c:pt>
                <c:pt idx="2086">
                  <c:v>220.08</c:v>
                </c:pt>
                <c:pt idx="2087">
                  <c:v>219.19</c:v>
                </c:pt>
                <c:pt idx="2088">
                  <c:v>218.62</c:v>
                </c:pt>
                <c:pt idx="2089">
                  <c:v>190.95</c:v>
                </c:pt>
                <c:pt idx="2090">
                  <c:v>165.82</c:v>
                </c:pt>
                <c:pt idx="2091">
                  <c:v>165.82</c:v>
                </c:pt>
                <c:pt idx="2092">
                  <c:v>165.65</c:v>
                </c:pt>
                <c:pt idx="2093">
                  <c:v>186.2</c:v>
                </c:pt>
                <c:pt idx="2094">
                  <c:v>215.8</c:v>
                </c:pt>
                <c:pt idx="2095">
                  <c:v>220.85</c:v>
                </c:pt>
                <c:pt idx="2096">
                  <c:v>222.92</c:v>
                </c:pt>
                <c:pt idx="2097">
                  <c:v>226.24</c:v>
                </c:pt>
                <c:pt idx="2098">
                  <c:v>228.33</c:v>
                </c:pt>
                <c:pt idx="2099">
                  <c:v>228.34</c:v>
                </c:pt>
                <c:pt idx="2100">
                  <c:v>227.05</c:v>
                </c:pt>
                <c:pt idx="2101">
                  <c:v>228.37</c:v>
                </c:pt>
                <c:pt idx="2102">
                  <c:v>228.96</c:v>
                </c:pt>
                <c:pt idx="2103">
                  <c:v>228.92</c:v>
                </c:pt>
                <c:pt idx="2104">
                  <c:v>228.37</c:v>
                </c:pt>
                <c:pt idx="2105">
                  <c:v>226.36</c:v>
                </c:pt>
                <c:pt idx="2106">
                  <c:v>226.46</c:v>
                </c:pt>
                <c:pt idx="2107">
                  <c:v>226.72</c:v>
                </c:pt>
                <c:pt idx="2108">
                  <c:v>226.36</c:v>
                </c:pt>
                <c:pt idx="2109">
                  <c:v>222.17</c:v>
                </c:pt>
                <c:pt idx="2110">
                  <c:v>221.16</c:v>
                </c:pt>
                <c:pt idx="2111">
                  <c:v>216.14</c:v>
                </c:pt>
                <c:pt idx="2112">
                  <c:v>161.29</c:v>
                </c:pt>
                <c:pt idx="2113">
                  <c:v>158.86000000000001</c:v>
                </c:pt>
                <c:pt idx="2114">
                  <c:v>154.19999999999999</c:v>
                </c:pt>
                <c:pt idx="2115">
                  <c:v>152.94999999999999</c:v>
                </c:pt>
                <c:pt idx="2116">
                  <c:v>152.18</c:v>
                </c:pt>
                <c:pt idx="2117">
                  <c:v>152.94</c:v>
                </c:pt>
                <c:pt idx="2118">
                  <c:v>140.52000000000001</c:v>
                </c:pt>
                <c:pt idx="2119">
                  <c:v>153.65</c:v>
                </c:pt>
                <c:pt idx="2120">
                  <c:v>161.07</c:v>
                </c:pt>
                <c:pt idx="2121">
                  <c:v>161.53</c:v>
                </c:pt>
                <c:pt idx="2122">
                  <c:v>162.27000000000001</c:v>
                </c:pt>
                <c:pt idx="2123">
                  <c:v>162.41</c:v>
                </c:pt>
                <c:pt idx="2124">
                  <c:v>162.47999999999999</c:v>
                </c:pt>
                <c:pt idx="2125">
                  <c:v>162.22999999999999</c:v>
                </c:pt>
                <c:pt idx="2126">
                  <c:v>162.22999999999999</c:v>
                </c:pt>
                <c:pt idx="2127">
                  <c:v>162.27000000000001</c:v>
                </c:pt>
                <c:pt idx="2128">
                  <c:v>162.44</c:v>
                </c:pt>
                <c:pt idx="2129">
                  <c:v>164.1</c:v>
                </c:pt>
                <c:pt idx="2130">
                  <c:v>205.89</c:v>
                </c:pt>
                <c:pt idx="2131">
                  <c:v>209.06</c:v>
                </c:pt>
                <c:pt idx="2132">
                  <c:v>206.02</c:v>
                </c:pt>
                <c:pt idx="2133">
                  <c:v>180.95</c:v>
                </c:pt>
                <c:pt idx="2134">
                  <c:v>160.6</c:v>
                </c:pt>
                <c:pt idx="2135">
                  <c:v>160.57</c:v>
                </c:pt>
                <c:pt idx="2136">
                  <c:v>95</c:v>
                </c:pt>
                <c:pt idx="2137">
                  <c:v>91.73</c:v>
                </c:pt>
                <c:pt idx="2138">
                  <c:v>72.400000000000006</c:v>
                </c:pt>
                <c:pt idx="2139">
                  <c:v>49.37</c:v>
                </c:pt>
                <c:pt idx="2140">
                  <c:v>44.01</c:v>
                </c:pt>
                <c:pt idx="2141">
                  <c:v>42.35</c:v>
                </c:pt>
                <c:pt idx="2142">
                  <c:v>42.35</c:v>
                </c:pt>
                <c:pt idx="2143">
                  <c:v>42.35</c:v>
                </c:pt>
                <c:pt idx="2144">
                  <c:v>51.62</c:v>
                </c:pt>
                <c:pt idx="2145">
                  <c:v>91.95</c:v>
                </c:pt>
                <c:pt idx="2146">
                  <c:v>94.81</c:v>
                </c:pt>
                <c:pt idx="2147">
                  <c:v>94.82</c:v>
                </c:pt>
                <c:pt idx="2148">
                  <c:v>94.81</c:v>
                </c:pt>
                <c:pt idx="2149">
                  <c:v>94.79</c:v>
                </c:pt>
                <c:pt idx="2150">
                  <c:v>94.77</c:v>
                </c:pt>
                <c:pt idx="2151">
                  <c:v>94.76</c:v>
                </c:pt>
                <c:pt idx="2152">
                  <c:v>94.74</c:v>
                </c:pt>
                <c:pt idx="2153">
                  <c:v>94.8</c:v>
                </c:pt>
                <c:pt idx="2154">
                  <c:v>103.15</c:v>
                </c:pt>
                <c:pt idx="2155">
                  <c:v>108.5</c:v>
                </c:pt>
                <c:pt idx="2156">
                  <c:v>108.47</c:v>
                </c:pt>
                <c:pt idx="2157">
                  <c:v>108.44</c:v>
                </c:pt>
                <c:pt idx="2158">
                  <c:v>108.41</c:v>
                </c:pt>
                <c:pt idx="2159">
                  <c:v>105.59</c:v>
                </c:pt>
                <c:pt idx="2160">
                  <c:v>209.8</c:v>
                </c:pt>
                <c:pt idx="2161">
                  <c:v>208.24</c:v>
                </c:pt>
                <c:pt idx="2162">
                  <c:v>203.87</c:v>
                </c:pt>
                <c:pt idx="2163">
                  <c:v>203.41</c:v>
                </c:pt>
                <c:pt idx="2164">
                  <c:v>204.03</c:v>
                </c:pt>
                <c:pt idx="2165">
                  <c:v>209.51</c:v>
                </c:pt>
                <c:pt idx="2166">
                  <c:v>210.67</c:v>
                </c:pt>
                <c:pt idx="2167">
                  <c:v>212.67</c:v>
                </c:pt>
                <c:pt idx="2168">
                  <c:v>213.96</c:v>
                </c:pt>
                <c:pt idx="2169">
                  <c:v>214.83</c:v>
                </c:pt>
                <c:pt idx="2170">
                  <c:v>215.12</c:v>
                </c:pt>
                <c:pt idx="2171">
                  <c:v>215.2</c:v>
                </c:pt>
                <c:pt idx="2172">
                  <c:v>214.91</c:v>
                </c:pt>
                <c:pt idx="2173">
                  <c:v>215.13</c:v>
                </c:pt>
                <c:pt idx="2174">
                  <c:v>215.09</c:v>
                </c:pt>
                <c:pt idx="2175">
                  <c:v>215.05</c:v>
                </c:pt>
                <c:pt idx="2176">
                  <c:v>215.02</c:v>
                </c:pt>
                <c:pt idx="2177">
                  <c:v>214.78</c:v>
                </c:pt>
                <c:pt idx="2178">
                  <c:v>214.73</c:v>
                </c:pt>
                <c:pt idx="2179">
                  <c:v>214.68</c:v>
                </c:pt>
                <c:pt idx="2180">
                  <c:v>214.6</c:v>
                </c:pt>
                <c:pt idx="2181">
                  <c:v>214.52</c:v>
                </c:pt>
                <c:pt idx="2182">
                  <c:v>214.42</c:v>
                </c:pt>
                <c:pt idx="2183">
                  <c:v>213.59</c:v>
                </c:pt>
                <c:pt idx="2184">
                  <c:v>212.29</c:v>
                </c:pt>
                <c:pt idx="2185">
                  <c:v>210.92</c:v>
                </c:pt>
                <c:pt idx="2186">
                  <c:v>209.98</c:v>
                </c:pt>
                <c:pt idx="2187">
                  <c:v>209.47</c:v>
                </c:pt>
                <c:pt idx="2188">
                  <c:v>209.58</c:v>
                </c:pt>
                <c:pt idx="2189">
                  <c:v>210.8</c:v>
                </c:pt>
                <c:pt idx="2190">
                  <c:v>212.28</c:v>
                </c:pt>
                <c:pt idx="2191">
                  <c:v>213.67</c:v>
                </c:pt>
                <c:pt idx="2192">
                  <c:v>215.64</c:v>
                </c:pt>
                <c:pt idx="2193">
                  <c:v>216.3</c:v>
                </c:pt>
                <c:pt idx="2194">
                  <c:v>216.4</c:v>
                </c:pt>
                <c:pt idx="2195">
                  <c:v>216.6</c:v>
                </c:pt>
                <c:pt idx="2196">
                  <c:v>216.41</c:v>
                </c:pt>
                <c:pt idx="2197">
                  <c:v>216.62</c:v>
                </c:pt>
                <c:pt idx="2198">
                  <c:v>216.61</c:v>
                </c:pt>
                <c:pt idx="2199">
                  <c:v>216.57</c:v>
                </c:pt>
                <c:pt idx="2200">
                  <c:v>216.53</c:v>
                </c:pt>
                <c:pt idx="2201">
                  <c:v>216.39</c:v>
                </c:pt>
                <c:pt idx="2202">
                  <c:v>216.41</c:v>
                </c:pt>
                <c:pt idx="2203">
                  <c:v>216.42</c:v>
                </c:pt>
                <c:pt idx="2204">
                  <c:v>216.39</c:v>
                </c:pt>
                <c:pt idx="2205">
                  <c:v>216.35</c:v>
                </c:pt>
                <c:pt idx="2206">
                  <c:v>216.02</c:v>
                </c:pt>
                <c:pt idx="2207">
                  <c:v>214.28</c:v>
                </c:pt>
                <c:pt idx="2208">
                  <c:v>214.48</c:v>
                </c:pt>
                <c:pt idx="2209">
                  <c:v>214.09</c:v>
                </c:pt>
                <c:pt idx="2210">
                  <c:v>213.92</c:v>
                </c:pt>
                <c:pt idx="2211">
                  <c:v>213.94</c:v>
                </c:pt>
                <c:pt idx="2212">
                  <c:v>213.98</c:v>
                </c:pt>
                <c:pt idx="2213">
                  <c:v>214.02</c:v>
                </c:pt>
                <c:pt idx="2214">
                  <c:v>214.25</c:v>
                </c:pt>
                <c:pt idx="2215">
                  <c:v>214.47</c:v>
                </c:pt>
                <c:pt idx="2216">
                  <c:v>216.5</c:v>
                </c:pt>
                <c:pt idx="2217">
                  <c:v>217.95</c:v>
                </c:pt>
                <c:pt idx="2218">
                  <c:v>220.28</c:v>
                </c:pt>
                <c:pt idx="2219">
                  <c:v>220.88</c:v>
                </c:pt>
                <c:pt idx="2220">
                  <c:v>219.57</c:v>
                </c:pt>
                <c:pt idx="2221">
                  <c:v>221.3</c:v>
                </c:pt>
                <c:pt idx="2222">
                  <c:v>223.87</c:v>
                </c:pt>
                <c:pt idx="2223">
                  <c:v>223.89</c:v>
                </c:pt>
                <c:pt idx="2224">
                  <c:v>222.24</c:v>
                </c:pt>
                <c:pt idx="2225">
                  <c:v>218.56</c:v>
                </c:pt>
                <c:pt idx="2226">
                  <c:v>219.09</c:v>
                </c:pt>
                <c:pt idx="2227">
                  <c:v>219.34</c:v>
                </c:pt>
                <c:pt idx="2228">
                  <c:v>218.62</c:v>
                </c:pt>
                <c:pt idx="2229">
                  <c:v>218.05</c:v>
                </c:pt>
                <c:pt idx="2230">
                  <c:v>217.34</c:v>
                </c:pt>
                <c:pt idx="2231">
                  <c:v>214.61</c:v>
                </c:pt>
                <c:pt idx="2232">
                  <c:v>213.56</c:v>
                </c:pt>
                <c:pt idx="2233">
                  <c:v>213.1</c:v>
                </c:pt>
                <c:pt idx="2234">
                  <c:v>213.02</c:v>
                </c:pt>
                <c:pt idx="2235">
                  <c:v>213.01</c:v>
                </c:pt>
                <c:pt idx="2236">
                  <c:v>213</c:v>
                </c:pt>
                <c:pt idx="2237">
                  <c:v>213.02</c:v>
                </c:pt>
                <c:pt idx="2238">
                  <c:v>213.34</c:v>
                </c:pt>
                <c:pt idx="2239">
                  <c:v>213.32</c:v>
                </c:pt>
                <c:pt idx="2240">
                  <c:v>216.53</c:v>
                </c:pt>
                <c:pt idx="2241">
                  <c:v>217.76</c:v>
                </c:pt>
                <c:pt idx="2242">
                  <c:v>220.61</c:v>
                </c:pt>
                <c:pt idx="2243">
                  <c:v>220.83</c:v>
                </c:pt>
                <c:pt idx="2244">
                  <c:v>219.32</c:v>
                </c:pt>
                <c:pt idx="2245">
                  <c:v>221.13</c:v>
                </c:pt>
                <c:pt idx="2246">
                  <c:v>225.13</c:v>
                </c:pt>
                <c:pt idx="2247">
                  <c:v>225.15</c:v>
                </c:pt>
                <c:pt idx="2248">
                  <c:v>221.74</c:v>
                </c:pt>
                <c:pt idx="2249">
                  <c:v>217.46</c:v>
                </c:pt>
                <c:pt idx="2250">
                  <c:v>218.05</c:v>
                </c:pt>
                <c:pt idx="2251">
                  <c:v>218.34</c:v>
                </c:pt>
                <c:pt idx="2252">
                  <c:v>217.41</c:v>
                </c:pt>
                <c:pt idx="2253">
                  <c:v>217.38</c:v>
                </c:pt>
                <c:pt idx="2254">
                  <c:v>216.4</c:v>
                </c:pt>
                <c:pt idx="2255">
                  <c:v>213.55</c:v>
                </c:pt>
                <c:pt idx="2256">
                  <c:v>211.57</c:v>
                </c:pt>
                <c:pt idx="2257">
                  <c:v>210.85</c:v>
                </c:pt>
                <c:pt idx="2258">
                  <c:v>210.22</c:v>
                </c:pt>
                <c:pt idx="2259">
                  <c:v>209.94</c:v>
                </c:pt>
                <c:pt idx="2260">
                  <c:v>209.73</c:v>
                </c:pt>
                <c:pt idx="2261">
                  <c:v>210.26</c:v>
                </c:pt>
                <c:pt idx="2262">
                  <c:v>211</c:v>
                </c:pt>
                <c:pt idx="2263">
                  <c:v>211.29</c:v>
                </c:pt>
                <c:pt idx="2264">
                  <c:v>213.15</c:v>
                </c:pt>
                <c:pt idx="2265">
                  <c:v>214.9</c:v>
                </c:pt>
                <c:pt idx="2266">
                  <c:v>214.97</c:v>
                </c:pt>
                <c:pt idx="2267">
                  <c:v>214.93</c:v>
                </c:pt>
                <c:pt idx="2268">
                  <c:v>214.88</c:v>
                </c:pt>
                <c:pt idx="2269">
                  <c:v>214.88</c:v>
                </c:pt>
                <c:pt idx="2270">
                  <c:v>216.12</c:v>
                </c:pt>
                <c:pt idx="2271">
                  <c:v>216.1</c:v>
                </c:pt>
                <c:pt idx="2272">
                  <c:v>214.75</c:v>
                </c:pt>
                <c:pt idx="2273">
                  <c:v>213.55</c:v>
                </c:pt>
                <c:pt idx="2274">
                  <c:v>213.65</c:v>
                </c:pt>
                <c:pt idx="2275">
                  <c:v>214.25</c:v>
                </c:pt>
                <c:pt idx="2276">
                  <c:v>214.04</c:v>
                </c:pt>
                <c:pt idx="2277">
                  <c:v>212.43</c:v>
                </c:pt>
                <c:pt idx="2278">
                  <c:v>211.55</c:v>
                </c:pt>
                <c:pt idx="2279">
                  <c:v>210.41</c:v>
                </c:pt>
                <c:pt idx="2280">
                  <c:v>178.32</c:v>
                </c:pt>
                <c:pt idx="2281">
                  <c:v>177.61</c:v>
                </c:pt>
                <c:pt idx="2282">
                  <c:v>175.66</c:v>
                </c:pt>
                <c:pt idx="2283">
                  <c:v>175.14</c:v>
                </c:pt>
                <c:pt idx="2284">
                  <c:v>175.14</c:v>
                </c:pt>
                <c:pt idx="2285">
                  <c:v>175.14</c:v>
                </c:pt>
                <c:pt idx="2286">
                  <c:v>175.14</c:v>
                </c:pt>
                <c:pt idx="2287">
                  <c:v>175.76</c:v>
                </c:pt>
                <c:pt idx="2288">
                  <c:v>177.92</c:v>
                </c:pt>
                <c:pt idx="2289">
                  <c:v>178.42</c:v>
                </c:pt>
                <c:pt idx="2290">
                  <c:v>178.51</c:v>
                </c:pt>
                <c:pt idx="2291">
                  <c:v>178.52</c:v>
                </c:pt>
                <c:pt idx="2292">
                  <c:v>178.51</c:v>
                </c:pt>
                <c:pt idx="2293">
                  <c:v>178.47</c:v>
                </c:pt>
                <c:pt idx="2294">
                  <c:v>178.51</c:v>
                </c:pt>
                <c:pt idx="2295">
                  <c:v>178.51</c:v>
                </c:pt>
                <c:pt idx="2296">
                  <c:v>178.51</c:v>
                </c:pt>
                <c:pt idx="2297">
                  <c:v>178.53</c:v>
                </c:pt>
                <c:pt idx="2298">
                  <c:v>179.55</c:v>
                </c:pt>
                <c:pt idx="2299">
                  <c:v>179.55</c:v>
                </c:pt>
                <c:pt idx="2300">
                  <c:v>179.5</c:v>
                </c:pt>
                <c:pt idx="2301">
                  <c:v>178.68</c:v>
                </c:pt>
                <c:pt idx="2302">
                  <c:v>178.04</c:v>
                </c:pt>
                <c:pt idx="2303">
                  <c:v>177.54</c:v>
                </c:pt>
                <c:pt idx="2304">
                  <c:v>170.1</c:v>
                </c:pt>
                <c:pt idx="2305">
                  <c:v>169.89</c:v>
                </c:pt>
                <c:pt idx="2306">
                  <c:v>169.86</c:v>
                </c:pt>
                <c:pt idx="2307">
                  <c:v>168.82</c:v>
                </c:pt>
                <c:pt idx="2308">
                  <c:v>168.9</c:v>
                </c:pt>
                <c:pt idx="2309">
                  <c:v>168.98</c:v>
                </c:pt>
                <c:pt idx="2310">
                  <c:v>168.69</c:v>
                </c:pt>
                <c:pt idx="2311">
                  <c:v>168.71</c:v>
                </c:pt>
                <c:pt idx="2312">
                  <c:v>169.56</c:v>
                </c:pt>
                <c:pt idx="2313">
                  <c:v>169.65</c:v>
                </c:pt>
                <c:pt idx="2314">
                  <c:v>169.65</c:v>
                </c:pt>
                <c:pt idx="2315">
                  <c:v>169.61</c:v>
                </c:pt>
                <c:pt idx="2316">
                  <c:v>169.61</c:v>
                </c:pt>
                <c:pt idx="2317">
                  <c:v>169.68</c:v>
                </c:pt>
                <c:pt idx="2318">
                  <c:v>169.76</c:v>
                </c:pt>
                <c:pt idx="2319">
                  <c:v>169.84</c:v>
                </c:pt>
                <c:pt idx="2320">
                  <c:v>169.88</c:v>
                </c:pt>
                <c:pt idx="2321">
                  <c:v>170</c:v>
                </c:pt>
                <c:pt idx="2322">
                  <c:v>174.8</c:v>
                </c:pt>
                <c:pt idx="2323">
                  <c:v>174.82</c:v>
                </c:pt>
                <c:pt idx="2324">
                  <c:v>174.82</c:v>
                </c:pt>
                <c:pt idx="2325">
                  <c:v>174.82</c:v>
                </c:pt>
                <c:pt idx="2326">
                  <c:v>174.34</c:v>
                </c:pt>
                <c:pt idx="2327">
                  <c:v>172.43</c:v>
                </c:pt>
                <c:pt idx="2328">
                  <c:v>174.66</c:v>
                </c:pt>
                <c:pt idx="2329">
                  <c:v>171.92</c:v>
                </c:pt>
                <c:pt idx="2330">
                  <c:v>170.3</c:v>
                </c:pt>
                <c:pt idx="2331">
                  <c:v>170.39</c:v>
                </c:pt>
                <c:pt idx="2332">
                  <c:v>170.39</c:v>
                </c:pt>
                <c:pt idx="2333">
                  <c:v>173.61</c:v>
                </c:pt>
                <c:pt idx="2334">
                  <c:v>174.99</c:v>
                </c:pt>
                <c:pt idx="2335">
                  <c:v>176.64</c:v>
                </c:pt>
                <c:pt idx="2336">
                  <c:v>177.62</c:v>
                </c:pt>
                <c:pt idx="2337">
                  <c:v>178.49</c:v>
                </c:pt>
                <c:pt idx="2338">
                  <c:v>179.07</c:v>
                </c:pt>
                <c:pt idx="2339">
                  <c:v>179.05</c:v>
                </c:pt>
                <c:pt idx="2340">
                  <c:v>178.68</c:v>
                </c:pt>
                <c:pt idx="2341">
                  <c:v>179.06</c:v>
                </c:pt>
                <c:pt idx="2342">
                  <c:v>179.07</c:v>
                </c:pt>
                <c:pt idx="2343">
                  <c:v>179.07</c:v>
                </c:pt>
                <c:pt idx="2344">
                  <c:v>179.07</c:v>
                </c:pt>
                <c:pt idx="2345">
                  <c:v>178.79</c:v>
                </c:pt>
                <c:pt idx="2346">
                  <c:v>178.85</c:v>
                </c:pt>
                <c:pt idx="2347">
                  <c:v>178.88</c:v>
                </c:pt>
                <c:pt idx="2348">
                  <c:v>178.85</c:v>
                </c:pt>
                <c:pt idx="2349">
                  <c:v>178.08</c:v>
                </c:pt>
                <c:pt idx="2350">
                  <c:v>177.41</c:v>
                </c:pt>
                <c:pt idx="2351">
                  <c:v>176.26</c:v>
                </c:pt>
                <c:pt idx="2352">
                  <c:v>177.82</c:v>
                </c:pt>
                <c:pt idx="2353">
                  <c:v>176.96</c:v>
                </c:pt>
                <c:pt idx="2354">
                  <c:v>176</c:v>
                </c:pt>
                <c:pt idx="2355">
                  <c:v>175.97</c:v>
                </c:pt>
                <c:pt idx="2356">
                  <c:v>175.95</c:v>
                </c:pt>
                <c:pt idx="2357">
                  <c:v>177.28</c:v>
                </c:pt>
                <c:pt idx="2358">
                  <c:v>177.91</c:v>
                </c:pt>
                <c:pt idx="2359">
                  <c:v>178.18</c:v>
                </c:pt>
                <c:pt idx="2360">
                  <c:v>178.76</c:v>
                </c:pt>
                <c:pt idx="2361">
                  <c:v>179.97</c:v>
                </c:pt>
                <c:pt idx="2362">
                  <c:v>180.54</c:v>
                </c:pt>
                <c:pt idx="2363">
                  <c:v>180.57</c:v>
                </c:pt>
                <c:pt idx="2364">
                  <c:v>179.95</c:v>
                </c:pt>
                <c:pt idx="2365">
                  <c:v>180.55</c:v>
                </c:pt>
                <c:pt idx="2366">
                  <c:v>180.6</c:v>
                </c:pt>
                <c:pt idx="2367">
                  <c:v>180.61</c:v>
                </c:pt>
                <c:pt idx="2368">
                  <c:v>180.54</c:v>
                </c:pt>
                <c:pt idx="2369">
                  <c:v>179.51</c:v>
                </c:pt>
                <c:pt idx="2370">
                  <c:v>179.87</c:v>
                </c:pt>
                <c:pt idx="2371">
                  <c:v>179.91</c:v>
                </c:pt>
                <c:pt idx="2372">
                  <c:v>179.45</c:v>
                </c:pt>
                <c:pt idx="2373">
                  <c:v>179.36</c:v>
                </c:pt>
                <c:pt idx="2374">
                  <c:v>178.82</c:v>
                </c:pt>
                <c:pt idx="2375">
                  <c:v>178.17</c:v>
                </c:pt>
                <c:pt idx="2376">
                  <c:v>178.28</c:v>
                </c:pt>
                <c:pt idx="2377">
                  <c:v>177.47</c:v>
                </c:pt>
                <c:pt idx="2378">
                  <c:v>176.95</c:v>
                </c:pt>
                <c:pt idx="2379">
                  <c:v>176.9</c:v>
                </c:pt>
                <c:pt idx="2380">
                  <c:v>177.25</c:v>
                </c:pt>
                <c:pt idx="2381">
                  <c:v>177.92</c:v>
                </c:pt>
                <c:pt idx="2382">
                  <c:v>178.41</c:v>
                </c:pt>
                <c:pt idx="2383">
                  <c:v>180.04</c:v>
                </c:pt>
                <c:pt idx="2384">
                  <c:v>180.47</c:v>
                </c:pt>
                <c:pt idx="2385">
                  <c:v>180.71</c:v>
                </c:pt>
                <c:pt idx="2386">
                  <c:v>180.68</c:v>
                </c:pt>
                <c:pt idx="2387">
                  <c:v>180.65</c:v>
                </c:pt>
                <c:pt idx="2388">
                  <c:v>180.61</c:v>
                </c:pt>
                <c:pt idx="2389">
                  <c:v>180.59</c:v>
                </c:pt>
                <c:pt idx="2390">
                  <c:v>180.66</c:v>
                </c:pt>
                <c:pt idx="2391">
                  <c:v>180.69</c:v>
                </c:pt>
                <c:pt idx="2392">
                  <c:v>180.6</c:v>
                </c:pt>
                <c:pt idx="2393">
                  <c:v>180.46</c:v>
                </c:pt>
                <c:pt idx="2394">
                  <c:v>180.52</c:v>
                </c:pt>
                <c:pt idx="2395">
                  <c:v>180.49</c:v>
                </c:pt>
                <c:pt idx="2396">
                  <c:v>180.46</c:v>
                </c:pt>
                <c:pt idx="2397">
                  <c:v>180.43</c:v>
                </c:pt>
                <c:pt idx="2398">
                  <c:v>180.3</c:v>
                </c:pt>
                <c:pt idx="2399">
                  <c:v>180.22</c:v>
                </c:pt>
                <c:pt idx="2400">
                  <c:v>178.09</c:v>
                </c:pt>
                <c:pt idx="2401">
                  <c:v>177.39</c:v>
                </c:pt>
                <c:pt idx="2402">
                  <c:v>176.47</c:v>
                </c:pt>
                <c:pt idx="2403">
                  <c:v>175.94</c:v>
                </c:pt>
                <c:pt idx="2404">
                  <c:v>176.3</c:v>
                </c:pt>
                <c:pt idx="2405">
                  <c:v>177.48</c:v>
                </c:pt>
                <c:pt idx="2406">
                  <c:v>178.09</c:v>
                </c:pt>
                <c:pt idx="2407">
                  <c:v>179.6</c:v>
                </c:pt>
                <c:pt idx="2408">
                  <c:v>180.53</c:v>
                </c:pt>
                <c:pt idx="2409">
                  <c:v>180.86</c:v>
                </c:pt>
                <c:pt idx="2410">
                  <c:v>180.87</c:v>
                </c:pt>
                <c:pt idx="2411">
                  <c:v>181.02</c:v>
                </c:pt>
                <c:pt idx="2412">
                  <c:v>180.77</c:v>
                </c:pt>
                <c:pt idx="2413">
                  <c:v>181.02</c:v>
                </c:pt>
                <c:pt idx="2414">
                  <c:v>181.25</c:v>
                </c:pt>
                <c:pt idx="2415">
                  <c:v>181.27</c:v>
                </c:pt>
                <c:pt idx="2416">
                  <c:v>181.14</c:v>
                </c:pt>
                <c:pt idx="2417">
                  <c:v>180.61</c:v>
                </c:pt>
                <c:pt idx="2418">
                  <c:v>180.62</c:v>
                </c:pt>
                <c:pt idx="2419">
                  <c:v>180.87</c:v>
                </c:pt>
                <c:pt idx="2420">
                  <c:v>180.52</c:v>
                </c:pt>
                <c:pt idx="2421">
                  <c:v>180.48</c:v>
                </c:pt>
                <c:pt idx="2422">
                  <c:v>180.45</c:v>
                </c:pt>
                <c:pt idx="2423">
                  <c:v>179.17</c:v>
                </c:pt>
                <c:pt idx="2424">
                  <c:v>173.99</c:v>
                </c:pt>
                <c:pt idx="2425">
                  <c:v>172.57</c:v>
                </c:pt>
                <c:pt idx="2426">
                  <c:v>171.81</c:v>
                </c:pt>
                <c:pt idx="2427">
                  <c:v>171.51</c:v>
                </c:pt>
                <c:pt idx="2428">
                  <c:v>171.74</c:v>
                </c:pt>
                <c:pt idx="2429">
                  <c:v>172.58</c:v>
                </c:pt>
                <c:pt idx="2430">
                  <c:v>173.63</c:v>
                </c:pt>
                <c:pt idx="2431">
                  <c:v>174.36</c:v>
                </c:pt>
                <c:pt idx="2432">
                  <c:v>176.93</c:v>
                </c:pt>
                <c:pt idx="2433">
                  <c:v>177.79</c:v>
                </c:pt>
                <c:pt idx="2434">
                  <c:v>177.9</c:v>
                </c:pt>
                <c:pt idx="2435">
                  <c:v>177.73</c:v>
                </c:pt>
                <c:pt idx="2436">
                  <c:v>177.33</c:v>
                </c:pt>
                <c:pt idx="2437">
                  <c:v>177.66</c:v>
                </c:pt>
                <c:pt idx="2438">
                  <c:v>178.15</c:v>
                </c:pt>
                <c:pt idx="2439">
                  <c:v>178.16</c:v>
                </c:pt>
                <c:pt idx="2440">
                  <c:v>177.57</c:v>
                </c:pt>
                <c:pt idx="2441">
                  <c:v>177.23</c:v>
                </c:pt>
                <c:pt idx="2442">
                  <c:v>177.26</c:v>
                </c:pt>
                <c:pt idx="2443">
                  <c:v>177.48</c:v>
                </c:pt>
                <c:pt idx="2444">
                  <c:v>177.23</c:v>
                </c:pt>
                <c:pt idx="2445">
                  <c:v>174.89</c:v>
                </c:pt>
                <c:pt idx="2446">
                  <c:v>173.99</c:v>
                </c:pt>
                <c:pt idx="2447">
                  <c:v>172.01</c:v>
                </c:pt>
                <c:pt idx="2448">
                  <c:v>180.89</c:v>
                </c:pt>
                <c:pt idx="2449">
                  <c:v>180.64</c:v>
                </c:pt>
                <c:pt idx="2450">
                  <c:v>180.04</c:v>
                </c:pt>
                <c:pt idx="2451">
                  <c:v>179.05</c:v>
                </c:pt>
                <c:pt idx="2452">
                  <c:v>178.95</c:v>
                </c:pt>
                <c:pt idx="2453">
                  <c:v>179.07</c:v>
                </c:pt>
                <c:pt idx="2454">
                  <c:v>179.19</c:v>
                </c:pt>
                <c:pt idx="2455">
                  <c:v>180.21</c:v>
                </c:pt>
                <c:pt idx="2456">
                  <c:v>180.64</c:v>
                </c:pt>
                <c:pt idx="2457">
                  <c:v>180.64</c:v>
                </c:pt>
                <c:pt idx="2458">
                  <c:v>180.64</c:v>
                </c:pt>
                <c:pt idx="2459">
                  <c:v>180.64</c:v>
                </c:pt>
                <c:pt idx="2460">
                  <c:v>180.64</c:v>
                </c:pt>
                <c:pt idx="2461">
                  <c:v>180.64</c:v>
                </c:pt>
                <c:pt idx="2462">
                  <c:v>180.63</c:v>
                </c:pt>
                <c:pt idx="2463">
                  <c:v>180.63</c:v>
                </c:pt>
                <c:pt idx="2464">
                  <c:v>180.63</c:v>
                </c:pt>
                <c:pt idx="2465">
                  <c:v>180.64</c:v>
                </c:pt>
                <c:pt idx="2466">
                  <c:v>181.42</c:v>
                </c:pt>
                <c:pt idx="2467">
                  <c:v>181.68</c:v>
                </c:pt>
                <c:pt idx="2468">
                  <c:v>180.91</c:v>
                </c:pt>
                <c:pt idx="2469">
                  <c:v>180.64</c:v>
                </c:pt>
                <c:pt idx="2470">
                  <c:v>180.61</c:v>
                </c:pt>
                <c:pt idx="2471">
                  <c:v>180.16</c:v>
                </c:pt>
                <c:pt idx="2472">
                  <c:v>163</c:v>
                </c:pt>
                <c:pt idx="2473">
                  <c:v>156.66999999999999</c:v>
                </c:pt>
                <c:pt idx="2474">
                  <c:v>138.08000000000001</c:v>
                </c:pt>
                <c:pt idx="2475">
                  <c:v>42.35</c:v>
                </c:pt>
                <c:pt idx="2476">
                  <c:v>42.35</c:v>
                </c:pt>
                <c:pt idx="2477">
                  <c:v>42.35</c:v>
                </c:pt>
                <c:pt idx="2478">
                  <c:v>42.35</c:v>
                </c:pt>
                <c:pt idx="2479">
                  <c:v>42.35</c:v>
                </c:pt>
                <c:pt idx="2480">
                  <c:v>42.35</c:v>
                </c:pt>
                <c:pt idx="2481">
                  <c:v>74.03</c:v>
                </c:pt>
                <c:pt idx="2482">
                  <c:v>156.66999999999999</c:v>
                </c:pt>
                <c:pt idx="2483">
                  <c:v>164.37</c:v>
                </c:pt>
                <c:pt idx="2484">
                  <c:v>164.38</c:v>
                </c:pt>
                <c:pt idx="2485">
                  <c:v>164.39</c:v>
                </c:pt>
                <c:pt idx="2486">
                  <c:v>164.38</c:v>
                </c:pt>
                <c:pt idx="2487">
                  <c:v>164.66</c:v>
                </c:pt>
                <c:pt idx="2488">
                  <c:v>172.97</c:v>
                </c:pt>
                <c:pt idx="2489">
                  <c:v>175.02</c:v>
                </c:pt>
                <c:pt idx="2490">
                  <c:v>178.93</c:v>
                </c:pt>
                <c:pt idx="2491">
                  <c:v>178.89</c:v>
                </c:pt>
                <c:pt idx="2492">
                  <c:v>178.86</c:v>
                </c:pt>
                <c:pt idx="2493">
                  <c:v>178.83</c:v>
                </c:pt>
                <c:pt idx="2494">
                  <c:v>178.8</c:v>
                </c:pt>
                <c:pt idx="2495">
                  <c:v>178.68</c:v>
                </c:pt>
                <c:pt idx="2496">
                  <c:v>186.45</c:v>
                </c:pt>
                <c:pt idx="2497">
                  <c:v>184.6</c:v>
                </c:pt>
                <c:pt idx="2498">
                  <c:v>180.96</c:v>
                </c:pt>
                <c:pt idx="2499">
                  <c:v>179.97</c:v>
                </c:pt>
                <c:pt idx="2500">
                  <c:v>181.25</c:v>
                </c:pt>
                <c:pt idx="2501">
                  <c:v>186.54</c:v>
                </c:pt>
                <c:pt idx="2502">
                  <c:v>186.81</c:v>
                </c:pt>
                <c:pt idx="2503">
                  <c:v>188.31</c:v>
                </c:pt>
                <c:pt idx="2504">
                  <c:v>189.23</c:v>
                </c:pt>
                <c:pt idx="2505">
                  <c:v>189.77</c:v>
                </c:pt>
                <c:pt idx="2506">
                  <c:v>190.56</c:v>
                </c:pt>
                <c:pt idx="2507">
                  <c:v>190.71</c:v>
                </c:pt>
                <c:pt idx="2508">
                  <c:v>190.39</c:v>
                </c:pt>
                <c:pt idx="2509">
                  <c:v>190.7</c:v>
                </c:pt>
                <c:pt idx="2510">
                  <c:v>190.72</c:v>
                </c:pt>
                <c:pt idx="2511">
                  <c:v>190.69</c:v>
                </c:pt>
                <c:pt idx="2512">
                  <c:v>190.66</c:v>
                </c:pt>
                <c:pt idx="2513">
                  <c:v>190.23</c:v>
                </c:pt>
                <c:pt idx="2514">
                  <c:v>190.2</c:v>
                </c:pt>
                <c:pt idx="2515">
                  <c:v>190.21</c:v>
                </c:pt>
                <c:pt idx="2516">
                  <c:v>190.13</c:v>
                </c:pt>
                <c:pt idx="2517">
                  <c:v>190.1</c:v>
                </c:pt>
                <c:pt idx="2518">
                  <c:v>189.63</c:v>
                </c:pt>
                <c:pt idx="2519">
                  <c:v>188.63</c:v>
                </c:pt>
                <c:pt idx="2520">
                  <c:v>182.52</c:v>
                </c:pt>
                <c:pt idx="2521">
                  <c:v>181.22</c:v>
                </c:pt>
                <c:pt idx="2522">
                  <c:v>179.9</c:v>
                </c:pt>
                <c:pt idx="2523">
                  <c:v>179.9</c:v>
                </c:pt>
                <c:pt idx="2524">
                  <c:v>179.9</c:v>
                </c:pt>
                <c:pt idx="2525">
                  <c:v>181.42</c:v>
                </c:pt>
                <c:pt idx="2526">
                  <c:v>183.42</c:v>
                </c:pt>
                <c:pt idx="2527">
                  <c:v>185.06</c:v>
                </c:pt>
                <c:pt idx="2528">
                  <c:v>185.33</c:v>
                </c:pt>
                <c:pt idx="2529">
                  <c:v>186.1</c:v>
                </c:pt>
                <c:pt idx="2530">
                  <c:v>187.2</c:v>
                </c:pt>
                <c:pt idx="2531">
                  <c:v>187.31</c:v>
                </c:pt>
                <c:pt idx="2532">
                  <c:v>187.18</c:v>
                </c:pt>
                <c:pt idx="2533">
                  <c:v>187.3</c:v>
                </c:pt>
                <c:pt idx="2534">
                  <c:v>187.48</c:v>
                </c:pt>
                <c:pt idx="2535">
                  <c:v>187.45</c:v>
                </c:pt>
                <c:pt idx="2536">
                  <c:v>187.42</c:v>
                </c:pt>
                <c:pt idx="2537">
                  <c:v>187.01</c:v>
                </c:pt>
                <c:pt idx="2538">
                  <c:v>187.27</c:v>
                </c:pt>
                <c:pt idx="2539">
                  <c:v>187.26</c:v>
                </c:pt>
                <c:pt idx="2540">
                  <c:v>187.21</c:v>
                </c:pt>
                <c:pt idx="2541">
                  <c:v>187.13</c:v>
                </c:pt>
                <c:pt idx="2542">
                  <c:v>186.31</c:v>
                </c:pt>
                <c:pt idx="2543">
                  <c:v>185.14</c:v>
                </c:pt>
                <c:pt idx="2544">
                  <c:v>181</c:v>
                </c:pt>
                <c:pt idx="2545">
                  <c:v>180.03</c:v>
                </c:pt>
                <c:pt idx="2546">
                  <c:v>178.64</c:v>
                </c:pt>
                <c:pt idx="2547">
                  <c:v>178.08</c:v>
                </c:pt>
                <c:pt idx="2548">
                  <c:v>178.63</c:v>
                </c:pt>
                <c:pt idx="2549">
                  <c:v>180.03</c:v>
                </c:pt>
                <c:pt idx="2550">
                  <c:v>181.06</c:v>
                </c:pt>
                <c:pt idx="2551">
                  <c:v>182.5</c:v>
                </c:pt>
                <c:pt idx="2552">
                  <c:v>183.75</c:v>
                </c:pt>
                <c:pt idx="2553">
                  <c:v>184.81</c:v>
                </c:pt>
                <c:pt idx="2554">
                  <c:v>185.71</c:v>
                </c:pt>
                <c:pt idx="2555">
                  <c:v>185.36</c:v>
                </c:pt>
                <c:pt idx="2556">
                  <c:v>184.84</c:v>
                </c:pt>
                <c:pt idx="2557">
                  <c:v>185.63</c:v>
                </c:pt>
                <c:pt idx="2558">
                  <c:v>186.22</c:v>
                </c:pt>
                <c:pt idx="2559">
                  <c:v>186.19</c:v>
                </c:pt>
                <c:pt idx="2560">
                  <c:v>186.15</c:v>
                </c:pt>
                <c:pt idx="2561">
                  <c:v>184.64</c:v>
                </c:pt>
                <c:pt idx="2562">
                  <c:v>184.73</c:v>
                </c:pt>
                <c:pt idx="2563">
                  <c:v>184.82</c:v>
                </c:pt>
                <c:pt idx="2564">
                  <c:v>184.94</c:v>
                </c:pt>
                <c:pt idx="2565">
                  <c:v>184.4</c:v>
                </c:pt>
                <c:pt idx="2566">
                  <c:v>184.34</c:v>
                </c:pt>
                <c:pt idx="2567">
                  <c:v>183.61</c:v>
                </c:pt>
                <c:pt idx="2568">
                  <c:v>186.17</c:v>
                </c:pt>
                <c:pt idx="2569">
                  <c:v>184.55</c:v>
                </c:pt>
                <c:pt idx="2570">
                  <c:v>183.12</c:v>
                </c:pt>
                <c:pt idx="2571">
                  <c:v>183.07</c:v>
                </c:pt>
                <c:pt idx="2572">
                  <c:v>183.06</c:v>
                </c:pt>
                <c:pt idx="2573">
                  <c:v>184.38</c:v>
                </c:pt>
                <c:pt idx="2574">
                  <c:v>185.9</c:v>
                </c:pt>
                <c:pt idx="2575">
                  <c:v>186.22</c:v>
                </c:pt>
                <c:pt idx="2576">
                  <c:v>187.67</c:v>
                </c:pt>
                <c:pt idx="2577">
                  <c:v>187.95</c:v>
                </c:pt>
                <c:pt idx="2578">
                  <c:v>188.38</c:v>
                </c:pt>
                <c:pt idx="2579">
                  <c:v>187.88</c:v>
                </c:pt>
                <c:pt idx="2580">
                  <c:v>187.85</c:v>
                </c:pt>
                <c:pt idx="2581">
                  <c:v>187.82</c:v>
                </c:pt>
                <c:pt idx="2582">
                  <c:v>189.16</c:v>
                </c:pt>
                <c:pt idx="2583">
                  <c:v>188.88</c:v>
                </c:pt>
                <c:pt idx="2584">
                  <c:v>188.44</c:v>
                </c:pt>
                <c:pt idx="2585">
                  <c:v>187.68</c:v>
                </c:pt>
                <c:pt idx="2586">
                  <c:v>187.87</c:v>
                </c:pt>
                <c:pt idx="2587">
                  <c:v>188.08</c:v>
                </c:pt>
                <c:pt idx="2588">
                  <c:v>187.69</c:v>
                </c:pt>
                <c:pt idx="2589">
                  <c:v>187.7</c:v>
                </c:pt>
                <c:pt idx="2590">
                  <c:v>187.52</c:v>
                </c:pt>
                <c:pt idx="2591">
                  <c:v>186.89</c:v>
                </c:pt>
                <c:pt idx="2592">
                  <c:v>184.08</c:v>
                </c:pt>
                <c:pt idx="2593">
                  <c:v>180.45</c:v>
                </c:pt>
                <c:pt idx="2594">
                  <c:v>179.42</c:v>
                </c:pt>
                <c:pt idx="2595">
                  <c:v>172.38</c:v>
                </c:pt>
                <c:pt idx="2596">
                  <c:v>173.96</c:v>
                </c:pt>
                <c:pt idx="2597">
                  <c:v>171.65</c:v>
                </c:pt>
                <c:pt idx="2598">
                  <c:v>46.13</c:v>
                </c:pt>
                <c:pt idx="2599">
                  <c:v>167.67</c:v>
                </c:pt>
                <c:pt idx="2600">
                  <c:v>175.12</c:v>
                </c:pt>
                <c:pt idx="2601">
                  <c:v>179.89</c:v>
                </c:pt>
                <c:pt idx="2602">
                  <c:v>179.89</c:v>
                </c:pt>
                <c:pt idx="2603">
                  <c:v>180</c:v>
                </c:pt>
                <c:pt idx="2604">
                  <c:v>174.91</c:v>
                </c:pt>
                <c:pt idx="2605">
                  <c:v>174.98</c:v>
                </c:pt>
                <c:pt idx="2606">
                  <c:v>175</c:v>
                </c:pt>
                <c:pt idx="2607">
                  <c:v>176.49</c:v>
                </c:pt>
                <c:pt idx="2608">
                  <c:v>177.25</c:v>
                </c:pt>
                <c:pt idx="2609">
                  <c:v>177.31</c:v>
                </c:pt>
                <c:pt idx="2610">
                  <c:v>184.01</c:v>
                </c:pt>
                <c:pt idx="2611">
                  <c:v>184.05</c:v>
                </c:pt>
                <c:pt idx="2612">
                  <c:v>183.99</c:v>
                </c:pt>
                <c:pt idx="2613">
                  <c:v>180.37</c:v>
                </c:pt>
                <c:pt idx="2614">
                  <c:v>180.37</c:v>
                </c:pt>
                <c:pt idx="2615">
                  <c:v>179.17</c:v>
                </c:pt>
                <c:pt idx="2616">
                  <c:v>167.45</c:v>
                </c:pt>
                <c:pt idx="2617">
                  <c:v>167.03</c:v>
                </c:pt>
                <c:pt idx="2618">
                  <c:v>166.28</c:v>
                </c:pt>
                <c:pt idx="2619">
                  <c:v>166.26</c:v>
                </c:pt>
                <c:pt idx="2620">
                  <c:v>165.96</c:v>
                </c:pt>
                <c:pt idx="2621">
                  <c:v>166.28</c:v>
                </c:pt>
                <c:pt idx="2622">
                  <c:v>166.29</c:v>
                </c:pt>
                <c:pt idx="2623">
                  <c:v>166.57</c:v>
                </c:pt>
                <c:pt idx="2624">
                  <c:v>167.22</c:v>
                </c:pt>
                <c:pt idx="2625">
                  <c:v>167.19</c:v>
                </c:pt>
                <c:pt idx="2626">
                  <c:v>167.24</c:v>
                </c:pt>
                <c:pt idx="2627">
                  <c:v>167.24</c:v>
                </c:pt>
                <c:pt idx="2628">
                  <c:v>167.27</c:v>
                </c:pt>
                <c:pt idx="2629">
                  <c:v>167.23</c:v>
                </c:pt>
                <c:pt idx="2630">
                  <c:v>167.27</c:v>
                </c:pt>
                <c:pt idx="2631">
                  <c:v>167.31</c:v>
                </c:pt>
                <c:pt idx="2632">
                  <c:v>167.51</c:v>
                </c:pt>
                <c:pt idx="2633">
                  <c:v>167.87</c:v>
                </c:pt>
                <c:pt idx="2634">
                  <c:v>170.54</c:v>
                </c:pt>
                <c:pt idx="2635">
                  <c:v>170.55</c:v>
                </c:pt>
                <c:pt idx="2636">
                  <c:v>169.31</c:v>
                </c:pt>
                <c:pt idx="2637">
                  <c:v>168.52</c:v>
                </c:pt>
                <c:pt idx="2638">
                  <c:v>167.73</c:v>
                </c:pt>
                <c:pt idx="2639">
                  <c:v>166.76</c:v>
                </c:pt>
                <c:pt idx="2640">
                  <c:v>116.45</c:v>
                </c:pt>
                <c:pt idx="2641">
                  <c:v>108.57</c:v>
                </c:pt>
                <c:pt idx="2642">
                  <c:v>42.35</c:v>
                </c:pt>
                <c:pt idx="2643">
                  <c:v>42.35</c:v>
                </c:pt>
                <c:pt idx="2644">
                  <c:v>42.35</c:v>
                </c:pt>
                <c:pt idx="2645">
                  <c:v>42.35</c:v>
                </c:pt>
                <c:pt idx="2646">
                  <c:v>42.35</c:v>
                </c:pt>
                <c:pt idx="2647">
                  <c:v>42.35</c:v>
                </c:pt>
                <c:pt idx="2648">
                  <c:v>42.35</c:v>
                </c:pt>
                <c:pt idx="2649">
                  <c:v>42.35</c:v>
                </c:pt>
                <c:pt idx="2650">
                  <c:v>108.54</c:v>
                </c:pt>
                <c:pt idx="2651">
                  <c:v>115.31</c:v>
                </c:pt>
                <c:pt idx="2652">
                  <c:v>115.32</c:v>
                </c:pt>
                <c:pt idx="2653">
                  <c:v>115.32</c:v>
                </c:pt>
                <c:pt idx="2654">
                  <c:v>115.4</c:v>
                </c:pt>
                <c:pt idx="2655">
                  <c:v>115.47</c:v>
                </c:pt>
                <c:pt idx="2656">
                  <c:v>117.4</c:v>
                </c:pt>
                <c:pt idx="2657">
                  <c:v>134.25</c:v>
                </c:pt>
                <c:pt idx="2658">
                  <c:v>166.96</c:v>
                </c:pt>
                <c:pt idx="2659">
                  <c:v>166.96</c:v>
                </c:pt>
                <c:pt idx="2660">
                  <c:v>166.78</c:v>
                </c:pt>
                <c:pt idx="2661">
                  <c:v>166.88</c:v>
                </c:pt>
                <c:pt idx="2662">
                  <c:v>166.85</c:v>
                </c:pt>
                <c:pt idx="2663">
                  <c:v>163.77000000000001</c:v>
                </c:pt>
                <c:pt idx="2664">
                  <c:v>170.63</c:v>
                </c:pt>
                <c:pt idx="2665">
                  <c:v>170</c:v>
                </c:pt>
                <c:pt idx="2666">
                  <c:v>169.24</c:v>
                </c:pt>
                <c:pt idx="2667">
                  <c:v>169.34</c:v>
                </c:pt>
                <c:pt idx="2668">
                  <c:v>169.44</c:v>
                </c:pt>
                <c:pt idx="2669">
                  <c:v>170.7</c:v>
                </c:pt>
                <c:pt idx="2670">
                  <c:v>172.74</c:v>
                </c:pt>
                <c:pt idx="2671">
                  <c:v>173.49</c:v>
                </c:pt>
                <c:pt idx="2672">
                  <c:v>173.69</c:v>
                </c:pt>
                <c:pt idx="2673">
                  <c:v>174.64</c:v>
                </c:pt>
                <c:pt idx="2674">
                  <c:v>174.61</c:v>
                </c:pt>
                <c:pt idx="2675">
                  <c:v>174.67</c:v>
                </c:pt>
                <c:pt idx="2676">
                  <c:v>174.55</c:v>
                </c:pt>
                <c:pt idx="2677">
                  <c:v>174.6</c:v>
                </c:pt>
                <c:pt idx="2678">
                  <c:v>174.91</c:v>
                </c:pt>
                <c:pt idx="2679">
                  <c:v>175.14</c:v>
                </c:pt>
                <c:pt idx="2680">
                  <c:v>175.09</c:v>
                </c:pt>
                <c:pt idx="2681">
                  <c:v>174.51</c:v>
                </c:pt>
                <c:pt idx="2682">
                  <c:v>174.68</c:v>
                </c:pt>
                <c:pt idx="2683">
                  <c:v>174.67</c:v>
                </c:pt>
                <c:pt idx="2684">
                  <c:v>174.32</c:v>
                </c:pt>
                <c:pt idx="2685">
                  <c:v>174.27</c:v>
                </c:pt>
                <c:pt idx="2686">
                  <c:v>174.1</c:v>
                </c:pt>
                <c:pt idx="2687">
                  <c:v>173.59</c:v>
                </c:pt>
                <c:pt idx="2688">
                  <c:v>169.41</c:v>
                </c:pt>
                <c:pt idx="2689">
                  <c:v>167.51</c:v>
                </c:pt>
                <c:pt idx="2690">
                  <c:v>166.28</c:v>
                </c:pt>
                <c:pt idx="2691">
                  <c:v>166.28</c:v>
                </c:pt>
                <c:pt idx="2692">
                  <c:v>166.26</c:v>
                </c:pt>
                <c:pt idx="2693">
                  <c:v>167.52</c:v>
                </c:pt>
                <c:pt idx="2694">
                  <c:v>169.18</c:v>
                </c:pt>
                <c:pt idx="2695">
                  <c:v>170.48</c:v>
                </c:pt>
                <c:pt idx="2696">
                  <c:v>171.29</c:v>
                </c:pt>
                <c:pt idx="2697">
                  <c:v>172.36</c:v>
                </c:pt>
                <c:pt idx="2698">
                  <c:v>172.79</c:v>
                </c:pt>
                <c:pt idx="2699">
                  <c:v>172.72</c:v>
                </c:pt>
                <c:pt idx="2700">
                  <c:v>172.36</c:v>
                </c:pt>
                <c:pt idx="2701">
                  <c:v>172.97</c:v>
                </c:pt>
                <c:pt idx="2702">
                  <c:v>173.23</c:v>
                </c:pt>
                <c:pt idx="2703">
                  <c:v>173.26</c:v>
                </c:pt>
                <c:pt idx="2704">
                  <c:v>173.29</c:v>
                </c:pt>
                <c:pt idx="2705">
                  <c:v>172.37</c:v>
                </c:pt>
                <c:pt idx="2706">
                  <c:v>172.4</c:v>
                </c:pt>
                <c:pt idx="2707">
                  <c:v>172.4</c:v>
                </c:pt>
                <c:pt idx="2708">
                  <c:v>172.37</c:v>
                </c:pt>
                <c:pt idx="2709">
                  <c:v>172.26</c:v>
                </c:pt>
                <c:pt idx="2710">
                  <c:v>171.7</c:v>
                </c:pt>
                <c:pt idx="2711">
                  <c:v>170.9</c:v>
                </c:pt>
                <c:pt idx="2712">
                  <c:v>168.85</c:v>
                </c:pt>
                <c:pt idx="2713">
                  <c:v>167.22</c:v>
                </c:pt>
                <c:pt idx="2714">
                  <c:v>166.32</c:v>
                </c:pt>
                <c:pt idx="2715">
                  <c:v>166.3</c:v>
                </c:pt>
                <c:pt idx="2716">
                  <c:v>166.28</c:v>
                </c:pt>
                <c:pt idx="2717">
                  <c:v>167.59</c:v>
                </c:pt>
                <c:pt idx="2718">
                  <c:v>168.92</c:v>
                </c:pt>
                <c:pt idx="2719">
                  <c:v>170.26</c:v>
                </c:pt>
                <c:pt idx="2720">
                  <c:v>172.08</c:v>
                </c:pt>
                <c:pt idx="2721">
                  <c:v>172.61</c:v>
                </c:pt>
                <c:pt idx="2722">
                  <c:v>172.91</c:v>
                </c:pt>
                <c:pt idx="2723">
                  <c:v>172.92</c:v>
                </c:pt>
                <c:pt idx="2724">
                  <c:v>172.79</c:v>
                </c:pt>
                <c:pt idx="2725">
                  <c:v>172.94</c:v>
                </c:pt>
                <c:pt idx="2726">
                  <c:v>173.04</c:v>
                </c:pt>
                <c:pt idx="2727">
                  <c:v>173.01</c:v>
                </c:pt>
                <c:pt idx="2728">
                  <c:v>172.98</c:v>
                </c:pt>
                <c:pt idx="2729">
                  <c:v>172.9</c:v>
                </c:pt>
                <c:pt idx="2730">
                  <c:v>172.98</c:v>
                </c:pt>
                <c:pt idx="2731">
                  <c:v>172.91</c:v>
                </c:pt>
                <c:pt idx="2732">
                  <c:v>172.86</c:v>
                </c:pt>
                <c:pt idx="2733">
                  <c:v>172.83</c:v>
                </c:pt>
                <c:pt idx="2734">
                  <c:v>172.7</c:v>
                </c:pt>
                <c:pt idx="2735">
                  <c:v>172.17</c:v>
                </c:pt>
                <c:pt idx="2736">
                  <c:v>170.59</c:v>
                </c:pt>
                <c:pt idx="2737">
                  <c:v>170.38</c:v>
                </c:pt>
                <c:pt idx="2738">
                  <c:v>169.73</c:v>
                </c:pt>
                <c:pt idx="2739">
                  <c:v>169.29</c:v>
                </c:pt>
                <c:pt idx="2740">
                  <c:v>169.53</c:v>
                </c:pt>
                <c:pt idx="2741">
                  <c:v>170.39</c:v>
                </c:pt>
                <c:pt idx="2742">
                  <c:v>170.91</c:v>
                </c:pt>
                <c:pt idx="2743">
                  <c:v>171.99</c:v>
                </c:pt>
                <c:pt idx="2744">
                  <c:v>172.69</c:v>
                </c:pt>
                <c:pt idx="2745">
                  <c:v>173.48</c:v>
                </c:pt>
                <c:pt idx="2746">
                  <c:v>173.97</c:v>
                </c:pt>
                <c:pt idx="2747">
                  <c:v>174</c:v>
                </c:pt>
                <c:pt idx="2748">
                  <c:v>173.54</c:v>
                </c:pt>
                <c:pt idx="2749">
                  <c:v>174.06</c:v>
                </c:pt>
                <c:pt idx="2750">
                  <c:v>174.11</c:v>
                </c:pt>
                <c:pt idx="2751">
                  <c:v>174.13</c:v>
                </c:pt>
                <c:pt idx="2752">
                  <c:v>174.15</c:v>
                </c:pt>
                <c:pt idx="2753">
                  <c:v>173.64</c:v>
                </c:pt>
                <c:pt idx="2754">
                  <c:v>174.18</c:v>
                </c:pt>
                <c:pt idx="2755">
                  <c:v>173.68</c:v>
                </c:pt>
                <c:pt idx="2756">
                  <c:v>173.2</c:v>
                </c:pt>
                <c:pt idx="2757">
                  <c:v>173.11</c:v>
                </c:pt>
                <c:pt idx="2758">
                  <c:v>172.11</c:v>
                </c:pt>
                <c:pt idx="2759">
                  <c:v>171.45</c:v>
                </c:pt>
                <c:pt idx="2760">
                  <c:v>167.9</c:v>
                </c:pt>
                <c:pt idx="2761">
                  <c:v>165.04</c:v>
                </c:pt>
                <c:pt idx="2762">
                  <c:v>163.46</c:v>
                </c:pt>
                <c:pt idx="2763">
                  <c:v>162</c:v>
                </c:pt>
                <c:pt idx="2764">
                  <c:v>162.09</c:v>
                </c:pt>
                <c:pt idx="2765">
                  <c:v>164.98</c:v>
                </c:pt>
                <c:pt idx="2766">
                  <c:v>167.85</c:v>
                </c:pt>
                <c:pt idx="2767">
                  <c:v>168.96</c:v>
                </c:pt>
                <c:pt idx="2768">
                  <c:v>170.14</c:v>
                </c:pt>
                <c:pt idx="2769">
                  <c:v>171.25</c:v>
                </c:pt>
                <c:pt idx="2770">
                  <c:v>171.61</c:v>
                </c:pt>
                <c:pt idx="2771">
                  <c:v>171.81</c:v>
                </c:pt>
                <c:pt idx="2772">
                  <c:v>171.55</c:v>
                </c:pt>
                <c:pt idx="2773">
                  <c:v>171.52</c:v>
                </c:pt>
                <c:pt idx="2774">
                  <c:v>172.1</c:v>
                </c:pt>
                <c:pt idx="2775">
                  <c:v>172.13</c:v>
                </c:pt>
                <c:pt idx="2776">
                  <c:v>171.43</c:v>
                </c:pt>
                <c:pt idx="2777">
                  <c:v>171.39</c:v>
                </c:pt>
                <c:pt idx="2778">
                  <c:v>171.39</c:v>
                </c:pt>
                <c:pt idx="2779">
                  <c:v>171.34</c:v>
                </c:pt>
                <c:pt idx="2780">
                  <c:v>171.31</c:v>
                </c:pt>
                <c:pt idx="2781">
                  <c:v>171.28</c:v>
                </c:pt>
                <c:pt idx="2782">
                  <c:v>170.19</c:v>
                </c:pt>
                <c:pt idx="2783">
                  <c:v>169.12</c:v>
                </c:pt>
                <c:pt idx="2784">
                  <c:v>142.6</c:v>
                </c:pt>
                <c:pt idx="2785">
                  <c:v>141.9</c:v>
                </c:pt>
                <c:pt idx="2786">
                  <c:v>141.32</c:v>
                </c:pt>
                <c:pt idx="2787">
                  <c:v>140.47999999999999</c:v>
                </c:pt>
                <c:pt idx="2788">
                  <c:v>140.83000000000001</c:v>
                </c:pt>
                <c:pt idx="2789">
                  <c:v>141.13</c:v>
                </c:pt>
                <c:pt idx="2790">
                  <c:v>141.21</c:v>
                </c:pt>
                <c:pt idx="2791">
                  <c:v>141.47</c:v>
                </c:pt>
                <c:pt idx="2792">
                  <c:v>142.63999999999999</c:v>
                </c:pt>
                <c:pt idx="2793">
                  <c:v>142.87</c:v>
                </c:pt>
                <c:pt idx="2794">
                  <c:v>142.85</c:v>
                </c:pt>
                <c:pt idx="2795">
                  <c:v>142.83000000000001</c:v>
                </c:pt>
                <c:pt idx="2796">
                  <c:v>142.80000000000001</c:v>
                </c:pt>
                <c:pt idx="2797">
                  <c:v>142.78</c:v>
                </c:pt>
                <c:pt idx="2798">
                  <c:v>142.75</c:v>
                </c:pt>
                <c:pt idx="2799">
                  <c:v>142.72999999999999</c:v>
                </c:pt>
                <c:pt idx="2800">
                  <c:v>142.69999999999999</c:v>
                </c:pt>
                <c:pt idx="2801">
                  <c:v>142.77000000000001</c:v>
                </c:pt>
                <c:pt idx="2802">
                  <c:v>144.69</c:v>
                </c:pt>
                <c:pt idx="2803">
                  <c:v>143.86000000000001</c:v>
                </c:pt>
                <c:pt idx="2804">
                  <c:v>142.88999999999999</c:v>
                </c:pt>
                <c:pt idx="2805">
                  <c:v>142.59</c:v>
                </c:pt>
                <c:pt idx="2806">
                  <c:v>142.55000000000001</c:v>
                </c:pt>
                <c:pt idx="2807">
                  <c:v>141.84</c:v>
                </c:pt>
                <c:pt idx="2808">
                  <c:v>136.66999999999999</c:v>
                </c:pt>
                <c:pt idx="2809">
                  <c:v>130.76</c:v>
                </c:pt>
                <c:pt idx="2810">
                  <c:v>119.43</c:v>
                </c:pt>
                <c:pt idx="2811">
                  <c:v>62.85</c:v>
                </c:pt>
                <c:pt idx="2812">
                  <c:v>65.31</c:v>
                </c:pt>
                <c:pt idx="2813">
                  <c:v>64.099999999999994</c:v>
                </c:pt>
                <c:pt idx="2814">
                  <c:v>42.35</c:v>
                </c:pt>
                <c:pt idx="2815">
                  <c:v>42.35</c:v>
                </c:pt>
                <c:pt idx="2816">
                  <c:v>93.49</c:v>
                </c:pt>
                <c:pt idx="2817">
                  <c:v>133.01</c:v>
                </c:pt>
                <c:pt idx="2818">
                  <c:v>138.22999999999999</c:v>
                </c:pt>
                <c:pt idx="2819">
                  <c:v>139.19999999999999</c:v>
                </c:pt>
                <c:pt idx="2820">
                  <c:v>139.19999999999999</c:v>
                </c:pt>
                <c:pt idx="2821">
                  <c:v>139.26</c:v>
                </c:pt>
                <c:pt idx="2822">
                  <c:v>139.21</c:v>
                </c:pt>
                <c:pt idx="2823">
                  <c:v>139.26</c:v>
                </c:pt>
                <c:pt idx="2824">
                  <c:v>139.27000000000001</c:v>
                </c:pt>
                <c:pt idx="2825">
                  <c:v>139.25</c:v>
                </c:pt>
                <c:pt idx="2826">
                  <c:v>141.99</c:v>
                </c:pt>
                <c:pt idx="2827">
                  <c:v>142.03</c:v>
                </c:pt>
                <c:pt idx="2828">
                  <c:v>142.03</c:v>
                </c:pt>
                <c:pt idx="2829">
                  <c:v>141.25</c:v>
                </c:pt>
                <c:pt idx="2830">
                  <c:v>139.49</c:v>
                </c:pt>
                <c:pt idx="2831">
                  <c:v>139.08000000000001</c:v>
                </c:pt>
                <c:pt idx="2832">
                  <c:v>143.22999999999999</c:v>
                </c:pt>
                <c:pt idx="2833">
                  <c:v>142.82</c:v>
                </c:pt>
                <c:pt idx="2834">
                  <c:v>142.21</c:v>
                </c:pt>
                <c:pt idx="2835">
                  <c:v>141.9</c:v>
                </c:pt>
                <c:pt idx="2836">
                  <c:v>142.35</c:v>
                </c:pt>
                <c:pt idx="2837">
                  <c:v>143.37</c:v>
                </c:pt>
                <c:pt idx="2838">
                  <c:v>145.36000000000001</c:v>
                </c:pt>
                <c:pt idx="2839">
                  <c:v>145.63</c:v>
                </c:pt>
                <c:pt idx="2840">
                  <c:v>145.84</c:v>
                </c:pt>
                <c:pt idx="2841">
                  <c:v>146.88999999999999</c:v>
                </c:pt>
                <c:pt idx="2842">
                  <c:v>147.62</c:v>
                </c:pt>
                <c:pt idx="2843">
                  <c:v>147.62</c:v>
                </c:pt>
                <c:pt idx="2844">
                  <c:v>147.08000000000001</c:v>
                </c:pt>
                <c:pt idx="2845">
                  <c:v>147.63</c:v>
                </c:pt>
                <c:pt idx="2846">
                  <c:v>147.84</c:v>
                </c:pt>
                <c:pt idx="2847">
                  <c:v>147.99</c:v>
                </c:pt>
                <c:pt idx="2848">
                  <c:v>147.63999999999999</c:v>
                </c:pt>
                <c:pt idx="2849">
                  <c:v>147.05000000000001</c:v>
                </c:pt>
                <c:pt idx="2850">
                  <c:v>147.80000000000001</c:v>
                </c:pt>
                <c:pt idx="2851">
                  <c:v>147.65</c:v>
                </c:pt>
                <c:pt idx="2852">
                  <c:v>146.83000000000001</c:v>
                </c:pt>
                <c:pt idx="2853">
                  <c:v>146.76</c:v>
                </c:pt>
                <c:pt idx="2854">
                  <c:v>145.85</c:v>
                </c:pt>
                <c:pt idx="2855">
                  <c:v>145.24</c:v>
                </c:pt>
                <c:pt idx="2856">
                  <c:v>143.80000000000001</c:v>
                </c:pt>
                <c:pt idx="2857">
                  <c:v>142.52000000000001</c:v>
                </c:pt>
                <c:pt idx="2858">
                  <c:v>141.81</c:v>
                </c:pt>
                <c:pt idx="2859">
                  <c:v>141.66</c:v>
                </c:pt>
                <c:pt idx="2860">
                  <c:v>141.69999999999999</c:v>
                </c:pt>
                <c:pt idx="2861">
                  <c:v>142.59</c:v>
                </c:pt>
                <c:pt idx="2862">
                  <c:v>143.96</c:v>
                </c:pt>
                <c:pt idx="2863">
                  <c:v>142.62</c:v>
                </c:pt>
                <c:pt idx="2864">
                  <c:v>143.97</c:v>
                </c:pt>
                <c:pt idx="2865">
                  <c:v>144.03</c:v>
                </c:pt>
                <c:pt idx="2866">
                  <c:v>144.09</c:v>
                </c:pt>
                <c:pt idx="2867">
                  <c:v>144.09</c:v>
                </c:pt>
                <c:pt idx="2868">
                  <c:v>144.09</c:v>
                </c:pt>
                <c:pt idx="2869">
                  <c:v>144.09</c:v>
                </c:pt>
                <c:pt idx="2870">
                  <c:v>144.13</c:v>
                </c:pt>
                <c:pt idx="2871">
                  <c:v>144.1</c:v>
                </c:pt>
                <c:pt idx="2872">
                  <c:v>144.08000000000001</c:v>
                </c:pt>
                <c:pt idx="2873">
                  <c:v>144.9</c:v>
                </c:pt>
                <c:pt idx="2874">
                  <c:v>146.6</c:v>
                </c:pt>
                <c:pt idx="2875">
                  <c:v>145.57</c:v>
                </c:pt>
                <c:pt idx="2876">
                  <c:v>144.80000000000001</c:v>
                </c:pt>
                <c:pt idx="2877">
                  <c:v>144.77000000000001</c:v>
                </c:pt>
                <c:pt idx="2878">
                  <c:v>143.9</c:v>
                </c:pt>
                <c:pt idx="2879">
                  <c:v>143.28</c:v>
                </c:pt>
                <c:pt idx="2880">
                  <c:v>146.47999999999999</c:v>
                </c:pt>
                <c:pt idx="2881">
                  <c:v>146.4</c:v>
                </c:pt>
                <c:pt idx="2882">
                  <c:v>146.37</c:v>
                </c:pt>
                <c:pt idx="2883">
                  <c:v>146.22999999999999</c:v>
                </c:pt>
                <c:pt idx="2884">
                  <c:v>146.22999999999999</c:v>
                </c:pt>
                <c:pt idx="2885">
                  <c:v>146.05000000000001</c:v>
                </c:pt>
                <c:pt idx="2886">
                  <c:v>145.69999999999999</c:v>
                </c:pt>
                <c:pt idx="2887">
                  <c:v>145.32</c:v>
                </c:pt>
                <c:pt idx="2888">
                  <c:v>146.22999999999999</c:v>
                </c:pt>
                <c:pt idx="2889">
                  <c:v>146.58000000000001</c:v>
                </c:pt>
                <c:pt idx="2890">
                  <c:v>146.63999999999999</c:v>
                </c:pt>
                <c:pt idx="2891">
                  <c:v>146.69999999999999</c:v>
                </c:pt>
                <c:pt idx="2892">
                  <c:v>146.76</c:v>
                </c:pt>
                <c:pt idx="2893">
                  <c:v>146.82</c:v>
                </c:pt>
                <c:pt idx="2894">
                  <c:v>146.88</c:v>
                </c:pt>
                <c:pt idx="2895">
                  <c:v>146.94</c:v>
                </c:pt>
                <c:pt idx="2896">
                  <c:v>147</c:v>
                </c:pt>
                <c:pt idx="2897">
                  <c:v>147.06</c:v>
                </c:pt>
                <c:pt idx="2898">
                  <c:v>147.87</c:v>
                </c:pt>
                <c:pt idx="2899">
                  <c:v>147.54</c:v>
                </c:pt>
                <c:pt idx="2900">
                  <c:v>147.25</c:v>
                </c:pt>
                <c:pt idx="2901">
                  <c:v>147.31</c:v>
                </c:pt>
                <c:pt idx="2902">
                  <c:v>147.30000000000001</c:v>
                </c:pt>
                <c:pt idx="2903">
                  <c:v>146.85</c:v>
                </c:pt>
                <c:pt idx="2904">
                  <c:v>133.86000000000001</c:v>
                </c:pt>
                <c:pt idx="2905">
                  <c:v>127.63</c:v>
                </c:pt>
                <c:pt idx="2906">
                  <c:v>120.11</c:v>
                </c:pt>
                <c:pt idx="2907">
                  <c:v>119.15</c:v>
                </c:pt>
                <c:pt idx="2908">
                  <c:v>119.43</c:v>
                </c:pt>
                <c:pt idx="2909">
                  <c:v>134.21</c:v>
                </c:pt>
                <c:pt idx="2910">
                  <c:v>138.81</c:v>
                </c:pt>
                <c:pt idx="2911">
                  <c:v>141.56</c:v>
                </c:pt>
                <c:pt idx="2912">
                  <c:v>143.28</c:v>
                </c:pt>
                <c:pt idx="2913">
                  <c:v>143.80000000000001</c:v>
                </c:pt>
                <c:pt idx="2914">
                  <c:v>144.27000000000001</c:v>
                </c:pt>
                <c:pt idx="2915">
                  <c:v>144.25</c:v>
                </c:pt>
                <c:pt idx="2916">
                  <c:v>144.19999999999999</c:v>
                </c:pt>
                <c:pt idx="2917">
                  <c:v>144.19999999999999</c:v>
                </c:pt>
                <c:pt idx="2918">
                  <c:v>144.19999999999999</c:v>
                </c:pt>
                <c:pt idx="2919">
                  <c:v>144.26</c:v>
                </c:pt>
                <c:pt idx="2920">
                  <c:v>144.13</c:v>
                </c:pt>
                <c:pt idx="2921">
                  <c:v>144.12</c:v>
                </c:pt>
                <c:pt idx="2922">
                  <c:v>144.47</c:v>
                </c:pt>
                <c:pt idx="2923">
                  <c:v>144.31</c:v>
                </c:pt>
                <c:pt idx="2924">
                  <c:v>144.05000000000001</c:v>
                </c:pt>
                <c:pt idx="2925">
                  <c:v>144</c:v>
                </c:pt>
                <c:pt idx="2926">
                  <c:v>143.58000000000001</c:v>
                </c:pt>
                <c:pt idx="2927">
                  <c:v>142.51</c:v>
                </c:pt>
                <c:pt idx="2928">
                  <c:v>139.32</c:v>
                </c:pt>
                <c:pt idx="2929">
                  <c:v>137.65</c:v>
                </c:pt>
                <c:pt idx="2930">
                  <c:v>135.03</c:v>
                </c:pt>
                <c:pt idx="2931">
                  <c:v>134.11000000000001</c:v>
                </c:pt>
                <c:pt idx="2932">
                  <c:v>134.43</c:v>
                </c:pt>
                <c:pt idx="2933">
                  <c:v>138.51</c:v>
                </c:pt>
                <c:pt idx="2934">
                  <c:v>140.30000000000001</c:v>
                </c:pt>
                <c:pt idx="2935">
                  <c:v>141.99</c:v>
                </c:pt>
                <c:pt idx="2936">
                  <c:v>143.74</c:v>
                </c:pt>
                <c:pt idx="2937">
                  <c:v>143.76</c:v>
                </c:pt>
                <c:pt idx="2938">
                  <c:v>144.05000000000001</c:v>
                </c:pt>
                <c:pt idx="2939">
                  <c:v>144.09</c:v>
                </c:pt>
                <c:pt idx="2940">
                  <c:v>143.81</c:v>
                </c:pt>
                <c:pt idx="2941">
                  <c:v>144.09</c:v>
                </c:pt>
                <c:pt idx="2942">
                  <c:v>145.03</c:v>
                </c:pt>
                <c:pt idx="2943">
                  <c:v>144.94</c:v>
                </c:pt>
                <c:pt idx="2944">
                  <c:v>144.18</c:v>
                </c:pt>
                <c:pt idx="2945">
                  <c:v>143.71</c:v>
                </c:pt>
                <c:pt idx="2946">
                  <c:v>144.94</c:v>
                </c:pt>
                <c:pt idx="2947">
                  <c:v>143.91</c:v>
                </c:pt>
                <c:pt idx="2948">
                  <c:v>143.72</c:v>
                </c:pt>
                <c:pt idx="2949">
                  <c:v>143.68</c:v>
                </c:pt>
                <c:pt idx="2950">
                  <c:v>143.43</c:v>
                </c:pt>
                <c:pt idx="2951">
                  <c:v>142.43</c:v>
                </c:pt>
                <c:pt idx="2952">
                  <c:v>172.91</c:v>
                </c:pt>
                <c:pt idx="2953">
                  <c:v>171.12</c:v>
                </c:pt>
                <c:pt idx="2954">
                  <c:v>170.33</c:v>
                </c:pt>
                <c:pt idx="2955">
                  <c:v>170.3</c:v>
                </c:pt>
                <c:pt idx="2956">
                  <c:v>170.27</c:v>
                </c:pt>
                <c:pt idx="2957">
                  <c:v>170.24</c:v>
                </c:pt>
                <c:pt idx="2958">
                  <c:v>170.21</c:v>
                </c:pt>
                <c:pt idx="2959">
                  <c:v>170.85</c:v>
                </c:pt>
                <c:pt idx="2960">
                  <c:v>173.07</c:v>
                </c:pt>
                <c:pt idx="2961">
                  <c:v>174.32</c:v>
                </c:pt>
                <c:pt idx="2962">
                  <c:v>174.41</c:v>
                </c:pt>
                <c:pt idx="2963">
                  <c:v>174.51</c:v>
                </c:pt>
                <c:pt idx="2964">
                  <c:v>174.36</c:v>
                </c:pt>
                <c:pt idx="2965">
                  <c:v>174.34</c:v>
                </c:pt>
                <c:pt idx="2966">
                  <c:v>174.36</c:v>
                </c:pt>
                <c:pt idx="2967">
                  <c:v>174.36</c:v>
                </c:pt>
                <c:pt idx="2968">
                  <c:v>174.36</c:v>
                </c:pt>
                <c:pt idx="2969">
                  <c:v>173.53</c:v>
                </c:pt>
                <c:pt idx="2970">
                  <c:v>174.98</c:v>
                </c:pt>
                <c:pt idx="2971">
                  <c:v>174.98</c:v>
                </c:pt>
                <c:pt idx="2972">
                  <c:v>174.36</c:v>
                </c:pt>
                <c:pt idx="2973">
                  <c:v>172.7</c:v>
                </c:pt>
                <c:pt idx="2974">
                  <c:v>173.06</c:v>
                </c:pt>
                <c:pt idx="2975">
                  <c:v>172.15</c:v>
                </c:pt>
                <c:pt idx="2976">
                  <c:v>42.35</c:v>
                </c:pt>
                <c:pt idx="2977">
                  <c:v>42.35</c:v>
                </c:pt>
                <c:pt idx="2978">
                  <c:v>42.35</c:v>
                </c:pt>
                <c:pt idx="2979">
                  <c:v>42.35</c:v>
                </c:pt>
                <c:pt idx="2980">
                  <c:v>42.35</c:v>
                </c:pt>
                <c:pt idx="2981">
                  <c:v>42.35</c:v>
                </c:pt>
                <c:pt idx="2982">
                  <c:v>42.35</c:v>
                </c:pt>
                <c:pt idx="2983">
                  <c:v>42.35</c:v>
                </c:pt>
                <c:pt idx="2984">
                  <c:v>42.35</c:v>
                </c:pt>
                <c:pt idx="2985">
                  <c:v>42.35</c:v>
                </c:pt>
                <c:pt idx="2986">
                  <c:v>70.489999999999995</c:v>
                </c:pt>
                <c:pt idx="2987">
                  <c:v>148.77000000000001</c:v>
                </c:pt>
                <c:pt idx="2988">
                  <c:v>148.81</c:v>
                </c:pt>
                <c:pt idx="2989">
                  <c:v>148.81</c:v>
                </c:pt>
                <c:pt idx="2990">
                  <c:v>149.37</c:v>
                </c:pt>
                <c:pt idx="2991">
                  <c:v>157.27000000000001</c:v>
                </c:pt>
                <c:pt idx="2992">
                  <c:v>161.88</c:v>
                </c:pt>
                <c:pt idx="2993">
                  <c:v>163.1</c:v>
                </c:pt>
                <c:pt idx="2994">
                  <c:v>166.92</c:v>
                </c:pt>
                <c:pt idx="2995">
                  <c:v>167.01</c:v>
                </c:pt>
                <c:pt idx="2996">
                  <c:v>166.44</c:v>
                </c:pt>
                <c:pt idx="2997">
                  <c:v>163.86</c:v>
                </c:pt>
                <c:pt idx="2998">
                  <c:v>163.47</c:v>
                </c:pt>
                <c:pt idx="2999">
                  <c:v>162.91</c:v>
                </c:pt>
                <c:pt idx="3000">
                  <c:v>164.42</c:v>
                </c:pt>
                <c:pt idx="3001">
                  <c:v>146.16999999999999</c:v>
                </c:pt>
                <c:pt idx="3002">
                  <c:v>137.93</c:v>
                </c:pt>
                <c:pt idx="3003">
                  <c:v>144.38999999999999</c:v>
                </c:pt>
                <c:pt idx="3004">
                  <c:v>145.43</c:v>
                </c:pt>
                <c:pt idx="3005">
                  <c:v>164.42</c:v>
                </c:pt>
                <c:pt idx="3006">
                  <c:v>172.91</c:v>
                </c:pt>
                <c:pt idx="3007">
                  <c:v>174.49</c:v>
                </c:pt>
                <c:pt idx="3008">
                  <c:v>178.01</c:v>
                </c:pt>
                <c:pt idx="3009">
                  <c:v>179.03</c:v>
                </c:pt>
                <c:pt idx="3010">
                  <c:v>179.9</c:v>
                </c:pt>
                <c:pt idx="3011">
                  <c:v>180</c:v>
                </c:pt>
                <c:pt idx="3012">
                  <c:v>179.98</c:v>
                </c:pt>
                <c:pt idx="3013">
                  <c:v>180</c:v>
                </c:pt>
                <c:pt idx="3014">
                  <c:v>180.88</c:v>
                </c:pt>
                <c:pt idx="3015">
                  <c:v>181.1</c:v>
                </c:pt>
                <c:pt idx="3016">
                  <c:v>180.81</c:v>
                </c:pt>
                <c:pt idx="3017">
                  <c:v>179.97</c:v>
                </c:pt>
                <c:pt idx="3018">
                  <c:v>179.97</c:v>
                </c:pt>
                <c:pt idx="3019">
                  <c:v>179.97</c:v>
                </c:pt>
                <c:pt idx="3020">
                  <c:v>179.97</c:v>
                </c:pt>
                <c:pt idx="3021">
                  <c:v>179.39</c:v>
                </c:pt>
                <c:pt idx="3022">
                  <c:v>178.78</c:v>
                </c:pt>
                <c:pt idx="3023">
                  <c:v>177.31</c:v>
                </c:pt>
                <c:pt idx="3024">
                  <c:v>175.78</c:v>
                </c:pt>
                <c:pt idx="3025">
                  <c:v>174.79</c:v>
                </c:pt>
                <c:pt idx="3026">
                  <c:v>174.71</c:v>
                </c:pt>
                <c:pt idx="3027">
                  <c:v>174.59</c:v>
                </c:pt>
                <c:pt idx="3028">
                  <c:v>174.71</c:v>
                </c:pt>
                <c:pt idx="3029">
                  <c:v>174.82</c:v>
                </c:pt>
                <c:pt idx="3030">
                  <c:v>176.88</c:v>
                </c:pt>
                <c:pt idx="3031">
                  <c:v>177.78</c:v>
                </c:pt>
                <c:pt idx="3032">
                  <c:v>178.37</c:v>
                </c:pt>
                <c:pt idx="3033">
                  <c:v>178.86</c:v>
                </c:pt>
                <c:pt idx="3034">
                  <c:v>179.25</c:v>
                </c:pt>
                <c:pt idx="3035">
                  <c:v>179.28</c:v>
                </c:pt>
                <c:pt idx="3036">
                  <c:v>179.14</c:v>
                </c:pt>
                <c:pt idx="3037">
                  <c:v>179.28</c:v>
                </c:pt>
                <c:pt idx="3038">
                  <c:v>179.33</c:v>
                </c:pt>
                <c:pt idx="3039">
                  <c:v>179.37</c:v>
                </c:pt>
                <c:pt idx="3040">
                  <c:v>179.33</c:v>
                </c:pt>
                <c:pt idx="3041">
                  <c:v>179.32</c:v>
                </c:pt>
                <c:pt idx="3042">
                  <c:v>179.33</c:v>
                </c:pt>
                <c:pt idx="3043">
                  <c:v>179.26</c:v>
                </c:pt>
                <c:pt idx="3044">
                  <c:v>178.54</c:v>
                </c:pt>
                <c:pt idx="3045">
                  <c:v>178.48</c:v>
                </c:pt>
                <c:pt idx="3046">
                  <c:v>178.24</c:v>
                </c:pt>
                <c:pt idx="3047">
                  <c:v>177.34</c:v>
                </c:pt>
                <c:pt idx="3048">
                  <c:v>174.31</c:v>
                </c:pt>
                <c:pt idx="3049">
                  <c:v>173</c:v>
                </c:pt>
                <c:pt idx="3050">
                  <c:v>172.19</c:v>
                </c:pt>
                <c:pt idx="3051">
                  <c:v>171.1</c:v>
                </c:pt>
                <c:pt idx="3052">
                  <c:v>171.49</c:v>
                </c:pt>
                <c:pt idx="3053">
                  <c:v>173</c:v>
                </c:pt>
                <c:pt idx="3054">
                  <c:v>175.3</c:v>
                </c:pt>
                <c:pt idx="3055">
                  <c:v>176.38</c:v>
                </c:pt>
                <c:pt idx="3056">
                  <c:v>177.24</c:v>
                </c:pt>
                <c:pt idx="3057">
                  <c:v>178.12</c:v>
                </c:pt>
                <c:pt idx="3058">
                  <c:v>178.33</c:v>
                </c:pt>
                <c:pt idx="3059">
                  <c:v>178.3</c:v>
                </c:pt>
                <c:pt idx="3060">
                  <c:v>178.22</c:v>
                </c:pt>
                <c:pt idx="3061">
                  <c:v>178.24</c:v>
                </c:pt>
                <c:pt idx="3062">
                  <c:v>178.23</c:v>
                </c:pt>
                <c:pt idx="3063">
                  <c:v>178.18</c:v>
                </c:pt>
                <c:pt idx="3064">
                  <c:v>178.15</c:v>
                </c:pt>
                <c:pt idx="3065">
                  <c:v>178.12</c:v>
                </c:pt>
                <c:pt idx="3066">
                  <c:v>178.26</c:v>
                </c:pt>
                <c:pt idx="3067">
                  <c:v>178.05</c:v>
                </c:pt>
                <c:pt idx="3068">
                  <c:v>178.02</c:v>
                </c:pt>
                <c:pt idx="3069">
                  <c:v>177.64</c:v>
                </c:pt>
                <c:pt idx="3070">
                  <c:v>177.12</c:v>
                </c:pt>
                <c:pt idx="3071">
                  <c:v>175.86</c:v>
                </c:pt>
                <c:pt idx="3072">
                  <c:v>173.84</c:v>
                </c:pt>
                <c:pt idx="3073">
                  <c:v>172.15</c:v>
                </c:pt>
                <c:pt idx="3074">
                  <c:v>171.98</c:v>
                </c:pt>
                <c:pt idx="3075">
                  <c:v>171.21</c:v>
                </c:pt>
                <c:pt idx="3076">
                  <c:v>171.29</c:v>
                </c:pt>
                <c:pt idx="3077">
                  <c:v>172.15</c:v>
                </c:pt>
                <c:pt idx="3078">
                  <c:v>174.53</c:v>
                </c:pt>
                <c:pt idx="3079">
                  <c:v>175.06</c:v>
                </c:pt>
                <c:pt idx="3080">
                  <c:v>176.74</c:v>
                </c:pt>
                <c:pt idx="3081">
                  <c:v>177.59</c:v>
                </c:pt>
                <c:pt idx="3082">
                  <c:v>178.81</c:v>
                </c:pt>
                <c:pt idx="3083">
                  <c:v>178.82</c:v>
                </c:pt>
                <c:pt idx="3084">
                  <c:v>177.93</c:v>
                </c:pt>
                <c:pt idx="3085">
                  <c:v>178.84</c:v>
                </c:pt>
                <c:pt idx="3086">
                  <c:v>179.21</c:v>
                </c:pt>
                <c:pt idx="3087">
                  <c:v>179.33</c:v>
                </c:pt>
                <c:pt idx="3088">
                  <c:v>178.87</c:v>
                </c:pt>
                <c:pt idx="3089">
                  <c:v>178.59</c:v>
                </c:pt>
                <c:pt idx="3090">
                  <c:v>179.17</c:v>
                </c:pt>
                <c:pt idx="3091">
                  <c:v>178.9</c:v>
                </c:pt>
                <c:pt idx="3092">
                  <c:v>177.71</c:v>
                </c:pt>
                <c:pt idx="3093">
                  <c:v>177.21</c:v>
                </c:pt>
                <c:pt idx="3094">
                  <c:v>176.5</c:v>
                </c:pt>
                <c:pt idx="3095">
                  <c:v>174.99</c:v>
                </c:pt>
                <c:pt idx="3096">
                  <c:v>172.08</c:v>
                </c:pt>
                <c:pt idx="3097">
                  <c:v>170.39</c:v>
                </c:pt>
                <c:pt idx="3098">
                  <c:v>169.06</c:v>
                </c:pt>
                <c:pt idx="3099">
                  <c:v>168.19</c:v>
                </c:pt>
                <c:pt idx="3100">
                  <c:v>168.98</c:v>
                </c:pt>
                <c:pt idx="3101">
                  <c:v>170.61</c:v>
                </c:pt>
                <c:pt idx="3102">
                  <c:v>173.66</c:v>
                </c:pt>
                <c:pt idx="3103">
                  <c:v>175.15</c:v>
                </c:pt>
                <c:pt idx="3104">
                  <c:v>176.54</c:v>
                </c:pt>
                <c:pt idx="3105">
                  <c:v>177.81</c:v>
                </c:pt>
                <c:pt idx="3106">
                  <c:v>178.89</c:v>
                </c:pt>
                <c:pt idx="3107">
                  <c:v>179.09</c:v>
                </c:pt>
                <c:pt idx="3108">
                  <c:v>177.84</c:v>
                </c:pt>
                <c:pt idx="3109">
                  <c:v>179.03</c:v>
                </c:pt>
                <c:pt idx="3110">
                  <c:v>178.99</c:v>
                </c:pt>
                <c:pt idx="3111">
                  <c:v>178.96</c:v>
                </c:pt>
                <c:pt idx="3112">
                  <c:v>178.93</c:v>
                </c:pt>
                <c:pt idx="3113">
                  <c:v>178.89</c:v>
                </c:pt>
                <c:pt idx="3114">
                  <c:v>178.86</c:v>
                </c:pt>
                <c:pt idx="3115">
                  <c:v>178.83</c:v>
                </c:pt>
                <c:pt idx="3116">
                  <c:v>177.85</c:v>
                </c:pt>
                <c:pt idx="3117">
                  <c:v>177.72</c:v>
                </c:pt>
                <c:pt idx="3118">
                  <c:v>176.33</c:v>
                </c:pt>
                <c:pt idx="3119">
                  <c:v>174.13</c:v>
                </c:pt>
                <c:pt idx="3120">
                  <c:v>95.98</c:v>
                </c:pt>
                <c:pt idx="3121">
                  <c:v>95.08</c:v>
                </c:pt>
                <c:pt idx="3122">
                  <c:v>94.86</c:v>
                </c:pt>
                <c:pt idx="3123">
                  <c:v>94.68</c:v>
                </c:pt>
                <c:pt idx="3124">
                  <c:v>94.49</c:v>
                </c:pt>
                <c:pt idx="3125">
                  <c:v>94.73</c:v>
                </c:pt>
                <c:pt idx="3126">
                  <c:v>94.94</c:v>
                </c:pt>
                <c:pt idx="3127">
                  <c:v>95.16</c:v>
                </c:pt>
                <c:pt idx="3128">
                  <c:v>95.98</c:v>
                </c:pt>
                <c:pt idx="3129">
                  <c:v>96.89</c:v>
                </c:pt>
                <c:pt idx="3130">
                  <c:v>98.35</c:v>
                </c:pt>
                <c:pt idx="3131">
                  <c:v>98.39</c:v>
                </c:pt>
                <c:pt idx="3132">
                  <c:v>98.35</c:v>
                </c:pt>
                <c:pt idx="3133">
                  <c:v>98.15</c:v>
                </c:pt>
                <c:pt idx="3134">
                  <c:v>98.14</c:v>
                </c:pt>
                <c:pt idx="3135">
                  <c:v>98.17</c:v>
                </c:pt>
                <c:pt idx="3136">
                  <c:v>98.39</c:v>
                </c:pt>
                <c:pt idx="3137">
                  <c:v>99.18</c:v>
                </c:pt>
                <c:pt idx="3138">
                  <c:v>100.39</c:v>
                </c:pt>
                <c:pt idx="3139">
                  <c:v>100.17</c:v>
                </c:pt>
                <c:pt idx="3140">
                  <c:v>99.47</c:v>
                </c:pt>
                <c:pt idx="3141">
                  <c:v>98.92</c:v>
                </c:pt>
                <c:pt idx="3142">
                  <c:v>97.93</c:v>
                </c:pt>
                <c:pt idx="3143">
                  <c:v>96.5</c:v>
                </c:pt>
                <c:pt idx="3144">
                  <c:v>74.73</c:v>
                </c:pt>
                <c:pt idx="3145">
                  <c:v>42.35</c:v>
                </c:pt>
                <c:pt idx="3146">
                  <c:v>42.35</c:v>
                </c:pt>
                <c:pt idx="3147">
                  <c:v>42.35</c:v>
                </c:pt>
                <c:pt idx="3148">
                  <c:v>42.35</c:v>
                </c:pt>
                <c:pt idx="3149">
                  <c:v>42.35</c:v>
                </c:pt>
                <c:pt idx="3150">
                  <c:v>42.35</c:v>
                </c:pt>
                <c:pt idx="3151">
                  <c:v>42.35</c:v>
                </c:pt>
                <c:pt idx="3152">
                  <c:v>42.35</c:v>
                </c:pt>
                <c:pt idx="3153">
                  <c:v>76.849999999999994</c:v>
                </c:pt>
                <c:pt idx="3154">
                  <c:v>90.56</c:v>
                </c:pt>
                <c:pt idx="3155">
                  <c:v>91.13</c:v>
                </c:pt>
                <c:pt idx="3156">
                  <c:v>90.41</c:v>
                </c:pt>
                <c:pt idx="3157">
                  <c:v>88.05</c:v>
                </c:pt>
                <c:pt idx="3158">
                  <c:v>87.73</c:v>
                </c:pt>
                <c:pt idx="3159">
                  <c:v>88.05</c:v>
                </c:pt>
                <c:pt idx="3160">
                  <c:v>91.95</c:v>
                </c:pt>
                <c:pt idx="3161">
                  <c:v>95</c:v>
                </c:pt>
                <c:pt idx="3162">
                  <c:v>98.98</c:v>
                </c:pt>
                <c:pt idx="3163">
                  <c:v>98.36</c:v>
                </c:pt>
                <c:pt idx="3164">
                  <c:v>97.98</c:v>
                </c:pt>
                <c:pt idx="3165">
                  <c:v>97.59</c:v>
                </c:pt>
                <c:pt idx="3166">
                  <c:v>96.12</c:v>
                </c:pt>
                <c:pt idx="3167">
                  <c:v>95</c:v>
                </c:pt>
                <c:pt idx="3168">
                  <c:v>73.349999999999994</c:v>
                </c:pt>
                <c:pt idx="3169">
                  <c:v>42.35</c:v>
                </c:pt>
                <c:pt idx="3170">
                  <c:v>42.35</c:v>
                </c:pt>
                <c:pt idx="3171">
                  <c:v>42.35</c:v>
                </c:pt>
                <c:pt idx="3172">
                  <c:v>42.35</c:v>
                </c:pt>
                <c:pt idx="3173">
                  <c:v>75.58</c:v>
                </c:pt>
                <c:pt idx="3174">
                  <c:v>96.85</c:v>
                </c:pt>
                <c:pt idx="3175">
                  <c:v>98.84</c:v>
                </c:pt>
                <c:pt idx="3176">
                  <c:v>100.96</c:v>
                </c:pt>
                <c:pt idx="3177">
                  <c:v>101.4</c:v>
                </c:pt>
                <c:pt idx="3178">
                  <c:v>101.54</c:v>
                </c:pt>
                <c:pt idx="3179">
                  <c:v>101.81</c:v>
                </c:pt>
                <c:pt idx="3180">
                  <c:v>101.51</c:v>
                </c:pt>
                <c:pt idx="3181">
                  <c:v>101.85</c:v>
                </c:pt>
                <c:pt idx="3182">
                  <c:v>101.9</c:v>
                </c:pt>
                <c:pt idx="3183">
                  <c:v>101.92</c:v>
                </c:pt>
                <c:pt idx="3184">
                  <c:v>101.93</c:v>
                </c:pt>
                <c:pt idx="3185">
                  <c:v>101.88</c:v>
                </c:pt>
                <c:pt idx="3186">
                  <c:v>101.95</c:v>
                </c:pt>
                <c:pt idx="3187">
                  <c:v>101.93</c:v>
                </c:pt>
                <c:pt idx="3188">
                  <c:v>101.89</c:v>
                </c:pt>
                <c:pt idx="3189">
                  <c:v>101.38</c:v>
                </c:pt>
                <c:pt idx="3190">
                  <c:v>101.13</c:v>
                </c:pt>
                <c:pt idx="3191">
                  <c:v>100.27</c:v>
                </c:pt>
                <c:pt idx="3192">
                  <c:v>99.27</c:v>
                </c:pt>
                <c:pt idx="3193">
                  <c:v>97.67</c:v>
                </c:pt>
                <c:pt idx="3194">
                  <c:v>96.49</c:v>
                </c:pt>
                <c:pt idx="3195">
                  <c:v>96.37</c:v>
                </c:pt>
                <c:pt idx="3196">
                  <c:v>96.48</c:v>
                </c:pt>
                <c:pt idx="3197">
                  <c:v>97.75</c:v>
                </c:pt>
                <c:pt idx="3198">
                  <c:v>99.66</c:v>
                </c:pt>
                <c:pt idx="3199">
                  <c:v>100.53</c:v>
                </c:pt>
                <c:pt idx="3200">
                  <c:v>100.93</c:v>
                </c:pt>
                <c:pt idx="3201">
                  <c:v>101.2</c:v>
                </c:pt>
                <c:pt idx="3202">
                  <c:v>102.77</c:v>
                </c:pt>
                <c:pt idx="3203">
                  <c:v>102.92</c:v>
                </c:pt>
                <c:pt idx="3204">
                  <c:v>102.13</c:v>
                </c:pt>
                <c:pt idx="3205">
                  <c:v>102.92</c:v>
                </c:pt>
                <c:pt idx="3206">
                  <c:v>103.4</c:v>
                </c:pt>
                <c:pt idx="3207">
                  <c:v>103.43</c:v>
                </c:pt>
                <c:pt idx="3208">
                  <c:v>103.42</c:v>
                </c:pt>
                <c:pt idx="3209">
                  <c:v>102.81</c:v>
                </c:pt>
                <c:pt idx="3210">
                  <c:v>103.37</c:v>
                </c:pt>
                <c:pt idx="3211">
                  <c:v>102.62</c:v>
                </c:pt>
                <c:pt idx="3212">
                  <c:v>101.63</c:v>
                </c:pt>
                <c:pt idx="3213">
                  <c:v>101.54</c:v>
                </c:pt>
                <c:pt idx="3214">
                  <c:v>100.75</c:v>
                </c:pt>
                <c:pt idx="3215">
                  <c:v>100.51</c:v>
                </c:pt>
                <c:pt idx="3216">
                  <c:v>98.09</c:v>
                </c:pt>
                <c:pt idx="3217">
                  <c:v>97.63</c:v>
                </c:pt>
                <c:pt idx="3218">
                  <c:v>97.28</c:v>
                </c:pt>
                <c:pt idx="3219">
                  <c:v>96.89</c:v>
                </c:pt>
                <c:pt idx="3220">
                  <c:v>96.96</c:v>
                </c:pt>
                <c:pt idx="3221">
                  <c:v>97.63</c:v>
                </c:pt>
                <c:pt idx="3222">
                  <c:v>99.5</c:v>
                </c:pt>
                <c:pt idx="3223">
                  <c:v>100.42</c:v>
                </c:pt>
                <c:pt idx="3224">
                  <c:v>100.56</c:v>
                </c:pt>
                <c:pt idx="3225">
                  <c:v>100.81</c:v>
                </c:pt>
                <c:pt idx="3226">
                  <c:v>101.28</c:v>
                </c:pt>
                <c:pt idx="3227">
                  <c:v>101.31</c:v>
                </c:pt>
                <c:pt idx="3228">
                  <c:v>100.87</c:v>
                </c:pt>
                <c:pt idx="3229">
                  <c:v>101.3</c:v>
                </c:pt>
                <c:pt idx="3230">
                  <c:v>101.43</c:v>
                </c:pt>
                <c:pt idx="3231">
                  <c:v>101.45</c:v>
                </c:pt>
                <c:pt idx="3232">
                  <c:v>101.46</c:v>
                </c:pt>
                <c:pt idx="3233">
                  <c:v>101.4</c:v>
                </c:pt>
                <c:pt idx="3234">
                  <c:v>102.08</c:v>
                </c:pt>
                <c:pt idx="3235">
                  <c:v>101.43</c:v>
                </c:pt>
                <c:pt idx="3236">
                  <c:v>100.92</c:v>
                </c:pt>
                <c:pt idx="3237">
                  <c:v>100.87</c:v>
                </c:pt>
                <c:pt idx="3238">
                  <c:v>100.34</c:v>
                </c:pt>
                <c:pt idx="3239">
                  <c:v>100</c:v>
                </c:pt>
                <c:pt idx="3240">
                  <c:v>93.72</c:v>
                </c:pt>
                <c:pt idx="3241">
                  <c:v>42.35</c:v>
                </c:pt>
                <c:pt idx="3242">
                  <c:v>42.35</c:v>
                </c:pt>
                <c:pt idx="3243">
                  <c:v>42.35</c:v>
                </c:pt>
                <c:pt idx="3244">
                  <c:v>42.35</c:v>
                </c:pt>
                <c:pt idx="3245">
                  <c:v>42.35</c:v>
                </c:pt>
                <c:pt idx="3246">
                  <c:v>93.86</c:v>
                </c:pt>
                <c:pt idx="3247">
                  <c:v>96.16</c:v>
                </c:pt>
                <c:pt idx="3248">
                  <c:v>98.18</c:v>
                </c:pt>
                <c:pt idx="3249">
                  <c:v>99.09</c:v>
                </c:pt>
                <c:pt idx="3250">
                  <c:v>99.9</c:v>
                </c:pt>
                <c:pt idx="3251">
                  <c:v>99.92</c:v>
                </c:pt>
                <c:pt idx="3252">
                  <c:v>99.12</c:v>
                </c:pt>
                <c:pt idx="3253">
                  <c:v>99.5</c:v>
                </c:pt>
                <c:pt idx="3254">
                  <c:v>99.91</c:v>
                </c:pt>
                <c:pt idx="3255">
                  <c:v>99.9</c:v>
                </c:pt>
                <c:pt idx="3256">
                  <c:v>99.88</c:v>
                </c:pt>
                <c:pt idx="3257">
                  <c:v>99.49</c:v>
                </c:pt>
                <c:pt idx="3258">
                  <c:v>99.85</c:v>
                </c:pt>
                <c:pt idx="3259">
                  <c:v>99.83</c:v>
                </c:pt>
                <c:pt idx="3260">
                  <c:v>99.25</c:v>
                </c:pt>
                <c:pt idx="3261">
                  <c:v>98.99</c:v>
                </c:pt>
                <c:pt idx="3262">
                  <c:v>98.3</c:v>
                </c:pt>
                <c:pt idx="3263">
                  <c:v>96.35</c:v>
                </c:pt>
                <c:pt idx="3264">
                  <c:v>42.35</c:v>
                </c:pt>
                <c:pt idx="3265">
                  <c:v>42.35</c:v>
                </c:pt>
                <c:pt idx="3266">
                  <c:v>42.35</c:v>
                </c:pt>
                <c:pt idx="3267">
                  <c:v>42.35</c:v>
                </c:pt>
                <c:pt idx="3268">
                  <c:v>42.35</c:v>
                </c:pt>
                <c:pt idx="3269">
                  <c:v>42.35</c:v>
                </c:pt>
                <c:pt idx="3270">
                  <c:v>89.51</c:v>
                </c:pt>
                <c:pt idx="3271">
                  <c:v>92.97</c:v>
                </c:pt>
                <c:pt idx="3272">
                  <c:v>97.79</c:v>
                </c:pt>
                <c:pt idx="3273">
                  <c:v>97.96</c:v>
                </c:pt>
                <c:pt idx="3274">
                  <c:v>98.18</c:v>
                </c:pt>
                <c:pt idx="3275">
                  <c:v>98.2</c:v>
                </c:pt>
                <c:pt idx="3276">
                  <c:v>98.06</c:v>
                </c:pt>
                <c:pt idx="3277">
                  <c:v>98.2</c:v>
                </c:pt>
                <c:pt idx="3278">
                  <c:v>98.25</c:v>
                </c:pt>
                <c:pt idx="3279">
                  <c:v>98.34</c:v>
                </c:pt>
                <c:pt idx="3280">
                  <c:v>98.34</c:v>
                </c:pt>
                <c:pt idx="3281">
                  <c:v>98.32</c:v>
                </c:pt>
                <c:pt idx="3282">
                  <c:v>98.72</c:v>
                </c:pt>
                <c:pt idx="3283">
                  <c:v>98.32</c:v>
                </c:pt>
                <c:pt idx="3284">
                  <c:v>98.22</c:v>
                </c:pt>
                <c:pt idx="3285">
                  <c:v>97.74</c:v>
                </c:pt>
                <c:pt idx="3286">
                  <c:v>96.49</c:v>
                </c:pt>
                <c:pt idx="3287">
                  <c:v>92.48</c:v>
                </c:pt>
                <c:pt idx="3288">
                  <c:v>119.74</c:v>
                </c:pt>
                <c:pt idx="3289">
                  <c:v>119.71</c:v>
                </c:pt>
                <c:pt idx="3290">
                  <c:v>119.67</c:v>
                </c:pt>
                <c:pt idx="3291">
                  <c:v>119.15</c:v>
                </c:pt>
                <c:pt idx="3292">
                  <c:v>119.22</c:v>
                </c:pt>
                <c:pt idx="3293">
                  <c:v>119.34</c:v>
                </c:pt>
                <c:pt idx="3294">
                  <c:v>119.48</c:v>
                </c:pt>
                <c:pt idx="3295">
                  <c:v>119.61</c:v>
                </c:pt>
                <c:pt idx="3296">
                  <c:v>119.72</c:v>
                </c:pt>
                <c:pt idx="3297">
                  <c:v>121.41</c:v>
                </c:pt>
                <c:pt idx="3298">
                  <c:v>123.84</c:v>
                </c:pt>
                <c:pt idx="3299">
                  <c:v>123.86</c:v>
                </c:pt>
                <c:pt idx="3300">
                  <c:v>123.22</c:v>
                </c:pt>
                <c:pt idx="3301">
                  <c:v>122.32</c:v>
                </c:pt>
                <c:pt idx="3302">
                  <c:v>122.3</c:v>
                </c:pt>
                <c:pt idx="3303">
                  <c:v>122.61</c:v>
                </c:pt>
                <c:pt idx="3304">
                  <c:v>123.03</c:v>
                </c:pt>
                <c:pt idx="3305">
                  <c:v>125.06</c:v>
                </c:pt>
                <c:pt idx="3306">
                  <c:v>126.56</c:v>
                </c:pt>
                <c:pt idx="3307">
                  <c:v>126.13</c:v>
                </c:pt>
                <c:pt idx="3308">
                  <c:v>125.05</c:v>
                </c:pt>
                <c:pt idx="3309">
                  <c:v>122.24</c:v>
                </c:pt>
                <c:pt idx="3310">
                  <c:v>119.39</c:v>
                </c:pt>
                <c:pt idx="3311">
                  <c:v>119.18</c:v>
                </c:pt>
                <c:pt idx="3312">
                  <c:v>42.35</c:v>
                </c:pt>
                <c:pt idx="3313">
                  <c:v>42.35</c:v>
                </c:pt>
                <c:pt idx="3314">
                  <c:v>42.35</c:v>
                </c:pt>
                <c:pt idx="3315">
                  <c:v>42.35</c:v>
                </c:pt>
                <c:pt idx="3316">
                  <c:v>42.35</c:v>
                </c:pt>
                <c:pt idx="3317">
                  <c:v>42.35</c:v>
                </c:pt>
                <c:pt idx="3318">
                  <c:v>42.35</c:v>
                </c:pt>
                <c:pt idx="3319">
                  <c:v>42.35</c:v>
                </c:pt>
                <c:pt idx="3320">
                  <c:v>42.35</c:v>
                </c:pt>
                <c:pt idx="3321">
                  <c:v>42.35</c:v>
                </c:pt>
                <c:pt idx="3322">
                  <c:v>106.19</c:v>
                </c:pt>
                <c:pt idx="3323">
                  <c:v>107.69</c:v>
                </c:pt>
                <c:pt idx="3324">
                  <c:v>107.69</c:v>
                </c:pt>
                <c:pt idx="3325">
                  <c:v>107.59</c:v>
                </c:pt>
                <c:pt idx="3326">
                  <c:v>107.56</c:v>
                </c:pt>
                <c:pt idx="3327">
                  <c:v>107.94</c:v>
                </c:pt>
                <c:pt idx="3328">
                  <c:v>117.65</c:v>
                </c:pt>
                <c:pt idx="3329">
                  <c:v>117.81</c:v>
                </c:pt>
                <c:pt idx="3330">
                  <c:v>124.55</c:v>
                </c:pt>
                <c:pt idx="3331">
                  <c:v>124.11</c:v>
                </c:pt>
                <c:pt idx="3332">
                  <c:v>122.78</c:v>
                </c:pt>
                <c:pt idx="3333">
                  <c:v>121.04</c:v>
                </c:pt>
                <c:pt idx="3334">
                  <c:v>117.94</c:v>
                </c:pt>
                <c:pt idx="3335">
                  <c:v>117.65</c:v>
                </c:pt>
                <c:pt idx="3336">
                  <c:v>123.46</c:v>
                </c:pt>
                <c:pt idx="3337">
                  <c:v>117.49</c:v>
                </c:pt>
                <c:pt idx="3338">
                  <c:v>105.99</c:v>
                </c:pt>
                <c:pt idx="3339">
                  <c:v>101.7</c:v>
                </c:pt>
                <c:pt idx="3340">
                  <c:v>106</c:v>
                </c:pt>
                <c:pt idx="3341">
                  <c:v>125.35</c:v>
                </c:pt>
                <c:pt idx="3342">
                  <c:v>130.26</c:v>
                </c:pt>
                <c:pt idx="3343">
                  <c:v>132.77000000000001</c:v>
                </c:pt>
                <c:pt idx="3344">
                  <c:v>135.72</c:v>
                </c:pt>
                <c:pt idx="3345">
                  <c:v>137</c:v>
                </c:pt>
                <c:pt idx="3346">
                  <c:v>137.31</c:v>
                </c:pt>
                <c:pt idx="3347">
                  <c:v>137.36000000000001</c:v>
                </c:pt>
                <c:pt idx="3348">
                  <c:v>137.4</c:v>
                </c:pt>
                <c:pt idx="3349">
                  <c:v>137.44</c:v>
                </c:pt>
                <c:pt idx="3350">
                  <c:v>137.47999999999999</c:v>
                </c:pt>
                <c:pt idx="3351">
                  <c:v>137.52000000000001</c:v>
                </c:pt>
                <c:pt idx="3352">
                  <c:v>137.56</c:v>
                </c:pt>
                <c:pt idx="3353">
                  <c:v>137.54</c:v>
                </c:pt>
                <c:pt idx="3354">
                  <c:v>137.52000000000001</c:v>
                </c:pt>
                <c:pt idx="3355">
                  <c:v>137.49</c:v>
                </c:pt>
                <c:pt idx="3356">
                  <c:v>137.32</c:v>
                </c:pt>
                <c:pt idx="3357">
                  <c:v>137.28</c:v>
                </c:pt>
                <c:pt idx="3358">
                  <c:v>135.85</c:v>
                </c:pt>
                <c:pt idx="3359">
                  <c:v>133.28</c:v>
                </c:pt>
                <c:pt idx="3360">
                  <c:v>133.12</c:v>
                </c:pt>
                <c:pt idx="3361">
                  <c:v>131.31</c:v>
                </c:pt>
                <c:pt idx="3362">
                  <c:v>129.31</c:v>
                </c:pt>
                <c:pt idx="3363">
                  <c:v>128.9</c:v>
                </c:pt>
                <c:pt idx="3364">
                  <c:v>129.19</c:v>
                </c:pt>
                <c:pt idx="3365">
                  <c:v>131.83000000000001</c:v>
                </c:pt>
                <c:pt idx="3366">
                  <c:v>134.19</c:v>
                </c:pt>
                <c:pt idx="3367">
                  <c:v>135.29</c:v>
                </c:pt>
                <c:pt idx="3368">
                  <c:v>137.38999999999999</c:v>
                </c:pt>
                <c:pt idx="3369">
                  <c:v>137.43</c:v>
                </c:pt>
                <c:pt idx="3370">
                  <c:v>138.07</c:v>
                </c:pt>
                <c:pt idx="3371">
                  <c:v>138.15</c:v>
                </c:pt>
                <c:pt idx="3372">
                  <c:v>137.69</c:v>
                </c:pt>
                <c:pt idx="3373">
                  <c:v>138.06</c:v>
                </c:pt>
                <c:pt idx="3374">
                  <c:v>138.38999999999999</c:v>
                </c:pt>
                <c:pt idx="3375">
                  <c:v>138.49</c:v>
                </c:pt>
                <c:pt idx="3376">
                  <c:v>138.47999999999999</c:v>
                </c:pt>
                <c:pt idx="3377">
                  <c:v>138.53</c:v>
                </c:pt>
                <c:pt idx="3378">
                  <c:v>139.46</c:v>
                </c:pt>
                <c:pt idx="3379">
                  <c:v>138.55000000000001</c:v>
                </c:pt>
                <c:pt idx="3380">
                  <c:v>137.68</c:v>
                </c:pt>
                <c:pt idx="3381">
                  <c:v>137.31</c:v>
                </c:pt>
                <c:pt idx="3382">
                  <c:v>137.08000000000001</c:v>
                </c:pt>
                <c:pt idx="3383">
                  <c:v>134.82</c:v>
                </c:pt>
                <c:pt idx="3384">
                  <c:v>131.53</c:v>
                </c:pt>
                <c:pt idx="3385">
                  <c:v>127.63</c:v>
                </c:pt>
                <c:pt idx="3386">
                  <c:v>124.59</c:v>
                </c:pt>
                <c:pt idx="3387">
                  <c:v>124.55</c:v>
                </c:pt>
                <c:pt idx="3388">
                  <c:v>124.62</c:v>
                </c:pt>
                <c:pt idx="3389">
                  <c:v>129.69999999999999</c:v>
                </c:pt>
                <c:pt idx="3390">
                  <c:v>133.26</c:v>
                </c:pt>
                <c:pt idx="3391">
                  <c:v>134.43</c:v>
                </c:pt>
                <c:pt idx="3392">
                  <c:v>136.37</c:v>
                </c:pt>
                <c:pt idx="3393">
                  <c:v>136.55000000000001</c:v>
                </c:pt>
                <c:pt idx="3394">
                  <c:v>136.72</c:v>
                </c:pt>
                <c:pt idx="3395">
                  <c:v>136.72999999999999</c:v>
                </c:pt>
                <c:pt idx="3396">
                  <c:v>136.66999999999999</c:v>
                </c:pt>
                <c:pt idx="3397">
                  <c:v>136.63999999999999</c:v>
                </c:pt>
                <c:pt idx="3398">
                  <c:v>137.09</c:v>
                </c:pt>
                <c:pt idx="3399">
                  <c:v>137.56</c:v>
                </c:pt>
                <c:pt idx="3400">
                  <c:v>137.80000000000001</c:v>
                </c:pt>
                <c:pt idx="3401">
                  <c:v>137.37</c:v>
                </c:pt>
                <c:pt idx="3402">
                  <c:v>138.97</c:v>
                </c:pt>
                <c:pt idx="3403">
                  <c:v>138.47999999999999</c:v>
                </c:pt>
                <c:pt idx="3404">
                  <c:v>137.57</c:v>
                </c:pt>
                <c:pt idx="3405">
                  <c:v>136.54</c:v>
                </c:pt>
                <c:pt idx="3406">
                  <c:v>136.29</c:v>
                </c:pt>
                <c:pt idx="3407">
                  <c:v>134.4</c:v>
                </c:pt>
                <c:pt idx="3408">
                  <c:v>132.93</c:v>
                </c:pt>
                <c:pt idx="3409">
                  <c:v>130.04</c:v>
                </c:pt>
                <c:pt idx="3410">
                  <c:v>127.37</c:v>
                </c:pt>
                <c:pt idx="3411">
                  <c:v>127.35</c:v>
                </c:pt>
                <c:pt idx="3412">
                  <c:v>127.48</c:v>
                </c:pt>
                <c:pt idx="3413">
                  <c:v>131.13</c:v>
                </c:pt>
                <c:pt idx="3414">
                  <c:v>134.09</c:v>
                </c:pt>
                <c:pt idx="3415">
                  <c:v>135.24</c:v>
                </c:pt>
                <c:pt idx="3416">
                  <c:v>135.77000000000001</c:v>
                </c:pt>
                <c:pt idx="3417">
                  <c:v>136.18</c:v>
                </c:pt>
                <c:pt idx="3418">
                  <c:v>136.52000000000001</c:v>
                </c:pt>
                <c:pt idx="3419">
                  <c:v>136.86000000000001</c:v>
                </c:pt>
                <c:pt idx="3420">
                  <c:v>136.1</c:v>
                </c:pt>
                <c:pt idx="3421">
                  <c:v>136.66999999999999</c:v>
                </c:pt>
                <c:pt idx="3422">
                  <c:v>138.25</c:v>
                </c:pt>
                <c:pt idx="3423">
                  <c:v>138.32</c:v>
                </c:pt>
                <c:pt idx="3424">
                  <c:v>138.44999999999999</c:v>
                </c:pt>
                <c:pt idx="3425">
                  <c:v>138.81</c:v>
                </c:pt>
                <c:pt idx="3426">
                  <c:v>139.94</c:v>
                </c:pt>
                <c:pt idx="3427">
                  <c:v>139.47</c:v>
                </c:pt>
                <c:pt idx="3428">
                  <c:v>138.41</c:v>
                </c:pt>
                <c:pt idx="3429">
                  <c:v>136.94999999999999</c:v>
                </c:pt>
                <c:pt idx="3430">
                  <c:v>135.81</c:v>
                </c:pt>
                <c:pt idx="3431">
                  <c:v>134.97</c:v>
                </c:pt>
                <c:pt idx="3432">
                  <c:v>82.22</c:v>
                </c:pt>
                <c:pt idx="3433">
                  <c:v>42.35</c:v>
                </c:pt>
                <c:pt idx="3434">
                  <c:v>42.35</c:v>
                </c:pt>
                <c:pt idx="3435">
                  <c:v>42.35</c:v>
                </c:pt>
                <c:pt idx="3436">
                  <c:v>42.35</c:v>
                </c:pt>
                <c:pt idx="3437">
                  <c:v>83.17</c:v>
                </c:pt>
                <c:pt idx="3438">
                  <c:v>126.16</c:v>
                </c:pt>
                <c:pt idx="3439">
                  <c:v>130.26</c:v>
                </c:pt>
                <c:pt idx="3440">
                  <c:v>133.75</c:v>
                </c:pt>
                <c:pt idx="3441">
                  <c:v>134.16999999999999</c:v>
                </c:pt>
                <c:pt idx="3442">
                  <c:v>134.94999999999999</c:v>
                </c:pt>
                <c:pt idx="3443">
                  <c:v>135.29</c:v>
                </c:pt>
                <c:pt idx="3444">
                  <c:v>134.28</c:v>
                </c:pt>
                <c:pt idx="3445">
                  <c:v>135.12</c:v>
                </c:pt>
                <c:pt idx="3446">
                  <c:v>135.37</c:v>
                </c:pt>
                <c:pt idx="3447">
                  <c:v>135.4</c:v>
                </c:pt>
                <c:pt idx="3448">
                  <c:v>135.41999999999999</c:v>
                </c:pt>
                <c:pt idx="3449">
                  <c:v>135.47</c:v>
                </c:pt>
                <c:pt idx="3450">
                  <c:v>135.86000000000001</c:v>
                </c:pt>
                <c:pt idx="3451">
                  <c:v>135.61000000000001</c:v>
                </c:pt>
                <c:pt idx="3452">
                  <c:v>135.41999999999999</c:v>
                </c:pt>
                <c:pt idx="3453">
                  <c:v>135.15</c:v>
                </c:pt>
                <c:pt idx="3454">
                  <c:v>134.01</c:v>
                </c:pt>
                <c:pt idx="3455">
                  <c:v>130.38999999999999</c:v>
                </c:pt>
                <c:pt idx="3456">
                  <c:v>110.25</c:v>
                </c:pt>
                <c:pt idx="3457">
                  <c:v>103.7</c:v>
                </c:pt>
                <c:pt idx="3458">
                  <c:v>98.41</c:v>
                </c:pt>
                <c:pt idx="3459">
                  <c:v>96.51</c:v>
                </c:pt>
                <c:pt idx="3460">
                  <c:v>96.49</c:v>
                </c:pt>
                <c:pt idx="3461">
                  <c:v>96.75</c:v>
                </c:pt>
                <c:pt idx="3462">
                  <c:v>99.44</c:v>
                </c:pt>
                <c:pt idx="3463">
                  <c:v>105.96</c:v>
                </c:pt>
                <c:pt idx="3464">
                  <c:v>115.03</c:v>
                </c:pt>
                <c:pt idx="3465">
                  <c:v>117.26</c:v>
                </c:pt>
                <c:pt idx="3466">
                  <c:v>117.57</c:v>
                </c:pt>
                <c:pt idx="3467">
                  <c:v>117.57</c:v>
                </c:pt>
                <c:pt idx="3468">
                  <c:v>117.57</c:v>
                </c:pt>
                <c:pt idx="3469">
                  <c:v>117.57</c:v>
                </c:pt>
                <c:pt idx="3470">
                  <c:v>117.58</c:v>
                </c:pt>
                <c:pt idx="3471">
                  <c:v>117.6</c:v>
                </c:pt>
                <c:pt idx="3472">
                  <c:v>117.71</c:v>
                </c:pt>
                <c:pt idx="3473">
                  <c:v>121.64</c:v>
                </c:pt>
                <c:pt idx="3474">
                  <c:v>130.29</c:v>
                </c:pt>
                <c:pt idx="3475">
                  <c:v>125.93</c:v>
                </c:pt>
                <c:pt idx="3476">
                  <c:v>122.07</c:v>
                </c:pt>
                <c:pt idx="3477">
                  <c:v>118.73</c:v>
                </c:pt>
                <c:pt idx="3478">
                  <c:v>117.11</c:v>
                </c:pt>
                <c:pt idx="3479">
                  <c:v>112.12</c:v>
                </c:pt>
                <c:pt idx="3480">
                  <c:v>42.35</c:v>
                </c:pt>
                <c:pt idx="3481">
                  <c:v>42.35</c:v>
                </c:pt>
                <c:pt idx="3482">
                  <c:v>42.35</c:v>
                </c:pt>
                <c:pt idx="3483">
                  <c:v>42.35</c:v>
                </c:pt>
                <c:pt idx="3484">
                  <c:v>42.35</c:v>
                </c:pt>
                <c:pt idx="3485">
                  <c:v>42.35</c:v>
                </c:pt>
                <c:pt idx="3486">
                  <c:v>42.35</c:v>
                </c:pt>
                <c:pt idx="3487">
                  <c:v>42.35</c:v>
                </c:pt>
                <c:pt idx="3488">
                  <c:v>42.35</c:v>
                </c:pt>
                <c:pt idx="3489">
                  <c:v>42.35</c:v>
                </c:pt>
                <c:pt idx="3490">
                  <c:v>42.35</c:v>
                </c:pt>
                <c:pt idx="3491">
                  <c:v>42.35</c:v>
                </c:pt>
                <c:pt idx="3492">
                  <c:v>42.35</c:v>
                </c:pt>
                <c:pt idx="3493">
                  <c:v>42.35</c:v>
                </c:pt>
                <c:pt idx="3494">
                  <c:v>42.35</c:v>
                </c:pt>
                <c:pt idx="3495">
                  <c:v>42.35</c:v>
                </c:pt>
                <c:pt idx="3496">
                  <c:v>42.35</c:v>
                </c:pt>
                <c:pt idx="3497">
                  <c:v>42.35</c:v>
                </c:pt>
                <c:pt idx="3498">
                  <c:v>42.35</c:v>
                </c:pt>
                <c:pt idx="3499">
                  <c:v>42.35</c:v>
                </c:pt>
                <c:pt idx="3500">
                  <c:v>42.35</c:v>
                </c:pt>
                <c:pt idx="3501">
                  <c:v>42.35</c:v>
                </c:pt>
                <c:pt idx="3502">
                  <c:v>42.35</c:v>
                </c:pt>
                <c:pt idx="3503">
                  <c:v>42.35</c:v>
                </c:pt>
                <c:pt idx="3504">
                  <c:v>42.35</c:v>
                </c:pt>
                <c:pt idx="3505">
                  <c:v>42.35</c:v>
                </c:pt>
                <c:pt idx="3506">
                  <c:v>42.35</c:v>
                </c:pt>
                <c:pt idx="3507">
                  <c:v>42.35</c:v>
                </c:pt>
                <c:pt idx="3508">
                  <c:v>42.35</c:v>
                </c:pt>
                <c:pt idx="3509">
                  <c:v>42.35</c:v>
                </c:pt>
                <c:pt idx="3510">
                  <c:v>42.35</c:v>
                </c:pt>
                <c:pt idx="3511">
                  <c:v>131.57</c:v>
                </c:pt>
                <c:pt idx="3512">
                  <c:v>131.57</c:v>
                </c:pt>
                <c:pt idx="3513">
                  <c:v>131.57</c:v>
                </c:pt>
                <c:pt idx="3514">
                  <c:v>134.43</c:v>
                </c:pt>
                <c:pt idx="3515">
                  <c:v>134.43</c:v>
                </c:pt>
                <c:pt idx="3516">
                  <c:v>134.43</c:v>
                </c:pt>
                <c:pt idx="3517">
                  <c:v>134.43</c:v>
                </c:pt>
                <c:pt idx="3518">
                  <c:v>134.43</c:v>
                </c:pt>
                <c:pt idx="3519">
                  <c:v>134.43</c:v>
                </c:pt>
                <c:pt idx="3520">
                  <c:v>134.43</c:v>
                </c:pt>
                <c:pt idx="3521">
                  <c:v>134.43</c:v>
                </c:pt>
                <c:pt idx="3522">
                  <c:v>134.43</c:v>
                </c:pt>
                <c:pt idx="3523">
                  <c:v>134.43</c:v>
                </c:pt>
                <c:pt idx="3524">
                  <c:v>134.43</c:v>
                </c:pt>
                <c:pt idx="3525">
                  <c:v>134.43</c:v>
                </c:pt>
                <c:pt idx="3526">
                  <c:v>131.58000000000001</c:v>
                </c:pt>
                <c:pt idx="3527">
                  <c:v>117.86</c:v>
                </c:pt>
                <c:pt idx="3528">
                  <c:v>124.42</c:v>
                </c:pt>
                <c:pt idx="3529">
                  <c:v>124.42</c:v>
                </c:pt>
                <c:pt idx="3530">
                  <c:v>124.42</c:v>
                </c:pt>
                <c:pt idx="3531">
                  <c:v>124.42</c:v>
                </c:pt>
                <c:pt idx="3532">
                  <c:v>124.42</c:v>
                </c:pt>
                <c:pt idx="3533">
                  <c:v>124.42</c:v>
                </c:pt>
                <c:pt idx="3534">
                  <c:v>124.42</c:v>
                </c:pt>
                <c:pt idx="3535">
                  <c:v>132.22</c:v>
                </c:pt>
                <c:pt idx="3536">
                  <c:v>132.22</c:v>
                </c:pt>
                <c:pt idx="3537">
                  <c:v>132.22</c:v>
                </c:pt>
                <c:pt idx="3538">
                  <c:v>135.56</c:v>
                </c:pt>
                <c:pt idx="3539">
                  <c:v>135.56</c:v>
                </c:pt>
                <c:pt idx="3540">
                  <c:v>135.56</c:v>
                </c:pt>
                <c:pt idx="3541">
                  <c:v>135.56</c:v>
                </c:pt>
                <c:pt idx="3542">
                  <c:v>135.56</c:v>
                </c:pt>
                <c:pt idx="3543">
                  <c:v>135.56</c:v>
                </c:pt>
                <c:pt idx="3544">
                  <c:v>135.56</c:v>
                </c:pt>
                <c:pt idx="3545">
                  <c:v>135.56</c:v>
                </c:pt>
                <c:pt idx="3546">
                  <c:v>135.56</c:v>
                </c:pt>
                <c:pt idx="3547">
                  <c:v>135.56</c:v>
                </c:pt>
                <c:pt idx="3548">
                  <c:v>135.56</c:v>
                </c:pt>
                <c:pt idx="3549">
                  <c:v>135.56</c:v>
                </c:pt>
                <c:pt idx="3550">
                  <c:v>131.96</c:v>
                </c:pt>
                <c:pt idx="3551">
                  <c:v>131.96</c:v>
                </c:pt>
                <c:pt idx="3552">
                  <c:v>42.35</c:v>
                </c:pt>
                <c:pt idx="3553">
                  <c:v>42.35</c:v>
                </c:pt>
                <c:pt idx="3554">
                  <c:v>42.35</c:v>
                </c:pt>
                <c:pt idx="3555">
                  <c:v>42.35</c:v>
                </c:pt>
                <c:pt idx="3556">
                  <c:v>42.35</c:v>
                </c:pt>
                <c:pt idx="3557">
                  <c:v>42.35</c:v>
                </c:pt>
                <c:pt idx="3558">
                  <c:v>42.35</c:v>
                </c:pt>
                <c:pt idx="3559">
                  <c:v>42.35</c:v>
                </c:pt>
                <c:pt idx="3560">
                  <c:v>125.78</c:v>
                </c:pt>
                <c:pt idx="3561">
                  <c:v>128.80000000000001</c:v>
                </c:pt>
                <c:pt idx="3562">
                  <c:v>130.41</c:v>
                </c:pt>
                <c:pt idx="3563">
                  <c:v>130.44999999999999</c:v>
                </c:pt>
                <c:pt idx="3564">
                  <c:v>129.04</c:v>
                </c:pt>
                <c:pt idx="3565">
                  <c:v>130.38</c:v>
                </c:pt>
                <c:pt idx="3566">
                  <c:v>130.75</c:v>
                </c:pt>
                <c:pt idx="3567">
                  <c:v>130.78</c:v>
                </c:pt>
                <c:pt idx="3568">
                  <c:v>130.80000000000001</c:v>
                </c:pt>
                <c:pt idx="3569">
                  <c:v>130.81</c:v>
                </c:pt>
                <c:pt idx="3570">
                  <c:v>132.18</c:v>
                </c:pt>
                <c:pt idx="3571">
                  <c:v>130.88999999999999</c:v>
                </c:pt>
                <c:pt idx="3572">
                  <c:v>130.81</c:v>
                </c:pt>
                <c:pt idx="3573">
                  <c:v>130.69999999999999</c:v>
                </c:pt>
                <c:pt idx="3574">
                  <c:v>128.79</c:v>
                </c:pt>
                <c:pt idx="3575">
                  <c:v>119.66</c:v>
                </c:pt>
                <c:pt idx="3576">
                  <c:v>43.71</c:v>
                </c:pt>
                <c:pt idx="3577">
                  <c:v>42.35</c:v>
                </c:pt>
                <c:pt idx="3578">
                  <c:v>42.35</c:v>
                </c:pt>
                <c:pt idx="3579">
                  <c:v>42.35</c:v>
                </c:pt>
                <c:pt idx="3580">
                  <c:v>42.35</c:v>
                </c:pt>
                <c:pt idx="3581">
                  <c:v>42.35</c:v>
                </c:pt>
                <c:pt idx="3582">
                  <c:v>97.69</c:v>
                </c:pt>
                <c:pt idx="3583">
                  <c:v>120.37</c:v>
                </c:pt>
                <c:pt idx="3584">
                  <c:v>120.35</c:v>
                </c:pt>
                <c:pt idx="3585">
                  <c:v>124.23</c:v>
                </c:pt>
                <c:pt idx="3586">
                  <c:v>126.52</c:v>
                </c:pt>
                <c:pt idx="3587">
                  <c:v>126.72</c:v>
                </c:pt>
                <c:pt idx="3588">
                  <c:v>124.92</c:v>
                </c:pt>
                <c:pt idx="3589">
                  <c:v>126.46</c:v>
                </c:pt>
                <c:pt idx="3590">
                  <c:v>126.97</c:v>
                </c:pt>
                <c:pt idx="3591">
                  <c:v>127.04</c:v>
                </c:pt>
                <c:pt idx="3592">
                  <c:v>127</c:v>
                </c:pt>
                <c:pt idx="3593">
                  <c:v>126.97</c:v>
                </c:pt>
                <c:pt idx="3594">
                  <c:v>126.93</c:v>
                </c:pt>
                <c:pt idx="3595">
                  <c:v>126.9</c:v>
                </c:pt>
                <c:pt idx="3596">
                  <c:v>126.86</c:v>
                </c:pt>
                <c:pt idx="3597">
                  <c:v>126.73</c:v>
                </c:pt>
                <c:pt idx="3598">
                  <c:v>122.9</c:v>
                </c:pt>
                <c:pt idx="3599">
                  <c:v>119.87</c:v>
                </c:pt>
                <c:pt idx="3600">
                  <c:v>42.35</c:v>
                </c:pt>
                <c:pt idx="3601">
                  <c:v>42.35</c:v>
                </c:pt>
                <c:pt idx="3602">
                  <c:v>42.35</c:v>
                </c:pt>
                <c:pt idx="3603">
                  <c:v>42.35</c:v>
                </c:pt>
                <c:pt idx="3604">
                  <c:v>42.35</c:v>
                </c:pt>
                <c:pt idx="3605">
                  <c:v>42.35</c:v>
                </c:pt>
                <c:pt idx="3606">
                  <c:v>121.37</c:v>
                </c:pt>
                <c:pt idx="3607">
                  <c:v>127.05</c:v>
                </c:pt>
                <c:pt idx="3608">
                  <c:v>129.24</c:v>
                </c:pt>
                <c:pt idx="3609">
                  <c:v>129.72999999999999</c:v>
                </c:pt>
                <c:pt idx="3610">
                  <c:v>131.38</c:v>
                </c:pt>
                <c:pt idx="3611">
                  <c:v>131.41</c:v>
                </c:pt>
                <c:pt idx="3612">
                  <c:v>131.19</c:v>
                </c:pt>
                <c:pt idx="3613">
                  <c:v>131.47999999999999</c:v>
                </c:pt>
                <c:pt idx="3614">
                  <c:v>131.72999999999999</c:v>
                </c:pt>
                <c:pt idx="3615">
                  <c:v>132.13</c:v>
                </c:pt>
                <c:pt idx="3616">
                  <c:v>132.13</c:v>
                </c:pt>
                <c:pt idx="3617">
                  <c:v>131.83000000000001</c:v>
                </c:pt>
                <c:pt idx="3618">
                  <c:v>133.65</c:v>
                </c:pt>
                <c:pt idx="3619">
                  <c:v>132.05000000000001</c:v>
                </c:pt>
                <c:pt idx="3620">
                  <c:v>131.47</c:v>
                </c:pt>
                <c:pt idx="3621">
                  <c:v>131.32</c:v>
                </c:pt>
                <c:pt idx="3622">
                  <c:v>129.27000000000001</c:v>
                </c:pt>
                <c:pt idx="3623">
                  <c:v>123.84</c:v>
                </c:pt>
                <c:pt idx="3624">
                  <c:v>42.35</c:v>
                </c:pt>
                <c:pt idx="3625">
                  <c:v>42.35</c:v>
                </c:pt>
                <c:pt idx="3626">
                  <c:v>42.35</c:v>
                </c:pt>
                <c:pt idx="3627">
                  <c:v>42.35</c:v>
                </c:pt>
                <c:pt idx="3628">
                  <c:v>42.35</c:v>
                </c:pt>
                <c:pt idx="3629">
                  <c:v>42.35</c:v>
                </c:pt>
                <c:pt idx="3630">
                  <c:v>42.35</c:v>
                </c:pt>
                <c:pt idx="3631">
                  <c:v>42.35</c:v>
                </c:pt>
                <c:pt idx="3632">
                  <c:v>42.35</c:v>
                </c:pt>
                <c:pt idx="3633">
                  <c:v>42.35</c:v>
                </c:pt>
                <c:pt idx="3634">
                  <c:v>42.35</c:v>
                </c:pt>
                <c:pt idx="3635">
                  <c:v>42.35</c:v>
                </c:pt>
                <c:pt idx="3636">
                  <c:v>42.35</c:v>
                </c:pt>
                <c:pt idx="3637">
                  <c:v>42.35</c:v>
                </c:pt>
                <c:pt idx="3638">
                  <c:v>42.35</c:v>
                </c:pt>
                <c:pt idx="3639">
                  <c:v>42.35</c:v>
                </c:pt>
                <c:pt idx="3640">
                  <c:v>42.35</c:v>
                </c:pt>
                <c:pt idx="3641">
                  <c:v>42.35</c:v>
                </c:pt>
                <c:pt idx="3642">
                  <c:v>42.35</c:v>
                </c:pt>
                <c:pt idx="3643">
                  <c:v>42.35</c:v>
                </c:pt>
                <c:pt idx="3644">
                  <c:v>42.35</c:v>
                </c:pt>
                <c:pt idx="3645">
                  <c:v>42.35</c:v>
                </c:pt>
                <c:pt idx="3646">
                  <c:v>42.35</c:v>
                </c:pt>
                <c:pt idx="3647">
                  <c:v>42.35</c:v>
                </c:pt>
                <c:pt idx="3648">
                  <c:v>42.35</c:v>
                </c:pt>
                <c:pt idx="3649">
                  <c:v>42.35</c:v>
                </c:pt>
                <c:pt idx="3650">
                  <c:v>42.35</c:v>
                </c:pt>
                <c:pt idx="3651">
                  <c:v>42.35</c:v>
                </c:pt>
                <c:pt idx="3652">
                  <c:v>42.35</c:v>
                </c:pt>
                <c:pt idx="3653">
                  <c:v>42.35</c:v>
                </c:pt>
                <c:pt idx="3654">
                  <c:v>42.35</c:v>
                </c:pt>
                <c:pt idx="3655">
                  <c:v>42.35</c:v>
                </c:pt>
                <c:pt idx="3656">
                  <c:v>42.35</c:v>
                </c:pt>
                <c:pt idx="3657">
                  <c:v>42.35</c:v>
                </c:pt>
                <c:pt idx="3658">
                  <c:v>42.35</c:v>
                </c:pt>
                <c:pt idx="3659">
                  <c:v>42.35</c:v>
                </c:pt>
                <c:pt idx="3660">
                  <c:v>42.35</c:v>
                </c:pt>
                <c:pt idx="3661">
                  <c:v>42.35</c:v>
                </c:pt>
                <c:pt idx="3662">
                  <c:v>42.35</c:v>
                </c:pt>
                <c:pt idx="3663">
                  <c:v>42.35</c:v>
                </c:pt>
                <c:pt idx="3664">
                  <c:v>42.35</c:v>
                </c:pt>
                <c:pt idx="3665">
                  <c:v>42.35</c:v>
                </c:pt>
                <c:pt idx="3666">
                  <c:v>42.35</c:v>
                </c:pt>
                <c:pt idx="3667">
                  <c:v>42.35</c:v>
                </c:pt>
                <c:pt idx="3668">
                  <c:v>42.35</c:v>
                </c:pt>
                <c:pt idx="3669">
                  <c:v>42.35</c:v>
                </c:pt>
                <c:pt idx="3670">
                  <c:v>42.35</c:v>
                </c:pt>
                <c:pt idx="3671">
                  <c:v>42.35</c:v>
                </c:pt>
                <c:pt idx="3672">
                  <c:v>42.35</c:v>
                </c:pt>
                <c:pt idx="3673">
                  <c:v>42.35</c:v>
                </c:pt>
                <c:pt idx="3674">
                  <c:v>42.35</c:v>
                </c:pt>
                <c:pt idx="3675">
                  <c:v>42.35</c:v>
                </c:pt>
                <c:pt idx="3676">
                  <c:v>42.35</c:v>
                </c:pt>
                <c:pt idx="3677">
                  <c:v>42.35</c:v>
                </c:pt>
                <c:pt idx="3678">
                  <c:v>42.35</c:v>
                </c:pt>
                <c:pt idx="3679">
                  <c:v>42.35</c:v>
                </c:pt>
                <c:pt idx="3680">
                  <c:v>42.35</c:v>
                </c:pt>
                <c:pt idx="3681">
                  <c:v>42.35</c:v>
                </c:pt>
                <c:pt idx="3682">
                  <c:v>42.35</c:v>
                </c:pt>
                <c:pt idx="3683">
                  <c:v>42.35</c:v>
                </c:pt>
                <c:pt idx="3684">
                  <c:v>42.35</c:v>
                </c:pt>
                <c:pt idx="3685">
                  <c:v>42.35</c:v>
                </c:pt>
                <c:pt idx="3686">
                  <c:v>42.35</c:v>
                </c:pt>
                <c:pt idx="3687">
                  <c:v>42.35</c:v>
                </c:pt>
                <c:pt idx="3688">
                  <c:v>42.35</c:v>
                </c:pt>
                <c:pt idx="3689">
                  <c:v>42.35</c:v>
                </c:pt>
                <c:pt idx="3690">
                  <c:v>42.35</c:v>
                </c:pt>
                <c:pt idx="3691">
                  <c:v>42.35</c:v>
                </c:pt>
                <c:pt idx="3692">
                  <c:v>42.35</c:v>
                </c:pt>
                <c:pt idx="3693">
                  <c:v>42.35</c:v>
                </c:pt>
                <c:pt idx="3694">
                  <c:v>42.35</c:v>
                </c:pt>
                <c:pt idx="3695">
                  <c:v>42.35</c:v>
                </c:pt>
                <c:pt idx="3696">
                  <c:v>42.35</c:v>
                </c:pt>
                <c:pt idx="3697">
                  <c:v>42.35</c:v>
                </c:pt>
                <c:pt idx="3698">
                  <c:v>42.35</c:v>
                </c:pt>
                <c:pt idx="3699">
                  <c:v>42.35</c:v>
                </c:pt>
                <c:pt idx="3700">
                  <c:v>42.35</c:v>
                </c:pt>
                <c:pt idx="3701">
                  <c:v>42.35</c:v>
                </c:pt>
                <c:pt idx="3702">
                  <c:v>42.35</c:v>
                </c:pt>
                <c:pt idx="3703">
                  <c:v>42.35</c:v>
                </c:pt>
                <c:pt idx="3704">
                  <c:v>42.35</c:v>
                </c:pt>
                <c:pt idx="3705">
                  <c:v>42.35</c:v>
                </c:pt>
                <c:pt idx="3706">
                  <c:v>42.35</c:v>
                </c:pt>
                <c:pt idx="3707">
                  <c:v>42.35</c:v>
                </c:pt>
                <c:pt idx="3708">
                  <c:v>42.35</c:v>
                </c:pt>
                <c:pt idx="3709">
                  <c:v>42.35</c:v>
                </c:pt>
                <c:pt idx="3710">
                  <c:v>42.35</c:v>
                </c:pt>
                <c:pt idx="3711">
                  <c:v>42.35</c:v>
                </c:pt>
                <c:pt idx="3712">
                  <c:v>42.35</c:v>
                </c:pt>
                <c:pt idx="3713">
                  <c:v>42.35</c:v>
                </c:pt>
                <c:pt idx="3714">
                  <c:v>42.35</c:v>
                </c:pt>
                <c:pt idx="3715">
                  <c:v>42.35</c:v>
                </c:pt>
                <c:pt idx="3716">
                  <c:v>42.35</c:v>
                </c:pt>
                <c:pt idx="3717">
                  <c:v>42.35</c:v>
                </c:pt>
                <c:pt idx="3718">
                  <c:v>42.35</c:v>
                </c:pt>
                <c:pt idx="3719">
                  <c:v>42.35</c:v>
                </c:pt>
                <c:pt idx="3720">
                  <c:v>42.35</c:v>
                </c:pt>
                <c:pt idx="3721">
                  <c:v>42.35</c:v>
                </c:pt>
                <c:pt idx="3722">
                  <c:v>42.35</c:v>
                </c:pt>
                <c:pt idx="3723">
                  <c:v>42.35</c:v>
                </c:pt>
                <c:pt idx="3724">
                  <c:v>42.35</c:v>
                </c:pt>
                <c:pt idx="3725">
                  <c:v>42.35</c:v>
                </c:pt>
                <c:pt idx="3726">
                  <c:v>42.35</c:v>
                </c:pt>
                <c:pt idx="3727">
                  <c:v>42.35</c:v>
                </c:pt>
                <c:pt idx="3728">
                  <c:v>42.35</c:v>
                </c:pt>
                <c:pt idx="3729">
                  <c:v>42.35</c:v>
                </c:pt>
                <c:pt idx="3730">
                  <c:v>42.35</c:v>
                </c:pt>
                <c:pt idx="3731">
                  <c:v>42.35</c:v>
                </c:pt>
                <c:pt idx="3732">
                  <c:v>42.35</c:v>
                </c:pt>
                <c:pt idx="3733">
                  <c:v>42.35</c:v>
                </c:pt>
                <c:pt idx="3734">
                  <c:v>42.35</c:v>
                </c:pt>
                <c:pt idx="3735">
                  <c:v>42.35</c:v>
                </c:pt>
                <c:pt idx="3736">
                  <c:v>42.35</c:v>
                </c:pt>
                <c:pt idx="3737">
                  <c:v>42.35</c:v>
                </c:pt>
                <c:pt idx="3738">
                  <c:v>42.35</c:v>
                </c:pt>
                <c:pt idx="3739">
                  <c:v>42.35</c:v>
                </c:pt>
                <c:pt idx="3740">
                  <c:v>42.35</c:v>
                </c:pt>
                <c:pt idx="3741">
                  <c:v>42.35</c:v>
                </c:pt>
                <c:pt idx="3742">
                  <c:v>42.35</c:v>
                </c:pt>
                <c:pt idx="3743">
                  <c:v>42.35</c:v>
                </c:pt>
                <c:pt idx="3744">
                  <c:v>42.35</c:v>
                </c:pt>
                <c:pt idx="3745">
                  <c:v>42.35</c:v>
                </c:pt>
                <c:pt idx="3746">
                  <c:v>42.35</c:v>
                </c:pt>
                <c:pt idx="3747">
                  <c:v>42.35</c:v>
                </c:pt>
                <c:pt idx="3748">
                  <c:v>42.35</c:v>
                </c:pt>
                <c:pt idx="3749">
                  <c:v>42.35</c:v>
                </c:pt>
                <c:pt idx="3750">
                  <c:v>42.35</c:v>
                </c:pt>
                <c:pt idx="3751">
                  <c:v>42.35</c:v>
                </c:pt>
                <c:pt idx="3752">
                  <c:v>42.35</c:v>
                </c:pt>
                <c:pt idx="3753">
                  <c:v>42.35</c:v>
                </c:pt>
                <c:pt idx="3754">
                  <c:v>42.35</c:v>
                </c:pt>
                <c:pt idx="3755">
                  <c:v>42.35</c:v>
                </c:pt>
                <c:pt idx="3756">
                  <c:v>42.35</c:v>
                </c:pt>
                <c:pt idx="3757">
                  <c:v>42.35</c:v>
                </c:pt>
                <c:pt idx="3758">
                  <c:v>42.35</c:v>
                </c:pt>
                <c:pt idx="3759">
                  <c:v>42.35</c:v>
                </c:pt>
                <c:pt idx="3760">
                  <c:v>42.35</c:v>
                </c:pt>
                <c:pt idx="3761">
                  <c:v>42.35</c:v>
                </c:pt>
                <c:pt idx="3762">
                  <c:v>42.35</c:v>
                </c:pt>
                <c:pt idx="3763">
                  <c:v>42.35</c:v>
                </c:pt>
                <c:pt idx="3764">
                  <c:v>42.35</c:v>
                </c:pt>
                <c:pt idx="3765">
                  <c:v>42.35</c:v>
                </c:pt>
                <c:pt idx="3766">
                  <c:v>42.35</c:v>
                </c:pt>
                <c:pt idx="3767">
                  <c:v>42.35</c:v>
                </c:pt>
                <c:pt idx="3768">
                  <c:v>42.35</c:v>
                </c:pt>
                <c:pt idx="3769">
                  <c:v>42.35</c:v>
                </c:pt>
                <c:pt idx="3770">
                  <c:v>42.35</c:v>
                </c:pt>
                <c:pt idx="3771">
                  <c:v>42.35</c:v>
                </c:pt>
                <c:pt idx="3772">
                  <c:v>42.35</c:v>
                </c:pt>
                <c:pt idx="3773">
                  <c:v>42.35</c:v>
                </c:pt>
                <c:pt idx="3774">
                  <c:v>42.35</c:v>
                </c:pt>
                <c:pt idx="3775">
                  <c:v>42.35</c:v>
                </c:pt>
                <c:pt idx="3776">
                  <c:v>42.35</c:v>
                </c:pt>
                <c:pt idx="3777">
                  <c:v>42.35</c:v>
                </c:pt>
                <c:pt idx="3778">
                  <c:v>42.35</c:v>
                </c:pt>
                <c:pt idx="3779">
                  <c:v>42.35</c:v>
                </c:pt>
                <c:pt idx="3780">
                  <c:v>42.35</c:v>
                </c:pt>
                <c:pt idx="3781">
                  <c:v>42.35</c:v>
                </c:pt>
                <c:pt idx="3782">
                  <c:v>42.35</c:v>
                </c:pt>
                <c:pt idx="3783">
                  <c:v>42.35</c:v>
                </c:pt>
                <c:pt idx="3784">
                  <c:v>42.35</c:v>
                </c:pt>
                <c:pt idx="3785">
                  <c:v>42.35</c:v>
                </c:pt>
                <c:pt idx="3786">
                  <c:v>42.35</c:v>
                </c:pt>
                <c:pt idx="3787">
                  <c:v>42.35</c:v>
                </c:pt>
                <c:pt idx="3788">
                  <c:v>42.35</c:v>
                </c:pt>
                <c:pt idx="3789">
                  <c:v>42.35</c:v>
                </c:pt>
                <c:pt idx="3790">
                  <c:v>42.35</c:v>
                </c:pt>
                <c:pt idx="3791">
                  <c:v>42.35</c:v>
                </c:pt>
                <c:pt idx="3792">
                  <c:v>42.35</c:v>
                </c:pt>
                <c:pt idx="3793">
                  <c:v>42.35</c:v>
                </c:pt>
                <c:pt idx="3794">
                  <c:v>42.35</c:v>
                </c:pt>
                <c:pt idx="3795">
                  <c:v>42.35</c:v>
                </c:pt>
                <c:pt idx="3796">
                  <c:v>42.35</c:v>
                </c:pt>
                <c:pt idx="3797">
                  <c:v>42.35</c:v>
                </c:pt>
                <c:pt idx="3798">
                  <c:v>42.35</c:v>
                </c:pt>
                <c:pt idx="3799">
                  <c:v>42.35</c:v>
                </c:pt>
                <c:pt idx="3800">
                  <c:v>42.35</c:v>
                </c:pt>
                <c:pt idx="3801">
                  <c:v>42.35</c:v>
                </c:pt>
                <c:pt idx="3802">
                  <c:v>42.35</c:v>
                </c:pt>
                <c:pt idx="3803">
                  <c:v>42.35</c:v>
                </c:pt>
                <c:pt idx="3804">
                  <c:v>42.35</c:v>
                </c:pt>
                <c:pt idx="3805">
                  <c:v>42.35</c:v>
                </c:pt>
                <c:pt idx="3806">
                  <c:v>42.35</c:v>
                </c:pt>
                <c:pt idx="3807">
                  <c:v>42.35</c:v>
                </c:pt>
                <c:pt idx="3808">
                  <c:v>42.35</c:v>
                </c:pt>
                <c:pt idx="3809">
                  <c:v>42.35</c:v>
                </c:pt>
                <c:pt idx="3810">
                  <c:v>42.35</c:v>
                </c:pt>
                <c:pt idx="3811">
                  <c:v>42.35</c:v>
                </c:pt>
                <c:pt idx="3812">
                  <c:v>42.35</c:v>
                </c:pt>
                <c:pt idx="3813">
                  <c:v>42.35</c:v>
                </c:pt>
                <c:pt idx="3814">
                  <c:v>42.35</c:v>
                </c:pt>
                <c:pt idx="3815">
                  <c:v>42.35</c:v>
                </c:pt>
                <c:pt idx="3816">
                  <c:v>42.35</c:v>
                </c:pt>
                <c:pt idx="3817">
                  <c:v>42.35</c:v>
                </c:pt>
                <c:pt idx="3818">
                  <c:v>42.35</c:v>
                </c:pt>
                <c:pt idx="3819">
                  <c:v>42.35</c:v>
                </c:pt>
                <c:pt idx="3820">
                  <c:v>42.35</c:v>
                </c:pt>
                <c:pt idx="3821">
                  <c:v>42.35</c:v>
                </c:pt>
                <c:pt idx="3822">
                  <c:v>42.35</c:v>
                </c:pt>
                <c:pt idx="3823">
                  <c:v>42.35</c:v>
                </c:pt>
                <c:pt idx="3824">
                  <c:v>42.35</c:v>
                </c:pt>
                <c:pt idx="3825">
                  <c:v>42.35</c:v>
                </c:pt>
                <c:pt idx="3826">
                  <c:v>42.35</c:v>
                </c:pt>
                <c:pt idx="3827">
                  <c:v>42.35</c:v>
                </c:pt>
                <c:pt idx="3828">
                  <c:v>42.35</c:v>
                </c:pt>
                <c:pt idx="3829">
                  <c:v>42.35</c:v>
                </c:pt>
                <c:pt idx="3830">
                  <c:v>42.35</c:v>
                </c:pt>
                <c:pt idx="3831">
                  <c:v>42.35</c:v>
                </c:pt>
                <c:pt idx="3832">
                  <c:v>42.35</c:v>
                </c:pt>
                <c:pt idx="3833">
                  <c:v>42.35</c:v>
                </c:pt>
                <c:pt idx="3834">
                  <c:v>42.35</c:v>
                </c:pt>
                <c:pt idx="3835">
                  <c:v>42.35</c:v>
                </c:pt>
                <c:pt idx="3836">
                  <c:v>42.35</c:v>
                </c:pt>
                <c:pt idx="3837">
                  <c:v>42.35</c:v>
                </c:pt>
                <c:pt idx="3838">
                  <c:v>42.35</c:v>
                </c:pt>
                <c:pt idx="3839">
                  <c:v>42.35</c:v>
                </c:pt>
                <c:pt idx="3840">
                  <c:v>42.35</c:v>
                </c:pt>
                <c:pt idx="3841">
                  <c:v>42.35</c:v>
                </c:pt>
                <c:pt idx="3842">
                  <c:v>42.35</c:v>
                </c:pt>
                <c:pt idx="3843">
                  <c:v>42.35</c:v>
                </c:pt>
                <c:pt idx="3844">
                  <c:v>42.35</c:v>
                </c:pt>
                <c:pt idx="3845">
                  <c:v>42.35</c:v>
                </c:pt>
                <c:pt idx="3846">
                  <c:v>42.35</c:v>
                </c:pt>
                <c:pt idx="3847">
                  <c:v>42.35</c:v>
                </c:pt>
                <c:pt idx="3848">
                  <c:v>42.35</c:v>
                </c:pt>
                <c:pt idx="3849">
                  <c:v>42.35</c:v>
                </c:pt>
                <c:pt idx="3850">
                  <c:v>42.35</c:v>
                </c:pt>
                <c:pt idx="3851">
                  <c:v>42.35</c:v>
                </c:pt>
                <c:pt idx="3852">
                  <c:v>42.35</c:v>
                </c:pt>
                <c:pt idx="3853">
                  <c:v>42.35</c:v>
                </c:pt>
                <c:pt idx="3854">
                  <c:v>42.35</c:v>
                </c:pt>
                <c:pt idx="3855">
                  <c:v>42.35</c:v>
                </c:pt>
                <c:pt idx="3856">
                  <c:v>42.35</c:v>
                </c:pt>
                <c:pt idx="3857">
                  <c:v>42.35</c:v>
                </c:pt>
                <c:pt idx="3858">
                  <c:v>42.35</c:v>
                </c:pt>
                <c:pt idx="3859">
                  <c:v>42.35</c:v>
                </c:pt>
                <c:pt idx="3860">
                  <c:v>42.35</c:v>
                </c:pt>
                <c:pt idx="3861">
                  <c:v>42.35</c:v>
                </c:pt>
                <c:pt idx="3862">
                  <c:v>42.35</c:v>
                </c:pt>
                <c:pt idx="3863">
                  <c:v>42.35</c:v>
                </c:pt>
                <c:pt idx="3864">
                  <c:v>42.35</c:v>
                </c:pt>
                <c:pt idx="3865">
                  <c:v>42.35</c:v>
                </c:pt>
                <c:pt idx="3866">
                  <c:v>42.35</c:v>
                </c:pt>
                <c:pt idx="3867">
                  <c:v>42.35</c:v>
                </c:pt>
                <c:pt idx="3868">
                  <c:v>42.35</c:v>
                </c:pt>
                <c:pt idx="3869">
                  <c:v>42.35</c:v>
                </c:pt>
                <c:pt idx="3870">
                  <c:v>42.35</c:v>
                </c:pt>
                <c:pt idx="3871">
                  <c:v>42.35</c:v>
                </c:pt>
                <c:pt idx="3872">
                  <c:v>42.35</c:v>
                </c:pt>
                <c:pt idx="3873">
                  <c:v>42.35</c:v>
                </c:pt>
                <c:pt idx="3874">
                  <c:v>42.35</c:v>
                </c:pt>
                <c:pt idx="3875">
                  <c:v>42.35</c:v>
                </c:pt>
                <c:pt idx="3876">
                  <c:v>42.35</c:v>
                </c:pt>
                <c:pt idx="3877">
                  <c:v>42.35</c:v>
                </c:pt>
                <c:pt idx="3878">
                  <c:v>42.35</c:v>
                </c:pt>
                <c:pt idx="3879">
                  <c:v>42.35</c:v>
                </c:pt>
                <c:pt idx="3880">
                  <c:v>42.35</c:v>
                </c:pt>
                <c:pt idx="3881">
                  <c:v>42.35</c:v>
                </c:pt>
                <c:pt idx="3882">
                  <c:v>42.35</c:v>
                </c:pt>
                <c:pt idx="3883">
                  <c:v>42.35</c:v>
                </c:pt>
                <c:pt idx="3884">
                  <c:v>42.35</c:v>
                </c:pt>
                <c:pt idx="3885">
                  <c:v>42.35</c:v>
                </c:pt>
                <c:pt idx="3886">
                  <c:v>42.35</c:v>
                </c:pt>
                <c:pt idx="3887">
                  <c:v>42.35</c:v>
                </c:pt>
                <c:pt idx="3888">
                  <c:v>42.35</c:v>
                </c:pt>
                <c:pt idx="3889">
                  <c:v>42.35</c:v>
                </c:pt>
                <c:pt idx="3890">
                  <c:v>42.35</c:v>
                </c:pt>
                <c:pt idx="3891">
                  <c:v>42.35</c:v>
                </c:pt>
                <c:pt idx="3892">
                  <c:v>42.35</c:v>
                </c:pt>
                <c:pt idx="3893">
                  <c:v>42.35</c:v>
                </c:pt>
                <c:pt idx="3894">
                  <c:v>42.35</c:v>
                </c:pt>
                <c:pt idx="3895">
                  <c:v>42.35</c:v>
                </c:pt>
                <c:pt idx="3896">
                  <c:v>42.35</c:v>
                </c:pt>
                <c:pt idx="3897">
                  <c:v>42.35</c:v>
                </c:pt>
                <c:pt idx="3898">
                  <c:v>42.35</c:v>
                </c:pt>
                <c:pt idx="3899">
                  <c:v>42.35</c:v>
                </c:pt>
                <c:pt idx="3900">
                  <c:v>42.35</c:v>
                </c:pt>
                <c:pt idx="3901">
                  <c:v>42.35</c:v>
                </c:pt>
                <c:pt idx="3902">
                  <c:v>42.35</c:v>
                </c:pt>
                <c:pt idx="3903">
                  <c:v>42.35</c:v>
                </c:pt>
                <c:pt idx="3904">
                  <c:v>42.35</c:v>
                </c:pt>
                <c:pt idx="3905">
                  <c:v>42.35</c:v>
                </c:pt>
                <c:pt idx="3906">
                  <c:v>42.35</c:v>
                </c:pt>
                <c:pt idx="3907">
                  <c:v>42.35</c:v>
                </c:pt>
                <c:pt idx="3908">
                  <c:v>42.35</c:v>
                </c:pt>
                <c:pt idx="3909">
                  <c:v>42.35</c:v>
                </c:pt>
                <c:pt idx="3910">
                  <c:v>42.35</c:v>
                </c:pt>
                <c:pt idx="3911">
                  <c:v>42.35</c:v>
                </c:pt>
                <c:pt idx="3912">
                  <c:v>42.35</c:v>
                </c:pt>
                <c:pt idx="3913">
                  <c:v>42.35</c:v>
                </c:pt>
                <c:pt idx="3914">
                  <c:v>42.35</c:v>
                </c:pt>
                <c:pt idx="3915">
                  <c:v>42.35</c:v>
                </c:pt>
                <c:pt idx="3916">
                  <c:v>42.35</c:v>
                </c:pt>
                <c:pt idx="3917">
                  <c:v>42.35</c:v>
                </c:pt>
                <c:pt idx="3918">
                  <c:v>42.35</c:v>
                </c:pt>
                <c:pt idx="3919">
                  <c:v>42.35</c:v>
                </c:pt>
                <c:pt idx="3920">
                  <c:v>42.35</c:v>
                </c:pt>
                <c:pt idx="3921">
                  <c:v>42.35</c:v>
                </c:pt>
                <c:pt idx="3922">
                  <c:v>42.35</c:v>
                </c:pt>
                <c:pt idx="3923">
                  <c:v>42.35</c:v>
                </c:pt>
                <c:pt idx="3924">
                  <c:v>42.35</c:v>
                </c:pt>
                <c:pt idx="3925">
                  <c:v>42.35</c:v>
                </c:pt>
                <c:pt idx="3926">
                  <c:v>42.35</c:v>
                </c:pt>
                <c:pt idx="3927">
                  <c:v>42.35</c:v>
                </c:pt>
                <c:pt idx="3928">
                  <c:v>42.35</c:v>
                </c:pt>
                <c:pt idx="3929">
                  <c:v>42.35</c:v>
                </c:pt>
                <c:pt idx="3930">
                  <c:v>42.35</c:v>
                </c:pt>
                <c:pt idx="3931">
                  <c:v>42.35</c:v>
                </c:pt>
                <c:pt idx="3932">
                  <c:v>42.35</c:v>
                </c:pt>
                <c:pt idx="3933">
                  <c:v>42.35</c:v>
                </c:pt>
                <c:pt idx="3934">
                  <c:v>42.35</c:v>
                </c:pt>
                <c:pt idx="3935">
                  <c:v>42.35</c:v>
                </c:pt>
                <c:pt idx="3936">
                  <c:v>42.35</c:v>
                </c:pt>
                <c:pt idx="3937">
                  <c:v>42.35</c:v>
                </c:pt>
                <c:pt idx="3938">
                  <c:v>42.35</c:v>
                </c:pt>
                <c:pt idx="3939">
                  <c:v>42.35</c:v>
                </c:pt>
                <c:pt idx="3940">
                  <c:v>42.35</c:v>
                </c:pt>
                <c:pt idx="3941">
                  <c:v>42.35</c:v>
                </c:pt>
                <c:pt idx="3942">
                  <c:v>42.35</c:v>
                </c:pt>
                <c:pt idx="3943">
                  <c:v>42.35</c:v>
                </c:pt>
                <c:pt idx="3944">
                  <c:v>42.35</c:v>
                </c:pt>
                <c:pt idx="3945">
                  <c:v>42.35</c:v>
                </c:pt>
                <c:pt idx="3946">
                  <c:v>42.35</c:v>
                </c:pt>
                <c:pt idx="3947">
                  <c:v>42.35</c:v>
                </c:pt>
                <c:pt idx="3948">
                  <c:v>42.35</c:v>
                </c:pt>
                <c:pt idx="3949">
                  <c:v>42.35</c:v>
                </c:pt>
                <c:pt idx="3950">
                  <c:v>42.35</c:v>
                </c:pt>
                <c:pt idx="3951">
                  <c:v>42.35</c:v>
                </c:pt>
                <c:pt idx="3952">
                  <c:v>42.35</c:v>
                </c:pt>
                <c:pt idx="3953">
                  <c:v>42.35</c:v>
                </c:pt>
                <c:pt idx="3954">
                  <c:v>42.35</c:v>
                </c:pt>
                <c:pt idx="3955">
                  <c:v>42.35</c:v>
                </c:pt>
                <c:pt idx="3956">
                  <c:v>42.35</c:v>
                </c:pt>
                <c:pt idx="3957">
                  <c:v>42.35</c:v>
                </c:pt>
                <c:pt idx="3958">
                  <c:v>42.35</c:v>
                </c:pt>
                <c:pt idx="3959">
                  <c:v>42.35</c:v>
                </c:pt>
                <c:pt idx="3960">
                  <c:v>60.75</c:v>
                </c:pt>
                <c:pt idx="3961">
                  <c:v>60.74</c:v>
                </c:pt>
                <c:pt idx="3962">
                  <c:v>60.73</c:v>
                </c:pt>
                <c:pt idx="3963">
                  <c:v>60.72</c:v>
                </c:pt>
                <c:pt idx="3964">
                  <c:v>60.71</c:v>
                </c:pt>
                <c:pt idx="3965">
                  <c:v>60.7</c:v>
                </c:pt>
                <c:pt idx="3966">
                  <c:v>60.71</c:v>
                </c:pt>
                <c:pt idx="3967">
                  <c:v>60.76</c:v>
                </c:pt>
                <c:pt idx="3968">
                  <c:v>60.92</c:v>
                </c:pt>
                <c:pt idx="3969">
                  <c:v>62.92</c:v>
                </c:pt>
                <c:pt idx="3970">
                  <c:v>63.32</c:v>
                </c:pt>
                <c:pt idx="3971">
                  <c:v>63.34</c:v>
                </c:pt>
                <c:pt idx="3972">
                  <c:v>63.37</c:v>
                </c:pt>
                <c:pt idx="3973">
                  <c:v>63.39</c:v>
                </c:pt>
                <c:pt idx="3974">
                  <c:v>63.59</c:v>
                </c:pt>
                <c:pt idx="3975">
                  <c:v>63.91</c:v>
                </c:pt>
                <c:pt idx="3976">
                  <c:v>64.25</c:v>
                </c:pt>
                <c:pt idx="3977">
                  <c:v>65.97</c:v>
                </c:pt>
                <c:pt idx="3978">
                  <c:v>83.85</c:v>
                </c:pt>
                <c:pt idx="3979">
                  <c:v>69.66</c:v>
                </c:pt>
                <c:pt idx="3980">
                  <c:v>65.56</c:v>
                </c:pt>
                <c:pt idx="3981">
                  <c:v>64.17</c:v>
                </c:pt>
                <c:pt idx="3982">
                  <c:v>63.51</c:v>
                </c:pt>
                <c:pt idx="3983">
                  <c:v>62.39</c:v>
                </c:pt>
                <c:pt idx="3984">
                  <c:v>42.35</c:v>
                </c:pt>
                <c:pt idx="3985">
                  <c:v>42.35</c:v>
                </c:pt>
                <c:pt idx="3986">
                  <c:v>42.35</c:v>
                </c:pt>
                <c:pt idx="3987">
                  <c:v>42.35</c:v>
                </c:pt>
                <c:pt idx="3988">
                  <c:v>42.35</c:v>
                </c:pt>
                <c:pt idx="3989">
                  <c:v>42.35</c:v>
                </c:pt>
                <c:pt idx="3990">
                  <c:v>42.35</c:v>
                </c:pt>
                <c:pt idx="3991">
                  <c:v>42.35</c:v>
                </c:pt>
                <c:pt idx="3992">
                  <c:v>42.35</c:v>
                </c:pt>
                <c:pt idx="3993">
                  <c:v>42.35</c:v>
                </c:pt>
                <c:pt idx="3994">
                  <c:v>42.35</c:v>
                </c:pt>
                <c:pt idx="3995">
                  <c:v>55.55</c:v>
                </c:pt>
                <c:pt idx="3996">
                  <c:v>56.03</c:v>
                </c:pt>
                <c:pt idx="3997">
                  <c:v>56.18</c:v>
                </c:pt>
                <c:pt idx="3998">
                  <c:v>56.41</c:v>
                </c:pt>
                <c:pt idx="3999">
                  <c:v>56.6</c:v>
                </c:pt>
                <c:pt idx="4000">
                  <c:v>57.43</c:v>
                </c:pt>
                <c:pt idx="4001">
                  <c:v>59.29</c:v>
                </c:pt>
                <c:pt idx="4002">
                  <c:v>61.5</c:v>
                </c:pt>
                <c:pt idx="4003">
                  <c:v>61.46</c:v>
                </c:pt>
                <c:pt idx="4004">
                  <c:v>60.58</c:v>
                </c:pt>
                <c:pt idx="4005">
                  <c:v>60.27</c:v>
                </c:pt>
                <c:pt idx="4006">
                  <c:v>58.29</c:v>
                </c:pt>
                <c:pt idx="4007">
                  <c:v>57.27</c:v>
                </c:pt>
                <c:pt idx="4008">
                  <c:v>48.02</c:v>
                </c:pt>
                <c:pt idx="4009">
                  <c:v>48.02</c:v>
                </c:pt>
                <c:pt idx="4010">
                  <c:v>48.01</c:v>
                </c:pt>
                <c:pt idx="4011">
                  <c:v>48</c:v>
                </c:pt>
                <c:pt idx="4012">
                  <c:v>47.99</c:v>
                </c:pt>
                <c:pt idx="4013">
                  <c:v>48</c:v>
                </c:pt>
                <c:pt idx="4014">
                  <c:v>66.58</c:v>
                </c:pt>
                <c:pt idx="4015">
                  <c:v>74.64</c:v>
                </c:pt>
                <c:pt idx="4016">
                  <c:v>80.959999999999994</c:v>
                </c:pt>
                <c:pt idx="4017">
                  <c:v>82.72</c:v>
                </c:pt>
                <c:pt idx="4018">
                  <c:v>84.06</c:v>
                </c:pt>
                <c:pt idx="4019">
                  <c:v>84.07</c:v>
                </c:pt>
                <c:pt idx="4020">
                  <c:v>84.04</c:v>
                </c:pt>
                <c:pt idx="4021">
                  <c:v>84.32</c:v>
                </c:pt>
                <c:pt idx="4022">
                  <c:v>85.15</c:v>
                </c:pt>
                <c:pt idx="4023">
                  <c:v>85.19</c:v>
                </c:pt>
                <c:pt idx="4024">
                  <c:v>85.24</c:v>
                </c:pt>
                <c:pt idx="4025">
                  <c:v>85.28</c:v>
                </c:pt>
                <c:pt idx="4026">
                  <c:v>85.39</c:v>
                </c:pt>
                <c:pt idx="4027">
                  <c:v>85.28</c:v>
                </c:pt>
                <c:pt idx="4028">
                  <c:v>84.74</c:v>
                </c:pt>
                <c:pt idx="4029">
                  <c:v>84.36</c:v>
                </c:pt>
                <c:pt idx="4030">
                  <c:v>83.36</c:v>
                </c:pt>
                <c:pt idx="4031">
                  <c:v>80.83</c:v>
                </c:pt>
                <c:pt idx="4032">
                  <c:v>70.95</c:v>
                </c:pt>
                <c:pt idx="4033">
                  <c:v>70.930000000000007</c:v>
                </c:pt>
                <c:pt idx="4034">
                  <c:v>70.92</c:v>
                </c:pt>
                <c:pt idx="4035">
                  <c:v>70.91</c:v>
                </c:pt>
                <c:pt idx="4036">
                  <c:v>70.900000000000006</c:v>
                </c:pt>
                <c:pt idx="4037">
                  <c:v>70.89</c:v>
                </c:pt>
                <c:pt idx="4038">
                  <c:v>70.989999999999995</c:v>
                </c:pt>
                <c:pt idx="4039">
                  <c:v>79.819999999999993</c:v>
                </c:pt>
                <c:pt idx="4040">
                  <c:v>81.05</c:v>
                </c:pt>
                <c:pt idx="4041">
                  <c:v>82.65</c:v>
                </c:pt>
                <c:pt idx="4042">
                  <c:v>84.21</c:v>
                </c:pt>
                <c:pt idx="4043">
                  <c:v>84.72</c:v>
                </c:pt>
                <c:pt idx="4044">
                  <c:v>84.54</c:v>
                </c:pt>
                <c:pt idx="4045">
                  <c:v>85.39</c:v>
                </c:pt>
                <c:pt idx="4046">
                  <c:v>85.5</c:v>
                </c:pt>
                <c:pt idx="4047">
                  <c:v>85.48</c:v>
                </c:pt>
                <c:pt idx="4048">
                  <c:v>85.46</c:v>
                </c:pt>
                <c:pt idx="4049">
                  <c:v>85.43</c:v>
                </c:pt>
                <c:pt idx="4050">
                  <c:v>85.44</c:v>
                </c:pt>
                <c:pt idx="4051">
                  <c:v>85.39</c:v>
                </c:pt>
                <c:pt idx="4052">
                  <c:v>84.69</c:v>
                </c:pt>
                <c:pt idx="4053">
                  <c:v>83.79</c:v>
                </c:pt>
                <c:pt idx="4054">
                  <c:v>82.1</c:v>
                </c:pt>
                <c:pt idx="4055">
                  <c:v>80.680000000000007</c:v>
                </c:pt>
                <c:pt idx="4056">
                  <c:v>63.51</c:v>
                </c:pt>
                <c:pt idx="4057">
                  <c:v>63.5</c:v>
                </c:pt>
                <c:pt idx="4058">
                  <c:v>63.46</c:v>
                </c:pt>
                <c:pt idx="4059">
                  <c:v>63.47</c:v>
                </c:pt>
                <c:pt idx="4060">
                  <c:v>63.47</c:v>
                </c:pt>
                <c:pt idx="4061">
                  <c:v>63.5</c:v>
                </c:pt>
                <c:pt idx="4062">
                  <c:v>70.89</c:v>
                </c:pt>
                <c:pt idx="4063">
                  <c:v>77.760000000000005</c:v>
                </c:pt>
                <c:pt idx="4064">
                  <c:v>79.53</c:v>
                </c:pt>
                <c:pt idx="4065">
                  <c:v>80.78</c:v>
                </c:pt>
                <c:pt idx="4066">
                  <c:v>82.05</c:v>
                </c:pt>
                <c:pt idx="4067">
                  <c:v>82.18</c:v>
                </c:pt>
                <c:pt idx="4068">
                  <c:v>82.1</c:v>
                </c:pt>
                <c:pt idx="4069">
                  <c:v>82.35</c:v>
                </c:pt>
                <c:pt idx="4070">
                  <c:v>82.35</c:v>
                </c:pt>
                <c:pt idx="4071">
                  <c:v>82.33</c:v>
                </c:pt>
                <c:pt idx="4072">
                  <c:v>82.31</c:v>
                </c:pt>
                <c:pt idx="4073">
                  <c:v>82.28</c:v>
                </c:pt>
                <c:pt idx="4074">
                  <c:v>82.26</c:v>
                </c:pt>
                <c:pt idx="4075">
                  <c:v>82.24</c:v>
                </c:pt>
                <c:pt idx="4076">
                  <c:v>81.93</c:v>
                </c:pt>
                <c:pt idx="4077">
                  <c:v>80.88</c:v>
                </c:pt>
                <c:pt idx="4078">
                  <c:v>80.02</c:v>
                </c:pt>
                <c:pt idx="4079">
                  <c:v>77.7</c:v>
                </c:pt>
                <c:pt idx="4080">
                  <c:v>52.27</c:v>
                </c:pt>
                <c:pt idx="4081">
                  <c:v>51.62</c:v>
                </c:pt>
                <c:pt idx="4082">
                  <c:v>51.61</c:v>
                </c:pt>
                <c:pt idx="4083">
                  <c:v>51.6</c:v>
                </c:pt>
                <c:pt idx="4084">
                  <c:v>51.59</c:v>
                </c:pt>
                <c:pt idx="4085">
                  <c:v>51.57</c:v>
                </c:pt>
                <c:pt idx="4086">
                  <c:v>51.57</c:v>
                </c:pt>
                <c:pt idx="4087">
                  <c:v>51.56</c:v>
                </c:pt>
                <c:pt idx="4088">
                  <c:v>51.57</c:v>
                </c:pt>
                <c:pt idx="4089">
                  <c:v>63.71</c:v>
                </c:pt>
                <c:pt idx="4090">
                  <c:v>65.86</c:v>
                </c:pt>
                <c:pt idx="4091">
                  <c:v>67.56</c:v>
                </c:pt>
                <c:pt idx="4092">
                  <c:v>67.790000000000006</c:v>
                </c:pt>
                <c:pt idx="4093">
                  <c:v>68.02</c:v>
                </c:pt>
                <c:pt idx="4094">
                  <c:v>68.239999999999995</c:v>
                </c:pt>
                <c:pt idx="4095">
                  <c:v>68.5</c:v>
                </c:pt>
                <c:pt idx="4096">
                  <c:v>68.8</c:v>
                </c:pt>
                <c:pt idx="4097">
                  <c:v>73.62</c:v>
                </c:pt>
                <c:pt idx="4098">
                  <c:v>79.540000000000006</c:v>
                </c:pt>
                <c:pt idx="4099">
                  <c:v>76.91</c:v>
                </c:pt>
                <c:pt idx="4100">
                  <c:v>74.569999999999993</c:v>
                </c:pt>
                <c:pt idx="4101">
                  <c:v>72.66</c:v>
                </c:pt>
                <c:pt idx="4102">
                  <c:v>70.45</c:v>
                </c:pt>
                <c:pt idx="4103">
                  <c:v>68.680000000000007</c:v>
                </c:pt>
                <c:pt idx="4104">
                  <c:v>47.65</c:v>
                </c:pt>
                <c:pt idx="4105">
                  <c:v>45.55</c:v>
                </c:pt>
                <c:pt idx="4106">
                  <c:v>45.02</c:v>
                </c:pt>
                <c:pt idx="4107">
                  <c:v>44.57</c:v>
                </c:pt>
                <c:pt idx="4108">
                  <c:v>44.3</c:v>
                </c:pt>
                <c:pt idx="4109">
                  <c:v>45.02</c:v>
                </c:pt>
                <c:pt idx="4110">
                  <c:v>47.62</c:v>
                </c:pt>
                <c:pt idx="4111">
                  <c:v>63.87</c:v>
                </c:pt>
                <c:pt idx="4112">
                  <c:v>78.319999999999993</c:v>
                </c:pt>
                <c:pt idx="4113">
                  <c:v>78.8</c:v>
                </c:pt>
                <c:pt idx="4114">
                  <c:v>81.72</c:v>
                </c:pt>
                <c:pt idx="4115">
                  <c:v>81.73</c:v>
                </c:pt>
                <c:pt idx="4116">
                  <c:v>81.709999999999994</c:v>
                </c:pt>
                <c:pt idx="4117">
                  <c:v>82.97</c:v>
                </c:pt>
                <c:pt idx="4118">
                  <c:v>83.31</c:v>
                </c:pt>
                <c:pt idx="4119">
                  <c:v>83.3</c:v>
                </c:pt>
                <c:pt idx="4120">
                  <c:v>83.3</c:v>
                </c:pt>
                <c:pt idx="4121">
                  <c:v>83.32</c:v>
                </c:pt>
                <c:pt idx="4122">
                  <c:v>84.33</c:v>
                </c:pt>
                <c:pt idx="4123">
                  <c:v>83.31</c:v>
                </c:pt>
                <c:pt idx="4124">
                  <c:v>83.27</c:v>
                </c:pt>
                <c:pt idx="4125">
                  <c:v>83.26</c:v>
                </c:pt>
                <c:pt idx="4126">
                  <c:v>82.81</c:v>
                </c:pt>
                <c:pt idx="4127">
                  <c:v>79.37</c:v>
                </c:pt>
                <c:pt idx="4128">
                  <c:v>66.75</c:v>
                </c:pt>
                <c:pt idx="4129">
                  <c:v>66.739999999999995</c:v>
                </c:pt>
                <c:pt idx="4130">
                  <c:v>66.62</c:v>
                </c:pt>
                <c:pt idx="4131">
                  <c:v>66.510000000000005</c:v>
                </c:pt>
                <c:pt idx="4132">
                  <c:v>66.489999999999995</c:v>
                </c:pt>
                <c:pt idx="4133">
                  <c:v>66.540000000000006</c:v>
                </c:pt>
                <c:pt idx="4134">
                  <c:v>66.59</c:v>
                </c:pt>
                <c:pt idx="4135">
                  <c:v>66.67</c:v>
                </c:pt>
                <c:pt idx="4136">
                  <c:v>66.81</c:v>
                </c:pt>
                <c:pt idx="4137">
                  <c:v>66.97</c:v>
                </c:pt>
                <c:pt idx="4138">
                  <c:v>66.97</c:v>
                </c:pt>
                <c:pt idx="4139">
                  <c:v>66.97</c:v>
                </c:pt>
                <c:pt idx="4140">
                  <c:v>66.97</c:v>
                </c:pt>
                <c:pt idx="4141">
                  <c:v>66.98</c:v>
                </c:pt>
                <c:pt idx="4142">
                  <c:v>66.959999999999994</c:v>
                </c:pt>
                <c:pt idx="4143">
                  <c:v>66.989999999999995</c:v>
                </c:pt>
                <c:pt idx="4144">
                  <c:v>67.069999999999993</c:v>
                </c:pt>
                <c:pt idx="4145">
                  <c:v>70.010000000000005</c:v>
                </c:pt>
                <c:pt idx="4146">
                  <c:v>72.59</c:v>
                </c:pt>
                <c:pt idx="4147">
                  <c:v>70.56</c:v>
                </c:pt>
                <c:pt idx="4148">
                  <c:v>70.47</c:v>
                </c:pt>
                <c:pt idx="4149">
                  <c:v>68.84</c:v>
                </c:pt>
                <c:pt idx="4150">
                  <c:v>67.41</c:v>
                </c:pt>
                <c:pt idx="4151">
                  <c:v>66.599999999999994</c:v>
                </c:pt>
                <c:pt idx="4152">
                  <c:v>42.35</c:v>
                </c:pt>
                <c:pt idx="4153">
                  <c:v>42.35</c:v>
                </c:pt>
                <c:pt idx="4154">
                  <c:v>42.35</c:v>
                </c:pt>
                <c:pt idx="4155">
                  <c:v>42.35</c:v>
                </c:pt>
                <c:pt idx="4156">
                  <c:v>42.35</c:v>
                </c:pt>
                <c:pt idx="4157">
                  <c:v>42.35</c:v>
                </c:pt>
                <c:pt idx="4158">
                  <c:v>42.35</c:v>
                </c:pt>
                <c:pt idx="4159">
                  <c:v>42.35</c:v>
                </c:pt>
                <c:pt idx="4160">
                  <c:v>42.35</c:v>
                </c:pt>
                <c:pt idx="4161">
                  <c:v>42.35</c:v>
                </c:pt>
                <c:pt idx="4162">
                  <c:v>42.35</c:v>
                </c:pt>
                <c:pt idx="4163">
                  <c:v>68.61</c:v>
                </c:pt>
                <c:pt idx="4164">
                  <c:v>68.87</c:v>
                </c:pt>
                <c:pt idx="4165">
                  <c:v>70.89</c:v>
                </c:pt>
                <c:pt idx="4166">
                  <c:v>79.760000000000005</c:v>
                </c:pt>
                <c:pt idx="4167">
                  <c:v>79.86</c:v>
                </c:pt>
                <c:pt idx="4168">
                  <c:v>79.87</c:v>
                </c:pt>
                <c:pt idx="4169">
                  <c:v>84.08</c:v>
                </c:pt>
                <c:pt idx="4170">
                  <c:v>85.21</c:v>
                </c:pt>
                <c:pt idx="4171">
                  <c:v>84.36</c:v>
                </c:pt>
                <c:pt idx="4172">
                  <c:v>84.34</c:v>
                </c:pt>
                <c:pt idx="4173">
                  <c:v>84.32</c:v>
                </c:pt>
                <c:pt idx="4174">
                  <c:v>82.32</c:v>
                </c:pt>
                <c:pt idx="4175">
                  <c:v>79.930000000000007</c:v>
                </c:pt>
                <c:pt idx="4176">
                  <c:v>90.39</c:v>
                </c:pt>
                <c:pt idx="4177">
                  <c:v>87.98</c:v>
                </c:pt>
                <c:pt idx="4178">
                  <c:v>80.44</c:v>
                </c:pt>
                <c:pt idx="4179">
                  <c:v>79.33</c:v>
                </c:pt>
                <c:pt idx="4180">
                  <c:v>80.44</c:v>
                </c:pt>
                <c:pt idx="4181">
                  <c:v>94.28</c:v>
                </c:pt>
                <c:pt idx="4182">
                  <c:v>112.26</c:v>
                </c:pt>
                <c:pt idx="4183">
                  <c:v>117.66</c:v>
                </c:pt>
                <c:pt idx="4184">
                  <c:v>124.11</c:v>
                </c:pt>
                <c:pt idx="4185">
                  <c:v>124.11</c:v>
                </c:pt>
                <c:pt idx="4186">
                  <c:v>124.6</c:v>
                </c:pt>
                <c:pt idx="4187">
                  <c:v>125.72</c:v>
                </c:pt>
                <c:pt idx="4188">
                  <c:v>124.91</c:v>
                </c:pt>
                <c:pt idx="4189">
                  <c:v>125.72</c:v>
                </c:pt>
                <c:pt idx="4190">
                  <c:v>127.67</c:v>
                </c:pt>
                <c:pt idx="4191">
                  <c:v>127.79</c:v>
                </c:pt>
                <c:pt idx="4192">
                  <c:v>127.9</c:v>
                </c:pt>
                <c:pt idx="4193">
                  <c:v>127.95</c:v>
                </c:pt>
                <c:pt idx="4194">
                  <c:v>128.18</c:v>
                </c:pt>
                <c:pt idx="4195">
                  <c:v>127.94</c:v>
                </c:pt>
                <c:pt idx="4196">
                  <c:v>127.04</c:v>
                </c:pt>
                <c:pt idx="4197">
                  <c:v>125.71</c:v>
                </c:pt>
                <c:pt idx="4198">
                  <c:v>124.2</c:v>
                </c:pt>
                <c:pt idx="4199">
                  <c:v>123.04</c:v>
                </c:pt>
                <c:pt idx="4200">
                  <c:v>110.82</c:v>
                </c:pt>
                <c:pt idx="4201">
                  <c:v>105.78</c:v>
                </c:pt>
                <c:pt idx="4202">
                  <c:v>105.48</c:v>
                </c:pt>
                <c:pt idx="4203">
                  <c:v>105.49</c:v>
                </c:pt>
                <c:pt idx="4204">
                  <c:v>105.41</c:v>
                </c:pt>
                <c:pt idx="4205">
                  <c:v>109.1</c:v>
                </c:pt>
                <c:pt idx="4206">
                  <c:v>124.83</c:v>
                </c:pt>
                <c:pt idx="4207">
                  <c:v>128.44999999999999</c:v>
                </c:pt>
                <c:pt idx="4208">
                  <c:v>129.85</c:v>
                </c:pt>
                <c:pt idx="4209">
                  <c:v>131.47999999999999</c:v>
                </c:pt>
                <c:pt idx="4210">
                  <c:v>131.85</c:v>
                </c:pt>
                <c:pt idx="4211">
                  <c:v>132.44999999999999</c:v>
                </c:pt>
                <c:pt idx="4212">
                  <c:v>131.80000000000001</c:v>
                </c:pt>
                <c:pt idx="4213">
                  <c:v>133.16999999999999</c:v>
                </c:pt>
                <c:pt idx="4214">
                  <c:v>134.57</c:v>
                </c:pt>
                <c:pt idx="4215">
                  <c:v>134.81</c:v>
                </c:pt>
                <c:pt idx="4216">
                  <c:v>134.81</c:v>
                </c:pt>
                <c:pt idx="4217">
                  <c:v>134.46</c:v>
                </c:pt>
                <c:pt idx="4218">
                  <c:v>135.85</c:v>
                </c:pt>
                <c:pt idx="4219">
                  <c:v>134.5</c:v>
                </c:pt>
                <c:pt idx="4220">
                  <c:v>132.91</c:v>
                </c:pt>
                <c:pt idx="4221">
                  <c:v>131.75</c:v>
                </c:pt>
                <c:pt idx="4222">
                  <c:v>131.08000000000001</c:v>
                </c:pt>
                <c:pt idx="4223">
                  <c:v>128.44</c:v>
                </c:pt>
                <c:pt idx="4224">
                  <c:v>108.01</c:v>
                </c:pt>
                <c:pt idx="4225">
                  <c:v>103.65</c:v>
                </c:pt>
                <c:pt idx="4226">
                  <c:v>103</c:v>
                </c:pt>
                <c:pt idx="4227">
                  <c:v>102.98</c:v>
                </c:pt>
                <c:pt idx="4228">
                  <c:v>102.95</c:v>
                </c:pt>
                <c:pt idx="4229">
                  <c:v>103.64</c:v>
                </c:pt>
                <c:pt idx="4230">
                  <c:v>119.18</c:v>
                </c:pt>
                <c:pt idx="4231">
                  <c:v>120.83</c:v>
                </c:pt>
                <c:pt idx="4232">
                  <c:v>122.71</c:v>
                </c:pt>
                <c:pt idx="4233">
                  <c:v>122.78</c:v>
                </c:pt>
                <c:pt idx="4234">
                  <c:v>124.04</c:v>
                </c:pt>
                <c:pt idx="4235">
                  <c:v>125.05</c:v>
                </c:pt>
                <c:pt idx="4236">
                  <c:v>124.66</c:v>
                </c:pt>
                <c:pt idx="4237">
                  <c:v>125.74</c:v>
                </c:pt>
                <c:pt idx="4238">
                  <c:v>126.5</c:v>
                </c:pt>
                <c:pt idx="4239">
                  <c:v>126.54</c:v>
                </c:pt>
                <c:pt idx="4240">
                  <c:v>126.75</c:v>
                </c:pt>
                <c:pt idx="4241">
                  <c:v>126.59</c:v>
                </c:pt>
                <c:pt idx="4242">
                  <c:v>129.16999999999999</c:v>
                </c:pt>
                <c:pt idx="4243">
                  <c:v>126.76</c:v>
                </c:pt>
                <c:pt idx="4244">
                  <c:v>125.63</c:v>
                </c:pt>
                <c:pt idx="4245">
                  <c:v>125.45</c:v>
                </c:pt>
                <c:pt idx="4246">
                  <c:v>122.93</c:v>
                </c:pt>
                <c:pt idx="4247">
                  <c:v>122.42</c:v>
                </c:pt>
                <c:pt idx="4248">
                  <c:v>101.53</c:v>
                </c:pt>
                <c:pt idx="4249">
                  <c:v>101.24</c:v>
                </c:pt>
                <c:pt idx="4250">
                  <c:v>101.22</c:v>
                </c:pt>
                <c:pt idx="4251">
                  <c:v>101.02</c:v>
                </c:pt>
                <c:pt idx="4252">
                  <c:v>101.08</c:v>
                </c:pt>
                <c:pt idx="4253">
                  <c:v>101.17</c:v>
                </c:pt>
                <c:pt idx="4254">
                  <c:v>105.51</c:v>
                </c:pt>
                <c:pt idx="4255">
                  <c:v>119.98</c:v>
                </c:pt>
                <c:pt idx="4256">
                  <c:v>124.44</c:v>
                </c:pt>
                <c:pt idx="4257">
                  <c:v>126.83</c:v>
                </c:pt>
                <c:pt idx="4258">
                  <c:v>127.53</c:v>
                </c:pt>
                <c:pt idx="4259">
                  <c:v>127.53</c:v>
                </c:pt>
                <c:pt idx="4260">
                  <c:v>127.34</c:v>
                </c:pt>
                <c:pt idx="4261">
                  <c:v>128.22</c:v>
                </c:pt>
                <c:pt idx="4262">
                  <c:v>129.02000000000001</c:v>
                </c:pt>
                <c:pt idx="4263">
                  <c:v>129.08000000000001</c:v>
                </c:pt>
                <c:pt idx="4264">
                  <c:v>129.15</c:v>
                </c:pt>
                <c:pt idx="4265">
                  <c:v>129.16</c:v>
                </c:pt>
                <c:pt idx="4266">
                  <c:v>129.62</c:v>
                </c:pt>
                <c:pt idx="4267">
                  <c:v>129.07</c:v>
                </c:pt>
                <c:pt idx="4268">
                  <c:v>127.42</c:v>
                </c:pt>
                <c:pt idx="4269">
                  <c:v>127.35</c:v>
                </c:pt>
                <c:pt idx="4270">
                  <c:v>126.51</c:v>
                </c:pt>
                <c:pt idx="4271">
                  <c:v>123.87</c:v>
                </c:pt>
                <c:pt idx="4272">
                  <c:v>106.23</c:v>
                </c:pt>
                <c:pt idx="4273">
                  <c:v>106.08</c:v>
                </c:pt>
                <c:pt idx="4274">
                  <c:v>103.31</c:v>
                </c:pt>
                <c:pt idx="4275">
                  <c:v>102.18</c:v>
                </c:pt>
                <c:pt idx="4276">
                  <c:v>103.47</c:v>
                </c:pt>
                <c:pt idx="4277">
                  <c:v>106.15</c:v>
                </c:pt>
                <c:pt idx="4278">
                  <c:v>119.09</c:v>
                </c:pt>
                <c:pt idx="4279">
                  <c:v>122.49</c:v>
                </c:pt>
                <c:pt idx="4280">
                  <c:v>125.67</c:v>
                </c:pt>
                <c:pt idx="4281">
                  <c:v>128.47</c:v>
                </c:pt>
                <c:pt idx="4282">
                  <c:v>129.84</c:v>
                </c:pt>
                <c:pt idx="4283">
                  <c:v>129.86000000000001</c:v>
                </c:pt>
                <c:pt idx="4284">
                  <c:v>129.84</c:v>
                </c:pt>
                <c:pt idx="4285">
                  <c:v>129.83000000000001</c:v>
                </c:pt>
                <c:pt idx="4286">
                  <c:v>129.85</c:v>
                </c:pt>
                <c:pt idx="4287">
                  <c:v>129.87</c:v>
                </c:pt>
                <c:pt idx="4288">
                  <c:v>129.82</c:v>
                </c:pt>
                <c:pt idx="4289">
                  <c:v>129.79</c:v>
                </c:pt>
                <c:pt idx="4290">
                  <c:v>130.13</c:v>
                </c:pt>
                <c:pt idx="4291">
                  <c:v>129.74</c:v>
                </c:pt>
                <c:pt idx="4292">
                  <c:v>129.66</c:v>
                </c:pt>
                <c:pt idx="4293">
                  <c:v>129.61000000000001</c:v>
                </c:pt>
                <c:pt idx="4294">
                  <c:v>127.72</c:v>
                </c:pt>
                <c:pt idx="4295">
                  <c:v>125.41</c:v>
                </c:pt>
                <c:pt idx="4296">
                  <c:v>168.21</c:v>
                </c:pt>
                <c:pt idx="4297">
                  <c:v>167.45</c:v>
                </c:pt>
                <c:pt idx="4298">
                  <c:v>167.42</c:v>
                </c:pt>
                <c:pt idx="4299">
                  <c:v>167.39</c:v>
                </c:pt>
                <c:pt idx="4300">
                  <c:v>167.36</c:v>
                </c:pt>
                <c:pt idx="4301">
                  <c:v>167.33</c:v>
                </c:pt>
                <c:pt idx="4302">
                  <c:v>167.3</c:v>
                </c:pt>
                <c:pt idx="4303">
                  <c:v>167.68</c:v>
                </c:pt>
                <c:pt idx="4304">
                  <c:v>169.28</c:v>
                </c:pt>
                <c:pt idx="4305">
                  <c:v>170.33</c:v>
                </c:pt>
                <c:pt idx="4306">
                  <c:v>170.34</c:v>
                </c:pt>
                <c:pt idx="4307">
                  <c:v>170.34</c:v>
                </c:pt>
                <c:pt idx="4308">
                  <c:v>170.34</c:v>
                </c:pt>
                <c:pt idx="4309">
                  <c:v>170.34</c:v>
                </c:pt>
                <c:pt idx="4310">
                  <c:v>170.34</c:v>
                </c:pt>
                <c:pt idx="4311">
                  <c:v>170.34</c:v>
                </c:pt>
                <c:pt idx="4312">
                  <c:v>170.56</c:v>
                </c:pt>
                <c:pt idx="4313">
                  <c:v>171.77</c:v>
                </c:pt>
                <c:pt idx="4314">
                  <c:v>174.92</c:v>
                </c:pt>
                <c:pt idx="4315">
                  <c:v>173.61</c:v>
                </c:pt>
                <c:pt idx="4316">
                  <c:v>172.22</c:v>
                </c:pt>
                <c:pt idx="4317">
                  <c:v>171.13</c:v>
                </c:pt>
                <c:pt idx="4318">
                  <c:v>170.29</c:v>
                </c:pt>
                <c:pt idx="4319">
                  <c:v>168.4</c:v>
                </c:pt>
                <c:pt idx="4320">
                  <c:v>168.22</c:v>
                </c:pt>
                <c:pt idx="4321">
                  <c:v>168.04</c:v>
                </c:pt>
                <c:pt idx="4322">
                  <c:v>168.01</c:v>
                </c:pt>
                <c:pt idx="4323">
                  <c:v>167.98</c:v>
                </c:pt>
                <c:pt idx="4324">
                  <c:v>167.92</c:v>
                </c:pt>
                <c:pt idx="4325">
                  <c:v>167.92</c:v>
                </c:pt>
                <c:pt idx="4326">
                  <c:v>167.89</c:v>
                </c:pt>
                <c:pt idx="4327">
                  <c:v>167.87</c:v>
                </c:pt>
                <c:pt idx="4328">
                  <c:v>167.84</c:v>
                </c:pt>
                <c:pt idx="4329">
                  <c:v>167.91</c:v>
                </c:pt>
                <c:pt idx="4330">
                  <c:v>168.46</c:v>
                </c:pt>
                <c:pt idx="4331">
                  <c:v>168.59</c:v>
                </c:pt>
                <c:pt idx="4332">
                  <c:v>168.59</c:v>
                </c:pt>
                <c:pt idx="4333">
                  <c:v>168.57</c:v>
                </c:pt>
                <c:pt idx="4334">
                  <c:v>168.6</c:v>
                </c:pt>
                <c:pt idx="4335">
                  <c:v>168.69</c:v>
                </c:pt>
                <c:pt idx="4336">
                  <c:v>169.55</c:v>
                </c:pt>
                <c:pt idx="4337">
                  <c:v>171.61</c:v>
                </c:pt>
                <c:pt idx="4338">
                  <c:v>173.83</c:v>
                </c:pt>
                <c:pt idx="4339">
                  <c:v>173.22</c:v>
                </c:pt>
                <c:pt idx="4340">
                  <c:v>172.26</c:v>
                </c:pt>
                <c:pt idx="4341">
                  <c:v>172.2</c:v>
                </c:pt>
                <c:pt idx="4342">
                  <c:v>171.52</c:v>
                </c:pt>
                <c:pt idx="4343">
                  <c:v>169.99</c:v>
                </c:pt>
                <c:pt idx="4344">
                  <c:v>170.42</c:v>
                </c:pt>
                <c:pt idx="4345">
                  <c:v>169.25</c:v>
                </c:pt>
                <c:pt idx="4346">
                  <c:v>169.14</c:v>
                </c:pt>
                <c:pt idx="4347">
                  <c:v>169.06</c:v>
                </c:pt>
                <c:pt idx="4348">
                  <c:v>169.06</c:v>
                </c:pt>
                <c:pt idx="4349">
                  <c:v>170.42</c:v>
                </c:pt>
                <c:pt idx="4350">
                  <c:v>171.11</c:v>
                </c:pt>
                <c:pt idx="4351">
                  <c:v>173.05</c:v>
                </c:pt>
                <c:pt idx="4352">
                  <c:v>175.05</c:v>
                </c:pt>
                <c:pt idx="4353">
                  <c:v>176.82</c:v>
                </c:pt>
                <c:pt idx="4354">
                  <c:v>177.06</c:v>
                </c:pt>
                <c:pt idx="4355">
                  <c:v>177.1</c:v>
                </c:pt>
                <c:pt idx="4356">
                  <c:v>177.02</c:v>
                </c:pt>
                <c:pt idx="4357">
                  <c:v>177.21</c:v>
                </c:pt>
                <c:pt idx="4358">
                  <c:v>177.98</c:v>
                </c:pt>
                <c:pt idx="4359">
                  <c:v>178.02</c:v>
                </c:pt>
                <c:pt idx="4360">
                  <c:v>178.15</c:v>
                </c:pt>
                <c:pt idx="4361">
                  <c:v>178.05</c:v>
                </c:pt>
                <c:pt idx="4362">
                  <c:v>179.26</c:v>
                </c:pt>
                <c:pt idx="4363">
                  <c:v>178.74</c:v>
                </c:pt>
                <c:pt idx="4364">
                  <c:v>178.06</c:v>
                </c:pt>
                <c:pt idx="4365">
                  <c:v>177.62</c:v>
                </c:pt>
                <c:pt idx="4366">
                  <c:v>176.4</c:v>
                </c:pt>
                <c:pt idx="4367">
                  <c:v>174.96</c:v>
                </c:pt>
                <c:pt idx="4368">
                  <c:v>171.67</c:v>
                </c:pt>
                <c:pt idx="4369">
                  <c:v>169.44</c:v>
                </c:pt>
                <c:pt idx="4370">
                  <c:v>169.38</c:v>
                </c:pt>
                <c:pt idx="4371">
                  <c:v>169.38</c:v>
                </c:pt>
                <c:pt idx="4372">
                  <c:v>169.4</c:v>
                </c:pt>
                <c:pt idx="4373">
                  <c:v>170.26</c:v>
                </c:pt>
                <c:pt idx="4374">
                  <c:v>172.39</c:v>
                </c:pt>
                <c:pt idx="4375">
                  <c:v>172.7</c:v>
                </c:pt>
                <c:pt idx="4376">
                  <c:v>173.83</c:v>
                </c:pt>
                <c:pt idx="4377">
                  <c:v>175.46</c:v>
                </c:pt>
                <c:pt idx="4378">
                  <c:v>176.07</c:v>
                </c:pt>
                <c:pt idx="4379">
                  <c:v>176.11</c:v>
                </c:pt>
                <c:pt idx="4380">
                  <c:v>176.12</c:v>
                </c:pt>
                <c:pt idx="4381">
                  <c:v>176.69</c:v>
                </c:pt>
                <c:pt idx="4382">
                  <c:v>177.26</c:v>
                </c:pt>
                <c:pt idx="4383">
                  <c:v>177.43</c:v>
                </c:pt>
                <c:pt idx="4384">
                  <c:v>177.42</c:v>
                </c:pt>
                <c:pt idx="4385">
                  <c:v>177.41</c:v>
                </c:pt>
                <c:pt idx="4386">
                  <c:v>178.8</c:v>
                </c:pt>
                <c:pt idx="4387">
                  <c:v>177.29</c:v>
                </c:pt>
                <c:pt idx="4388">
                  <c:v>176.48</c:v>
                </c:pt>
                <c:pt idx="4389">
                  <c:v>176.25</c:v>
                </c:pt>
                <c:pt idx="4390">
                  <c:v>175.03</c:v>
                </c:pt>
                <c:pt idx="4391">
                  <c:v>173.37</c:v>
                </c:pt>
                <c:pt idx="4392">
                  <c:v>172.14</c:v>
                </c:pt>
                <c:pt idx="4393">
                  <c:v>171.83</c:v>
                </c:pt>
                <c:pt idx="4394">
                  <c:v>170.07</c:v>
                </c:pt>
                <c:pt idx="4395">
                  <c:v>170.01</c:v>
                </c:pt>
                <c:pt idx="4396">
                  <c:v>170.01</c:v>
                </c:pt>
                <c:pt idx="4397">
                  <c:v>171.99</c:v>
                </c:pt>
                <c:pt idx="4398">
                  <c:v>172.08</c:v>
                </c:pt>
                <c:pt idx="4399">
                  <c:v>172.38</c:v>
                </c:pt>
                <c:pt idx="4400">
                  <c:v>174.96</c:v>
                </c:pt>
                <c:pt idx="4401">
                  <c:v>176.11</c:v>
                </c:pt>
                <c:pt idx="4402">
                  <c:v>177.36</c:v>
                </c:pt>
                <c:pt idx="4403">
                  <c:v>177.44</c:v>
                </c:pt>
                <c:pt idx="4404">
                  <c:v>177.31</c:v>
                </c:pt>
                <c:pt idx="4405">
                  <c:v>177.82</c:v>
                </c:pt>
                <c:pt idx="4406">
                  <c:v>178.31</c:v>
                </c:pt>
                <c:pt idx="4407">
                  <c:v>178.34</c:v>
                </c:pt>
                <c:pt idx="4408">
                  <c:v>178.36</c:v>
                </c:pt>
                <c:pt idx="4409">
                  <c:v>178.37</c:v>
                </c:pt>
                <c:pt idx="4410">
                  <c:v>178.56</c:v>
                </c:pt>
                <c:pt idx="4411">
                  <c:v>178.29</c:v>
                </c:pt>
                <c:pt idx="4412">
                  <c:v>177.41</c:v>
                </c:pt>
                <c:pt idx="4413">
                  <c:v>177.35</c:v>
                </c:pt>
                <c:pt idx="4414">
                  <c:v>175.74</c:v>
                </c:pt>
                <c:pt idx="4415">
                  <c:v>174.18</c:v>
                </c:pt>
                <c:pt idx="4416">
                  <c:v>171.72</c:v>
                </c:pt>
                <c:pt idx="4417">
                  <c:v>171.47</c:v>
                </c:pt>
                <c:pt idx="4418">
                  <c:v>171.34</c:v>
                </c:pt>
                <c:pt idx="4419">
                  <c:v>171.2</c:v>
                </c:pt>
                <c:pt idx="4420">
                  <c:v>171.23</c:v>
                </c:pt>
                <c:pt idx="4421">
                  <c:v>171.4</c:v>
                </c:pt>
                <c:pt idx="4422">
                  <c:v>171.55</c:v>
                </c:pt>
                <c:pt idx="4423">
                  <c:v>171.93</c:v>
                </c:pt>
                <c:pt idx="4424">
                  <c:v>173.55</c:v>
                </c:pt>
                <c:pt idx="4425">
                  <c:v>173.84</c:v>
                </c:pt>
                <c:pt idx="4426">
                  <c:v>175.69</c:v>
                </c:pt>
                <c:pt idx="4427">
                  <c:v>175.74</c:v>
                </c:pt>
                <c:pt idx="4428">
                  <c:v>174.92</c:v>
                </c:pt>
                <c:pt idx="4429">
                  <c:v>175.69</c:v>
                </c:pt>
                <c:pt idx="4430">
                  <c:v>176.63</c:v>
                </c:pt>
                <c:pt idx="4431">
                  <c:v>176.77</c:v>
                </c:pt>
                <c:pt idx="4432">
                  <c:v>176.76</c:v>
                </c:pt>
                <c:pt idx="4433">
                  <c:v>176.76</c:v>
                </c:pt>
                <c:pt idx="4434">
                  <c:v>179.45</c:v>
                </c:pt>
                <c:pt idx="4435">
                  <c:v>177.57</c:v>
                </c:pt>
                <c:pt idx="4436">
                  <c:v>176.6</c:v>
                </c:pt>
                <c:pt idx="4437">
                  <c:v>175.69</c:v>
                </c:pt>
                <c:pt idx="4438">
                  <c:v>173.5</c:v>
                </c:pt>
                <c:pt idx="4439">
                  <c:v>173.31</c:v>
                </c:pt>
                <c:pt idx="4440">
                  <c:v>168.6</c:v>
                </c:pt>
                <c:pt idx="4441">
                  <c:v>166.9</c:v>
                </c:pt>
                <c:pt idx="4442">
                  <c:v>166.15</c:v>
                </c:pt>
                <c:pt idx="4443">
                  <c:v>165.95</c:v>
                </c:pt>
                <c:pt idx="4444">
                  <c:v>166.55</c:v>
                </c:pt>
                <c:pt idx="4445">
                  <c:v>167.85</c:v>
                </c:pt>
                <c:pt idx="4446">
                  <c:v>168.63</c:v>
                </c:pt>
                <c:pt idx="4447">
                  <c:v>169.62</c:v>
                </c:pt>
                <c:pt idx="4448">
                  <c:v>170.23</c:v>
                </c:pt>
                <c:pt idx="4449">
                  <c:v>171.38</c:v>
                </c:pt>
                <c:pt idx="4450">
                  <c:v>172.97</c:v>
                </c:pt>
                <c:pt idx="4451">
                  <c:v>172.97</c:v>
                </c:pt>
                <c:pt idx="4452">
                  <c:v>172.94</c:v>
                </c:pt>
                <c:pt idx="4453">
                  <c:v>173.5</c:v>
                </c:pt>
                <c:pt idx="4454">
                  <c:v>173.7</c:v>
                </c:pt>
                <c:pt idx="4455">
                  <c:v>173.67</c:v>
                </c:pt>
                <c:pt idx="4456">
                  <c:v>173.64</c:v>
                </c:pt>
                <c:pt idx="4457">
                  <c:v>173.61</c:v>
                </c:pt>
                <c:pt idx="4458">
                  <c:v>176.27</c:v>
                </c:pt>
                <c:pt idx="4459">
                  <c:v>173.98</c:v>
                </c:pt>
                <c:pt idx="4460">
                  <c:v>173.51</c:v>
                </c:pt>
                <c:pt idx="4461">
                  <c:v>173.48</c:v>
                </c:pt>
                <c:pt idx="4462">
                  <c:v>172.31</c:v>
                </c:pt>
                <c:pt idx="4463">
                  <c:v>169.89</c:v>
                </c:pt>
                <c:pt idx="4464">
                  <c:v>173.39</c:v>
                </c:pt>
                <c:pt idx="4465">
                  <c:v>172.31</c:v>
                </c:pt>
                <c:pt idx="4466">
                  <c:v>172.28</c:v>
                </c:pt>
                <c:pt idx="4467">
                  <c:v>172.26</c:v>
                </c:pt>
                <c:pt idx="4468">
                  <c:v>172.23</c:v>
                </c:pt>
                <c:pt idx="4469">
                  <c:v>172.2</c:v>
                </c:pt>
                <c:pt idx="4470">
                  <c:v>172.17</c:v>
                </c:pt>
                <c:pt idx="4471">
                  <c:v>172.14</c:v>
                </c:pt>
                <c:pt idx="4472">
                  <c:v>175.38</c:v>
                </c:pt>
                <c:pt idx="4473">
                  <c:v>176.89</c:v>
                </c:pt>
                <c:pt idx="4474">
                  <c:v>178.15</c:v>
                </c:pt>
                <c:pt idx="4475">
                  <c:v>178.16</c:v>
                </c:pt>
                <c:pt idx="4476">
                  <c:v>178.15</c:v>
                </c:pt>
                <c:pt idx="4477">
                  <c:v>178.15</c:v>
                </c:pt>
                <c:pt idx="4478">
                  <c:v>178.15</c:v>
                </c:pt>
                <c:pt idx="4479">
                  <c:v>178.15</c:v>
                </c:pt>
                <c:pt idx="4480">
                  <c:v>178.15</c:v>
                </c:pt>
                <c:pt idx="4481">
                  <c:v>179.42</c:v>
                </c:pt>
                <c:pt idx="4482">
                  <c:v>181.55</c:v>
                </c:pt>
                <c:pt idx="4483">
                  <c:v>181.05</c:v>
                </c:pt>
                <c:pt idx="4484">
                  <c:v>180.01</c:v>
                </c:pt>
                <c:pt idx="4485">
                  <c:v>179.43</c:v>
                </c:pt>
                <c:pt idx="4486">
                  <c:v>177.75</c:v>
                </c:pt>
                <c:pt idx="4487">
                  <c:v>174.92</c:v>
                </c:pt>
                <c:pt idx="4488">
                  <c:v>170.74</c:v>
                </c:pt>
                <c:pt idx="4489">
                  <c:v>170.58</c:v>
                </c:pt>
                <c:pt idx="4490">
                  <c:v>170.55</c:v>
                </c:pt>
                <c:pt idx="4491">
                  <c:v>170.27</c:v>
                </c:pt>
                <c:pt idx="4492">
                  <c:v>170.25</c:v>
                </c:pt>
                <c:pt idx="4493">
                  <c:v>169.97</c:v>
                </c:pt>
                <c:pt idx="4494">
                  <c:v>169.7</c:v>
                </c:pt>
                <c:pt idx="4495">
                  <c:v>168.66</c:v>
                </c:pt>
                <c:pt idx="4496">
                  <c:v>169.87</c:v>
                </c:pt>
                <c:pt idx="4497">
                  <c:v>170.34</c:v>
                </c:pt>
                <c:pt idx="4498">
                  <c:v>170.31</c:v>
                </c:pt>
                <c:pt idx="4499">
                  <c:v>170.37</c:v>
                </c:pt>
                <c:pt idx="4500">
                  <c:v>170.41</c:v>
                </c:pt>
                <c:pt idx="4501">
                  <c:v>170.43</c:v>
                </c:pt>
                <c:pt idx="4502">
                  <c:v>170.43</c:v>
                </c:pt>
                <c:pt idx="4503">
                  <c:v>170.28</c:v>
                </c:pt>
                <c:pt idx="4504">
                  <c:v>170.32</c:v>
                </c:pt>
                <c:pt idx="4505">
                  <c:v>175.14</c:v>
                </c:pt>
                <c:pt idx="4506">
                  <c:v>179.77</c:v>
                </c:pt>
                <c:pt idx="4507">
                  <c:v>179.77</c:v>
                </c:pt>
                <c:pt idx="4508">
                  <c:v>178.6</c:v>
                </c:pt>
                <c:pt idx="4509">
                  <c:v>177.9</c:v>
                </c:pt>
                <c:pt idx="4510">
                  <c:v>175.49</c:v>
                </c:pt>
                <c:pt idx="4511">
                  <c:v>172.17</c:v>
                </c:pt>
                <c:pt idx="4512">
                  <c:v>172.17</c:v>
                </c:pt>
                <c:pt idx="4513">
                  <c:v>171.06</c:v>
                </c:pt>
                <c:pt idx="4514">
                  <c:v>169.9</c:v>
                </c:pt>
                <c:pt idx="4515">
                  <c:v>170.82</c:v>
                </c:pt>
                <c:pt idx="4516">
                  <c:v>171.75</c:v>
                </c:pt>
                <c:pt idx="4517">
                  <c:v>175.4</c:v>
                </c:pt>
                <c:pt idx="4518">
                  <c:v>178.09</c:v>
                </c:pt>
                <c:pt idx="4519">
                  <c:v>178.64</c:v>
                </c:pt>
                <c:pt idx="4520">
                  <c:v>179.43</c:v>
                </c:pt>
                <c:pt idx="4521">
                  <c:v>180.75</c:v>
                </c:pt>
                <c:pt idx="4522">
                  <c:v>181.4</c:v>
                </c:pt>
                <c:pt idx="4523">
                  <c:v>181.43</c:v>
                </c:pt>
                <c:pt idx="4524">
                  <c:v>181.19</c:v>
                </c:pt>
                <c:pt idx="4525">
                  <c:v>181.5</c:v>
                </c:pt>
                <c:pt idx="4526">
                  <c:v>181.68</c:v>
                </c:pt>
                <c:pt idx="4527">
                  <c:v>181.78</c:v>
                </c:pt>
                <c:pt idx="4528">
                  <c:v>181.78</c:v>
                </c:pt>
                <c:pt idx="4529">
                  <c:v>181.96</c:v>
                </c:pt>
                <c:pt idx="4530">
                  <c:v>184.24</c:v>
                </c:pt>
                <c:pt idx="4531">
                  <c:v>182.32</c:v>
                </c:pt>
                <c:pt idx="4532">
                  <c:v>181.79</c:v>
                </c:pt>
                <c:pt idx="4533">
                  <c:v>181.79</c:v>
                </c:pt>
                <c:pt idx="4534">
                  <c:v>181.24</c:v>
                </c:pt>
                <c:pt idx="4535">
                  <c:v>178.99</c:v>
                </c:pt>
                <c:pt idx="4536">
                  <c:v>167.22</c:v>
                </c:pt>
                <c:pt idx="4537">
                  <c:v>164.85</c:v>
                </c:pt>
                <c:pt idx="4538">
                  <c:v>164.77</c:v>
                </c:pt>
                <c:pt idx="4539">
                  <c:v>164.82</c:v>
                </c:pt>
                <c:pt idx="4540">
                  <c:v>165.62</c:v>
                </c:pt>
                <c:pt idx="4541">
                  <c:v>168.46</c:v>
                </c:pt>
                <c:pt idx="4542">
                  <c:v>176.2</c:v>
                </c:pt>
                <c:pt idx="4543">
                  <c:v>176.57</c:v>
                </c:pt>
                <c:pt idx="4544">
                  <c:v>178.99</c:v>
                </c:pt>
                <c:pt idx="4545">
                  <c:v>179.07</c:v>
                </c:pt>
                <c:pt idx="4546">
                  <c:v>179.72</c:v>
                </c:pt>
                <c:pt idx="4547">
                  <c:v>179.69</c:v>
                </c:pt>
                <c:pt idx="4548">
                  <c:v>179.66</c:v>
                </c:pt>
                <c:pt idx="4549">
                  <c:v>179.65</c:v>
                </c:pt>
                <c:pt idx="4550">
                  <c:v>179.95</c:v>
                </c:pt>
                <c:pt idx="4551">
                  <c:v>179.98</c:v>
                </c:pt>
                <c:pt idx="4552">
                  <c:v>180.01</c:v>
                </c:pt>
                <c:pt idx="4553">
                  <c:v>180.04</c:v>
                </c:pt>
                <c:pt idx="4554">
                  <c:v>182.37</c:v>
                </c:pt>
                <c:pt idx="4555">
                  <c:v>181.05</c:v>
                </c:pt>
                <c:pt idx="4556">
                  <c:v>180.06</c:v>
                </c:pt>
                <c:pt idx="4557">
                  <c:v>180.05</c:v>
                </c:pt>
                <c:pt idx="4558">
                  <c:v>179.33</c:v>
                </c:pt>
                <c:pt idx="4559">
                  <c:v>179.01</c:v>
                </c:pt>
                <c:pt idx="4560">
                  <c:v>177.63</c:v>
                </c:pt>
                <c:pt idx="4561">
                  <c:v>176.35</c:v>
                </c:pt>
                <c:pt idx="4562">
                  <c:v>175.88</c:v>
                </c:pt>
                <c:pt idx="4563">
                  <c:v>175.36</c:v>
                </c:pt>
                <c:pt idx="4564">
                  <c:v>175.43</c:v>
                </c:pt>
                <c:pt idx="4565">
                  <c:v>176.74</c:v>
                </c:pt>
                <c:pt idx="4566">
                  <c:v>177.83</c:v>
                </c:pt>
                <c:pt idx="4567">
                  <c:v>179.31</c:v>
                </c:pt>
                <c:pt idx="4568">
                  <c:v>181.33</c:v>
                </c:pt>
                <c:pt idx="4569">
                  <c:v>181.6</c:v>
                </c:pt>
                <c:pt idx="4570">
                  <c:v>183.26</c:v>
                </c:pt>
                <c:pt idx="4571">
                  <c:v>183.98</c:v>
                </c:pt>
                <c:pt idx="4572">
                  <c:v>183.16</c:v>
                </c:pt>
                <c:pt idx="4573">
                  <c:v>184.19</c:v>
                </c:pt>
                <c:pt idx="4574">
                  <c:v>184.57</c:v>
                </c:pt>
                <c:pt idx="4575">
                  <c:v>184.56</c:v>
                </c:pt>
                <c:pt idx="4576">
                  <c:v>184.55</c:v>
                </c:pt>
                <c:pt idx="4577">
                  <c:v>183.93</c:v>
                </c:pt>
                <c:pt idx="4578">
                  <c:v>185.12</c:v>
                </c:pt>
                <c:pt idx="4579">
                  <c:v>184.51</c:v>
                </c:pt>
                <c:pt idx="4580">
                  <c:v>183.55</c:v>
                </c:pt>
                <c:pt idx="4581">
                  <c:v>183</c:v>
                </c:pt>
                <c:pt idx="4582">
                  <c:v>181.76</c:v>
                </c:pt>
                <c:pt idx="4583">
                  <c:v>181.02</c:v>
                </c:pt>
                <c:pt idx="4584">
                  <c:v>176.76</c:v>
                </c:pt>
                <c:pt idx="4585">
                  <c:v>175.09</c:v>
                </c:pt>
                <c:pt idx="4586">
                  <c:v>175.09</c:v>
                </c:pt>
                <c:pt idx="4587">
                  <c:v>175.09</c:v>
                </c:pt>
                <c:pt idx="4588">
                  <c:v>175.09</c:v>
                </c:pt>
                <c:pt idx="4589">
                  <c:v>175.12</c:v>
                </c:pt>
                <c:pt idx="4590">
                  <c:v>176.62</c:v>
                </c:pt>
                <c:pt idx="4591">
                  <c:v>179.25</c:v>
                </c:pt>
                <c:pt idx="4592">
                  <c:v>180.93</c:v>
                </c:pt>
                <c:pt idx="4593">
                  <c:v>181.33</c:v>
                </c:pt>
                <c:pt idx="4594">
                  <c:v>183.43</c:v>
                </c:pt>
                <c:pt idx="4595">
                  <c:v>183.82</c:v>
                </c:pt>
                <c:pt idx="4596">
                  <c:v>182.66</c:v>
                </c:pt>
                <c:pt idx="4597">
                  <c:v>183.85</c:v>
                </c:pt>
                <c:pt idx="4598">
                  <c:v>184.25</c:v>
                </c:pt>
                <c:pt idx="4599">
                  <c:v>184.24</c:v>
                </c:pt>
                <c:pt idx="4600">
                  <c:v>184.28</c:v>
                </c:pt>
                <c:pt idx="4601">
                  <c:v>182.99</c:v>
                </c:pt>
                <c:pt idx="4602">
                  <c:v>185.43</c:v>
                </c:pt>
                <c:pt idx="4603">
                  <c:v>184.19</c:v>
                </c:pt>
                <c:pt idx="4604">
                  <c:v>182.66</c:v>
                </c:pt>
                <c:pt idx="4605">
                  <c:v>182.05</c:v>
                </c:pt>
                <c:pt idx="4606">
                  <c:v>180.97</c:v>
                </c:pt>
                <c:pt idx="4607">
                  <c:v>180.35</c:v>
                </c:pt>
                <c:pt idx="4608">
                  <c:v>177.47</c:v>
                </c:pt>
                <c:pt idx="4609">
                  <c:v>175.93</c:v>
                </c:pt>
                <c:pt idx="4610">
                  <c:v>175.4</c:v>
                </c:pt>
                <c:pt idx="4611">
                  <c:v>175.13</c:v>
                </c:pt>
                <c:pt idx="4612">
                  <c:v>175.13</c:v>
                </c:pt>
                <c:pt idx="4613">
                  <c:v>175.46</c:v>
                </c:pt>
                <c:pt idx="4614">
                  <c:v>177.29</c:v>
                </c:pt>
                <c:pt idx="4615">
                  <c:v>178.41</c:v>
                </c:pt>
                <c:pt idx="4616">
                  <c:v>180.46</c:v>
                </c:pt>
                <c:pt idx="4617">
                  <c:v>180.89</c:v>
                </c:pt>
                <c:pt idx="4618">
                  <c:v>181.76</c:v>
                </c:pt>
                <c:pt idx="4619">
                  <c:v>181.73</c:v>
                </c:pt>
                <c:pt idx="4620">
                  <c:v>181.69</c:v>
                </c:pt>
                <c:pt idx="4621">
                  <c:v>182.27</c:v>
                </c:pt>
                <c:pt idx="4622">
                  <c:v>182.82</c:v>
                </c:pt>
                <c:pt idx="4623">
                  <c:v>182.79</c:v>
                </c:pt>
                <c:pt idx="4624">
                  <c:v>182.76</c:v>
                </c:pt>
                <c:pt idx="4625">
                  <c:v>182.72</c:v>
                </c:pt>
                <c:pt idx="4626">
                  <c:v>184.86</c:v>
                </c:pt>
                <c:pt idx="4627">
                  <c:v>183.65</c:v>
                </c:pt>
                <c:pt idx="4628">
                  <c:v>182.62</c:v>
                </c:pt>
                <c:pt idx="4629">
                  <c:v>182.59</c:v>
                </c:pt>
                <c:pt idx="4630">
                  <c:v>181.45</c:v>
                </c:pt>
                <c:pt idx="4631">
                  <c:v>179.98</c:v>
                </c:pt>
                <c:pt idx="4632">
                  <c:v>176.44</c:v>
                </c:pt>
                <c:pt idx="4633">
                  <c:v>176.41</c:v>
                </c:pt>
                <c:pt idx="4634">
                  <c:v>176.09</c:v>
                </c:pt>
                <c:pt idx="4635">
                  <c:v>175.55</c:v>
                </c:pt>
                <c:pt idx="4636">
                  <c:v>175.55</c:v>
                </c:pt>
                <c:pt idx="4637">
                  <c:v>175.95</c:v>
                </c:pt>
                <c:pt idx="4638">
                  <c:v>176.26</c:v>
                </c:pt>
                <c:pt idx="4639">
                  <c:v>176.23</c:v>
                </c:pt>
                <c:pt idx="4640">
                  <c:v>176.26</c:v>
                </c:pt>
                <c:pt idx="4641">
                  <c:v>176.76</c:v>
                </c:pt>
                <c:pt idx="4642">
                  <c:v>176.79</c:v>
                </c:pt>
                <c:pt idx="4643">
                  <c:v>176.94</c:v>
                </c:pt>
                <c:pt idx="4644">
                  <c:v>176.95</c:v>
                </c:pt>
                <c:pt idx="4645">
                  <c:v>177.08</c:v>
                </c:pt>
                <c:pt idx="4646">
                  <c:v>176.93</c:v>
                </c:pt>
                <c:pt idx="4647">
                  <c:v>176.94</c:v>
                </c:pt>
                <c:pt idx="4648">
                  <c:v>177.16</c:v>
                </c:pt>
                <c:pt idx="4649">
                  <c:v>177.9</c:v>
                </c:pt>
                <c:pt idx="4650">
                  <c:v>180.09</c:v>
                </c:pt>
                <c:pt idx="4651">
                  <c:v>178.97</c:v>
                </c:pt>
                <c:pt idx="4652">
                  <c:v>178.07</c:v>
                </c:pt>
                <c:pt idx="4653">
                  <c:v>177.75</c:v>
                </c:pt>
                <c:pt idx="4654">
                  <c:v>176.79</c:v>
                </c:pt>
                <c:pt idx="4655">
                  <c:v>175.84</c:v>
                </c:pt>
                <c:pt idx="4656">
                  <c:v>170.3</c:v>
                </c:pt>
                <c:pt idx="4657">
                  <c:v>170.27</c:v>
                </c:pt>
                <c:pt idx="4658">
                  <c:v>170.2</c:v>
                </c:pt>
                <c:pt idx="4659">
                  <c:v>169.59</c:v>
                </c:pt>
                <c:pt idx="4660">
                  <c:v>169.42</c:v>
                </c:pt>
                <c:pt idx="4661">
                  <c:v>169.58</c:v>
                </c:pt>
                <c:pt idx="4662">
                  <c:v>169.74</c:v>
                </c:pt>
                <c:pt idx="4663">
                  <c:v>169.74</c:v>
                </c:pt>
                <c:pt idx="4664">
                  <c:v>170.07</c:v>
                </c:pt>
                <c:pt idx="4665">
                  <c:v>170.68</c:v>
                </c:pt>
                <c:pt idx="4666">
                  <c:v>172.54</c:v>
                </c:pt>
                <c:pt idx="4667">
                  <c:v>174.15</c:v>
                </c:pt>
                <c:pt idx="4668">
                  <c:v>174.18</c:v>
                </c:pt>
                <c:pt idx="4669">
                  <c:v>174.18</c:v>
                </c:pt>
                <c:pt idx="4670">
                  <c:v>174.18</c:v>
                </c:pt>
                <c:pt idx="4671">
                  <c:v>174.18</c:v>
                </c:pt>
                <c:pt idx="4672">
                  <c:v>175.46</c:v>
                </c:pt>
                <c:pt idx="4673">
                  <c:v>177.15</c:v>
                </c:pt>
                <c:pt idx="4674">
                  <c:v>178.9</c:v>
                </c:pt>
                <c:pt idx="4675">
                  <c:v>178.62</c:v>
                </c:pt>
                <c:pt idx="4676">
                  <c:v>177.68</c:v>
                </c:pt>
                <c:pt idx="4677">
                  <c:v>177.25</c:v>
                </c:pt>
                <c:pt idx="4678">
                  <c:v>176.93</c:v>
                </c:pt>
                <c:pt idx="4679">
                  <c:v>175.3</c:v>
                </c:pt>
                <c:pt idx="4680">
                  <c:v>173.83</c:v>
                </c:pt>
                <c:pt idx="4681">
                  <c:v>173.32</c:v>
                </c:pt>
                <c:pt idx="4682">
                  <c:v>173.3</c:v>
                </c:pt>
                <c:pt idx="4683">
                  <c:v>173.46</c:v>
                </c:pt>
                <c:pt idx="4684">
                  <c:v>173.97</c:v>
                </c:pt>
                <c:pt idx="4685">
                  <c:v>175.7</c:v>
                </c:pt>
                <c:pt idx="4686">
                  <c:v>176.78</c:v>
                </c:pt>
                <c:pt idx="4687">
                  <c:v>177.26</c:v>
                </c:pt>
                <c:pt idx="4688">
                  <c:v>178.92</c:v>
                </c:pt>
                <c:pt idx="4689">
                  <c:v>179.26</c:v>
                </c:pt>
                <c:pt idx="4690">
                  <c:v>179.38</c:v>
                </c:pt>
                <c:pt idx="4691">
                  <c:v>179.41</c:v>
                </c:pt>
                <c:pt idx="4692">
                  <c:v>179.38</c:v>
                </c:pt>
                <c:pt idx="4693">
                  <c:v>179.63</c:v>
                </c:pt>
                <c:pt idx="4694">
                  <c:v>179.63</c:v>
                </c:pt>
                <c:pt idx="4695">
                  <c:v>179.61</c:v>
                </c:pt>
                <c:pt idx="4696">
                  <c:v>179.59</c:v>
                </c:pt>
                <c:pt idx="4697">
                  <c:v>179.56</c:v>
                </c:pt>
                <c:pt idx="4698">
                  <c:v>180.63</c:v>
                </c:pt>
                <c:pt idx="4699">
                  <c:v>179.65</c:v>
                </c:pt>
                <c:pt idx="4700">
                  <c:v>179.4</c:v>
                </c:pt>
                <c:pt idx="4701">
                  <c:v>179.38</c:v>
                </c:pt>
                <c:pt idx="4702">
                  <c:v>179.04</c:v>
                </c:pt>
                <c:pt idx="4703">
                  <c:v>178.38</c:v>
                </c:pt>
                <c:pt idx="4704">
                  <c:v>176.59</c:v>
                </c:pt>
                <c:pt idx="4705">
                  <c:v>176.37</c:v>
                </c:pt>
                <c:pt idx="4706">
                  <c:v>176.37</c:v>
                </c:pt>
                <c:pt idx="4707">
                  <c:v>176.36</c:v>
                </c:pt>
                <c:pt idx="4708">
                  <c:v>176.36</c:v>
                </c:pt>
                <c:pt idx="4709">
                  <c:v>176.55</c:v>
                </c:pt>
                <c:pt idx="4710">
                  <c:v>177.94</c:v>
                </c:pt>
                <c:pt idx="4711">
                  <c:v>178.89</c:v>
                </c:pt>
                <c:pt idx="4712">
                  <c:v>179.94</c:v>
                </c:pt>
                <c:pt idx="4713">
                  <c:v>180.11</c:v>
                </c:pt>
                <c:pt idx="4714">
                  <c:v>180.39</c:v>
                </c:pt>
                <c:pt idx="4715">
                  <c:v>180.36</c:v>
                </c:pt>
                <c:pt idx="4716">
                  <c:v>180.3</c:v>
                </c:pt>
                <c:pt idx="4717">
                  <c:v>180.3</c:v>
                </c:pt>
                <c:pt idx="4718">
                  <c:v>180.27</c:v>
                </c:pt>
                <c:pt idx="4719">
                  <c:v>180.28</c:v>
                </c:pt>
                <c:pt idx="4720">
                  <c:v>180.27</c:v>
                </c:pt>
                <c:pt idx="4721">
                  <c:v>180.24</c:v>
                </c:pt>
                <c:pt idx="4722">
                  <c:v>181.17</c:v>
                </c:pt>
                <c:pt idx="4723">
                  <c:v>180.47</c:v>
                </c:pt>
                <c:pt idx="4724">
                  <c:v>180.16</c:v>
                </c:pt>
                <c:pt idx="4725">
                  <c:v>180.05</c:v>
                </c:pt>
                <c:pt idx="4726">
                  <c:v>179.94</c:v>
                </c:pt>
                <c:pt idx="4727">
                  <c:v>179.37</c:v>
                </c:pt>
                <c:pt idx="4728">
                  <c:v>178.41</c:v>
                </c:pt>
                <c:pt idx="4729">
                  <c:v>177.28</c:v>
                </c:pt>
                <c:pt idx="4730">
                  <c:v>177.17</c:v>
                </c:pt>
                <c:pt idx="4731">
                  <c:v>177.13</c:v>
                </c:pt>
                <c:pt idx="4732">
                  <c:v>177.12</c:v>
                </c:pt>
                <c:pt idx="4733">
                  <c:v>177.4</c:v>
                </c:pt>
                <c:pt idx="4734">
                  <c:v>178.23</c:v>
                </c:pt>
                <c:pt idx="4735">
                  <c:v>179.67</c:v>
                </c:pt>
                <c:pt idx="4736">
                  <c:v>180.41</c:v>
                </c:pt>
                <c:pt idx="4737">
                  <c:v>180.69</c:v>
                </c:pt>
                <c:pt idx="4738">
                  <c:v>180.93</c:v>
                </c:pt>
                <c:pt idx="4739">
                  <c:v>180.9</c:v>
                </c:pt>
                <c:pt idx="4740">
                  <c:v>180.82</c:v>
                </c:pt>
                <c:pt idx="4741">
                  <c:v>180.83</c:v>
                </c:pt>
                <c:pt idx="4742">
                  <c:v>180.94</c:v>
                </c:pt>
                <c:pt idx="4743">
                  <c:v>180.94</c:v>
                </c:pt>
                <c:pt idx="4744">
                  <c:v>181.08</c:v>
                </c:pt>
                <c:pt idx="4745">
                  <c:v>181.08</c:v>
                </c:pt>
                <c:pt idx="4746">
                  <c:v>183.49</c:v>
                </c:pt>
                <c:pt idx="4747">
                  <c:v>181.94</c:v>
                </c:pt>
                <c:pt idx="4748">
                  <c:v>181.11</c:v>
                </c:pt>
                <c:pt idx="4749">
                  <c:v>180.68</c:v>
                </c:pt>
                <c:pt idx="4750">
                  <c:v>180.54</c:v>
                </c:pt>
                <c:pt idx="4751">
                  <c:v>179.93</c:v>
                </c:pt>
                <c:pt idx="4752">
                  <c:v>174.65</c:v>
                </c:pt>
                <c:pt idx="4753">
                  <c:v>172.74</c:v>
                </c:pt>
                <c:pt idx="4754">
                  <c:v>172.33</c:v>
                </c:pt>
                <c:pt idx="4755">
                  <c:v>172.49</c:v>
                </c:pt>
                <c:pt idx="4756">
                  <c:v>172.74</c:v>
                </c:pt>
                <c:pt idx="4757">
                  <c:v>174.45</c:v>
                </c:pt>
                <c:pt idx="4758">
                  <c:v>176.19</c:v>
                </c:pt>
                <c:pt idx="4759">
                  <c:v>177.34</c:v>
                </c:pt>
                <c:pt idx="4760">
                  <c:v>178.28</c:v>
                </c:pt>
                <c:pt idx="4761">
                  <c:v>178.36</c:v>
                </c:pt>
                <c:pt idx="4762">
                  <c:v>179.32</c:v>
                </c:pt>
                <c:pt idx="4763">
                  <c:v>179.35</c:v>
                </c:pt>
                <c:pt idx="4764">
                  <c:v>179.32</c:v>
                </c:pt>
                <c:pt idx="4765">
                  <c:v>179.42</c:v>
                </c:pt>
                <c:pt idx="4766">
                  <c:v>179.45</c:v>
                </c:pt>
                <c:pt idx="4767">
                  <c:v>179.61</c:v>
                </c:pt>
                <c:pt idx="4768">
                  <c:v>179.58</c:v>
                </c:pt>
                <c:pt idx="4769">
                  <c:v>179.55</c:v>
                </c:pt>
                <c:pt idx="4770">
                  <c:v>180.6</c:v>
                </c:pt>
                <c:pt idx="4771">
                  <c:v>179.9</c:v>
                </c:pt>
                <c:pt idx="4772">
                  <c:v>179.45</c:v>
                </c:pt>
                <c:pt idx="4773">
                  <c:v>179.34</c:v>
                </c:pt>
                <c:pt idx="4774">
                  <c:v>179.14</c:v>
                </c:pt>
                <c:pt idx="4775">
                  <c:v>177.46</c:v>
                </c:pt>
                <c:pt idx="4776">
                  <c:v>175.53</c:v>
                </c:pt>
                <c:pt idx="4777">
                  <c:v>173.38</c:v>
                </c:pt>
                <c:pt idx="4778">
                  <c:v>172.49</c:v>
                </c:pt>
                <c:pt idx="4779">
                  <c:v>172.49</c:v>
                </c:pt>
                <c:pt idx="4780">
                  <c:v>172.49</c:v>
                </c:pt>
                <c:pt idx="4781">
                  <c:v>173.71</c:v>
                </c:pt>
                <c:pt idx="4782">
                  <c:v>175.35</c:v>
                </c:pt>
                <c:pt idx="4783">
                  <c:v>176.57</c:v>
                </c:pt>
                <c:pt idx="4784">
                  <c:v>177.99</c:v>
                </c:pt>
                <c:pt idx="4785">
                  <c:v>178.85</c:v>
                </c:pt>
                <c:pt idx="4786">
                  <c:v>179.37</c:v>
                </c:pt>
                <c:pt idx="4787">
                  <c:v>179.39</c:v>
                </c:pt>
                <c:pt idx="4788">
                  <c:v>179.35</c:v>
                </c:pt>
                <c:pt idx="4789">
                  <c:v>179.41</c:v>
                </c:pt>
                <c:pt idx="4790">
                  <c:v>180.01</c:v>
                </c:pt>
                <c:pt idx="4791">
                  <c:v>180.18</c:v>
                </c:pt>
                <c:pt idx="4792">
                  <c:v>180.15</c:v>
                </c:pt>
                <c:pt idx="4793">
                  <c:v>180.16</c:v>
                </c:pt>
                <c:pt idx="4794">
                  <c:v>181.39</c:v>
                </c:pt>
                <c:pt idx="4795">
                  <c:v>180.43</c:v>
                </c:pt>
                <c:pt idx="4796">
                  <c:v>180.06</c:v>
                </c:pt>
                <c:pt idx="4797">
                  <c:v>179.87</c:v>
                </c:pt>
                <c:pt idx="4798">
                  <c:v>179.05</c:v>
                </c:pt>
                <c:pt idx="4799">
                  <c:v>177.7</c:v>
                </c:pt>
                <c:pt idx="4800">
                  <c:v>183.16</c:v>
                </c:pt>
                <c:pt idx="4801">
                  <c:v>183.13</c:v>
                </c:pt>
                <c:pt idx="4802">
                  <c:v>183.1</c:v>
                </c:pt>
                <c:pt idx="4803">
                  <c:v>183.01</c:v>
                </c:pt>
                <c:pt idx="4804">
                  <c:v>183</c:v>
                </c:pt>
                <c:pt idx="4805">
                  <c:v>183</c:v>
                </c:pt>
                <c:pt idx="4806">
                  <c:v>182.97</c:v>
                </c:pt>
                <c:pt idx="4807">
                  <c:v>182.94</c:v>
                </c:pt>
                <c:pt idx="4808">
                  <c:v>183.51</c:v>
                </c:pt>
                <c:pt idx="4809">
                  <c:v>184.27</c:v>
                </c:pt>
                <c:pt idx="4810">
                  <c:v>184.38</c:v>
                </c:pt>
                <c:pt idx="4811">
                  <c:v>184.38</c:v>
                </c:pt>
                <c:pt idx="4812">
                  <c:v>184.38</c:v>
                </c:pt>
                <c:pt idx="4813">
                  <c:v>184.38</c:v>
                </c:pt>
                <c:pt idx="4814">
                  <c:v>184.38</c:v>
                </c:pt>
                <c:pt idx="4815">
                  <c:v>184.38</c:v>
                </c:pt>
                <c:pt idx="4816">
                  <c:v>184.39</c:v>
                </c:pt>
                <c:pt idx="4817">
                  <c:v>184.85</c:v>
                </c:pt>
                <c:pt idx="4818">
                  <c:v>187.84</c:v>
                </c:pt>
                <c:pt idx="4819">
                  <c:v>186.56</c:v>
                </c:pt>
                <c:pt idx="4820">
                  <c:v>184.85</c:v>
                </c:pt>
                <c:pt idx="4821">
                  <c:v>184.61</c:v>
                </c:pt>
                <c:pt idx="4822">
                  <c:v>184.01</c:v>
                </c:pt>
                <c:pt idx="4823">
                  <c:v>183.21</c:v>
                </c:pt>
                <c:pt idx="4824">
                  <c:v>180.66</c:v>
                </c:pt>
                <c:pt idx="4825">
                  <c:v>180.63</c:v>
                </c:pt>
                <c:pt idx="4826">
                  <c:v>180.3</c:v>
                </c:pt>
                <c:pt idx="4827">
                  <c:v>178.13</c:v>
                </c:pt>
                <c:pt idx="4828">
                  <c:v>176.95</c:v>
                </c:pt>
                <c:pt idx="4829">
                  <c:v>176.95</c:v>
                </c:pt>
                <c:pt idx="4830">
                  <c:v>176.54</c:v>
                </c:pt>
                <c:pt idx="4831">
                  <c:v>176.53</c:v>
                </c:pt>
                <c:pt idx="4832">
                  <c:v>180.3</c:v>
                </c:pt>
                <c:pt idx="4833">
                  <c:v>180.38</c:v>
                </c:pt>
                <c:pt idx="4834">
                  <c:v>180.38</c:v>
                </c:pt>
                <c:pt idx="4835">
                  <c:v>180.66</c:v>
                </c:pt>
                <c:pt idx="4836">
                  <c:v>180.66</c:v>
                </c:pt>
                <c:pt idx="4837">
                  <c:v>180.76</c:v>
                </c:pt>
                <c:pt idx="4838">
                  <c:v>180.76</c:v>
                </c:pt>
                <c:pt idx="4839">
                  <c:v>180.77</c:v>
                </c:pt>
                <c:pt idx="4840">
                  <c:v>183.04</c:v>
                </c:pt>
                <c:pt idx="4841">
                  <c:v>184.38</c:v>
                </c:pt>
                <c:pt idx="4842">
                  <c:v>185.95</c:v>
                </c:pt>
                <c:pt idx="4843">
                  <c:v>185.28</c:v>
                </c:pt>
                <c:pt idx="4844">
                  <c:v>184.53</c:v>
                </c:pt>
                <c:pt idx="4845">
                  <c:v>184.44</c:v>
                </c:pt>
                <c:pt idx="4846">
                  <c:v>184.15</c:v>
                </c:pt>
                <c:pt idx="4847">
                  <c:v>182.8</c:v>
                </c:pt>
                <c:pt idx="4848">
                  <c:v>183.09</c:v>
                </c:pt>
                <c:pt idx="4849">
                  <c:v>182.09</c:v>
                </c:pt>
                <c:pt idx="4850">
                  <c:v>181.55</c:v>
                </c:pt>
                <c:pt idx="4851">
                  <c:v>181.64</c:v>
                </c:pt>
                <c:pt idx="4852">
                  <c:v>181.88</c:v>
                </c:pt>
                <c:pt idx="4853">
                  <c:v>183.75</c:v>
                </c:pt>
                <c:pt idx="4854">
                  <c:v>184.96</c:v>
                </c:pt>
                <c:pt idx="4855">
                  <c:v>185.52</c:v>
                </c:pt>
                <c:pt idx="4856">
                  <c:v>187.43</c:v>
                </c:pt>
                <c:pt idx="4857">
                  <c:v>187.47</c:v>
                </c:pt>
                <c:pt idx="4858">
                  <c:v>187.47</c:v>
                </c:pt>
                <c:pt idx="4859">
                  <c:v>187.49</c:v>
                </c:pt>
                <c:pt idx="4860">
                  <c:v>187.47</c:v>
                </c:pt>
                <c:pt idx="4861">
                  <c:v>187.48</c:v>
                </c:pt>
                <c:pt idx="4862">
                  <c:v>187.49</c:v>
                </c:pt>
                <c:pt idx="4863">
                  <c:v>187.5</c:v>
                </c:pt>
                <c:pt idx="4864">
                  <c:v>187.52</c:v>
                </c:pt>
                <c:pt idx="4865">
                  <c:v>187.55</c:v>
                </c:pt>
                <c:pt idx="4866">
                  <c:v>188.33</c:v>
                </c:pt>
                <c:pt idx="4867">
                  <c:v>187.61</c:v>
                </c:pt>
                <c:pt idx="4868">
                  <c:v>187.45</c:v>
                </c:pt>
                <c:pt idx="4869">
                  <c:v>187.24</c:v>
                </c:pt>
                <c:pt idx="4870">
                  <c:v>187.19</c:v>
                </c:pt>
                <c:pt idx="4871">
                  <c:v>186.66</c:v>
                </c:pt>
                <c:pt idx="4872">
                  <c:v>184.31</c:v>
                </c:pt>
                <c:pt idx="4873">
                  <c:v>183.67</c:v>
                </c:pt>
                <c:pt idx="4874">
                  <c:v>182.8</c:v>
                </c:pt>
                <c:pt idx="4875">
                  <c:v>182.96</c:v>
                </c:pt>
                <c:pt idx="4876">
                  <c:v>183.13</c:v>
                </c:pt>
                <c:pt idx="4877">
                  <c:v>184.03</c:v>
                </c:pt>
                <c:pt idx="4878">
                  <c:v>184.48</c:v>
                </c:pt>
                <c:pt idx="4879">
                  <c:v>185.52</c:v>
                </c:pt>
                <c:pt idx="4880">
                  <c:v>187.24</c:v>
                </c:pt>
                <c:pt idx="4881">
                  <c:v>187.5</c:v>
                </c:pt>
                <c:pt idx="4882">
                  <c:v>187.54</c:v>
                </c:pt>
                <c:pt idx="4883">
                  <c:v>187.58</c:v>
                </c:pt>
                <c:pt idx="4884">
                  <c:v>187.5</c:v>
                </c:pt>
                <c:pt idx="4885">
                  <c:v>188.08</c:v>
                </c:pt>
                <c:pt idx="4886">
                  <c:v>188.31</c:v>
                </c:pt>
                <c:pt idx="4887">
                  <c:v>188.34</c:v>
                </c:pt>
                <c:pt idx="4888">
                  <c:v>188.3</c:v>
                </c:pt>
                <c:pt idx="4889">
                  <c:v>188.27</c:v>
                </c:pt>
                <c:pt idx="4890">
                  <c:v>188.69</c:v>
                </c:pt>
                <c:pt idx="4891">
                  <c:v>188.31</c:v>
                </c:pt>
                <c:pt idx="4892">
                  <c:v>188.17</c:v>
                </c:pt>
                <c:pt idx="4893">
                  <c:v>188.14</c:v>
                </c:pt>
                <c:pt idx="4894">
                  <c:v>187.1</c:v>
                </c:pt>
                <c:pt idx="4895">
                  <c:v>186.1</c:v>
                </c:pt>
                <c:pt idx="4896">
                  <c:v>184.65</c:v>
                </c:pt>
                <c:pt idx="4897">
                  <c:v>183.92</c:v>
                </c:pt>
                <c:pt idx="4898">
                  <c:v>183.23</c:v>
                </c:pt>
                <c:pt idx="4899">
                  <c:v>183.18</c:v>
                </c:pt>
                <c:pt idx="4900">
                  <c:v>183.14</c:v>
                </c:pt>
                <c:pt idx="4901">
                  <c:v>183.32</c:v>
                </c:pt>
                <c:pt idx="4902">
                  <c:v>184.59</c:v>
                </c:pt>
                <c:pt idx="4903">
                  <c:v>185.35</c:v>
                </c:pt>
                <c:pt idx="4904">
                  <c:v>186.76</c:v>
                </c:pt>
                <c:pt idx="4905">
                  <c:v>187.48</c:v>
                </c:pt>
                <c:pt idx="4906">
                  <c:v>188.81</c:v>
                </c:pt>
                <c:pt idx="4907">
                  <c:v>188.92</c:v>
                </c:pt>
                <c:pt idx="4908">
                  <c:v>188.68</c:v>
                </c:pt>
                <c:pt idx="4909">
                  <c:v>188.86</c:v>
                </c:pt>
                <c:pt idx="4910">
                  <c:v>188.93</c:v>
                </c:pt>
                <c:pt idx="4911">
                  <c:v>189.39</c:v>
                </c:pt>
                <c:pt idx="4912">
                  <c:v>189.69</c:v>
                </c:pt>
                <c:pt idx="4913">
                  <c:v>189.73</c:v>
                </c:pt>
                <c:pt idx="4914">
                  <c:v>190.73</c:v>
                </c:pt>
                <c:pt idx="4915">
                  <c:v>189.73</c:v>
                </c:pt>
                <c:pt idx="4916">
                  <c:v>188.62</c:v>
                </c:pt>
                <c:pt idx="4917">
                  <c:v>188.59</c:v>
                </c:pt>
                <c:pt idx="4918">
                  <c:v>187.62</c:v>
                </c:pt>
                <c:pt idx="4919">
                  <c:v>186.05</c:v>
                </c:pt>
                <c:pt idx="4920">
                  <c:v>183.43</c:v>
                </c:pt>
                <c:pt idx="4921">
                  <c:v>182.75</c:v>
                </c:pt>
                <c:pt idx="4922">
                  <c:v>182.39</c:v>
                </c:pt>
                <c:pt idx="4923">
                  <c:v>182.39</c:v>
                </c:pt>
                <c:pt idx="4924">
                  <c:v>182.4</c:v>
                </c:pt>
                <c:pt idx="4925">
                  <c:v>182.44</c:v>
                </c:pt>
                <c:pt idx="4926">
                  <c:v>183.15</c:v>
                </c:pt>
                <c:pt idx="4927">
                  <c:v>184.96</c:v>
                </c:pt>
                <c:pt idx="4928">
                  <c:v>186.57</c:v>
                </c:pt>
                <c:pt idx="4929">
                  <c:v>187.23</c:v>
                </c:pt>
                <c:pt idx="4930">
                  <c:v>187.31</c:v>
                </c:pt>
                <c:pt idx="4931">
                  <c:v>187.32</c:v>
                </c:pt>
                <c:pt idx="4932">
                  <c:v>187.25</c:v>
                </c:pt>
                <c:pt idx="4933">
                  <c:v>187.32</c:v>
                </c:pt>
                <c:pt idx="4934">
                  <c:v>187.65</c:v>
                </c:pt>
                <c:pt idx="4935">
                  <c:v>187.62</c:v>
                </c:pt>
                <c:pt idx="4936">
                  <c:v>187.58</c:v>
                </c:pt>
                <c:pt idx="4937">
                  <c:v>187.58</c:v>
                </c:pt>
                <c:pt idx="4938">
                  <c:v>189.25</c:v>
                </c:pt>
                <c:pt idx="4939">
                  <c:v>188.2</c:v>
                </c:pt>
                <c:pt idx="4940">
                  <c:v>187.45</c:v>
                </c:pt>
                <c:pt idx="4941">
                  <c:v>187.42</c:v>
                </c:pt>
                <c:pt idx="4942">
                  <c:v>186.76</c:v>
                </c:pt>
                <c:pt idx="4943">
                  <c:v>184.89</c:v>
                </c:pt>
                <c:pt idx="4944">
                  <c:v>182.65</c:v>
                </c:pt>
                <c:pt idx="4945">
                  <c:v>182.58</c:v>
                </c:pt>
                <c:pt idx="4946">
                  <c:v>182.06</c:v>
                </c:pt>
                <c:pt idx="4947">
                  <c:v>181.99</c:v>
                </c:pt>
                <c:pt idx="4948">
                  <c:v>181.99</c:v>
                </c:pt>
                <c:pt idx="4949">
                  <c:v>182.49</c:v>
                </c:pt>
                <c:pt idx="4950">
                  <c:v>183.16</c:v>
                </c:pt>
                <c:pt idx="4951">
                  <c:v>184.56</c:v>
                </c:pt>
                <c:pt idx="4952">
                  <c:v>186.81</c:v>
                </c:pt>
                <c:pt idx="4953">
                  <c:v>187.6</c:v>
                </c:pt>
                <c:pt idx="4954">
                  <c:v>188.33</c:v>
                </c:pt>
                <c:pt idx="4955">
                  <c:v>188.31</c:v>
                </c:pt>
                <c:pt idx="4956">
                  <c:v>187.66</c:v>
                </c:pt>
                <c:pt idx="4957">
                  <c:v>188.6</c:v>
                </c:pt>
                <c:pt idx="4958">
                  <c:v>189.29</c:v>
                </c:pt>
                <c:pt idx="4959">
                  <c:v>189.49</c:v>
                </c:pt>
                <c:pt idx="4960">
                  <c:v>189.5</c:v>
                </c:pt>
                <c:pt idx="4961">
                  <c:v>189.2</c:v>
                </c:pt>
                <c:pt idx="4962">
                  <c:v>189.85</c:v>
                </c:pt>
                <c:pt idx="4963">
                  <c:v>189.74</c:v>
                </c:pt>
                <c:pt idx="4964">
                  <c:v>188.93</c:v>
                </c:pt>
                <c:pt idx="4965">
                  <c:v>188.38</c:v>
                </c:pt>
                <c:pt idx="4966">
                  <c:v>187.08</c:v>
                </c:pt>
                <c:pt idx="4967">
                  <c:v>184.99</c:v>
                </c:pt>
                <c:pt idx="4968">
                  <c:v>222.69</c:v>
                </c:pt>
                <c:pt idx="4969">
                  <c:v>221.83</c:v>
                </c:pt>
                <c:pt idx="4970">
                  <c:v>220.32</c:v>
                </c:pt>
                <c:pt idx="4971">
                  <c:v>219.14</c:v>
                </c:pt>
                <c:pt idx="4972">
                  <c:v>219.13</c:v>
                </c:pt>
                <c:pt idx="4973">
                  <c:v>219.14</c:v>
                </c:pt>
                <c:pt idx="4974">
                  <c:v>220.32</c:v>
                </c:pt>
                <c:pt idx="4975">
                  <c:v>220.89</c:v>
                </c:pt>
                <c:pt idx="4976">
                  <c:v>222.28</c:v>
                </c:pt>
                <c:pt idx="4977">
                  <c:v>222.51</c:v>
                </c:pt>
                <c:pt idx="4978">
                  <c:v>222.47</c:v>
                </c:pt>
                <c:pt idx="4979">
                  <c:v>222.43</c:v>
                </c:pt>
                <c:pt idx="4980">
                  <c:v>222.39</c:v>
                </c:pt>
                <c:pt idx="4981">
                  <c:v>222.36</c:v>
                </c:pt>
                <c:pt idx="4982">
                  <c:v>222.32</c:v>
                </c:pt>
                <c:pt idx="4983">
                  <c:v>222.28</c:v>
                </c:pt>
                <c:pt idx="4984">
                  <c:v>222.62</c:v>
                </c:pt>
                <c:pt idx="4985">
                  <c:v>224.62</c:v>
                </c:pt>
                <c:pt idx="4986">
                  <c:v>226.5</c:v>
                </c:pt>
                <c:pt idx="4987">
                  <c:v>225.92</c:v>
                </c:pt>
                <c:pt idx="4988">
                  <c:v>224.82</c:v>
                </c:pt>
                <c:pt idx="4989">
                  <c:v>222.99</c:v>
                </c:pt>
                <c:pt idx="4990">
                  <c:v>221.99</c:v>
                </c:pt>
                <c:pt idx="4991">
                  <c:v>221.26</c:v>
                </c:pt>
                <c:pt idx="4992">
                  <c:v>216.98</c:v>
                </c:pt>
                <c:pt idx="4993">
                  <c:v>214.87</c:v>
                </c:pt>
                <c:pt idx="4994">
                  <c:v>211.81</c:v>
                </c:pt>
                <c:pt idx="4995">
                  <c:v>210.83</c:v>
                </c:pt>
                <c:pt idx="4996">
                  <c:v>208.85</c:v>
                </c:pt>
                <c:pt idx="4997">
                  <c:v>208.81</c:v>
                </c:pt>
                <c:pt idx="4998">
                  <c:v>207.98</c:v>
                </c:pt>
                <c:pt idx="4999">
                  <c:v>207.03</c:v>
                </c:pt>
                <c:pt idx="5000">
                  <c:v>210.95</c:v>
                </c:pt>
                <c:pt idx="5001">
                  <c:v>215.5</c:v>
                </c:pt>
                <c:pt idx="5002">
                  <c:v>217.76</c:v>
                </c:pt>
                <c:pt idx="5003">
                  <c:v>218.32</c:v>
                </c:pt>
                <c:pt idx="5004">
                  <c:v>218.32</c:v>
                </c:pt>
                <c:pt idx="5005">
                  <c:v>218.31</c:v>
                </c:pt>
                <c:pt idx="5006">
                  <c:v>218.3</c:v>
                </c:pt>
                <c:pt idx="5007">
                  <c:v>218.38</c:v>
                </c:pt>
                <c:pt idx="5008">
                  <c:v>220.5</c:v>
                </c:pt>
                <c:pt idx="5009">
                  <c:v>221.34</c:v>
                </c:pt>
                <c:pt idx="5010">
                  <c:v>225.6</c:v>
                </c:pt>
                <c:pt idx="5011">
                  <c:v>224.48</c:v>
                </c:pt>
                <c:pt idx="5012">
                  <c:v>223.29</c:v>
                </c:pt>
                <c:pt idx="5013">
                  <c:v>222.2</c:v>
                </c:pt>
                <c:pt idx="5014">
                  <c:v>220.95</c:v>
                </c:pt>
                <c:pt idx="5015">
                  <c:v>220.91</c:v>
                </c:pt>
                <c:pt idx="5016">
                  <c:v>218.12</c:v>
                </c:pt>
                <c:pt idx="5017">
                  <c:v>213.97</c:v>
                </c:pt>
                <c:pt idx="5018">
                  <c:v>211.35</c:v>
                </c:pt>
                <c:pt idx="5019">
                  <c:v>211.35</c:v>
                </c:pt>
                <c:pt idx="5020">
                  <c:v>214.82</c:v>
                </c:pt>
                <c:pt idx="5021">
                  <c:v>220.56</c:v>
                </c:pt>
                <c:pt idx="5022">
                  <c:v>223.8</c:v>
                </c:pt>
                <c:pt idx="5023">
                  <c:v>225.41</c:v>
                </c:pt>
                <c:pt idx="5024">
                  <c:v>226.75</c:v>
                </c:pt>
                <c:pt idx="5025">
                  <c:v>227.2</c:v>
                </c:pt>
                <c:pt idx="5026">
                  <c:v>227.61</c:v>
                </c:pt>
                <c:pt idx="5027">
                  <c:v>227.62</c:v>
                </c:pt>
                <c:pt idx="5028">
                  <c:v>227.57</c:v>
                </c:pt>
                <c:pt idx="5029">
                  <c:v>227.77</c:v>
                </c:pt>
                <c:pt idx="5030">
                  <c:v>227.81</c:v>
                </c:pt>
                <c:pt idx="5031">
                  <c:v>227.84</c:v>
                </c:pt>
                <c:pt idx="5032">
                  <c:v>227.82</c:v>
                </c:pt>
                <c:pt idx="5033">
                  <c:v>227.78</c:v>
                </c:pt>
                <c:pt idx="5034">
                  <c:v>227.81</c:v>
                </c:pt>
                <c:pt idx="5035">
                  <c:v>227.77</c:v>
                </c:pt>
                <c:pt idx="5036">
                  <c:v>227.73</c:v>
                </c:pt>
                <c:pt idx="5037">
                  <c:v>227.68</c:v>
                </c:pt>
                <c:pt idx="5038">
                  <c:v>227.59</c:v>
                </c:pt>
                <c:pt idx="5039">
                  <c:v>226.3</c:v>
                </c:pt>
                <c:pt idx="5040">
                  <c:v>222</c:v>
                </c:pt>
                <c:pt idx="5041">
                  <c:v>221.07</c:v>
                </c:pt>
                <c:pt idx="5042">
                  <c:v>219.89</c:v>
                </c:pt>
                <c:pt idx="5043">
                  <c:v>219.89</c:v>
                </c:pt>
                <c:pt idx="5044">
                  <c:v>219.99</c:v>
                </c:pt>
                <c:pt idx="5045">
                  <c:v>221.99</c:v>
                </c:pt>
                <c:pt idx="5046">
                  <c:v>223.79</c:v>
                </c:pt>
                <c:pt idx="5047">
                  <c:v>224.81</c:v>
                </c:pt>
                <c:pt idx="5048">
                  <c:v>226.54</c:v>
                </c:pt>
                <c:pt idx="5049">
                  <c:v>226.94</c:v>
                </c:pt>
                <c:pt idx="5050">
                  <c:v>227.74</c:v>
                </c:pt>
                <c:pt idx="5051">
                  <c:v>227.7</c:v>
                </c:pt>
                <c:pt idx="5052">
                  <c:v>227.5</c:v>
                </c:pt>
                <c:pt idx="5053">
                  <c:v>227.84</c:v>
                </c:pt>
                <c:pt idx="5054">
                  <c:v>227.88</c:v>
                </c:pt>
                <c:pt idx="5055">
                  <c:v>227.88</c:v>
                </c:pt>
                <c:pt idx="5056">
                  <c:v>227.89</c:v>
                </c:pt>
                <c:pt idx="5057">
                  <c:v>227.89</c:v>
                </c:pt>
                <c:pt idx="5058">
                  <c:v>228.08</c:v>
                </c:pt>
                <c:pt idx="5059">
                  <c:v>227.96</c:v>
                </c:pt>
                <c:pt idx="5060">
                  <c:v>227.89</c:v>
                </c:pt>
                <c:pt idx="5061">
                  <c:v>227.82</c:v>
                </c:pt>
                <c:pt idx="5062">
                  <c:v>227.26</c:v>
                </c:pt>
                <c:pt idx="5063">
                  <c:v>225.68</c:v>
                </c:pt>
                <c:pt idx="5064">
                  <c:v>223.4</c:v>
                </c:pt>
                <c:pt idx="5065">
                  <c:v>222.9</c:v>
                </c:pt>
                <c:pt idx="5066">
                  <c:v>222.09</c:v>
                </c:pt>
                <c:pt idx="5067">
                  <c:v>221.99</c:v>
                </c:pt>
                <c:pt idx="5068">
                  <c:v>222.09</c:v>
                </c:pt>
                <c:pt idx="5069">
                  <c:v>223.11</c:v>
                </c:pt>
                <c:pt idx="5070">
                  <c:v>224.15</c:v>
                </c:pt>
                <c:pt idx="5071">
                  <c:v>225.19</c:v>
                </c:pt>
                <c:pt idx="5072">
                  <c:v>226.81</c:v>
                </c:pt>
                <c:pt idx="5073">
                  <c:v>227.43</c:v>
                </c:pt>
                <c:pt idx="5074">
                  <c:v>227.47</c:v>
                </c:pt>
                <c:pt idx="5075">
                  <c:v>227.5</c:v>
                </c:pt>
                <c:pt idx="5076">
                  <c:v>227.46</c:v>
                </c:pt>
                <c:pt idx="5077">
                  <c:v>227.48</c:v>
                </c:pt>
                <c:pt idx="5078">
                  <c:v>227.48</c:v>
                </c:pt>
                <c:pt idx="5079">
                  <c:v>227.48</c:v>
                </c:pt>
                <c:pt idx="5080">
                  <c:v>227.48</c:v>
                </c:pt>
                <c:pt idx="5081">
                  <c:v>227.48</c:v>
                </c:pt>
                <c:pt idx="5082">
                  <c:v>228.86</c:v>
                </c:pt>
                <c:pt idx="5083">
                  <c:v>227.57</c:v>
                </c:pt>
                <c:pt idx="5084">
                  <c:v>227.49</c:v>
                </c:pt>
                <c:pt idx="5085">
                  <c:v>227.44</c:v>
                </c:pt>
                <c:pt idx="5086">
                  <c:v>227.2</c:v>
                </c:pt>
                <c:pt idx="5087">
                  <c:v>225.63</c:v>
                </c:pt>
                <c:pt idx="5088">
                  <c:v>223.45</c:v>
                </c:pt>
                <c:pt idx="5089">
                  <c:v>223</c:v>
                </c:pt>
                <c:pt idx="5090">
                  <c:v>222.92</c:v>
                </c:pt>
                <c:pt idx="5091">
                  <c:v>222.87</c:v>
                </c:pt>
                <c:pt idx="5092">
                  <c:v>222.82</c:v>
                </c:pt>
                <c:pt idx="5093">
                  <c:v>223.36</c:v>
                </c:pt>
                <c:pt idx="5094">
                  <c:v>224.44</c:v>
                </c:pt>
                <c:pt idx="5095">
                  <c:v>226.48</c:v>
                </c:pt>
                <c:pt idx="5096">
                  <c:v>228.28</c:v>
                </c:pt>
                <c:pt idx="5097">
                  <c:v>228.42</c:v>
                </c:pt>
                <c:pt idx="5098">
                  <c:v>228.46</c:v>
                </c:pt>
                <c:pt idx="5099">
                  <c:v>228.46</c:v>
                </c:pt>
                <c:pt idx="5100">
                  <c:v>228.47</c:v>
                </c:pt>
                <c:pt idx="5101">
                  <c:v>228.52</c:v>
                </c:pt>
                <c:pt idx="5102">
                  <c:v>228.76</c:v>
                </c:pt>
                <c:pt idx="5103">
                  <c:v>228.87</c:v>
                </c:pt>
                <c:pt idx="5104">
                  <c:v>228.91</c:v>
                </c:pt>
                <c:pt idx="5105">
                  <c:v>228.93</c:v>
                </c:pt>
                <c:pt idx="5106">
                  <c:v>231.62</c:v>
                </c:pt>
                <c:pt idx="5107">
                  <c:v>229.8</c:v>
                </c:pt>
                <c:pt idx="5108">
                  <c:v>228.83</c:v>
                </c:pt>
                <c:pt idx="5109">
                  <c:v>228.68</c:v>
                </c:pt>
                <c:pt idx="5110">
                  <c:v>228.4</c:v>
                </c:pt>
                <c:pt idx="5111">
                  <c:v>226.14</c:v>
                </c:pt>
                <c:pt idx="5112">
                  <c:v>221.54</c:v>
                </c:pt>
                <c:pt idx="5113">
                  <c:v>220.5</c:v>
                </c:pt>
                <c:pt idx="5114">
                  <c:v>219.18</c:v>
                </c:pt>
                <c:pt idx="5115">
                  <c:v>219.02</c:v>
                </c:pt>
                <c:pt idx="5116">
                  <c:v>219.28</c:v>
                </c:pt>
                <c:pt idx="5117">
                  <c:v>221.38</c:v>
                </c:pt>
                <c:pt idx="5118">
                  <c:v>223.32</c:v>
                </c:pt>
                <c:pt idx="5119">
                  <c:v>224.96</c:v>
                </c:pt>
                <c:pt idx="5120">
                  <c:v>226.98</c:v>
                </c:pt>
                <c:pt idx="5121">
                  <c:v>228.1</c:v>
                </c:pt>
                <c:pt idx="5122">
                  <c:v>228.32</c:v>
                </c:pt>
                <c:pt idx="5123">
                  <c:v>228.35</c:v>
                </c:pt>
                <c:pt idx="5124">
                  <c:v>228.32</c:v>
                </c:pt>
                <c:pt idx="5125">
                  <c:v>228.42</c:v>
                </c:pt>
                <c:pt idx="5126">
                  <c:v>228.54</c:v>
                </c:pt>
                <c:pt idx="5127">
                  <c:v>228.59</c:v>
                </c:pt>
                <c:pt idx="5128">
                  <c:v>228.62</c:v>
                </c:pt>
                <c:pt idx="5129">
                  <c:v>228.5</c:v>
                </c:pt>
                <c:pt idx="5130">
                  <c:v>229.16</c:v>
                </c:pt>
                <c:pt idx="5131">
                  <c:v>228.8</c:v>
                </c:pt>
                <c:pt idx="5132">
                  <c:v>228.5</c:v>
                </c:pt>
                <c:pt idx="5133">
                  <c:v>228.27</c:v>
                </c:pt>
                <c:pt idx="5134">
                  <c:v>227.17</c:v>
                </c:pt>
                <c:pt idx="5135">
                  <c:v>224.76</c:v>
                </c:pt>
                <c:pt idx="5136">
                  <c:v>234.78</c:v>
                </c:pt>
                <c:pt idx="5137">
                  <c:v>232.44</c:v>
                </c:pt>
                <c:pt idx="5138">
                  <c:v>231.51</c:v>
                </c:pt>
                <c:pt idx="5139">
                  <c:v>231.5</c:v>
                </c:pt>
                <c:pt idx="5140">
                  <c:v>231.51</c:v>
                </c:pt>
                <c:pt idx="5141">
                  <c:v>231.51</c:v>
                </c:pt>
                <c:pt idx="5142">
                  <c:v>231.52</c:v>
                </c:pt>
                <c:pt idx="5143">
                  <c:v>232.32</c:v>
                </c:pt>
                <c:pt idx="5144">
                  <c:v>234.46</c:v>
                </c:pt>
                <c:pt idx="5145">
                  <c:v>234.52</c:v>
                </c:pt>
                <c:pt idx="5146">
                  <c:v>234.66</c:v>
                </c:pt>
                <c:pt idx="5147">
                  <c:v>234.7</c:v>
                </c:pt>
                <c:pt idx="5148">
                  <c:v>234.65</c:v>
                </c:pt>
                <c:pt idx="5149">
                  <c:v>234.66</c:v>
                </c:pt>
                <c:pt idx="5150">
                  <c:v>234.62</c:v>
                </c:pt>
                <c:pt idx="5151">
                  <c:v>234.58</c:v>
                </c:pt>
                <c:pt idx="5152">
                  <c:v>234.61</c:v>
                </c:pt>
                <c:pt idx="5153">
                  <c:v>236.27</c:v>
                </c:pt>
                <c:pt idx="5154">
                  <c:v>238.8</c:v>
                </c:pt>
                <c:pt idx="5155">
                  <c:v>238.54</c:v>
                </c:pt>
                <c:pt idx="5156">
                  <c:v>237.87</c:v>
                </c:pt>
                <c:pt idx="5157">
                  <c:v>236.58</c:v>
                </c:pt>
                <c:pt idx="5158">
                  <c:v>234.44</c:v>
                </c:pt>
                <c:pt idx="5159">
                  <c:v>233.86</c:v>
                </c:pt>
                <c:pt idx="5160">
                  <c:v>231.35</c:v>
                </c:pt>
                <c:pt idx="5161">
                  <c:v>231.35</c:v>
                </c:pt>
                <c:pt idx="5162">
                  <c:v>231.35</c:v>
                </c:pt>
                <c:pt idx="5163">
                  <c:v>231.35</c:v>
                </c:pt>
                <c:pt idx="5164">
                  <c:v>231.35</c:v>
                </c:pt>
                <c:pt idx="5165">
                  <c:v>231.35</c:v>
                </c:pt>
                <c:pt idx="5166">
                  <c:v>231.35</c:v>
                </c:pt>
                <c:pt idx="5167">
                  <c:v>231.35</c:v>
                </c:pt>
                <c:pt idx="5168">
                  <c:v>231.35</c:v>
                </c:pt>
                <c:pt idx="5169">
                  <c:v>231.35</c:v>
                </c:pt>
                <c:pt idx="5170">
                  <c:v>231.35</c:v>
                </c:pt>
                <c:pt idx="5171">
                  <c:v>231.35</c:v>
                </c:pt>
                <c:pt idx="5172">
                  <c:v>231.35</c:v>
                </c:pt>
                <c:pt idx="5173">
                  <c:v>231.35</c:v>
                </c:pt>
                <c:pt idx="5174">
                  <c:v>231.35</c:v>
                </c:pt>
                <c:pt idx="5175">
                  <c:v>231.35</c:v>
                </c:pt>
                <c:pt idx="5176">
                  <c:v>231.35</c:v>
                </c:pt>
                <c:pt idx="5177">
                  <c:v>237.07</c:v>
                </c:pt>
                <c:pt idx="5178">
                  <c:v>237.07</c:v>
                </c:pt>
                <c:pt idx="5179">
                  <c:v>237.07</c:v>
                </c:pt>
                <c:pt idx="5180">
                  <c:v>237.07</c:v>
                </c:pt>
                <c:pt idx="5181">
                  <c:v>233.77</c:v>
                </c:pt>
                <c:pt idx="5182">
                  <c:v>233.77</c:v>
                </c:pt>
                <c:pt idx="5183">
                  <c:v>233.77</c:v>
                </c:pt>
                <c:pt idx="5184">
                  <c:v>228.42</c:v>
                </c:pt>
                <c:pt idx="5185">
                  <c:v>225.19</c:v>
                </c:pt>
                <c:pt idx="5186">
                  <c:v>224.5</c:v>
                </c:pt>
                <c:pt idx="5187">
                  <c:v>224.5</c:v>
                </c:pt>
                <c:pt idx="5188">
                  <c:v>224.92</c:v>
                </c:pt>
                <c:pt idx="5189">
                  <c:v>230.54</c:v>
                </c:pt>
                <c:pt idx="5190">
                  <c:v>235.6</c:v>
                </c:pt>
                <c:pt idx="5191">
                  <c:v>238.28</c:v>
                </c:pt>
                <c:pt idx="5192">
                  <c:v>239.3</c:v>
                </c:pt>
                <c:pt idx="5193">
                  <c:v>239.72</c:v>
                </c:pt>
                <c:pt idx="5194">
                  <c:v>240.3</c:v>
                </c:pt>
                <c:pt idx="5195">
                  <c:v>240.37</c:v>
                </c:pt>
                <c:pt idx="5196">
                  <c:v>240.01</c:v>
                </c:pt>
                <c:pt idx="5197">
                  <c:v>240.46</c:v>
                </c:pt>
                <c:pt idx="5198">
                  <c:v>240.63</c:v>
                </c:pt>
                <c:pt idx="5199">
                  <c:v>240.72</c:v>
                </c:pt>
                <c:pt idx="5200">
                  <c:v>240.74</c:v>
                </c:pt>
                <c:pt idx="5201">
                  <c:v>240.79</c:v>
                </c:pt>
                <c:pt idx="5202">
                  <c:v>241.42</c:v>
                </c:pt>
                <c:pt idx="5203">
                  <c:v>241.06</c:v>
                </c:pt>
                <c:pt idx="5204">
                  <c:v>240.89</c:v>
                </c:pt>
                <c:pt idx="5205">
                  <c:v>240.79</c:v>
                </c:pt>
                <c:pt idx="5206">
                  <c:v>240.22</c:v>
                </c:pt>
                <c:pt idx="5207">
                  <c:v>238.8</c:v>
                </c:pt>
                <c:pt idx="5208">
                  <c:v>235.34</c:v>
                </c:pt>
                <c:pt idx="5209">
                  <c:v>235.34</c:v>
                </c:pt>
                <c:pt idx="5210">
                  <c:v>235.34</c:v>
                </c:pt>
                <c:pt idx="5211">
                  <c:v>235.34</c:v>
                </c:pt>
                <c:pt idx="5212">
                  <c:v>235.34</c:v>
                </c:pt>
                <c:pt idx="5213">
                  <c:v>235.34</c:v>
                </c:pt>
                <c:pt idx="5214">
                  <c:v>235.34</c:v>
                </c:pt>
                <c:pt idx="5215">
                  <c:v>239.45</c:v>
                </c:pt>
                <c:pt idx="5216">
                  <c:v>239.45</c:v>
                </c:pt>
                <c:pt idx="5217">
                  <c:v>239.45</c:v>
                </c:pt>
                <c:pt idx="5218">
                  <c:v>240.54</c:v>
                </c:pt>
                <c:pt idx="5219">
                  <c:v>240.54</c:v>
                </c:pt>
                <c:pt idx="5220">
                  <c:v>240.54</c:v>
                </c:pt>
                <c:pt idx="5221">
                  <c:v>240.54</c:v>
                </c:pt>
                <c:pt idx="5222">
                  <c:v>240.54</c:v>
                </c:pt>
                <c:pt idx="5223">
                  <c:v>240.54</c:v>
                </c:pt>
                <c:pt idx="5224">
                  <c:v>240.54</c:v>
                </c:pt>
                <c:pt idx="5225">
                  <c:v>240.54</c:v>
                </c:pt>
                <c:pt idx="5226">
                  <c:v>240.54</c:v>
                </c:pt>
                <c:pt idx="5227">
                  <c:v>240.54</c:v>
                </c:pt>
                <c:pt idx="5228">
                  <c:v>240.54</c:v>
                </c:pt>
                <c:pt idx="5229">
                  <c:v>240.06</c:v>
                </c:pt>
                <c:pt idx="5230">
                  <c:v>240.06</c:v>
                </c:pt>
                <c:pt idx="5231">
                  <c:v>240.06</c:v>
                </c:pt>
                <c:pt idx="5232">
                  <c:v>236.64</c:v>
                </c:pt>
                <c:pt idx="5233">
                  <c:v>235.89</c:v>
                </c:pt>
                <c:pt idx="5234">
                  <c:v>233.97</c:v>
                </c:pt>
                <c:pt idx="5235">
                  <c:v>233.91</c:v>
                </c:pt>
                <c:pt idx="5236">
                  <c:v>234.08</c:v>
                </c:pt>
                <c:pt idx="5237">
                  <c:v>236.63</c:v>
                </c:pt>
                <c:pt idx="5238">
                  <c:v>237.8</c:v>
                </c:pt>
                <c:pt idx="5239">
                  <c:v>238.76</c:v>
                </c:pt>
                <c:pt idx="5240">
                  <c:v>240.12</c:v>
                </c:pt>
                <c:pt idx="5241">
                  <c:v>240.81</c:v>
                </c:pt>
                <c:pt idx="5242">
                  <c:v>241.35</c:v>
                </c:pt>
                <c:pt idx="5243">
                  <c:v>241.42</c:v>
                </c:pt>
                <c:pt idx="5244">
                  <c:v>241.08</c:v>
                </c:pt>
                <c:pt idx="5245">
                  <c:v>241.48</c:v>
                </c:pt>
                <c:pt idx="5246">
                  <c:v>241.56</c:v>
                </c:pt>
                <c:pt idx="5247">
                  <c:v>241.6</c:v>
                </c:pt>
                <c:pt idx="5248">
                  <c:v>241.65</c:v>
                </c:pt>
                <c:pt idx="5249">
                  <c:v>241.64</c:v>
                </c:pt>
                <c:pt idx="5250">
                  <c:v>244.32</c:v>
                </c:pt>
                <c:pt idx="5251">
                  <c:v>243.49</c:v>
                </c:pt>
                <c:pt idx="5252">
                  <c:v>241.91</c:v>
                </c:pt>
                <c:pt idx="5253">
                  <c:v>241.48</c:v>
                </c:pt>
                <c:pt idx="5254">
                  <c:v>240.42</c:v>
                </c:pt>
                <c:pt idx="5255">
                  <c:v>238.61</c:v>
                </c:pt>
                <c:pt idx="5256">
                  <c:v>235.67</c:v>
                </c:pt>
                <c:pt idx="5257">
                  <c:v>234.17</c:v>
                </c:pt>
                <c:pt idx="5258">
                  <c:v>233.61</c:v>
                </c:pt>
                <c:pt idx="5259">
                  <c:v>233.64</c:v>
                </c:pt>
                <c:pt idx="5260">
                  <c:v>233.78</c:v>
                </c:pt>
                <c:pt idx="5261">
                  <c:v>235.03</c:v>
                </c:pt>
                <c:pt idx="5262">
                  <c:v>236.91</c:v>
                </c:pt>
                <c:pt idx="5263">
                  <c:v>237.83</c:v>
                </c:pt>
                <c:pt idx="5264">
                  <c:v>239.6</c:v>
                </c:pt>
                <c:pt idx="5265">
                  <c:v>240.7</c:v>
                </c:pt>
                <c:pt idx="5266">
                  <c:v>241.59</c:v>
                </c:pt>
                <c:pt idx="5267">
                  <c:v>241.64</c:v>
                </c:pt>
                <c:pt idx="5268">
                  <c:v>241.35</c:v>
                </c:pt>
                <c:pt idx="5269">
                  <c:v>241.68</c:v>
                </c:pt>
                <c:pt idx="5270">
                  <c:v>242.34</c:v>
                </c:pt>
                <c:pt idx="5271">
                  <c:v>242.68</c:v>
                </c:pt>
                <c:pt idx="5272">
                  <c:v>242.73</c:v>
                </c:pt>
                <c:pt idx="5273">
                  <c:v>242.33</c:v>
                </c:pt>
                <c:pt idx="5274">
                  <c:v>245.12</c:v>
                </c:pt>
                <c:pt idx="5275">
                  <c:v>243.76</c:v>
                </c:pt>
                <c:pt idx="5276">
                  <c:v>242.78</c:v>
                </c:pt>
                <c:pt idx="5277">
                  <c:v>242.32</c:v>
                </c:pt>
                <c:pt idx="5278">
                  <c:v>241.15</c:v>
                </c:pt>
                <c:pt idx="5279">
                  <c:v>238.4</c:v>
                </c:pt>
                <c:pt idx="5280">
                  <c:v>239.16</c:v>
                </c:pt>
                <c:pt idx="5281">
                  <c:v>239.16</c:v>
                </c:pt>
                <c:pt idx="5282">
                  <c:v>239.16</c:v>
                </c:pt>
                <c:pt idx="5283">
                  <c:v>239.16</c:v>
                </c:pt>
                <c:pt idx="5284">
                  <c:v>239.16</c:v>
                </c:pt>
                <c:pt idx="5285">
                  <c:v>239.16</c:v>
                </c:pt>
                <c:pt idx="5286">
                  <c:v>239.16</c:v>
                </c:pt>
                <c:pt idx="5287">
                  <c:v>242.31</c:v>
                </c:pt>
                <c:pt idx="5288">
                  <c:v>242.31</c:v>
                </c:pt>
                <c:pt idx="5289">
                  <c:v>242.31</c:v>
                </c:pt>
                <c:pt idx="5290">
                  <c:v>244.86</c:v>
                </c:pt>
                <c:pt idx="5291">
                  <c:v>244.86</c:v>
                </c:pt>
                <c:pt idx="5292">
                  <c:v>244.86</c:v>
                </c:pt>
                <c:pt idx="5293">
                  <c:v>244.86</c:v>
                </c:pt>
                <c:pt idx="5294">
                  <c:v>244.86</c:v>
                </c:pt>
                <c:pt idx="5295">
                  <c:v>244.86</c:v>
                </c:pt>
                <c:pt idx="5296">
                  <c:v>244.86</c:v>
                </c:pt>
                <c:pt idx="5297">
                  <c:v>244.86</c:v>
                </c:pt>
                <c:pt idx="5298">
                  <c:v>244.86</c:v>
                </c:pt>
                <c:pt idx="5299">
                  <c:v>244.86</c:v>
                </c:pt>
                <c:pt idx="5300">
                  <c:v>244.86</c:v>
                </c:pt>
                <c:pt idx="5301">
                  <c:v>244.86</c:v>
                </c:pt>
                <c:pt idx="5302">
                  <c:v>242.21</c:v>
                </c:pt>
                <c:pt idx="5303">
                  <c:v>242.21</c:v>
                </c:pt>
                <c:pt idx="5304">
                  <c:v>231.32</c:v>
                </c:pt>
                <c:pt idx="5305">
                  <c:v>230.08</c:v>
                </c:pt>
                <c:pt idx="5306">
                  <c:v>229.12</c:v>
                </c:pt>
                <c:pt idx="5307">
                  <c:v>228.96</c:v>
                </c:pt>
                <c:pt idx="5308">
                  <c:v>228.97</c:v>
                </c:pt>
                <c:pt idx="5309">
                  <c:v>228.98</c:v>
                </c:pt>
                <c:pt idx="5310">
                  <c:v>229</c:v>
                </c:pt>
                <c:pt idx="5311">
                  <c:v>229.5</c:v>
                </c:pt>
                <c:pt idx="5312">
                  <c:v>231.02</c:v>
                </c:pt>
                <c:pt idx="5313">
                  <c:v>231.13</c:v>
                </c:pt>
                <c:pt idx="5314">
                  <c:v>231.41</c:v>
                </c:pt>
                <c:pt idx="5315">
                  <c:v>232.04</c:v>
                </c:pt>
                <c:pt idx="5316">
                  <c:v>232.04</c:v>
                </c:pt>
                <c:pt idx="5317">
                  <c:v>232.11</c:v>
                </c:pt>
                <c:pt idx="5318">
                  <c:v>232.38</c:v>
                </c:pt>
                <c:pt idx="5319">
                  <c:v>232.8</c:v>
                </c:pt>
                <c:pt idx="5320">
                  <c:v>232.9</c:v>
                </c:pt>
                <c:pt idx="5321">
                  <c:v>234.12</c:v>
                </c:pt>
                <c:pt idx="5322">
                  <c:v>237.44</c:v>
                </c:pt>
                <c:pt idx="5323">
                  <c:v>236.56</c:v>
                </c:pt>
                <c:pt idx="5324">
                  <c:v>234.57</c:v>
                </c:pt>
                <c:pt idx="5325">
                  <c:v>233.8</c:v>
                </c:pt>
                <c:pt idx="5326">
                  <c:v>232.96</c:v>
                </c:pt>
                <c:pt idx="5327">
                  <c:v>231.18</c:v>
                </c:pt>
                <c:pt idx="5328">
                  <c:v>232.21</c:v>
                </c:pt>
                <c:pt idx="5329">
                  <c:v>231.96</c:v>
                </c:pt>
                <c:pt idx="5330">
                  <c:v>231.18</c:v>
                </c:pt>
                <c:pt idx="5331">
                  <c:v>230.55</c:v>
                </c:pt>
                <c:pt idx="5332">
                  <c:v>230.47</c:v>
                </c:pt>
                <c:pt idx="5333">
                  <c:v>230.38</c:v>
                </c:pt>
                <c:pt idx="5334">
                  <c:v>230.31</c:v>
                </c:pt>
                <c:pt idx="5335">
                  <c:v>230.31</c:v>
                </c:pt>
                <c:pt idx="5336">
                  <c:v>230.31</c:v>
                </c:pt>
                <c:pt idx="5337">
                  <c:v>230.31</c:v>
                </c:pt>
                <c:pt idx="5338">
                  <c:v>230.3</c:v>
                </c:pt>
                <c:pt idx="5339">
                  <c:v>230.28</c:v>
                </c:pt>
                <c:pt idx="5340">
                  <c:v>230.28</c:v>
                </c:pt>
                <c:pt idx="5341">
                  <c:v>230.28</c:v>
                </c:pt>
                <c:pt idx="5342">
                  <c:v>230.28</c:v>
                </c:pt>
                <c:pt idx="5343">
                  <c:v>230.28</c:v>
                </c:pt>
                <c:pt idx="5344">
                  <c:v>230.32</c:v>
                </c:pt>
                <c:pt idx="5345">
                  <c:v>230.53</c:v>
                </c:pt>
                <c:pt idx="5346">
                  <c:v>230.91</c:v>
                </c:pt>
                <c:pt idx="5347">
                  <c:v>231.18</c:v>
                </c:pt>
                <c:pt idx="5348">
                  <c:v>232.03</c:v>
                </c:pt>
                <c:pt idx="5349">
                  <c:v>232.13</c:v>
                </c:pt>
                <c:pt idx="5350">
                  <c:v>232.26</c:v>
                </c:pt>
                <c:pt idx="5351">
                  <c:v>232.27</c:v>
                </c:pt>
                <c:pt idx="5352">
                  <c:v>229.36</c:v>
                </c:pt>
                <c:pt idx="5353">
                  <c:v>227.69</c:v>
                </c:pt>
                <c:pt idx="5354">
                  <c:v>227.7</c:v>
                </c:pt>
                <c:pt idx="5355">
                  <c:v>227.7</c:v>
                </c:pt>
                <c:pt idx="5356">
                  <c:v>228.02</c:v>
                </c:pt>
                <c:pt idx="5357">
                  <c:v>230.57</c:v>
                </c:pt>
                <c:pt idx="5358">
                  <c:v>233.44</c:v>
                </c:pt>
                <c:pt idx="5359">
                  <c:v>235.73</c:v>
                </c:pt>
                <c:pt idx="5360">
                  <c:v>237.8</c:v>
                </c:pt>
                <c:pt idx="5361">
                  <c:v>238.04</c:v>
                </c:pt>
                <c:pt idx="5362">
                  <c:v>238.56</c:v>
                </c:pt>
                <c:pt idx="5363">
                  <c:v>238.85</c:v>
                </c:pt>
                <c:pt idx="5364">
                  <c:v>238.26</c:v>
                </c:pt>
                <c:pt idx="5365">
                  <c:v>238.74</c:v>
                </c:pt>
                <c:pt idx="5366">
                  <c:v>239.37</c:v>
                </c:pt>
                <c:pt idx="5367">
                  <c:v>239.66</c:v>
                </c:pt>
                <c:pt idx="5368">
                  <c:v>239.8</c:v>
                </c:pt>
                <c:pt idx="5369">
                  <c:v>239.71</c:v>
                </c:pt>
                <c:pt idx="5370">
                  <c:v>240.66</c:v>
                </c:pt>
                <c:pt idx="5371">
                  <c:v>240.26</c:v>
                </c:pt>
                <c:pt idx="5372">
                  <c:v>239.62</c:v>
                </c:pt>
                <c:pt idx="5373">
                  <c:v>239.46</c:v>
                </c:pt>
                <c:pt idx="5374">
                  <c:v>238.02</c:v>
                </c:pt>
                <c:pt idx="5375">
                  <c:v>236.42</c:v>
                </c:pt>
                <c:pt idx="5376">
                  <c:v>232.85</c:v>
                </c:pt>
                <c:pt idx="5377">
                  <c:v>231.98</c:v>
                </c:pt>
                <c:pt idx="5378">
                  <c:v>231.87</c:v>
                </c:pt>
                <c:pt idx="5379">
                  <c:v>231.87</c:v>
                </c:pt>
                <c:pt idx="5380">
                  <c:v>231.96</c:v>
                </c:pt>
                <c:pt idx="5381">
                  <c:v>232.41</c:v>
                </c:pt>
                <c:pt idx="5382">
                  <c:v>234.34</c:v>
                </c:pt>
                <c:pt idx="5383">
                  <c:v>236.82</c:v>
                </c:pt>
                <c:pt idx="5384">
                  <c:v>238.36</c:v>
                </c:pt>
                <c:pt idx="5385">
                  <c:v>239.75</c:v>
                </c:pt>
                <c:pt idx="5386">
                  <c:v>241</c:v>
                </c:pt>
                <c:pt idx="5387">
                  <c:v>240.99</c:v>
                </c:pt>
                <c:pt idx="5388">
                  <c:v>240.86</c:v>
                </c:pt>
                <c:pt idx="5389">
                  <c:v>240.9</c:v>
                </c:pt>
                <c:pt idx="5390">
                  <c:v>240.99</c:v>
                </c:pt>
                <c:pt idx="5391">
                  <c:v>240.97</c:v>
                </c:pt>
                <c:pt idx="5392">
                  <c:v>240.8</c:v>
                </c:pt>
                <c:pt idx="5393">
                  <c:v>240.74</c:v>
                </c:pt>
                <c:pt idx="5394">
                  <c:v>241.64</c:v>
                </c:pt>
                <c:pt idx="5395">
                  <c:v>240.96</c:v>
                </c:pt>
                <c:pt idx="5396">
                  <c:v>240.61</c:v>
                </c:pt>
                <c:pt idx="5397">
                  <c:v>240.54</c:v>
                </c:pt>
                <c:pt idx="5398">
                  <c:v>239.75</c:v>
                </c:pt>
                <c:pt idx="5399">
                  <c:v>237.72</c:v>
                </c:pt>
                <c:pt idx="5400">
                  <c:v>232.92</c:v>
                </c:pt>
                <c:pt idx="5401">
                  <c:v>231.84</c:v>
                </c:pt>
                <c:pt idx="5402">
                  <c:v>231.4</c:v>
                </c:pt>
                <c:pt idx="5403">
                  <c:v>231.4</c:v>
                </c:pt>
                <c:pt idx="5404">
                  <c:v>231.56</c:v>
                </c:pt>
                <c:pt idx="5405">
                  <c:v>232.14</c:v>
                </c:pt>
                <c:pt idx="5406">
                  <c:v>234.78</c:v>
                </c:pt>
                <c:pt idx="5407">
                  <c:v>236.24</c:v>
                </c:pt>
                <c:pt idx="5408">
                  <c:v>236.95</c:v>
                </c:pt>
                <c:pt idx="5409">
                  <c:v>237.46</c:v>
                </c:pt>
                <c:pt idx="5410">
                  <c:v>238.1</c:v>
                </c:pt>
                <c:pt idx="5411">
                  <c:v>238.14</c:v>
                </c:pt>
                <c:pt idx="5412">
                  <c:v>237.9</c:v>
                </c:pt>
                <c:pt idx="5413">
                  <c:v>238.06</c:v>
                </c:pt>
                <c:pt idx="5414">
                  <c:v>238.03</c:v>
                </c:pt>
                <c:pt idx="5415">
                  <c:v>238.02</c:v>
                </c:pt>
                <c:pt idx="5416">
                  <c:v>237.94</c:v>
                </c:pt>
                <c:pt idx="5417">
                  <c:v>237.92</c:v>
                </c:pt>
                <c:pt idx="5418">
                  <c:v>239.28</c:v>
                </c:pt>
                <c:pt idx="5419">
                  <c:v>238.52</c:v>
                </c:pt>
                <c:pt idx="5420">
                  <c:v>237.87</c:v>
                </c:pt>
                <c:pt idx="5421">
                  <c:v>237.74</c:v>
                </c:pt>
                <c:pt idx="5422">
                  <c:v>237.34</c:v>
                </c:pt>
                <c:pt idx="5423">
                  <c:v>236</c:v>
                </c:pt>
                <c:pt idx="5424">
                  <c:v>231.83</c:v>
                </c:pt>
                <c:pt idx="5425">
                  <c:v>230.73</c:v>
                </c:pt>
                <c:pt idx="5426">
                  <c:v>229.3</c:v>
                </c:pt>
                <c:pt idx="5427">
                  <c:v>229.08</c:v>
                </c:pt>
                <c:pt idx="5428">
                  <c:v>229.2</c:v>
                </c:pt>
                <c:pt idx="5429">
                  <c:v>230.83</c:v>
                </c:pt>
                <c:pt idx="5430">
                  <c:v>233.21</c:v>
                </c:pt>
                <c:pt idx="5431">
                  <c:v>235</c:v>
                </c:pt>
                <c:pt idx="5432">
                  <c:v>236.76</c:v>
                </c:pt>
                <c:pt idx="5433">
                  <c:v>237.16</c:v>
                </c:pt>
                <c:pt idx="5434">
                  <c:v>237.25</c:v>
                </c:pt>
                <c:pt idx="5435">
                  <c:v>237.21</c:v>
                </c:pt>
                <c:pt idx="5436">
                  <c:v>237.14</c:v>
                </c:pt>
                <c:pt idx="5437">
                  <c:v>237.13</c:v>
                </c:pt>
                <c:pt idx="5438">
                  <c:v>237.1</c:v>
                </c:pt>
                <c:pt idx="5439">
                  <c:v>237.22</c:v>
                </c:pt>
                <c:pt idx="5440">
                  <c:v>237.36</c:v>
                </c:pt>
                <c:pt idx="5441">
                  <c:v>237.2</c:v>
                </c:pt>
                <c:pt idx="5442">
                  <c:v>239.26</c:v>
                </c:pt>
                <c:pt idx="5443">
                  <c:v>238.76</c:v>
                </c:pt>
                <c:pt idx="5444">
                  <c:v>238.01</c:v>
                </c:pt>
                <c:pt idx="5445">
                  <c:v>237.64</c:v>
                </c:pt>
                <c:pt idx="5446">
                  <c:v>236.75</c:v>
                </c:pt>
                <c:pt idx="5447">
                  <c:v>235.58</c:v>
                </c:pt>
                <c:pt idx="5448">
                  <c:v>230.94</c:v>
                </c:pt>
                <c:pt idx="5449">
                  <c:v>229.38</c:v>
                </c:pt>
                <c:pt idx="5450">
                  <c:v>228.98</c:v>
                </c:pt>
                <c:pt idx="5451">
                  <c:v>228.86</c:v>
                </c:pt>
                <c:pt idx="5452">
                  <c:v>228.95</c:v>
                </c:pt>
                <c:pt idx="5453">
                  <c:v>229.79</c:v>
                </c:pt>
                <c:pt idx="5454">
                  <c:v>232.57</c:v>
                </c:pt>
                <c:pt idx="5455">
                  <c:v>234.13</c:v>
                </c:pt>
                <c:pt idx="5456">
                  <c:v>235.2</c:v>
                </c:pt>
                <c:pt idx="5457">
                  <c:v>235.84</c:v>
                </c:pt>
                <c:pt idx="5458">
                  <c:v>237.05</c:v>
                </c:pt>
                <c:pt idx="5459">
                  <c:v>237.1</c:v>
                </c:pt>
                <c:pt idx="5460">
                  <c:v>235.93</c:v>
                </c:pt>
                <c:pt idx="5461">
                  <c:v>236.66</c:v>
                </c:pt>
                <c:pt idx="5462">
                  <c:v>237.24</c:v>
                </c:pt>
                <c:pt idx="5463">
                  <c:v>237.12</c:v>
                </c:pt>
                <c:pt idx="5464">
                  <c:v>236.92</c:v>
                </c:pt>
                <c:pt idx="5465">
                  <c:v>237.09</c:v>
                </c:pt>
                <c:pt idx="5466">
                  <c:v>239.44</c:v>
                </c:pt>
                <c:pt idx="5467">
                  <c:v>238.57</c:v>
                </c:pt>
                <c:pt idx="5468">
                  <c:v>236.84</c:v>
                </c:pt>
                <c:pt idx="5469">
                  <c:v>236.26</c:v>
                </c:pt>
                <c:pt idx="5470">
                  <c:v>235.52</c:v>
                </c:pt>
                <c:pt idx="5471">
                  <c:v>232.82</c:v>
                </c:pt>
                <c:pt idx="5472">
                  <c:v>238.8</c:v>
                </c:pt>
                <c:pt idx="5473">
                  <c:v>237.34</c:v>
                </c:pt>
                <c:pt idx="5474">
                  <c:v>236</c:v>
                </c:pt>
                <c:pt idx="5475">
                  <c:v>235.9</c:v>
                </c:pt>
                <c:pt idx="5476">
                  <c:v>235.9</c:v>
                </c:pt>
                <c:pt idx="5477">
                  <c:v>235.96</c:v>
                </c:pt>
                <c:pt idx="5478">
                  <c:v>237.08</c:v>
                </c:pt>
                <c:pt idx="5479">
                  <c:v>237.6</c:v>
                </c:pt>
                <c:pt idx="5480">
                  <c:v>239.79</c:v>
                </c:pt>
                <c:pt idx="5481">
                  <c:v>240.47</c:v>
                </c:pt>
                <c:pt idx="5482">
                  <c:v>240.48</c:v>
                </c:pt>
                <c:pt idx="5483">
                  <c:v>240.44</c:v>
                </c:pt>
                <c:pt idx="5484">
                  <c:v>240.4</c:v>
                </c:pt>
                <c:pt idx="5485">
                  <c:v>240.41</c:v>
                </c:pt>
                <c:pt idx="5486">
                  <c:v>240.43</c:v>
                </c:pt>
                <c:pt idx="5487">
                  <c:v>240.55</c:v>
                </c:pt>
                <c:pt idx="5488">
                  <c:v>240.68</c:v>
                </c:pt>
                <c:pt idx="5489">
                  <c:v>241.66</c:v>
                </c:pt>
                <c:pt idx="5490">
                  <c:v>245.72</c:v>
                </c:pt>
                <c:pt idx="5491">
                  <c:v>245.38</c:v>
                </c:pt>
                <c:pt idx="5492">
                  <c:v>243.85</c:v>
                </c:pt>
                <c:pt idx="5493">
                  <c:v>242.1</c:v>
                </c:pt>
                <c:pt idx="5494">
                  <c:v>241.01</c:v>
                </c:pt>
                <c:pt idx="5495">
                  <c:v>240.02</c:v>
                </c:pt>
                <c:pt idx="5496">
                  <c:v>232.35</c:v>
                </c:pt>
                <c:pt idx="5497">
                  <c:v>231.45</c:v>
                </c:pt>
                <c:pt idx="5498">
                  <c:v>230.76</c:v>
                </c:pt>
                <c:pt idx="5499">
                  <c:v>230.72</c:v>
                </c:pt>
                <c:pt idx="5500">
                  <c:v>230.72</c:v>
                </c:pt>
                <c:pt idx="5501">
                  <c:v>230.72</c:v>
                </c:pt>
                <c:pt idx="5502">
                  <c:v>230.41</c:v>
                </c:pt>
                <c:pt idx="5503">
                  <c:v>229.68</c:v>
                </c:pt>
                <c:pt idx="5504">
                  <c:v>231.36</c:v>
                </c:pt>
                <c:pt idx="5505">
                  <c:v>233.7</c:v>
                </c:pt>
                <c:pt idx="5506">
                  <c:v>233.9</c:v>
                </c:pt>
                <c:pt idx="5507">
                  <c:v>235.41</c:v>
                </c:pt>
                <c:pt idx="5508">
                  <c:v>235.52</c:v>
                </c:pt>
                <c:pt idx="5509">
                  <c:v>237.09</c:v>
                </c:pt>
                <c:pt idx="5510">
                  <c:v>237.09</c:v>
                </c:pt>
                <c:pt idx="5511">
                  <c:v>237.1</c:v>
                </c:pt>
                <c:pt idx="5512">
                  <c:v>239.22</c:v>
                </c:pt>
                <c:pt idx="5513">
                  <c:v>239.82</c:v>
                </c:pt>
                <c:pt idx="5514">
                  <c:v>243.72</c:v>
                </c:pt>
                <c:pt idx="5515">
                  <c:v>242.9</c:v>
                </c:pt>
                <c:pt idx="5516">
                  <c:v>240.96</c:v>
                </c:pt>
                <c:pt idx="5517">
                  <c:v>240.54</c:v>
                </c:pt>
                <c:pt idx="5518">
                  <c:v>239.94</c:v>
                </c:pt>
                <c:pt idx="5519">
                  <c:v>239.18</c:v>
                </c:pt>
                <c:pt idx="5520">
                  <c:v>236.13</c:v>
                </c:pt>
                <c:pt idx="5521">
                  <c:v>236</c:v>
                </c:pt>
                <c:pt idx="5522">
                  <c:v>236.4</c:v>
                </c:pt>
                <c:pt idx="5523">
                  <c:v>236.66</c:v>
                </c:pt>
                <c:pt idx="5524">
                  <c:v>237.7</c:v>
                </c:pt>
                <c:pt idx="5525">
                  <c:v>239.58</c:v>
                </c:pt>
                <c:pt idx="5526">
                  <c:v>242.23</c:v>
                </c:pt>
                <c:pt idx="5527">
                  <c:v>243.52</c:v>
                </c:pt>
                <c:pt idx="5528">
                  <c:v>246.22</c:v>
                </c:pt>
                <c:pt idx="5529">
                  <c:v>246.9</c:v>
                </c:pt>
                <c:pt idx="5530">
                  <c:v>248.26</c:v>
                </c:pt>
                <c:pt idx="5531">
                  <c:v>248.64</c:v>
                </c:pt>
                <c:pt idx="5532">
                  <c:v>248.43</c:v>
                </c:pt>
                <c:pt idx="5533">
                  <c:v>249.34</c:v>
                </c:pt>
                <c:pt idx="5534">
                  <c:v>249.71</c:v>
                </c:pt>
                <c:pt idx="5535">
                  <c:v>249.71</c:v>
                </c:pt>
                <c:pt idx="5536">
                  <c:v>249.14</c:v>
                </c:pt>
                <c:pt idx="5537">
                  <c:v>248.92</c:v>
                </c:pt>
                <c:pt idx="5538">
                  <c:v>249.6</c:v>
                </c:pt>
                <c:pt idx="5539">
                  <c:v>249.44</c:v>
                </c:pt>
                <c:pt idx="5540">
                  <c:v>248.77</c:v>
                </c:pt>
                <c:pt idx="5541">
                  <c:v>248.62</c:v>
                </c:pt>
                <c:pt idx="5542">
                  <c:v>247.97</c:v>
                </c:pt>
                <c:pt idx="5543">
                  <c:v>246</c:v>
                </c:pt>
                <c:pt idx="5544">
                  <c:v>240.59</c:v>
                </c:pt>
                <c:pt idx="5545">
                  <c:v>240.21</c:v>
                </c:pt>
                <c:pt idx="5546">
                  <c:v>240.1</c:v>
                </c:pt>
                <c:pt idx="5547">
                  <c:v>240.36</c:v>
                </c:pt>
                <c:pt idx="5548">
                  <c:v>240.46</c:v>
                </c:pt>
                <c:pt idx="5549">
                  <c:v>240.88</c:v>
                </c:pt>
                <c:pt idx="5550">
                  <c:v>244.72</c:v>
                </c:pt>
                <c:pt idx="5551">
                  <c:v>245.62</c:v>
                </c:pt>
                <c:pt idx="5552">
                  <c:v>246.19</c:v>
                </c:pt>
                <c:pt idx="5553">
                  <c:v>246.52</c:v>
                </c:pt>
                <c:pt idx="5554">
                  <c:v>246.92</c:v>
                </c:pt>
                <c:pt idx="5555">
                  <c:v>246.98</c:v>
                </c:pt>
                <c:pt idx="5556">
                  <c:v>246.9</c:v>
                </c:pt>
                <c:pt idx="5557">
                  <c:v>247.27</c:v>
                </c:pt>
                <c:pt idx="5558">
                  <c:v>247.27</c:v>
                </c:pt>
                <c:pt idx="5559">
                  <c:v>247.28</c:v>
                </c:pt>
                <c:pt idx="5560">
                  <c:v>247.17</c:v>
                </c:pt>
                <c:pt idx="5561">
                  <c:v>247.13</c:v>
                </c:pt>
                <c:pt idx="5562">
                  <c:v>248.07</c:v>
                </c:pt>
                <c:pt idx="5563">
                  <c:v>247.52</c:v>
                </c:pt>
                <c:pt idx="5564">
                  <c:v>247</c:v>
                </c:pt>
                <c:pt idx="5565">
                  <c:v>246.95</c:v>
                </c:pt>
                <c:pt idx="5566">
                  <c:v>246.53</c:v>
                </c:pt>
                <c:pt idx="5567">
                  <c:v>245.17</c:v>
                </c:pt>
                <c:pt idx="5568">
                  <c:v>240.94</c:v>
                </c:pt>
                <c:pt idx="5569">
                  <c:v>240.05</c:v>
                </c:pt>
                <c:pt idx="5570">
                  <c:v>239.86</c:v>
                </c:pt>
                <c:pt idx="5571">
                  <c:v>239.86</c:v>
                </c:pt>
                <c:pt idx="5572">
                  <c:v>239.84</c:v>
                </c:pt>
                <c:pt idx="5573">
                  <c:v>240.77</c:v>
                </c:pt>
                <c:pt idx="5574">
                  <c:v>241.56</c:v>
                </c:pt>
                <c:pt idx="5575">
                  <c:v>241.72</c:v>
                </c:pt>
                <c:pt idx="5576">
                  <c:v>243.96</c:v>
                </c:pt>
                <c:pt idx="5577">
                  <c:v>245.07</c:v>
                </c:pt>
                <c:pt idx="5578">
                  <c:v>245.9</c:v>
                </c:pt>
                <c:pt idx="5579">
                  <c:v>246.1</c:v>
                </c:pt>
                <c:pt idx="5580">
                  <c:v>245.93</c:v>
                </c:pt>
                <c:pt idx="5581">
                  <c:v>246.51</c:v>
                </c:pt>
                <c:pt idx="5582">
                  <c:v>247.27</c:v>
                </c:pt>
                <c:pt idx="5583">
                  <c:v>247.36</c:v>
                </c:pt>
                <c:pt idx="5584">
                  <c:v>247.26</c:v>
                </c:pt>
                <c:pt idx="5585">
                  <c:v>246.94</c:v>
                </c:pt>
                <c:pt idx="5586">
                  <c:v>249.06</c:v>
                </c:pt>
                <c:pt idx="5587">
                  <c:v>247.93</c:v>
                </c:pt>
                <c:pt idx="5588">
                  <c:v>246.73</c:v>
                </c:pt>
                <c:pt idx="5589">
                  <c:v>246.28</c:v>
                </c:pt>
                <c:pt idx="5590">
                  <c:v>245.17</c:v>
                </c:pt>
                <c:pt idx="5591">
                  <c:v>241.92</c:v>
                </c:pt>
                <c:pt idx="5592">
                  <c:v>241.48</c:v>
                </c:pt>
                <c:pt idx="5593">
                  <c:v>240.15</c:v>
                </c:pt>
                <c:pt idx="5594">
                  <c:v>239.42</c:v>
                </c:pt>
                <c:pt idx="5595">
                  <c:v>239.39</c:v>
                </c:pt>
                <c:pt idx="5596">
                  <c:v>239.73</c:v>
                </c:pt>
                <c:pt idx="5597">
                  <c:v>240.72</c:v>
                </c:pt>
                <c:pt idx="5598">
                  <c:v>242.96</c:v>
                </c:pt>
                <c:pt idx="5599">
                  <c:v>244.22</c:v>
                </c:pt>
                <c:pt idx="5600">
                  <c:v>246.67</c:v>
                </c:pt>
                <c:pt idx="5601">
                  <c:v>247.28</c:v>
                </c:pt>
                <c:pt idx="5602">
                  <c:v>248.01</c:v>
                </c:pt>
                <c:pt idx="5603">
                  <c:v>248.16</c:v>
                </c:pt>
                <c:pt idx="5604">
                  <c:v>247.73</c:v>
                </c:pt>
                <c:pt idx="5605">
                  <c:v>247.94</c:v>
                </c:pt>
                <c:pt idx="5606">
                  <c:v>248.48</c:v>
                </c:pt>
                <c:pt idx="5607">
                  <c:v>248.48</c:v>
                </c:pt>
                <c:pt idx="5608">
                  <c:v>248.33</c:v>
                </c:pt>
                <c:pt idx="5609">
                  <c:v>248.02</c:v>
                </c:pt>
                <c:pt idx="5610">
                  <c:v>249.74</c:v>
                </c:pt>
                <c:pt idx="5611">
                  <c:v>248.86</c:v>
                </c:pt>
                <c:pt idx="5612">
                  <c:v>248.15</c:v>
                </c:pt>
                <c:pt idx="5613">
                  <c:v>247.9</c:v>
                </c:pt>
                <c:pt idx="5614">
                  <c:v>246.65</c:v>
                </c:pt>
                <c:pt idx="5615">
                  <c:v>243.58</c:v>
                </c:pt>
                <c:pt idx="5616">
                  <c:v>240.7</c:v>
                </c:pt>
                <c:pt idx="5617">
                  <c:v>239.58</c:v>
                </c:pt>
                <c:pt idx="5618">
                  <c:v>239.1</c:v>
                </c:pt>
                <c:pt idx="5619">
                  <c:v>239.08</c:v>
                </c:pt>
                <c:pt idx="5620">
                  <c:v>239.32</c:v>
                </c:pt>
                <c:pt idx="5621">
                  <c:v>240.3</c:v>
                </c:pt>
                <c:pt idx="5622">
                  <c:v>242.28</c:v>
                </c:pt>
                <c:pt idx="5623">
                  <c:v>243.77</c:v>
                </c:pt>
                <c:pt idx="5624">
                  <c:v>246.2</c:v>
                </c:pt>
                <c:pt idx="5625">
                  <c:v>247.68</c:v>
                </c:pt>
                <c:pt idx="5626">
                  <c:v>248.12</c:v>
                </c:pt>
                <c:pt idx="5627">
                  <c:v>248.5</c:v>
                </c:pt>
                <c:pt idx="5628">
                  <c:v>248.02</c:v>
                </c:pt>
                <c:pt idx="5629">
                  <c:v>248.46</c:v>
                </c:pt>
                <c:pt idx="5630">
                  <c:v>248.98</c:v>
                </c:pt>
                <c:pt idx="5631">
                  <c:v>248.97</c:v>
                </c:pt>
                <c:pt idx="5632">
                  <c:v>248.76</c:v>
                </c:pt>
                <c:pt idx="5633">
                  <c:v>248.31</c:v>
                </c:pt>
                <c:pt idx="5634">
                  <c:v>249.87</c:v>
                </c:pt>
                <c:pt idx="5635">
                  <c:v>249.12</c:v>
                </c:pt>
                <c:pt idx="5636">
                  <c:v>248.24</c:v>
                </c:pt>
                <c:pt idx="5637">
                  <c:v>247.54</c:v>
                </c:pt>
                <c:pt idx="5638">
                  <c:v>245.86</c:v>
                </c:pt>
                <c:pt idx="5639">
                  <c:v>242.76</c:v>
                </c:pt>
                <c:pt idx="5640">
                  <c:v>248.11</c:v>
                </c:pt>
                <c:pt idx="5641">
                  <c:v>246.19</c:v>
                </c:pt>
                <c:pt idx="5642">
                  <c:v>245.68</c:v>
                </c:pt>
                <c:pt idx="5643">
                  <c:v>245.22</c:v>
                </c:pt>
                <c:pt idx="5644">
                  <c:v>245.46</c:v>
                </c:pt>
                <c:pt idx="5645">
                  <c:v>245.71</c:v>
                </c:pt>
                <c:pt idx="5646">
                  <c:v>246.2</c:v>
                </c:pt>
                <c:pt idx="5647">
                  <c:v>246.68</c:v>
                </c:pt>
                <c:pt idx="5648">
                  <c:v>250.2</c:v>
                </c:pt>
                <c:pt idx="5649">
                  <c:v>250.92</c:v>
                </c:pt>
                <c:pt idx="5650">
                  <c:v>251.77</c:v>
                </c:pt>
                <c:pt idx="5651">
                  <c:v>252.14</c:v>
                </c:pt>
                <c:pt idx="5652">
                  <c:v>251.4</c:v>
                </c:pt>
                <c:pt idx="5653">
                  <c:v>251.28</c:v>
                </c:pt>
                <c:pt idx="5654">
                  <c:v>251.24</c:v>
                </c:pt>
                <c:pt idx="5655">
                  <c:v>251.2</c:v>
                </c:pt>
                <c:pt idx="5656">
                  <c:v>251.4</c:v>
                </c:pt>
                <c:pt idx="5657">
                  <c:v>253.29</c:v>
                </c:pt>
                <c:pt idx="5658">
                  <c:v>254.46</c:v>
                </c:pt>
                <c:pt idx="5659">
                  <c:v>254.27</c:v>
                </c:pt>
                <c:pt idx="5660">
                  <c:v>253.82</c:v>
                </c:pt>
                <c:pt idx="5661">
                  <c:v>252.96</c:v>
                </c:pt>
                <c:pt idx="5662">
                  <c:v>250.36</c:v>
                </c:pt>
                <c:pt idx="5663">
                  <c:v>247.9</c:v>
                </c:pt>
                <c:pt idx="5664">
                  <c:v>242.25</c:v>
                </c:pt>
                <c:pt idx="5665">
                  <c:v>242.25</c:v>
                </c:pt>
                <c:pt idx="5666">
                  <c:v>242.25</c:v>
                </c:pt>
                <c:pt idx="5667">
                  <c:v>242.25</c:v>
                </c:pt>
                <c:pt idx="5668">
                  <c:v>242.25</c:v>
                </c:pt>
                <c:pt idx="5669">
                  <c:v>242.25</c:v>
                </c:pt>
                <c:pt idx="5670">
                  <c:v>242.25</c:v>
                </c:pt>
                <c:pt idx="5671">
                  <c:v>242.25</c:v>
                </c:pt>
                <c:pt idx="5672">
                  <c:v>242.25</c:v>
                </c:pt>
                <c:pt idx="5673">
                  <c:v>242.25</c:v>
                </c:pt>
                <c:pt idx="5674">
                  <c:v>242.25</c:v>
                </c:pt>
                <c:pt idx="5675">
                  <c:v>242.25</c:v>
                </c:pt>
                <c:pt idx="5676">
                  <c:v>242.25</c:v>
                </c:pt>
                <c:pt idx="5677">
                  <c:v>242.25</c:v>
                </c:pt>
                <c:pt idx="5678">
                  <c:v>242.25</c:v>
                </c:pt>
                <c:pt idx="5679">
                  <c:v>242.25</c:v>
                </c:pt>
                <c:pt idx="5680">
                  <c:v>242.25</c:v>
                </c:pt>
                <c:pt idx="5681">
                  <c:v>242.25</c:v>
                </c:pt>
                <c:pt idx="5682">
                  <c:v>252.7</c:v>
                </c:pt>
                <c:pt idx="5683">
                  <c:v>252.7</c:v>
                </c:pt>
                <c:pt idx="5684">
                  <c:v>252.7</c:v>
                </c:pt>
                <c:pt idx="5685">
                  <c:v>252.7</c:v>
                </c:pt>
                <c:pt idx="5686">
                  <c:v>249.17</c:v>
                </c:pt>
                <c:pt idx="5687">
                  <c:v>249.17</c:v>
                </c:pt>
                <c:pt idx="5688">
                  <c:v>242.24</c:v>
                </c:pt>
                <c:pt idx="5689">
                  <c:v>240.7</c:v>
                </c:pt>
                <c:pt idx="5690">
                  <c:v>240.27</c:v>
                </c:pt>
                <c:pt idx="5691">
                  <c:v>240.3</c:v>
                </c:pt>
                <c:pt idx="5692">
                  <c:v>241.08</c:v>
                </c:pt>
                <c:pt idx="5693">
                  <c:v>246.08</c:v>
                </c:pt>
                <c:pt idx="5694">
                  <c:v>251.14</c:v>
                </c:pt>
                <c:pt idx="5695">
                  <c:v>253.28</c:v>
                </c:pt>
                <c:pt idx="5696">
                  <c:v>255.82</c:v>
                </c:pt>
                <c:pt idx="5697">
                  <c:v>256.10000000000002</c:v>
                </c:pt>
                <c:pt idx="5698">
                  <c:v>256.45</c:v>
                </c:pt>
                <c:pt idx="5699">
                  <c:v>256.52</c:v>
                </c:pt>
                <c:pt idx="5700">
                  <c:v>256.29000000000002</c:v>
                </c:pt>
                <c:pt idx="5701">
                  <c:v>256.32</c:v>
                </c:pt>
                <c:pt idx="5702">
                  <c:v>256.63</c:v>
                </c:pt>
                <c:pt idx="5703">
                  <c:v>256.70999999999998</c:v>
                </c:pt>
                <c:pt idx="5704">
                  <c:v>256.75</c:v>
                </c:pt>
                <c:pt idx="5705">
                  <c:v>256.77</c:v>
                </c:pt>
                <c:pt idx="5706">
                  <c:v>258.93</c:v>
                </c:pt>
                <c:pt idx="5707">
                  <c:v>258.47000000000003</c:v>
                </c:pt>
                <c:pt idx="5708">
                  <c:v>257.18</c:v>
                </c:pt>
                <c:pt idx="5709">
                  <c:v>256.64999999999998</c:v>
                </c:pt>
                <c:pt idx="5710">
                  <c:v>256.14</c:v>
                </c:pt>
                <c:pt idx="5711">
                  <c:v>255.19</c:v>
                </c:pt>
                <c:pt idx="5712">
                  <c:v>247.57</c:v>
                </c:pt>
                <c:pt idx="5713">
                  <c:v>247.53</c:v>
                </c:pt>
                <c:pt idx="5714">
                  <c:v>247.49</c:v>
                </c:pt>
                <c:pt idx="5715">
                  <c:v>247.44</c:v>
                </c:pt>
                <c:pt idx="5716">
                  <c:v>247.42</c:v>
                </c:pt>
                <c:pt idx="5717">
                  <c:v>249.32</c:v>
                </c:pt>
                <c:pt idx="5718">
                  <c:v>251.71</c:v>
                </c:pt>
                <c:pt idx="5719">
                  <c:v>254.75</c:v>
                </c:pt>
                <c:pt idx="5720">
                  <c:v>256.24</c:v>
                </c:pt>
                <c:pt idx="5721">
                  <c:v>256.39999999999998</c:v>
                </c:pt>
                <c:pt idx="5722">
                  <c:v>256.52</c:v>
                </c:pt>
                <c:pt idx="5723">
                  <c:v>256.5</c:v>
                </c:pt>
                <c:pt idx="5724">
                  <c:v>256.43</c:v>
                </c:pt>
                <c:pt idx="5725">
                  <c:v>256.39999999999998</c:v>
                </c:pt>
                <c:pt idx="5726">
                  <c:v>256.39999999999998</c:v>
                </c:pt>
                <c:pt idx="5727">
                  <c:v>256.36</c:v>
                </c:pt>
                <c:pt idx="5728">
                  <c:v>256.32</c:v>
                </c:pt>
                <c:pt idx="5729">
                  <c:v>256.31</c:v>
                </c:pt>
                <c:pt idx="5730">
                  <c:v>256.72000000000003</c:v>
                </c:pt>
                <c:pt idx="5731">
                  <c:v>256.55</c:v>
                </c:pt>
                <c:pt idx="5732">
                  <c:v>256.32</c:v>
                </c:pt>
                <c:pt idx="5733">
                  <c:v>256.2</c:v>
                </c:pt>
                <c:pt idx="5734">
                  <c:v>256.02</c:v>
                </c:pt>
                <c:pt idx="5735">
                  <c:v>254.26</c:v>
                </c:pt>
                <c:pt idx="5736">
                  <c:v>250.61</c:v>
                </c:pt>
                <c:pt idx="5737">
                  <c:v>250.1</c:v>
                </c:pt>
                <c:pt idx="5738">
                  <c:v>249.49</c:v>
                </c:pt>
                <c:pt idx="5739">
                  <c:v>248.59</c:v>
                </c:pt>
                <c:pt idx="5740">
                  <c:v>248.54</c:v>
                </c:pt>
                <c:pt idx="5741">
                  <c:v>248.45</c:v>
                </c:pt>
                <c:pt idx="5742">
                  <c:v>248.38</c:v>
                </c:pt>
                <c:pt idx="5743">
                  <c:v>248.36</c:v>
                </c:pt>
                <c:pt idx="5744">
                  <c:v>248.45</c:v>
                </c:pt>
                <c:pt idx="5745">
                  <c:v>248.67</c:v>
                </c:pt>
                <c:pt idx="5746">
                  <c:v>249.49</c:v>
                </c:pt>
                <c:pt idx="5747">
                  <c:v>250.49</c:v>
                </c:pt>
                <c:pt idx="5748">
                  <c:v>252.8</c:v>
                </c:pt>
                <c:pt idx="5749">
                  <c:v>252.8</c:v>
                </c:pt>
                <c:pt idx="5750">
                  <c:v>253.72</c:v>
                </c:pt>
                <c:pt idx="5751">
                  <c:v>255.08</c:v>
                </c:pt>
                <c:pt idx="5752">
                  <c:v>255.43</c:v>
                </c:pt>
                <c:pt idx="5753">
                  <c:v>255.6</c:v>
                </c:pt>
                <c:pt idx="5754">
                  <c:v>255.7</c:v>
                </c:pt>
                <c:pt idx="5755">
                  <c:v>255.96</c:v>
                </c:pt>
                <c:pt idx="5756">
                  <c:v>256.32</c:v>
                </c:pt>
                <c:pt idx="5757">
                  <c:v>256.32</c:v>
                </c:pt>
                <c:pt idx="5758">
                  <c:v>256.33</c:v>
                </c:pt>
                <c:pt idx="5759">
                  <c:v>256.32</c:v>
                </c:pt>
                <c:pt idx="5760">
                  <c:v>250.32</c:v>
                </c:pt>
                <c:pt idx="5761">
                  <c:v>249.45</c:v>
                </c:pt>
                <c:pt idx="5762">
                  <c:v>248.38</c:v>
                </c:pt>
                <c:pt idx="5763">
                  <c:v>247.2</c:v>
                </c:pt>
                <c:pt idx="5764">
                  <c:v>246.71</c:v>
                </c:pt>
                <c:pt idx="5765">
                  <c:v>246.64</c:v>
                </c:pt>
                <c:pt idx="5766">
                  <c:v>246.63</c:v>
                </c:pt>
                <c:pt idx="5767">
                  <c:v>246.63</c:v>
                </c:pt>
                <c:pt idx="5768">
                  <c:v>246.67</c:v>
                </c:pt>
                <c:pt idx="5769">
                  <c:v>247.03</c:v>
                </c:pt>
                <c:pt idx="5770">
                  <c:v>248.63</c:v>
                </c:pt>
                <c:pt idx="5771">
                  <c:v>250.19</c:v>
                </c:pt>
                <c:pt idx="5772">
                  <c:v>251.42</c:v>
                </c:pt>
                <c:pt idx="5773">
                  <c:v>251.42</c:v>
                </c:pt>
                <c:pt idx="5774">
                  <c:v>252.05</c:v>
                </c:pt>
                <c:pt idx="5775">
                  <c:v>253.27</c:v>
                </c:pt>
                <c:pt idx="5776">
                  <c:v>254.74</c:v>
                </c:pt>
                <c:pt idx="5777">
                  <c:v>254.89</c:v>
                </c:pt>
                <c:pt idx="5778">
                  <c:v>254.9</c:v>
                </c:pt>
                <c:pt idx="5779">
                  <c:v>255.21</c:v>
                </c:pt>
                <c:pt idx="5780">
                  <c:v>255.71</c:v>
                </c:pt>
                <c:pt idx="5781">
                  <c:v>255.72</c:v>
                </c:pt>
                <c:pt idx="5782">
                  <c:v>255.72</c:v>
                </c:pt>
                <c:pt idx="5783">
                  <c:v>255.7</c:v>
                </c:pt>
                <c:pt idx="5784">
                  <c:v>249.74</c:v>
                </c:pt>
                <c:pt idx="5785">
                  <c:v>247.44</c:v>
                </c:pt>
                <c:pt idx="5786">
                  <c:v>247.03</c:v>
                </c:pt>
                <c:pt idx="5787">
                  <c:v>246.95</c:v>
                </c:pt>
                <c:pt idx="5788">
                  <c:v>247</c:v>
                </c:pt>
                <c:pt idx="5789">
                  <c:v>247.88</c:v>
                </c:pt>
                <c:pt idx="5790">
                  <c:v>250.83</c:v>
                </c:pt>
                <c:pt idx="5791">
                  <c:v>251.8</c:v>
                </c:pt>
                <c:pt idx="5792">
                  <c:v>253.82</c:v>
                </c:pt>
                <c:pt idx="5793">
                  <c:v>255.72</c:v>
                </c:pt>
                <c:pt idx="5794">
                  <c:v>256.57</c:v>
                </c:pt>
                <c:pt idx="5795">
                  <c:v>256.63</c:v>
                </c:pt>
                <c:pt idx="5796">
                  <c:v>255.73</c:v>
                </c:pt>
                <c:pt idx="5797">
                  <c:v>256.26</c:v>
                </c:pt>
                <c:pt idx="5798">
                  <c:v>256.86</c:v>
                </c:pt>
                <c:pt idx="5799">
                  <c:v>256.95999999999998</c:v>
                </c:pt>
                <c:pt idx="5800">
                  <c:v>256.51</c:v>
                </c:pt>
                <c:pt idx="5801">
                  <c:v>255.52</c:v>
                </c:pt>
                <c:pt idx="5802">
                  <c:v>257.89</c:v>
                </c:pt>
                <c:pt idx="5803">
                  <c:v>257.64999999999998</c:v>
                </c:pt>
                <c:pt idx="5804">
                  <c:v>256.39</c:v>
                </c:pt>
                <c:pt idx="5805">
                  <c:v>255.4</c:v>
                </c:pt>
                <c:pt idx="5806">
                  <c:v>253.58</c:v>
                </c:pt>
                <c:pt idx="5807">
                  <c:v>251.58</c:v>
                </c:pt>
                <c:pt idx="5808">
                  <c:v>222.74</c:v>
                </c:pt>
                <c:pt idx="5809">
                  <c:v>221.2</c:v>
                </c:pt>
                <c:pt idx="5810">
                  <c:v>220.46</c:v>
                </c:pt>
                <c:pt idx="5811">
                  <c:v>220.42</c:v>
                </c:pt>
                <c:pt idx="5812">
                  <c:v>220.48</c:v>
                </c:pt>
                <c:pt idx="5813">
                  <c:v>220.66</c:v>
                </c:pt>
                <c:pt idx="5814">
                  <c:v>220.76</c:v>
                </c:pt>
                <c:pt idx="5815">
                  <c:v>221.22</c:v>
                </c:pt>
                <c:pt idx="5816">
                  <c:v>223.27</c:v>
                </c:pt>
                <c:pt idx="5817">
                  <c:v>224.59</c:v>
                </c:pt>
                <c:pt idx="5818">
                  <c:v>224.83</c:v>
                </c:pt>
                <c:pt idx="5819">
                  <c:v>224.87</c:v>
                </c:pt>
                <c:pt idx="5820">
                  <c:v>224.86</c:v>
                </c:pt>
                <c:pt idx="5821">
                  <c:v>224.86</c:v>
                </c:pt>
                <c:pt idx="5822">
                  <c:v>224.88</c:v>
                </c:pt>
                <c:pt idx="5823">
                  <c:v>224.86</c:v>
                </c:pt>
                <c:pt idx="5824">
                  <c:v>224.94</c:v>
                </c:pt>
                <c:pt idx="5825">
                  <c:v>226.02</c:v>
                </c:pt>
                <c:pt idx="5826">
                  <c:v>229.42</c:v>
                </c:pt>
                <c:pt idx="5827">
                  <c:v>228.82</c:v>
                </c:pt>
                <c:pt idx="5828">
                  <c:v>227.27</c:v>
                </c:pt>
                <c:pt idx="5829">
                  <c:v>226.11</c:v>
                </c:pt>
                <c:pt idx="5830">
                  <c:v>224.8</c:v>
                </c:pt>
                <c:pt idx="5831">
                  <c:v>223.02</c:v>
                </c:pt>
                <c:pt idx="5832">
                  <c:v>219.98</c:v>
                </c:pt>
                <c:pt idx="5833">
                  <c:v>218.74</c:v>
                </c:pt>
                <c:pt idx="5834">
                  <c:v>216.45</c:v>
                </c:pt>
                <c:pt idx="5835">
                  <c:v>215.85</c:v>
                </c:pt>
                <c:pt idx="5836">
                  <c:v>215.62</c:v>
                </c:pt>
                <c:pt idx="5837">
                  <c:v>215.36</c:v>
                </c:pt>
                <c:pt idx="5838">
                  <c:v>214.68</c:v>
                </c:pt>
                <c:pt idx="5839">
                  <c:v>214.14</c:v>
                </c:pt>
                <c:pt idx="5840">
                  <c:v>216.38</c:v>
                </c:pt>
                <c:pt idx="5841">
                  <c:v>218.6</c:v>
                </c:pt>
                <c:pt idx="5842">
                  <c:v>219.6</c:v>
                </c:pt>
                <c:pt idx="5843">
                  <c:v>221.02</c:v>
                </c:pt>
                <c:pt idx="5844">
                  <c:v>221.12</c:v>
                </c:pt>
                <c:pt idx="5845">
                  <c:v>221.1</c:v>
                </c:pt>
                <c:pt idx="5846">
                  <c:v>221.05</c:v>
                </c:pt>
                <c:pt idx="5847">
                  <c:v>221.08</c:v>
                </c:pt>
                <c:pt idx="5848">
                  <c:v>221.4</c:v>
                </c:pt>
                <c:pt idx="5849">
                  <c:v>223.16</c:v>
                </c:pt>
                <c:pt idx="5850">
                  <c:v>227.23</c:v>
                </c:pt>
                <c:pt idx="5851">
                  <c:v>227.15</c:v>
                </c:pt>
                <c:pt idx="5852">
                  <c:v>225.54</c:v>
                </c:pt>
                <c:pt idx="5853">
                  <c:v>224.61</c:v>
                </c:pt>
                <c:pt idx="5854">
                  <c:v>223.48</c:v>
                </c:pt>
                <c:pt idx="5855">
                  <c:v>222.18</c:v>
                </c:pt>
                <c:pt idx="5856">
                  <c:v>221.1</c:v>
                </c:pt>
                <c:pt idx="5857">
                  <c:v>219.9</c:v>
                </c:pt>
                <c:pt idx="5858">
                  <c:v>219.46</c:v>
                </c:pt>
                <c:pt idx="5859">
                  <c:v>219.42</c:v>
                </c:pt>
                <c:pt idx="5860">
                  <c:v>219.72</c:v>
                </c:pt>
                <c:pt idx="5861">
                  <c:v>220.94</c:v>
                </c:pt>
                <c:pt idx="5862">
                  <c:v>222.64</c:v>
                </c:pt>
                <c:pt idx="5863">
                  <c:v>224.53</c:v>
                </c:pt>
                <c:pt idx="5864">
                  <c:v>227.18</c:v>
                </c:pt>
                <c:pt idx="5865">
                  <c:v>229.35</c:v>
                </c:pt>
                <c:pt idx="5866">
                  <c:v>230.9</c:v>
                </c:pt>
                <c:pt idx="5867">
                  <c:v>231.04</c:v>
                </c:pt>
                <c:pt idx="5868">
                  <c:v>230.82</c:v>
                </c:pt>
                <c:pt idx="5869">
                  <c:v>231.2</c:v>
                </c:pt>
                <c:pt idx="5870">
                  <c:v>231.46</c:v>
                </c:pt>
                <c:pt idx="5871">
                  <c:v>231.48</c:v>
                </c:pt>
                <c:pt idx="5872">
                  <c:v>231.33</c:v>
                </c:pt>
                <c:pt idx="5873">
                  <c:v>230.88</c:v>
                </c:pt>
                <c:pt idx="5874">
                  <c:v>232.28</c:v>
                </c:pt>
                <c:pt idx="5875">
                  <c:v>231.23</c:v>
                </c:pt>
                <c:pt idx="5876">
                  <c:v>230.74</c:v>
                </c:pt>
                <c:pt idx="5877">
                  <c:v>230.5</c:v>
                </c:pt>
                <c:pt idx="5878">
                  <c:v>228.94</c:v>
                </c:pt>
                <c:pt idx="5879">
                  <c:v>225.14</c:v>
                </c:pt>
                <c:pt idx="5880">
                  <c:v>222.63</c:v>
                </c:pt>
                <c:pt idx="5881">
                  <c:v>221.82</c:v>
                </c:pt>
                <c:pt idx="5882">
                  <c:v>221.33</c:v>
                </c:pt>
                <c:pt idx="5883">
                  <c:v>221.28</c:v>
                </c:pt>
                <c:pt idx="5884">
                  <c:v>221.44</c:v>
                </c:pt>
                <c:pt idx="5885">
                  <c:v>221.98</c:v>
                </c:pt>
                <c:pt idx="5886">
                  <c:v>224.32</c:v>
                </c:pt>
                <c:pt idx="5887">
                  <c:v>225.88</c:v>
                </c:pt>
                <c:pt idx="5888">
                  <c:v>227</c:v>
                </c:pt>
                <c:pt idx="5889">
                  <c:v>228.86</c:v>
                </c:pt>
                <c:pt idx="5890">
                  <c:v>229.84</c:v>
                </c:pt>
                <c:pt idx="5891">
                  <c:v>229.84</c:v>
                </c:pt>
                <c:pt idx="5892">
                  <c:v>229.81</c:v>
                </c:pt>
                <c:pt idx="5893">
                  <c:v>229.84</c:v>
                </c:pt>
                <c:pt idx="5894">
                  <c:v>229.84</c:v>
                </c:pt>
                <c:pt idx="5895">
                  <c:v>229.84</c:v>
                </c:pt>
                <c:pt idx="5896">
                  <c:v>229.8</c:v>
                </c:pt>
                <c:pt idx="5897">
                  <c:v>229.67</c:v>
                </c:pt>
                <c:pt idx="5898">
                  <c:v>230.13</c:v>
                </c:pt>
                <c:pt idx="5899">
                  <c:v>229.79</c:v>
                </c:pt>
                <c:pt idx="5900">
                  <c:v>229.54</c:v>
                </c:pt>
                <c:pt idx="5901">
                  <c:v>229.33</c:v>
                </c:pt>
                <c:pt idx="5902">
                  <c:v>227.88</c:v>
                </c:pt>
                <c:pt idx="5903">
                  <c:v>225.37</c:v>
                </c:pt>
                <c:pt idx="5904">
                  <c:v>221.75</c:v>
                </c:pt>
                <c:pt idx="5905">
                  <c:v>221.26</c:v>
                </c:pt>
                <c:pt idx="5906">
                  <c:v>220.83</c:v>
                </c:pt>
                <c:pt idx="5907">
                  <c:v>220.81</c:v>
                </c:pt>
                <c:pt idx="5908">
                  <c:v>220.98</c:v>
                </c:pt>
                <c:pt idx="5909">
                  <c:v>221.6</c:v>
                </c:pt>
                <c:pt idx="5910">
                  <c:v>223.24</c:v>
                </c:pt>
                <c:pt idx="5911">
                  <c:v>224.9</c:v>
                </c:pt>
                <c:pt idx="5912">
                  <c:v>226.71</c:v>
                </c:pt>
                <c:pt idx="5913">
                  <c:v>228.84</c:v>
                </c:pt>
                <c:pt idx="5914">
                  <c:v>230.28</c:v>
                </c:pt>
                <c:pt idx="5915">
                  <c:v>231.19</c:v>
                </c:pt>
                <c:pt idx="5916">
                  <c:v>230.08</c:v>
                </c:pt>
                <c:pt idx="5917">
                  <c:v>231.3</c:v>
                </c:pt>
                <c:pt idx="5918">
                  <c:v>232.49</c:v>
                </c:pt>
                <c:pt idx="5919">
                  <c:v>232.52</c:v>
                </c:pt>
                <c:pt idx="5920">
                  <c:v>232.23</c:v>
                </c:pt>
                <c:pt idx="5921">
                  <c:v>230.76</c:v>
                </c:pt>
                <c:pt idx="5922">
                  <c:v>232.6</c:v>
                </c:pt>
                <c:pt idx="5923">
                  <c:v>232.35</c:v>
                </c:pt>
                <c:pt idx="5924">
                  <c:v>231.14</c:v>
                </c:pt>
                <c:pt idx="5925">
                  <c:v>230.58</c:v>
                </c:pt>
                <c:pt idx="5926">
                  <c:v>228.06</c:v>
                </c:pt>
                <c:pt idx="5927">
                  <c:v>225.88</c:v>
                </c:pt>
                <c:pt idx="5928">
                  <c:v>222.18</c:v>
                </c:pt>
                <c:pt idx="5929">
                  <c:v>221.48</c:v>
                </c:pt>
                <c:pt idx="5930">
                  <c:v>221.28</c:v>
                </c:pt>
                <c:pt idx="5931">
                  <c:v>221.26</c:v>
                </c:pt>
                <c:pt idx="5932">
                  <c:v>221.2</c:v>
                </c:pt>
                <c:pt idx="5933">
                  <c:v>221.68</c:v>
                </c:pt>
                <c:pt idx="5934">
                  <c:v>222.79</c:v>
                </c:pt>
                <c:pt idx="5935">
                  <c:v>224.84</c:v>
                </c:pt>
                <c:pt idx="5936">
                  <c:v>227.06</c:v>
                </c:pt>
                <c:pt idx="5937">
                  <c:v>228.79</c:v>
                </c:pt>
                <c:pt idx="5938">
                  <c:v>229.78</c:v>
                </c:pt>
                <c:pt idx="5939">
                  <c:v>229.92</c:v>
                </c:pt>
                <c:pt idx="5940">
                  <c:v>229.21</c:v>
                </c:pt>
                <c:pt idx="5941">
                  <c:v>229.78</c:v>
                </c:pt>
                <c:pt idx="5942">
                  <c:v>230.4</c:v>
                </c:pt>
                <c:pt idx="5943">
                  <c:v>230.52</c:v>
                </c:pt>
                <c:pt idx="5944">
                  <c:v>230.56</c:v>
                </c:pt>
                <c:pt idx="5945">
                  <c:v>229.79</c:v>
                </c:pt>
                <c:pt idx="5946">
                  <c:v>231.29</c:v>
                </c:pt>
                <c:pt idx="5947">
                  <c:v>230.86</c:v>
                </c:pt>
                <c:pt idx="5948">
                  <c:v>229.5</c:v>
                </c:pt>
                <c:pt idx="5949">
                  <c:v>229.06</c:v>
                </c:pt>
                <c:pt idx="5950">
                  <c:v>227.05</c:v>
                </c:pt>
                <c:pt idx="5951">
                  <c:v>225.26</c:v>
                </c:pt>
                <c:pt idx="5952">
                  <c:v>219.82</c:v>
                </c:pt>
                <c:pt idx="5953">
                  <c:v>216.7</c:v>
                </c:pt>
                <c:pt idx="5954">
                  <c:v>214.7</c:v>
                </c:pt>
                <c:pt idx="5955">
                  <c:v>214.28</c:v>
                </c:pt>
                <c:pt idx="5956">
                  <c:v>214.46</c:v>
                </c:pt>
                <c:pt idx="5957">
                  <c:v>217.06</c:v>
                </c:pt>
                <c:pt idx="5958">
                  <c:v>221.67</c:v>
                </c:pt>
                <c:pt idx="5959">
                  <c:v>222.52</c:v>
                </c:pt>
                <c:pt idx="5960">
                  <c:v>224.94</c:v>
                </c:pt>
                <c:pt idx="5961">
                  <c:v>225.46</c:v>
                </c:pt>
                <c:pt idx="5962">
                  <c:v>225.76</c:v>
                </c:pt>
                <c:pt idx="5963">
                  <c:v>225.76</c:v>
                </c:pt>
                <c:pt idx="5964">
                  <c:v>225.58</c:v>
                </c:pt>
                <c:pt idx="5965">
                  <c:v>225.7</c:v>
                </c:pt>
                <c:pt idx="5966">
                  <c:v>225.76</c:v>
                </c:pt>
                <c:pt idx="5967">
                  <c:v>225.78</c:v>
                </c:pt>
                <c:pt idx="5968">
                  <c:v>225.75</c:v>
                </c:pt>
                <c:pt idx="5969">
                  <c:v>225.68</c:v>
                </c:pt>
                <c:pt idx="5970">
                  <c:v>226.64</c:v>
                </c:pt>
                <c:pt idx="5971">
                  <c:v>226.1</c:v>
                </c:pt>
                <c:pt idx="5972">
                  <c:v>225.54</c:v>
                </c:pt>
                <c:pt idx="5973">
                  <c:v>225.48</c:v>
                </c:pt>
                <c:pt idx="5974">
                  <c:v>224.64</c:v>
                </c:pt>
                <c:pt idx="5975">
                  <c:v>222.26</c:v>
                </c:pt>
                <c:pt idx="5976">
                  <c:v>234.38</c:v>
                </c:pt>
                <c:pt idx="5977">
                  <c:v>231.88</c:v>
                </c:pt>
                <c:pt idx="5978">
                  <c:v>229.42</c:v>
                </c:pt>
                <c:pt idx="5979">
                  <c:v>228.58</c:v>
                </c:pt>
                <c:pt idx="5980">
                  <c:v>228.44</c:v>
                </c:pt>
                <c:pt idx="5981">
                  <c:v>228.39</c:v>
                </c:pt>
                <c:pt idx="5982">
                  <c:v>228.02</c:v>
                </c:pt>
                <c:pt idx="5983">
                  <c:v>229.33</c:v>
                </c:pt>
                <c:pt idx="5984">
                  <c:v>232.23</c:v>
                </c:pt>
                <c:pt idx="5985">
                  <c:v>234.66</c:v>
                </c:pt>
                <c:pt idx="5986">
                  <c:v>235.5</c:v>
                </c:pt>
                <c:pt idx="5987">
                  <c:v>235.54</c:v>
                </c:pt>
                <c:pt idx="5988">
                  <c:v>235.54</c:v>
                </c:pt>
                <c:pt idx="5989">
                  <c:v>235.56</c:v>
                </c:pt>
                <c:pt idx="5990">
                  <c:v>235.56</c:v>
                </c:pt>
                <c:pt idx="5991">
                  <c:v>235.58</c:v>
                </c:pt>
                <c:pt idx="5992">
                  <c:v>235.56</c:v>
                </c:pt>
                <c:pt idx="5993">
                  <c:v>237.72</c:v>
                </c:pt>
                <c:pt idx="5994">
                  <c:v>242.42</c:v>
                </c:pt>
                <c:pt idx="5995">
                  <c:v>242.4</c:v>
                </c:pt>
                <c:pt idx="5996">
                  <c:v>241.02</c:v>
                </c:pt>
                <c:pt idx="5997">
                  <c:v>238.66</c:v>
                </c:pt>
                <c:pt idx="5998">
                  <c:v>236.5</c:v>
                </c:pt>
                <c:pt idx="5999">
                  <c:v>235.29</c:v>
                </c:pt>
                <c:pt idx="6000">
                  <c:v>231.5</c:v>
                </c:pt>
                <c:pt idx="6001">
                  <c:v>229.22</c:v>
                </c:pt>
                <c:pt idx="6002">
                  <c:v>226.67</c:v>
                </c:pt>
                <c:pt idx="6003">
                  <c:v>224.9</c:v>
                </c:pt>
                <c:pt idx="6004">
                  <c:v>224.36</c:v>
                </c:pt>
                <c:pt idx="6005">
                  <c:v>223.69</c:v>
                </c:pt>
                <c:pt idx="6006">
                  <c:v>220.86</c:v>
                </c:pt>
                <c:pt idx="6007">
                  <c:v>221.8</c:v>
                </c:pt>
                <c:pt idx="6008">
                  <c:v>226.82</c:v>
                </c:pt>
                <c:pt idx="6009">
                  <c:v>230.48</c:v>
                </c:pt>
                <c:pt idx="6010">
                  <c:v>232.5</c:v>
                </c:pt>
                <c:pt idx="6011">
                  <c:v>233.92</c:v>
                </c:pt>
                <c:pt idx="6012">
                  <c:v>233.91</c:v>
                </c:pt>
                <c:pt idx="6013">
                  <c:v>233.59</c:v>
                </c:pt>
                <c:pt idx="6014">
                  <c:v>233.6</c:v>
                </c:pt>
                <c:pt idx="6015">
                  <c:v>234</c:v>
                </c:pt>
                <c:pt idx="6016">
                  <c:v>235.15</c:v>
                </c:pt>
                <c:pt idx="6017">
                  <c:v>237.22</c:v>
                </c:pt>
                <c:pt idx="6018">
                  <c:v>243.49</c:v>
                </c:pt>
                <c:pt idx="6019">
                  <c:v>243.3</c:v>
                </c:pt>
                <c:pt idx="6020">
                  <c:v>241.9</c:v>
                </c:pt>
                <c:pt idx="6021">
                  <c:v>240.58</c:v>
                </c:pt>
                <c:pt idx="6022">
                  <c:v>238.4</c:v>
                </c:pt>
                <c:pt idx="6023">
                  <c:v>235.62</c:v>
                </c:pt>
                <c:pt idx="6024">
                  <c:v>232.97</c:v>
                </c:pt>
                <c:pt idx="6025">
                  <c:v>232.38</c:v>
                </c:pt>
                <c:pt idx="6026">
                  <c:v>231.72</c:v>
                </c:pt>
                <c:pt idx="6027">
                  <c:v>231.76</c:v>
                </c:pt>
                <c:pt idx="6028">
                  <c:v>231.84</c:v>
                </c:pt>
                <c:pt idx="6029">
                  <c:v>233</c:v>
                </c:pt>
                <c:pt idx="6030">
                  <c:v>234.69</c:v>
                </c:pt>
                <c:pt idx="6031">
                  <c:v>236.68</c:v>
                </c:pt>
                <c:pt idx="6032">
                  <c:v>241.79</c:v>
                </c:pt>
                <c:pt idx="6033">
                  <c:v>244.15</c:v>
                </c:pt>
                <c:pt idx="6034">
                  <c:v>244.64</c:v>
                </c:pt>
                <c:pt idx="6035">
                  <c:v>244.83</c:v>
                </c:pt>
                <c:pt idx="6036">
                  <c:v>244.68</c:v>
                </c:pt>
                <c:pt idx="6037">
                  <c:v>244.9</c:v>
                </c:pt>
                <c:pt idx="6038">
                  <c:v>245.32</c:v>
                </c:pt>
                <c:pt idx="6039">
                  <c:v>246.04</c:v>
                </c:pt>
                <c:pt idx="6040">
                  <c:v>245.45</c:v>
                </c:pt>
                <c:pt idx="6041">
                  <c:v>244.63</c:v>
                </c:pt>
                <c:pt idx="6042">
                  <c:v>245.77</c:v>
                </c:pt>
                <c:pt idx="6043">
                  <c:v>245.1</c:v>
                </c:pt>
                <c:pt idx="6044">
                  <c:v>244.48</c:v>
                </c:pt>
                <c:pt idx="6045">
                  <c:v>244.41</c:v>
                </c:pt>
                <c:pt idx="6046">
                  <c:v>244.28</c:v>
                </c:pt>
                <c:pt idx="6047">
                  <c:v>241.44</c:v>
                </c:pt>
                <c:pt idx="6048">
                  <c:v>230.78</c:v>
                </c:pt>
                <c:pt idx="6049">
                  <c:v>230.09</c:v>
                </c:pt>
                <c:pt idx="6050">
                  <c:v>230.05</c:v>
                </c:pt>
                <c:pt idx="6051">
                  <c:v>230.01</c:v>
                </c:pt>
                <c:pt idx="6052">
                  <c:v>230</c:v>
                </c:pt>
                <c:pt idx="6053">
                  <c:v>231.44</c:v>
                </c:pt>
                <c:pt idx="6054">
                  <c:v>233.88</c:v>
                </c:pt>
                <c:pt idx="6055">
                  <c:v>236.64</c:v>
                </c:pt>
                <c:pt idx="6056">
                  <c:v>240.46</c:v>
                </c:pt>
                <c:pt idx="6057">
                  <c:v>241.25</c:v>
                </c:pt>
                <c:pt idx="6058">
                  <c:v>243.11</c:v>
                </c:pt>
                <c:pt idx="6059">
                  <c:v>243.35</c:v>
                </c:pt>
                <c:pt idx="6060">
                  <c:v>243.1</c:v>
                </c:pt>
                <c:pt idx="6061">
                  <c:v>243.62</c:v>
                </c:pt>
                <c:pt idx="6062">
                  <c:v>244.08</c:v>
                </c:pt>
                <c:pt idx="6063">
                  <c:v>244.2</c:v>
                </c:pt>
                <c:pt idx="6064">
                  <c:v>244.18</c:v>
                </c:pt>
                <c:pt idx="6065">
                  <c:v>243.92</c:v>
                </c:pt>
                <c:pt idx="6066">
                  <c:v>245.48</c:v>
                </c:pt>
                <c:pt idx="6067">
                  <c:v>244.52</c:v>
                </c:pt>
                <c:pt idx="6068">
                  <c:v>243.92</c:v>
                </c:pt>
                <c:pt idx="6069">
                  <c:v>243.77</c:v>
                </c:pt>
                <c:pt idx="6070">
                  <c:v>243.02</c:v>
                </c:pt>
                <c:pt idx="6071">
                  <c:v>240.02</c:v>
                </c:pt>
                <c:pt idx="6072">
                  <c:v>239.26</c:v>
                </c:pt>
                <c:pt idx="6073">
                  <c:v>237.93</c:v>
                </c:pt>
                <c:pt idx="6074">
                  <c:v>236.36</c:v>
                </c:pt>
                <c:pt idx="6075">
                  <c:v>236.07</c:v>
                </c:pt>
                <c:pt idx="6076">
                  <c:v>236.08</c:v>
                </c:pt>
                <c:pt idx="6077">
                  <c:v>237.45</c:v>
                </c:pt>
                <c:pt idx="6078">
                  <c:v>238.52</c:v>
                </c:pt>
                <c:pt idx="6079">
                  <c:v>241.51</c:v>
                </c:pt>
                <c:pt idx="6080">
                  <c:v>243.84</c:v>
                </c:pt>
                <c:pt idx="6081">
                  <c:v>247.04</c:v>
                </c:pt>
                <c:pt idx="6082">
                  <c:v>248.02</c:v>
                </c:pt>
                <c:pt idx="6083">
                  <c:v>248.78</c:v>
                </c:pt>
                <c:pt idx="6084">
                  <c:v>247.18</c:v>
                </c:pt>
                <c:pt idx="6085">
                  <c:v>249.3</c:v>
                </c:pt>
                <c:pt idx="6086">
                  <c:v>253.46</c:v>
                </c:pt>
                <c:pt idx="6087">
                  <c:v>254.04</c:v>
                </c:pt>
                <c:pt idx="6088">
                  <c:v>253.74</c:v>
                </c:pt>
                <c:pt idx="6089">
                  <c:v>248.58</c:v>
                </c:pt>
                <c:pt idx="6090">
                  <c:v>252.76</c:v>
                </c:pt>
                <c:pt idx="6091">
                  <c:v>252.68</c:v>
                </c:pt>
                <c:pt idx="6092">
                  <c:v>249.1</c:v>
                </c:pt>
                <c:pt idx="6093">
                  <c:v>248.32</c:v>
                </c:pt>
                <c:pt idx="6094">
                  <c:v>246.63</c:v>
                </c:pt>
                <c:pt idx="6095">
                  <c:v>243.84</c:v>
                </c:pt>
                <c:pt idx="6096">
                  <c:v>239.26</c:v>
                </c:pt>
                <c:pt idx="6097">
                  <c:v>240.28</c:v>
                </c:pt>
                <c:pt idx="6098">
                  <c:v>238.63</c:v>
                </c:pt>
                <c:pt idx="6099">
                  <c:v>237.8</c:v>
                </c:pt>
                <c:pt idx="6100">
                  <c:v>237.78</c:v>
                </c:pt>
                <c:pt idx="6101">
                  <c:v>238.96</c:v>
                </c:pt>
                <c:pt idx="6102">
                  <c:v>240.98</c:v>
                </c:pt>
                <c:pt idx="6103">
                  <c:v>241.46</c:v>
                </c:pt>
                <c:pt idx="6104">
                  <c:v>241.66</c:v>
                </c:pt>
                <c:pt idx="6105">
                  <c:v>245.28</c:v>
                </c:pt>
                <c:pt idx="6106">
                  <c:v>250.63</c:v>
                </c:pt>
                <c:pt idx="6107">
                  <c:v>252.04</c:v>
                </c:pt>
                <c:pt idx="6108">
                  <c:v>248.94</c:v>
                </c:pt>
                <c:pt idx="6109">
                  <c:v>253.72</c:v>
                </c:pt>
                <c:pt idx="6110">
                  <c:v>255.04</c:v>
                </c:pt>
                <c:pt idx="6111">
                  <c:v>254.96</c:v>
                </c:pt>
                <c:pt idx="6112">
                  <c:v>254.9</c:v>
                </c:pt>
                <c:pt idx="6113">
                  <c:v>251</c:v>
                </c:pt>
                <c:pt idx="6114">
                  <c:v>254.5</c:v>
                </c:pt>
                <c:pt idx="6115">
                  <c:v>254.69</c:v>
                </c:pt>
                <c:pt idx="6116">
                  <c:v>252.58</c:v>
                </c:pt>
                <c:pt idx="6117">
                  <c:v>251.2</c:v>
                </c:pt>
                <c:pt idx="6118">
                  <c:v>246.97</c:v>
                </c:pt>
                <c:pt idx="6119">
                  <c:v>242.17</c:v>
                </c:pt>
                <c:pt idx="6120">
                  <c:v>241.52</c:v>
                </c:pt>
                <c:pt idx="6121">
                  <c:v>240.8</c:v>
                </c:pt>
                <c:pt idx="6122">
                  <c:v>240.02</c:v>
                </c:pt>
                <c:pt idx="6123">
                  <c:v>239.84</c:v>
                </c:pt>
                <c:pt idx="6124">
                  <c:v>239.73</c:v>
                </c:pt>
                <c:pt idx="6125">
                  <c:v>240.02</c:v>
                </c:pt>
                <c:pt idx="6126">
                  <c:v>240.72</c:v>
                </c:pt>
                <c:pt idx="6127">
                  <c:v>242.08</c:v>
                </c:pt>
                <c:pt idx="6128">
                  <c:v>244.32</c:v>
                </c:pt>
                <c:pt idx="6129">
                  <c:v>245.18</c:v>
                </c:pt>
                <c:pt idx="6130">
                  <c:v>247.8</c:v>
                </c:pt>
                <c:pt idx="6131">
                  <c:v>247.77</c:v>
                </c:pt>
                <c:pt idx="6132">
                  <c:v>246.72</c:v>
                </c:pt>
                <c:pt idx="6133">
                  <c:v>247.9</c:v>
                </c:pt>
                <c:pt idx="6134">
                  <c:v>248.46</c:v>
                </c:pt>
                <c:pt idx="6135">
                  <c:v>247.94</c:v>
                </c:pt>
                <c:pt idx="6136">
                  <c:v>246.91</c:v>
                </c:pt>
                <c:pt idx="6137">
                  <c:v>246.24</c:v>
                </c:pt>
                <c:pt idx="6138">
                  <c:v>246.66</c:v>
                </c:pt>
                <c:pt idx="6139">
                  <c:v>246.53</c:v>
                </c:pt>
                <c:pt idx="6140">
                  <c:v>244.46</c:v>
                </c:pt>
                <c:pt idx="6141">
                  <c:v>244.29</c:v>
                </c:pt>
                <c:pt idx="6142">
                  <c:v>243.18</c:v>
                </c:pt>
                <c:pt idx="6143">
                  <c:v>240.86</c:v>
                </c:pt>
                <c:pt idx="6144">
                  <c:v>256.8</c:v>
                </c:pt>
                <c:pt idx="6145">
                  <c:v>256.8</c:v>
                </c:pt>
                <c:pt idx="6146">
                  <c:v>256.8</c:v>
                </c:pt>
                <c:pt idx="6147">
                  <c:v>256.8</c:v>
                </c:pt>
                <c:pt idx="6148">
                  <c:v>256.8</c:v>
                </c:pt>
                <c:pt idx="6149">
                  <c:v>256.8</c:v>
                </c:pt>
                <c:pt idx="6150">
                  <c:v>256.8</c:v>
                </c:pt>
                <c:pt idx="6151">
                  <c:v>256.8</c:v>
                </c:pt>
                <c:pt idx="6152">
                  <c:v>256.8</c:v>
                </c:pt>
                <c:pt idx="6153">
                  <c:v>256.8</c:v>
                </c:pt>
                <c:pt idx="6154">
                  <c:v>256.8</c:v>
                </c:pt>
                <c:pt idx="6155">
                  <c:v>256.8</c:v>
                </c:pt>
                <c:pt idx="6156">
                  <c:v>256.8</c:v>
                </c:pt>
                <c:pt idx="6157">
                  <c:v>256.8</c:v>
                </c:pt>
                <c:pt idx="6158">
                  <c:v>256.8</c:v>
                </c:pt>
                <c:pt idx="6159">
                  <c:v>256.8</c:v>
                </c:pt>
                <c:pt idx="6160">
                  <c:v>256.8</c:v>
                </c:pt>
                <c:pt idx="6161">
                  <c:v>265.81</c:v>
                </c:pt>
                <c:pt idx="6162">
                  <c:v>265.81</c:v>
                </c:pt>
                <c:pt idx="6163">
                  <c:v>265.81</c:v>
                </c:pt>
                <c:pt idx="6164">
                  <c:v>265.81</c:v>
                </c:pt>
                <c:pt idx="6165">
                  <c:v>256.8</c:v>
                </c:pt>
                <c:pt idx="6166">
                  <c:v>256.8</c:v>
                </c:pt>
                <c:pt idx="6167">
                  <c:v>256.8</c:v>
                </c:pt>
                <c:pt idx="6168">
                  <c:v>256.8</c:v>
                </c:pt>
                <c:pt idx="6169">
                  <c:v>256.8</c:v>
                </c:pt>
                <c:pt idx="6170">
                  <c:v>256.8</c:v>
                </c:pt>
                <c:pt idx="6171">
                  <c:v>256.8</c:v>
                </c:pt>
                <c:pt idx="6172">
                  <c:v>256.8</c:v>
                </c:pt>
                <c:pt idx="6173">
                  <c:v>256.8</c:v>
                </c:pt>
                <c:pt idx="6174">
                  <c:v>256.8</c:v>
                </c:pt>
                <c:pt idx="6175">
                  <c:v>256.8</c:v>
                </c:pt>
                <c:pt idx="6176">
                  <c:v>256.8</c:v>
                </c:pt>
                <c:pt idx="6177">
                  <c:v>256.8</c:v>
                </c:pt>
                <c:pt idx="6178">
                  <c:v>256.8</c:v>
                </c:pt>
                <c:pt idx="6179">
                  <c:v>256.8</c:v>
                </c:pt>
                <c:pt idx="6180">
                  <c:v>256.8</c:v>
                </c:pt>
                <c:pt idx="6181">
                  <c:v>256.8</c:v>
                </c:pt>
                <c:pt idx="6182">
                  <c:v>256.8</c:v>
                </c:pt>
                <c:pt idx="6183">
                  <c:v>256.8</c:v>
                </c:pt>
                <c:pt idx="6184">
                  <c:v>256.8</c:v>
                </c:pt>
                <c:pt idx="6185">
                  <c:v>265.81</c:v>
                </c:pt>
                <c:pt idx="6186">
                  <c:v>265.81</c:v>
                </c:pt>
                <c:pt idx="6187">
                  <c:v>265.81</c:v>
                </c:pt>
                <c:pt idx="6188">
                  <c:v>265.81</c:v>
                </c:pt>
                <c:pt idx="6189">
                  <c:v>256.8</c:v>
                </c:pt>
                <c:pt idx="6190">
                  <c:v>256.8</c:v>
                </c:pt>
                <c:pt idx="6191">
                  <c:v>256.8</c:v>
                </c:pt>
                <c:pt idx="6192">
                  <c:v>246.19</c:v>
                </c:pt>
                <c:pt idx="6193">
                  <c:v>245.68</c:v>
                </c:pt>
                <c:pt idx="6194">
                  <c:v>245.64</c:v>
                </c:pt>
                <c:pt idx="6195">
                  <c:v>245.6</c:v>
                </c:pt>
                <c:pt idx="6196">
                  <c:v>245.58</c:v>
                </c:pt>
                <c:pt idx="6197">
                  <c:v>247.94</c:v>
                </c:pt>
                <c:pt idx="6198">
                  <c:v>252.42</c:v>
                </c:pt>
                <c:pt idx="6199">
                  <c:v>255.94</c:v>
                </c:pt>
                <c:pt idx="6200">
                  <c:v>261.23</c:v>
                </c:pt>
                <c:pt idx="6201">
                  <c:v>263.33</c:v>
                </c:pt>
                <c:pt idx="6202">
                  <c:v>265</c:v>
                </c:pt>
                <c:pt idx="6203">
                  <c:v>265.19</c:v>
                </c:pt>
                <c:pt idx="6204">
                  <c:v>265.14999999999998</c:v>
                </c:pt>
                <c:pt idx="6205">
                  <c:v>265.86</c:v>
                </c:pt>
                <c:pt idx="6206">
                  <c:v>266.14</c:v>
                </c:pt>
                <c:pt idx="6207">
                  <c:v>266.02999999999997</c:v>
                </c:pt>
                <c:pt idx="6208">
                  <c:v>265.94</c:v>
                </c:pt>
                <c:pt idx="6209">
                  <c:v>265.81</c:v>
                </c:pt>
                <c:pt idx="6210">
                  <c:v>266.19</c:v>
                </c:pt>
                <c:pt idx="6211">
                  <c:v>265.94</c:v>
                </c:pt>
                <c:pt idx="6212">
                  <c:v>265.68</c:v>
                </c:pt>
                <c:pt idx="6213">
                  <c:v>265.63</c:v>
                </c:pt>
                <c:pt idx="6214">
                  <c:v>265.35000000000002</c:v>
                </c:pt>
                <c:pt idx="6215">
                  <c:v>263.5</c:v>
                </c:pt>
                <c:pt idx="6216">
                  <c:v>256.89999999999998</c:v>
                </c:pt>
                <c:pt idx="6217">
                  <c:v>256.85000000000002</c:v>
                </c:pt>
                <c:pt idx="6218">
                  <c:v>256.81</c:v>
                </c:pt>
                <c:pt idx="6219">
                  <c:v>256.74</c:v>
                </c:pt>
                <c:pt idx="6220">
                  <c:v>256.72000000000003</c:v>
                </c:pt>
                <c:pt idx="6221">
                  <c:v>256.91000000000003</c:v>
                </c:pt>
                <c:pt idx="6222">
                  <c:v>257.89999999999998</c:v>
                </c:pt>
                <c:pt idx="6223">
                  <c:v>260.91000000000003</c:v>
                </c:pt>
                <c:pt idx="6224">
                  <c:v>264.98</c:v>
                </c:pt>
                <c:pt idx="6225">
                  <c:v>267.27</c:v>
                </c:pt>
                <c:pt idx="6226">
                  <c:v>270.2</c:v>
                </c:pt>
                <c:pt idx="6227">
                  <c:v>270.64</c:v>
                </c:pt>
                <c:pt idx="6228">
                  <c:v>269.86</c:v>
                </c:pt>
                <c:pt idx="6229">
                  <c:v>273.67</c:v>
                </c:pt>
                <c:pt idx="6230">
                  <c:v>276.33999999999997</c:v>
                </c:pt>
                <c:pt idx="6231">
                  <c:v>276.26</c:v>
                </c:pt>
                <c:pt idx="6232">
                  <c:v>275.35000000000002</c:v>
                </c:pt>
                <c:pt idx="6233">
                  <c:v>270.08</c:v>
                </c:pt>
                <c:pt idx="6234">
                  <c:v>271.58</c:v>
                </c:pt>
                <c:pt idx="6235">
                  <c:v>271.16000000000003</c:v>
                </c:pt>
                <c:pt idx="6236">
                  <c:v>269.83</c:v>
                </c:pt>
                <c:pt idx="6237">
                  <c:v>269.61</c:v>
                </c:pt>
                <c:pt idx="6238">
                  <c:v>266.25</c:v>
                </c:pt>
                <c:pt idx="6239">
                  <c:v>264.55</c:v>
                </c:pt>
                <c:pt idx="6240">
                  <c:v>259.94</c:v>
                </c:pt>
                <c:pt idx="6241">
                  <c:v>258.32</c:v>
                </c:pt>
                <c:pt idx="6242">
                  <c:v>257.02</c:v>
                </c:pt>
                <c:pt idx="6243">
                  <c:v>256.77</c:v>
                </c:pt>
                <c:pt idx="6244">
                  <c:v>256.70999999999998</c:v>
                </c:pt>
                <c:pt idx="6245">
                  <c:v>257.52999999999997</c:v>
                </c:pt>
                <c:pt idx="6246">
                  <c:v>258.7</c:v>
                </c:pt>
                <c:pt idx="6247">
                  <c:v>264.95999999999998</c:v>
                </c:pt>
                <c:pt idx="6248">
                  <c:v>266.86</c:v>
                </c:pt>
                <c:pt idx="6249">
                  <c:v>272.08</c:v>
                </c:pt>
                <c:pt idx="6250">
                  <c:v>278.56</c:v>
                </c:pt>
                <c:pt idx="6251">
                  <c:v>280.10000000000002</c:v>
                </c:pt>
                <c:pt idx="6252">
                  <c:v>276.16000000000003</c:v>
                </c:pt>
                <c:pt idx="6253">
                  <c:v>280.16000000000003</c:v>
                </c:pt>
                <c:pt idx="6254">
                  <c:v>281.79000000000002</c:v>
                </c:pt>
                <c:pt idx="6255">
                  <c:v>281.70999999999998</c:v>
                </c:pt>
                <c:pt idx="6256">
                  <c:v>281.63</c:v>
                </c:pt>
                <c:pt idx="6257">
                  <c:v>274.86</c:v>
                </c:pt>
                <c:pt idx="6258">
                  <c:v>277.69</c:v>
                </c:pt>
                <c:pt idx="6259">
                  <c:v>276.83</c:v>
                </c:pt>
                <c:pt idx="6260">
                  <c:v>273.52</c:v>
                </c:pt>
                <c:pt idx="6261">
                  <c:v>272.94</c:v>
                </c:pt>
                <c:pt idx="6262">
                  <c:v>268.39999999999998</c:v>
                </c:pt>
                <c:pt idx="6263">
                  <c:v>265.5</c:v>
                </c:pt>
                <c:pt idx="6264">
                  <c:v>259.01</c:v>
                </c:pt>
                <c:pt idx="6265">
                  <c:v>257.48</c:v>
                </c:pt>
                <c:pt idx="6266">
                  <c:v>256.74</c:v>
                </c:pt>
                <c:pt idx="6267">
                  <c:v>255.26</c:v>
                </c:pt>
                <c:pt idx="6268">
                  <c:v>255.22</c:v>
                </c:pt>
                <c:pt idx="6269">
                  <c:v>256.98</c:v>
                </c:pt>
                <c:pt idx="6270">
                  <c:v>258.44</c:v>
                </c:pt>
                <c:pt idx="6271">
                  <c:v>261.61</c:v>
                </c:pt>
                <c:pt idx="6272">
                  <c:v>265.52</c:v>
                </c:pt>
                <c:pt idx="6273">
                  <c:v>267.76</c:v>
                </c:pt>
                <c:pt idx="6274">
                  <c:v>273.91000000000003</c:v>
                </c:pt>
                <c:pt idx="6275">
                  <c:v>275.66000000000003</c:v>
                </c:pt>
                <c:pt idx="6276">
                  <c:v>272.01</c:v>
                </c:pt>
                <c:pt idx="6277">
                  <c:v>276.18</c:v>
                </c:pt>
                <c:pt idx="6278">
                  <c:v>278.39999999999998</c:v>
                </c:pt>
                <c:pt idx="6279">
                  <c:v>280.33</c:v>
                </c:pt>
                <c:pt idx="6280">
                  <c:v>278.64</c:v>
                </c:pt>
                <c:pt idx="6281">
                  <c:v>271.88</c:v>
                </c:pt>
                <c:pt idx="6282">
                  <c:v>273.02</c:v>
                </c:pt>
                <c:pt idx="6283">
                  <c:v>272.7</c:v>
                </c:pt>
                <c:pt idx="6284">
                  <c:v>270.98</c:v>
                </c:pt>
                <c:pt idx="6285">
                  <c:v>270.72000000000003</c:v>
                </c:pt>
                <c:pt idx="6286">
                  <c:v>265.87</c:v>
                </c:pt>
                <c:pt idx="6287">
                  <c:v>264.68</c:v>
                </c:pt>
                <c:pt idx="6288">
                  <c:v>258.31</c:v>
                </c:pt>
                <c:pt idx="6289">
                  <c:v>256.88</c:v>
                </c:pt>
                <c:pt idx="6290">
                  <c:v>255.33</c:v>
                </c:pt>
                <c:pt idx="6291">
                  <c:v>254.82</c:v>
                </c:pt>
                <c:pt idx="6292">
                  <c:v>254.98</c:v>
                </c:pt>
                <c:pt idx="6293">
                  <c:v>256.02999999999997</c:v>
                </c:pt>
                <c:pt idx="6294">
                  <c:v>257.08</c:v>
                </c:pt>
                <c:pt idx="6295">
                  <c:v>259.41000000000003</c:v>
                </c:pt>
                <c:pt idx="6296">
                  <c:v>263.27</c:v>
                </c:pt>
                <c:pt idx="6297">
                  <c:v>265.58999999999997</c:v>
                </c:pt>
                <c:pt idx="6298">
                  <c:v>269.14999999999998</c:v>
                </c:pt>
                <c:pt idx="6299">
                  <c:v>269.88</c:v>
                </c:pt>
                <c:pt idx="6300">
                  <c:v>268.66000000000003</c:v>
                </c:pt>
                <c:pt idx="6301">
                  <c:v>273</c:v>
                </c:pt>
                <c:pt idx="6302">
                  <c:v>275.69</c:v>
                </c:pt>
                <c:pt idx="6303">
                  <c:v>275.60000000000002</c:v>
                </c:pt>
                <c:pt idx="6304">
                  <c:v>273.58</c:v>
                </c:pt>
                <c:pt idx="6305">
                  <c:v>267.98</c:v>
                </c:pt>
                <c:pt idx="6306">
                  <c:v>269.47000000000003</c:v>
                </c:pt>
                <c:pt idx="6307">
                  <c:v>269.35000000000002</c:v>
                </c:pt>
                <c:pt idx="6308">
                  <c:v>265.74</c:v>
                </c:pt>
                <c:pt idx="6309">
                  <c:v>265.32</c:v>
                </c:pt>
                <c:pt idx="6310">
                  <c:v>263.86</c:v>
                </c:pt>
                <c:pt idx="6311">
                  <c:v>262.69</c:v>
                </c:pt>
                <c:pt idx="6312">
                  <c:v>272.39999999999998</c:v>
                </c:pt>
                <c:pt idx="6313">
                  <c:v>269.72000000000003</c:v>
                </c:pt>
                <c:pt idx="6314">
                  <c:v>267.45</c:v>
                </c:pt>
                <c:pt idx="6315">
                  <c:v>265.83</c:v>
                </c:pt>
                <c:pt idx="6316">
                  <c:v>265.74</c:v>
                </c:pt>
                <c:pt idx="6317">
                  <c:v>265.75</c:v>
                </c:pt>
                <c:pt idx="6318">
                  <c:v>265.61</c:v>
                </c:pt>
                <c:pt idx="6319">
                  <c:v>267.14999999999998</c:v>
                </c:pt>
                <c:pt idx="6320">
                  <c:v>270.67</c:v>
                </c:pt>
                <c:pt idx="6321">
                  <c:v>272</c:v>
                </c:pt>
                <c:pt idx="6322">
                  <c:v>273.7</c:v>
                </c:pt>
                <c:pt idx="6323">
                  <c:v>273.7</c:v>
                </c:pt>
                <c:pt idx="6324">
                  <c:v>273.7</c:v>
                </c:pt>
                <c:pt idx="6325">
                  <c:v>273.7</c:v>
                </c:pt>
                <c:pt idx="6326">
                  <c:v>273.7</c:v>
                </c:pt>
                <c:pt idx="6327">
                  <c:v>273.7</c:v>
                </c:pt>
                <c:pt idx="6328">
                  <c:v>273.7</c:v>
                </c:pt>
                <c:pt idx="6329">
                  <c:v>273.74</c:v>
                </c:pt>
                <c:pt idx="6330">
                  <c:v>279.26</c:v>
                </c:pt>
                <c:pt idx="6331">
                  <c:v>278.8</c:v>
                </c:pt>
                <c:pt idx="6332">
                  <c:v>274.77999999999997</c:v>
                </c:pt>
                <c:pt idx="6333">
                  <c:v>273.85000000000002</c:v>
                </c:pt>
                <c:pt idx="6334">
                  <c:v>273.69</c:v>
                </c:pt>
                <c:pt idx="6335">
                  <c:v>271</c:v>
                </c:pt>
                <c:pt idx="6336">
                  <c:v>265.49</c:v>
                </c:pt>
                <c:pt idx="6337">
                  <c:v>263.91000000000003</c:v>
                </c:pt>
                <c:pt idx="6338">
                  <c:v>263.89999999999998</c:v>
                </c:pt>
                <c:pt idx="6339">
                  <c:v>262.98</c:v>
                </c:pt>
                <c:pt idx="6340">
                  <c:v>262.8</c:v>
                </c:pt>
                <c:pt idx="6341">
                  <c:v>261.95999999999998</c:v>
                </c:pt>
                <c:pt idx="6342">
                  <c:v>261.16000000000003</c:v>
                </c:pt>
                <c:pt idx="6343">
                  <c:v>261.06</c:v>
                </c:pt>
                <c:pt idx="6344">
                  <c:v>261.06</c:v>
                </c:pt>
                <c:pt idx="6345">
                  <c:v>261.05</c:v>
                </c:pt>
                <c:pt idx="6346">
                  <c:v>260.83999999999997</c:v>
                </c:pt>
                <c:pt idx="6347">
                  <c:v>260.49</c:v>
                </c:pt>
                <c:pt idx="6348">
                  <c:v>259.45999999999998</c:v>
                </c:pt>
                <c:pt idx="6349">
                  <c:v>259.10000000000002</c:v>
                </c:pt>
                <c:pt idx="6350">
                  <c:v>259</c:v>
                </c:pt>
                <c:pt idx="6351">
                  <c:v>259</c:v>
                </c:pt>
                <c:pt idx="6352">
                  <c:v>259.95999999999998</c:v>
                </c:pt>
                <c:pt idx="6353">
                  <c:v>260.58</c:v>
                </c:pt>
                <c:pt idx="6354">
                  <c:v>261.16000000000003</c:v>
                </c:pt>
                <c:pt idx="6355">
                  <c:v>261.47000000000003</c:v>
                </c:pt>
                <c:pt idx="6356">
                  <c:v>262.88</c:v>
                </c:pt>
                <c:pt idx="6357">
                  <c:v>263.60000000000002</c:v>
                </c:pt>
                <c:pt idx="6358">
                  <c:v>263.64999999999998</c:v>
                </c:pt>
                <c:pt idx="6359">
                  <c:v>263.69</c:v>
                </c:pt>
                <c:pt idx="6360">
                  <c:v>263.16000000000003</c:v>
                </c:pt>
                <c:pt idx="6361">
                  <c:v>261.45999999999998</c:v>
                </c:pt>
                <c:pt idx="6362">
                  <c:v>260.41000000000003</c:v>
                </c:pt>
                <c:pt idx="6363">
                  <c:v>260.3</c:v>
                </c:pt>
                <c:pt idx="6364">
                  <c:v>260.51</c:v>
                </c:pt>
                <c:pt idx="6365">
                  <c:v>261.39</c:v>
                </c:pt>
                <c:pt idx="6366">
                  <c:v>263.44</c:v>
                </c:pt>
                <c:pt idx="6367">
                  <c:v>267.45999999999998</c:v>
                </c:pt>
                <c:pt idx="6368">
                  <c:v>272.41000000000003</c:v>
                </c:pt>
                <c:pt idx="6369">
                  <c:v>274.14</c:v>
                </c:pt>
                <c:pt idx="6370">
                  <c:v>276.64</c:v>
                </c:pt>
                <c:pt idx="6371">
                  <c:v>276.89999999999998</c:v>
                </c:pt>
                <c:pt idx="6372">
                  <c:v>276.52999999999997</c:v>
                </c:pt>
                <c:pt idx="6373">
                  <c:v>277.14999999999998</c:v>
                </c:pt>
                <c:pt idx="6374">
                  <c:v>277.77999999999997</c:v>
                </c:pt>
                <c:pt idx="6375">
                  <c:v>277.93</c:v>
                </c:pt>
                <c:pt idx="6376">
                  <c:v>277.66000000000003</c:v>
                </c:pt>
                <c:pt idx="6377">
                  <c:v>276.88</c:v>
                </c:pt>
                <c:pt idx="6378">
                  <c:v>277.3</c:v>
                </c:pt>
                <c:pt idx="6379">
                  <c:v>277.39</c:v>
                </c:pt>
                <c:pt idx="6380">
                  <c:v>276.98</c:v>
                </c:pt>
                <c:pt idx="6381">
                  <c:v>276.98</c:v>
                </c:pt>
                <c:pt idx="6382">
                  <c:v>274.88</c:v>
                </c:pt>
                <c:pt idx="6383">
                  <c:v>272.05</c:v>
                </c:pt>
                <c:pt idx="6384">
                  <c:v>265.32</c:v>
                </c:pt>
                <c:pt idx="6385">
                  <c:v>263.02999999999997</c:v>
                </c:pt>
                <c:pt idx="6386">
                  <c:v>263.01</c:v>
                </c:pt>
                <c:pt idx="6387">
                  <c:v>262.73</c:v>
                </c:pt>
                <c:pt idx="6388">
                  <c:v>261.89999999999998</c:v>
                </c:pt>
                <c:pt idx="6389">
                  <c:v>261.58</c:v>
                </c:pt>
                <c:pt idx="6390">
                  <c:v>261.57</c:v>
                </c:pt>
                <c:pt idx="6391">
                  <c:v>261.56</c:v>
                </c:pt>
                <c:pt idx="6392">
                  <c:v>261.55</c:v>
                </c:pt>
                <c:pt idx="6393">
                  <c:v>261.56</c:v>
                </c:pt>
                <c:pt idx="6394">
                  <c:v>262.20999999999998</c:v>
                </c:pt>
                <c:pt idx="6395">
                  <c:v>262.89999999999998</c:v>
                </c:pt>
                <c:pt idx="6396">
                  <c:v>266.3</c:v>
                </c:pt>
                <c:pt idx="6397">
                  <c:v>266.35000000000002</c:v>
                </c:pt>
                <c:pt idx="6398">
                  <c:v>268.13</c:v>
                </c:pt>
                <c:pt idx="6399">
                  <c:v>268.44</c:v>
                </c:pt>
                <c:pt idx="6400">
                  <c:v>269.95</c:v>
                </c:pt>
                <c:pt idx="6401">
                  <c:v>271.58999999999997</c:v>
                </c:pt>
                <c:pt idx="6402">
                  <c:v>272.39</c:v>
                </c:pt>
                <c:pt idx="6403">
                  <c:v>274.29000000000002</c:v>
                </c:pt>
                <c:pt idx="6404">
                  <c:v>274.7</c:v>
                </c:pt>
                <c:pt idx="6405">
                  <c:v>275.47000000000003</c:v>
                </c:pt>
                <c:pt idx="6406">
                  <c:v>275.62</c:v>
                </c:pt>
                <c:pt idx="6407">
                  <c:v>275.62</c:v>
                </c:pt>
                <c:pt idx="6408">
                  <c:v>262.62</c:v>
                </c:pt>
                <c:pt idx="6409">
                  <c:v>261.88</c:v>
                </c:pt>
                <c:pt idx="6410">
                  <c:v>261.02</c:v>
                </c:pt>
                <c:pt idx="6411">
                  <c:v>260.98</c:v>
                </c:pt>
                <c:pt idx="6412">
                  <c:v>261.20999999999998</c:v>
                </c:pt>
                <c:pt idx="6413">
                  <c:v>261.83</c:v>
                </c:pt>
                <c:pt idx="6414">
                  <c:v>264.27</c:v>
                </c:pt>
                <c:pt idx="6415">
                  <c:v>266.74</c:v>
                </c:pt>
                <c:pt idx="6416">
                  <c:v>270.88</c:v>
                </c:pt>
                <c:pt idx="6417">
                  <c:v>272.52</c:v>
                </c:pt>
                <c:pt idx="6418">
                  <c:v>273.89999999999998</c:v>
                </c:pt>
                <c:pt idx="6419">
                  <c:v>275.12</c:v>
                </c:pt>
                <c:pt idx="6420">
                  <c:v>273.41000000000003</c:v>
                </c:pt>
                <c:pt idx="6421">
                  <c:v>275.18</c:v>
                </c:pt>
                <c:pt idx="6422">
                  <c:v>276.88</c:v>
                </c:pt>
                <c:pt idx="6423">
                  <c:v>276.57</c:v>
                </c:pt>
                <c:pt idx="6424">
                  <c:v>275.77</c:v>
                </c:pt>
                <c:pt idx="6425">
                  <c:v>273.62</c:v>
                </c:pt>
                <c:pt idx="6426">
                  <c:v>275.18</c:v>
                </c:pt>
                <c:pt idx="6427">
                  <c:v>274.77</c:v>
                </c:pt>
                <c:pt idx="6428">
                  <c:v>274.2</c:v>
                </c:pt>
                <c:pt idx="6429">
                  <c:v>273.66000000000003</c:v>
                </c:pt>
                <c:pt idx="6430">
                  <c:v>271.88</c:v>
                </c:pt>
                <c:pt idx="6431">
                  <c:v>267.52</c:v>
                </c:pt>
                <c:pt idx="6432">
                  <c:v>265.2</c:v>
                </c:pt>
                <c:pt idx="6433">
                  <c:v>263.92</c:v>
                </c:pt>
                <c:pt idx="6434">
                  <c:v>263.08999999999997</c:v>
                </c:pt>
                <c:pt idx="6435">
                  <c:v>262.42</c:v>
                </c:pt>
                <c:pt idx="6436">
                  <c:v>262.38</c:v>
                </c:pt>
                <c:pt idx="6437">
                  <c:v>262.37</c:v>
                </c:pt>
                <c:pt idx="6438">
                  <c:v>262.35000000000002</c:v>
                </c:pt>
                <c:pt idx="6439">
                  <c:v>262.33999999999997</c:v>
                </c:pt>
                <c:pt idx="6440">
                  <c:v>262.33</c:v>
                </c:pt>
                <c:pt idx="6441">
                  <c:v>262.37</c:v>
                </c:pt>
                <c:pt idx="6442">
                  <c:v>262.98</c:v>
                </c:pt>
                <c:pt idx="6443">
                  <c:v>264.27999999999997</c:v>
                </c:pt>
                <c:pt idx="6444">
                  <c:v>265.64999999999998</c:v>
                </c:pt>
                <c:pt idx="6445">
                  <c:v>265.67</c:v>
                </c:pt>
                <c:pt idx="6446">
                  <c:v>266.43</c:v>
                </c:pt>
                <c:pt idx="6447">
                  <c:v>269.56</c:v>
                </c:pt>
                <c:pt idx="6448">
                  <c:v>270.08</c:v>
                </c:pt>
                <c:pt idx="6449">
                  <c:v>271.82</c:v>
                </c:pt>
                <c:pt idx="6450">
                  <c:v>274.18</c:v>
                </c:pt>
                <c:pt idx="6451">
                  <c:v>275.52</c:v>
                </c:pt>
                <c:pt idx="6452">
                  <c:v>276.74</c:v>
                </c:pt>
                <c:pt idx="6453">
                  <c:v>277.24</c:v>
                </c:pt>
                <c:pt idx="6454">
                  <c:v>277.20999999999998</c:v>
                </c:pt>
                <c:pt idx="6455">
                  <c:v>277.19</c:v>
                </c:pt>
                <c:pt idx="6456">
                  <c:v>263.42</c:v>
                </c:pt>
                <c:pt idx="6457">
                  <c:v>262.18</c:v>
                </c:pt>
                <c:pt idx="6458">
                  <c:v>262.12</c:v>
                </c:pt>
                <c:pt idx="6459">
                  <c:v>262.12</c:v>
                </c:pt>
                <c:pt idx="6460">
                  <c:v>262.12</c:v>
                </c:pt>
                <c:pt idx="6461">
                  <c:v>262.95999999999998</c:v>
                </c:pt>
                <c:pt idx="6462">
                  <c:v>266.68</c:v>
                </c:pt>
                <c:pt idx="6463">
                  <c:v>267.58999999999997</c:v>
                </c:pt>
                <c:pt idx="6464">
                  <c:v>272.43</c:v>
                </c:pt>
                <c:pt idx="6465">
                  <c:v>275.43</c:v>
                </c:pt>
                <c:pt idx="6466">
                  <c:v>276.45999999999998</c:v>
                </c:pt>
                <c:pt idx="6467">
                  <c:v>276.74</c:v>
                </c:pt>
                <c:pt idx="6468">
                  <c:v>275.95999999999998</c:v>
                </c:pt>
                <c:pt idx="6469">
                  <c:v>276.92</c:v>
                </c:pt>
                <c:pt idx="6470">
                  <c:v>277.32</c:v>
                </c:pt>
                <c:pt idx="6471">
                  <c:v>277.02999999999997</c:v>
                </c:pt>
                <c:pt idx="6472">
                  <c:v>276.74</c:v>
                </c:pt>
                <c:pt idx="6473">
                  <c:v>275.7</c:v>
                </c:pt>
                <c:pt idx="6474">
                  <c:v>276.25</c:v>
                </c:pt>
                <c:pt idx="6475">
                  <c:v>275.70999999999998</c:v>
                </c:pt>
                <c:pt idx="6476">
                  <c:v>275.52999999999997</c:v>
                </c:pt>
                <c:pt idx="6477">
                  <c:v>274.98</c:v>
                </c:pt>
                <c:pt idx="6478">
                  <c:v>272.3</c:v>
                </c:pt>
                <c:pt idx="6479">
                  <c:v>268.39999999999998</c:v>
                </c:pt>
                <c:pt idx="6480">
                  <c:v>314.14</c:v>
                </c:pt>
                <c:pt idx="6481">
                  <c:v>312.81</c:v>
                </c:pt>
                <c:pt idx="6482">
                  <c:v>310.5</c:v>
                </c:pt>
                <c:pt idx="6483">
                  <c:v>309.52999999999997</c:v>
                </c:pt>
                <c:pt idx="6484">
                  <c:v>309.52999999999997</c:v>
                </c:pt>
                <c:pt idx="6485">
                  <c:v>309.52999999999997</c:v>
                </c:pt>
                <c:pt idx="6486">
                  <c:v>309.91000000000003</c:v>
                </c:pt>
                <c:pt idx="6487">
                  <c:v>312.42</c:v>
                </c:pt>
                <c:pt idx="6488">
                  <c:v>314</c:v>
                </c:pt>
                <c:pt idx="6489">
                  <c:v>315.06</c:v>
                </c:pt>
                <c:pt idx="6490">
                  <c:v>315.94</c:v>
                </c:pt>
                <c:pt idx="6491">
                  <c:v>315.94</c:v>
                </c:pt>
                <c:pt idx="6492">
                  <c:v>315.94</c:v>
                </c:pt>
                <c:pt idx="6493">
                  <c:v>315.94</c:v>
                </c:pt>
                <c:pt idx="6494">
                  <c:v>315.73</c:v>
                </c:pt>
                <c:pt idx="6495">
                  <c:v>315.64999999999998</c:v>
                </c:pt>
                <c:pt idx="6496">
                  <c:v>315.86</c:v>
                </c:pt>
                <c:pt idx="6497">
                  <c:v>317.25</c:v>
                </c:pt>
                <c:pt idx="6498">
                  <c:v>322.8</c:v>
                </c:pt>
                <c:pt idx="6499">
                  <c:v>322.73</c:v>
                </c:pt>
                <c:pt idx="6500">
                  <c:v>318.56</c:v>
                </c:pt>
                <c:pt idx="6501">
                  <c:v>317</c:v>
                </c:pt>
                <c:pt idx="6502">
                  <c:v>315.38</c:v>
                </c:pt>
                <c:pt idx="6503">
                  <c:v>313.57</c:v>
                </c:pt>
                <c:pt idx="6504">
                  <c:v>310.32</c:v>
                </c:pt>
                <c:pt idx="6505">
                  <c:v>308.06</c:v>
                </c:pt>
                <c:pt idx="6506">
                  <c:v>306.27</c:v>
                </c:pt>
                <c:pt idx="6507">
                  <c:v>304.39999999999998</c:v>
                </c:pt>
                <c:pt idx="6508">
                  <c:v>303.17</c:v>
                </c:pt>
                <c:pt idx="6509">
                  <c:v>301.58</c:v>
                </c:pt>
                <c:pt idx="6510">
                  <c:v>297.68</c:v>
                </c:pt>
                <c:pt idx="6511">
                  <c:v>299.27</c:v>
                </c:pt>
                <c:pt idx="6512">
                  <c:v>303.45999999999998</c:v>
                </c:pt>
                <c:pt idx="6513">
                  <c:v>306.86</c:v>
                </c:pt>
                <c:pt idx="6514">
                  <c:v>310.17</c:v>
                </c:pt>
                <c:pt idx="6515">
                  <c:v>312.06</c:v>
                </c:pt>
                <c:pt idx="6516">
                  <c:v>312.05</c:v>
                </c:pt>
                <c:pt idx="6517">
                  <c:v>311.68</c:v>
                </c:pt>
                <c:pt idx="6518">
                  <c:v>311.62</c:v>
                </c:pt>
                <c:pt idx="6519">
                  <c:v>311.60000000000002</c:v>
                </c:pt>
                <c:pt idx="6520">
                  <c:v>312.2</c:v>
                </c:pt>
                <c:pt idx="6521">
                  <c:v>314.29000000000002</c:v>
                </c:pt>
                <c:pt idx="6522">
                  <c:v>318.67</c:v>
                </c:pt>
                <c:pt idx="6523">
                  <c:v>318.52999999999997</c:v>
                </c:pt>
                <c:pt idx="6524">
                  <c:v>317.68</c:v>
                </c:pt>
                <c:pt idx="6525">
                  <c:v>315.95</c:v>
                </c:pt>
                <c:pt idx="6526">
                  <c:v>315.39999999999998</c:v>
                </c:pt>
                <c:pt idx="6527">
                  <c:v>313.08</c:v>
                </c:pt>
                <c:pt idx="6528">
                  <c:v>308.7</c:v>
                </c:pt>
                <c:pt idx="6529">
                  <c:v>307.08</c:v>
                </c:pt>
                <c:pt idx="6530">
                  <c:v>306.48</c:v>
                </c:pt>
                <c:pt idx="6531">
                  <c:v>306.62</c:v>
                </c:pt>
                <c:pt idx="6532">
                  <c:v>306.94</c:v>
                </c:pt>
                <c:pt idx="6533">
                  <c:v>308.77999999999997</c:v>
                </c:pt>
                <c:pt idx="6534">
                  <c:v>312.99</c:v>
                </c:pt>
                <c:pt idx="6535">
                  <c:v>314.89999999999998</c:v>
                </c:pt>
                <c:pt idx="6536">
                  <c:v>318.5</c:v>
                </c:pt>
                <c:pt idx="6537">
                  <c:v>321.73</c:v>
                </c:pt>
                <c:pt idx="6538">
                  <c:v>326.36</c:v>
                </c:pt>
                <c:pt idx="6539">
                  <c:v>326.62</c:v>
                </c:pt>
                <c:pt idx="6540">
                  <c:v>326.52999999999997</c:v>
                </c:pt>
                <c:pt idx="6541">
                  <c:v>327.82</c:v>
                </c:pt>
                <c:pt idx="6542">
                  <c:v>329.34</c:v>
                </c:pt>
                <c:pt idx="6543">
                  <c:v>329.5</c:v>
                </c:pt>
                <c:pt idx="6544">
                  <c:v>329.2</c:v>
                </c:pt>
                <c:pt idx="6545">
                  <c:v>326.85000000000002</c:v>
                </c:pt>
                <c:pt idx="6546">
                  <c:v>328.16</c:v>
                </c:pt>
                <c:pt idx="6547">
                  <c:v>328.21</c:v>
                </c:pt>
                <c:pt idx="6548">
                  <c:v>327.02</c:v>
                </c:pt>
                <c:pt idx="6549">
                  <c:v>326.76</c:v>
                </c:pt>
                <c:pt idx="6550">
                  <c:v>323.14999999999998</c:v>
                </c:pt>
                <c:pt idx="6551">
                  <c:v>318.60000000000002</c:v>
                </c:pt>
                <c:pt idx="6552">
                  <c:v>313.42</c:v>
                </c:pt>
                <c:pt idx="6553">
                  <c:v>309.91000000000003</c:v>
                </c:pt>
                <c:pt idx="6554">
                  <c:v>308.82</c:v>
                </c:pt>
                <c:pt idx="6555">
                  <c:v>308.79000000000002</c:v>
                </c:pt>
                <c:pt idx="6556">
                  <c:v>308.95</c:v>
                </c:pt>
                <c:pt idx="6557">
                  <c:v>309.60000000000002</c:v>
                </c:pt>
                <c:pt idx="6558">
                  <c:v>312.97000000000003</c:v>
                </c:pt>
                <c:pt idx="6559">
                  <c:v>316.14</c:v>
                </c:pt>
                <c:pt idx="6560">
                  <c:v>318.02999999999997</c:v>
                </c:pt>
                <c:pt idx="6561">
                  <c:v>321.86</c:v>
                </c:pt>
                <c:pt idx="6562">
                  <c:v>325.39</c:v>
                </c:pt>
                <c:pt idx="6563">
                  <c:v>325.64</c:v>
                </c:pt>
                <c:pt idx="6564">
                  <c:v>325.39</c:v>
                </c:pt>
                <c:pt idx="6565">
                  <c:v>326.57</c:v>
                </c:pt>
                <c:pt idx="6566">
                  <c:v>327.88</c:v>
                </c:pt>
                <c:pt idx="6567">
                  <c:v>327.93</c:v>
                </c:pt>
                <c:pt idx="6568">
                  <c:v>327.87</c:v>
                </c:pt>
                <c:pt idx="6569">
                  <c:v>325.61</c:v>
                </c:pt>
                <c:pt idx="6570">
                  <c:v>326.72000000000003</c:v>
                </c:pt>
                <c:pt idx="6571">
                  <c:v>326.82</c:v>
                </c:pt>
                <c:pt idx="6572">
                  <c:v>325.64999999999998</c:v>
                </c:pt>
                <c:pt idx="6573">
                  <c:v>325.61</c:v>
                </c:pt>
                <c:pt idx="6574">
                  <c:v>323.45</c:v>
                </c:pt>
                <c:pt idx="6575">
                  <c:v>318.38</c:v>
                </c:pt>
                <c:pt idx="6576">
                  <c:v>315.35000000000002</c:v>
                </c:pt>
                <c:pt idx="6577">
                  <c:v>312.77999999999997</c:v>
                </c:pt>
                <c:pt idx="6578">
                  <c:v>312.10000000000002</c:v>
                </c:pt>
                <c:pt idx="6579">
                  <c:v>312.07</c:v>
                </c:pt>
                <c:pt idx="6580">
                  <c:v>312.04000000000002</c:v>
                </c:pt>
                <c:pt idx="6581">
                  <c:v>312.35000000000002</c:v>
                </c:pt>
                <c:pt idx="6582">
                  <c:v>314.37</c:v>
                </c:pt>
                <c:pt idx="6583">
                  <c:v>316.64999999999998</c:v>
                </c:pt>
                <c:pt idx="6584">
                  <c:v>321.13</c:v>
                </c:pt>
                <c:pt idx="6585">
                  <c:v>326.38</c:v>
                </c:pt>
                <c:pt idx="6586">
                  <c:v>328.02</c:v>
                </c:pt>
                <c:pt idx="6587">
                  <c:v>328.76</c:v>
                </c:pt>
                <c:pt idx="6588">
                  <c:v>327.98</c:v>
                </c:pt>
                <c:pt idx="6589">
                  <c:v>330.22</c:v>
                </c:pt>
                <c:pt idx="6590">
                  <c:v>331.92</c:v>
                </c:pt>
                <c:pt idx="6591">
                  <c:v>332</c:v>
                </c:pt>
                <c:pt idx="6592">
                  <c:v>330.08</c:v>
                </c:pt>
                <c:pt idx="6593">
                  <c:v>327.48</c:v>
                </c:pt>
                <c:pt idx="6594">
                  <c:v>328.66</c:v>
                </c:pt>
                <c:pt idx="6595">
                  <c:v>328.44</c:v>
                </c:pt>
                <c:pt idx="6596">
                  <c:v>327.14999999999998</c:v>
                </c:pt>
                <c:pt idx="6597">
                  <c:v>327.10000000000002</c:v>
                </c:pt>
                <c:pt idx="6598">
                  <c:v>325.31</c:v>
                </c:pt>
                <c:pt idx="6599">
                  <c:v>320.33999999999997</c:v>
                </c:pt>
                <c:pt idx="6600">
                  <c:v>314.86</c:v>
                </c:pt>
                <c:pt idx="6601">
                  <c:v>314.06</c:v>
                </c:pt>
                <c:pt idx="6602">
                  <c:v>313.29000000000002</c:v>
                </c:pt>
                <c:pt idx="6603">
                  <c:v>313.11</c:v>
                </c:pt>
                <c:pt idx="6604">
                  <c:v>313.29000000000002</c:v>
                </c:pt>
                <c:pt idx="6605">
                  <c:v>313.5</c:v>
                </c:pt>
                <c:pt idx="6606">
                  <c:v>314.62</c:v>
                </c:pt>
                <c:pt idx="6607">
                  <c:v>316.51</c:v>
                </c:pt>
                <c:pt idx="6608">
                  <c:v>320.77999999999997</c:v>
                </c:pt>
                <c:pt idx="6609">
                  <c:v>325.38</c:v>
                </c:pt>
                <c:pt idx="6610">
                  <c:v>328.15</c:v>
                </c:pt>
                <c:pt idx="6611">
                  <c:v>329.72</c:v>
                </c:pt>
                <c:pt idx="6612">
                  <c:v>326.89999999999998</c:v>
                </c:pt>
                <c:pt idx="6613">
                  <c:v>330.69</c:v>
                </c:pt>
                <c:pt idx="6614">
                  <c:v>332.37</c:v>
                </c:pt>
                <c:pt idx="6615">
                  <c:v>332.21</c:v>
                </c:pt>
                <c:pt idx="6616">
                  <c:v>332.14</c:v>
                </c:pt>
                <c:pt idx="6617">
                  <c:v>325.56</c:v>
                </c:pt>
                <c:pt idx="6618">
                  <c:v>328.04</c:v>
                </c:pt>
                <c:pt idx="6619">
                  <c:v>327.11</c:v>
                </c:pt>
                <c:pt idx="6620">
                  <c:v>324.89999999999998</c:v>
                </c:pt>
                <c:pt idx="6621">
                  <c:v>324.83999999999997</c:v>
                </c:pt>
                <c:pt idx="6622">
                  <c:v>322.77999999999997</c:v>
                </c:pt>
                <c:pt idx="6623">
                  <c:v>320.10000000000002</c:v>
                </c:pt>
                <c:pt idx="6624">
                  <c:v>313.44</c:v>
                </c:pt>
                <c:pt idx="6625">
                  <c:v>312.79000000000002</c:v>
                </c:pt>
                <c:pt idx="6626">
                  <c:v>311.44</c:v>
                </c:pt>
                <c:pt idx="6627">
                  <c:v>311.19</c:v>
                </c:pt>
                <c:pt idx="6628">
                  <c:v>311.45</c:v>
                </c:pt>
                <c:pt idx="6629">
                  <c:v>312.39999999999998</c:v>
                </c:pt>
                <c:pt idx="6630">
                  <c:v>313.77999999999997</c:v>
                </c:pt>
                <c:pt idx="6631">
                  <c:v>316.76</c:v>
                </c:pt>
                <c:pt idx="6632">
                  <c:v>321.45999999999998</c:v>
                </c:pt>
                <c:pt idx="6633">
                  <c:v>323.25</c:v>
                </c:pt>
                <c:pt idx="6634">
                  <c:v>324.75</c:v>
                </c:pt>
                <c:pt idx="6635">
                  <c:v>326.45</c:v>
                </c:pt>
                <c:pt idx="6636">
                  <c:v>324.24</c:v>
                </c:pt>
                <c:pt idx="6637">
                  <c:v>328.77</c:v>
                </c:pt>
                <c:pt idx="6638">
                  <c:v>331.4</c:v>
                </c:pt>
                <c:pt idx="6639">
                  <c:v>331.05</c:v>
                </c:pt>
                <c:pt idx="6640">
                  <c:v>327.77</c:v>
                </c:pt>
                <c:pt idx="6641">
                  <c:v>323.60000000000002</c:v>
                </c:pt>
                <c:pt idx="6642">
                  <c:v>324.2</c:v>
                </c:pt>
                <c:pt idx="6643">
                  <c:v>323.81</c:v>
                </c:pt>
                <c:pt idx="6644">
                  <c:v>323.42</c:v>
                </c:pt>
                <c:pt idx="6645">
                  <c:v>323.37</c:v>
                </c:pt>
                <c:pt idx="6646">
                  <c:v>321.61</c:v>
                </c:pt>
                <c:pt idx="6647">
                  <c:v>316.7</c:v>
                </c:pt>
                <c:pt idx="6648">
                  <c:v>272.27</c:v>
                </c:pt>
                <c:pt idx="6649">
                  <c:v>270.32</c:v>
                </c:pt>
                <c:pt idx="6650">
                  <c:v>267.87</c:v>
                </c:pt>
                <c:pt idx="6651">
                  <c:v>267.39</c:v>
                </c:pt>
                <c:pt idx="6652">
                  <c:v>267.32</c:v>
                </c:pt>
                <c:pt idx="6653">
                  <c:v>267.16000000000003</c:v>
                </c:pt>
                <c:pt idx="6654">
                  <c:v>265.43</c:v>
                </c:pt>
                <c:pt idx="6655">
                  <c:v>268.37</c:v>
                </c:pt>
                <c:pt idx="6656">
                  <c:v>271.55</c:v>
                </c:pt>
                <c:pt idx="6657">
                  <c:v>272.85000000000002</c:v>
                </c:pt>
                <c:pt idx="6658">
                  <c:v>273.12</c:v>
                </c:pt>
                <c:pt idx="6659">
                  <c:v>273.29000000000002</c:v>
                </c:pt>
                <c:pt idx="6660">
                  <c:v>273.3</c:v>
                </c:pt>
                <c:pt idx="6661">
                  <c:v>273.35000000000002</c:v>
                </c:pt>
                <c:pt idx="6662">
                  <c:v>273.35000000000002</c:v>
                </c:pt>
                <c:pt idx="6663">
                  <c:v>273.29000000000002</c:v>
                </c:pt>
                <c:pt idx="6664">
                  <c:v>273.29000000000002</c:v>
                </c:pt>
                <c:pt idx="6665">
                  <c:v>273.94</c:v>
                </c:pt>
                <c:pt idx="6666">
                  <c:v>278.64</c:v>
                </c:pt>
                <c:pt idx="6667">
                  <c:v>279.12</c:v>
                </c:pt>
                <c:pt idx="6668">
                  <c:v>276.89999999999998</c:v>
                </c:pt>
                <c:pt idx="6669">
                  <c:v>275.18</c:v>
                </c:pt>
                <c:pt idx="6670">
                  <c:v>273.08</c:v>
                </c:pt>
                <c:pt idx="6671">
                  <c:v>271.93</c:v>
                </c:pt>
                <c:pt idx="6672">
                  <c:v>267.54000000000002</c:v>
                </c:pt>
                <c:pt idx="6673">
                  <c:v>264.89</c:v>
                </c:pt>
                <c:pt idx="6674">
                  <c:v>259.97000000000003</c:v>
                </c:pt>
                <c:pt idx="6675">
                  <c:v>258.2</c:v>
                </c:pt>
                <c:pt idx="6676">
                  <c:v>256.82</c:v>
                </c:pt>
                <c:pt idx="6677">
                  <c:v>255.14</c:v>
                </c:pt>
                <c:pt idx="6678">
                  <c:v>252.76999999999998</c:v>
                </c:pt>
                <c:pt idx="6679">
                  <c:v>253.97000000000003</c:v>
                </c:pt>
                <c:pt idx="6680">
                  <c:v>257.20999999999998</c:v>
                </c:pt>
                <c:pt idx="6681">
                  <c:v>260.52999999999997</c:v>
                </c:pt>
                <c:pt idx="6682">
                  <c:v>262.99</c:v>
                </c:pt>
                <c:pt idx="6683">
                  <c:v>263.72000000000003</c:v>
                </c:pt>
                <c:pt idx="6684">
                  <c:v>263.7</c:v>
                </c:pt>
                <c:pt idx="6685">
                  <c:v>263.7</c:v>
                </c:pt>
                <c:pt idx="6686">
                  <c:v>263.7</c:v>
                </c:pt>
                <c:pt idx="6687">
                  <c:v>264.08</c:v>
                </c:pt>
                <c:pt idx="6688">
                  <c:v>265.95</c:v>
                </c:pt>
                <c:pt idx="6689">
                  <c:v>269.26</c:v>
                </c:pt>
                <c:pt idx="6690">
                  <c:v>273.22000000000003</c:v>
                </c:pt>
                <c:pt idx="6691">
                  <c:v>273.25</c:v>
                </c:pt>
                <c:pt idx="6692">
                  <c:v>271.77</c:v>
                </c:pt>
                <c:pt idx="6693">
                  <c:v>271.73</c:v>
                </c:pt>
                <c:pt idx="6694">
                  <c:v>271.58</c:v>
                </c:pt>
                <c:pt idx="6695">
                  <c:v>269.42</c:v>
                </c:pt>
                <c:pt idx="6696">
                  <c:v>266.04000000000002</c:v>
                </c:pt>
                <c:pt idx="6697">
                  <c:v>263.19</c:v>
                </c:pt>
                <c:pt idx="6698">
                  <c:v>262.89</c:v>
                </c:pt>
                <c:pt idx="6699">
                  <c:v>262.87</c:v>
                </c:pt>
                <c:pt idx="6700">
                  <c:v>263.08</c:v>
                </c:pt>
                <c:pt idx="6701">
                  <c:v>264.19</c:v>
                </c:pt>
                <c:pt idx="6702">
                  <c:v>268.11</c:v>
                </c:pt>
                <c:pt idx="6703">
                  <c:v>271.02999999999997</c:v>
                </c:pt>
                <c:pt idx="6704">
                  <c:v>274.7</c:v>
                </c:pt>
                <c:pt idx="6705">
                  <c:v>278.75</c:v>
                </c:pt>
                <c:pt idx="6706">
                  <c:v>280.93</c:v>
                </c:pt>
                <c:pt idx="6707">
                  <c:v>281.33</c:v>
                </c:pt>
                <c:pt idx="6708">
                  <c:v>280.88</c:v>
                </c:pt>
                <c:pt idx="6709">
                  <c:v>281.57</c:v>
                </c:pt>
                <c:pt idx="6710">
                  <c:v>282.13</c:v>
                </c:pt>
                <c:pt idx="6711">
                  <c:v>281.95999999999998</c:v>
                </c:pt>
                <c:pt idx="6712">
                  <c:v>281.68</c:v>
                </c:pt>
                <c:pt idx="6713">
                  <c:v>281.07</c:v>
                </c:pt>
                <c:pt idx="6714">
                  <c:v>281.60000000000002</c:v>
                </c:pt>
                <c:pt idx="6715">
                  <c:v>281.60000000000002</c:v>
                </c:pt>
                <c:pt idx="6716">
                  <c:v>281.43</c:v>
                </c:pt>
                <c:pt idx="6717">
                  <c:v>281.02</c:v>
                </c:pt>
                <c:pt idx="6718">
                  <c:v>276.95999999999998</c:v>
                </c:pt>
                <c:pt idx="6719">
                  <c:v>272.38</c:v>
                </c:pt>
                <c:pt idx="6720">
                  <c:v>268.49</c:v>
                </c:pt>
                <c:pt idx="6721">
                  <c:v>266.39999999999998</c:v>
                </c:pt>
                <c:pt idx="6722">
                  <c:v>265.76</c:v>
                </c:pt>
                <c:pt idx="6723">
                  <c:v>265.89999999999998</c:v>
                </c:pt>
                <c:pt idx="6724">
                  <c:v>265.98</c:v>
                </c:pt>
                <c:pt idx="6725">
                  <c:v>266.56</c:v>
                </c:pt>
                <c:pt idx="6726">
                  <c:v>268.62</c:v>
                </c:pt>
                <c:pt idx="6727">
                  <c:v>271.74</c:v>
                </c:pt>
                <c:pt idx="6728">
                  <c:v>278.02999999999997</c:v>
                </c:pt>
                <c:pt idx="6729">
                  <c:v>280.08</c:v>
                </c:pt>
                <c:pt idx="6730">
                  <c:v>281.54000000000002</c:v>
                </c:pt>
                <c:pt idx="6731">
                  <c:v>282.06</c:v>
                </c:pt>
                <c:pt idx="6732">
                  <c:v>281.94</c:v>
                </c:pt>
                <c:pt idx="6733">
                  <c:v>282.7</c:v>
                </c:pt>
                <c:pt idx="6734">
                  <c:v>283.24</c:v>
                </c:pt>
                <c:pt idx="6735">
                  <c:v>283.44</c:v>
                </c:pt>
                <c:pt idx="6736">
                  <c:v>283.66000000000003</c:v>
                </c:pt>
                <c:pt idx="6737">
                  <c:v>282.18</c:v>
                </c:pt>
                <c:pt idx="6738">
                  <c:v>283.63</c:v>
                </c:pt>
                <c:pt idx="6739">
                  <c:v>283.77999999999997</c:v>
                </c:pt>
                <c:pt idx="6740">
                  <c:v>282.02</c:v>
                </c:pt>
                <c:pt idx="6741">
                  <c:v>281.91000000000003</c:v>
                </c:pt>
                <c:pt idx="6742">
                  <c:v>279.64999999999998</c:v>
                </c:pt>
                <c:pt idx="6743">
                  <c:v>275.83999999999997</c:v>
                </c:pt>
                <c:pt idx="6744">
                  <c:v>265.2</c:v>
                </c:pt>
                <c:pt idx="6745">
                  <c:v>262.18</c:v>
                </c:pt>
                <c:pt idx="6746">
                  <c:v>261.74</c:v>
                </c:pt>
                <c:pt idx="6747">
                  <c:v>261.82</c:v>
                </c:pt>
                <c:pt idx="6748">
                  <c:v>261.92</c:v>
                </c:pt>
                <c:pt idx="6749">
                  <c:v>263.91000000000003</c:v>
                </c:pt>
                <c:pt idx="6750">
                  <c:v>266.36</c:v>
                </c:pt>
                <c:pt idx="6751">
                  <c:v>270.42</c:v>
                </c:pt>
                <c:pt idx="6752">
                  <c:v>273.81</c:v>
                </c:pt>
                <c:pt idx="6753">
                  <c:v>276.02999999999997</c:v>
                </c:pt>
                <c:pt idx="6754">
                  <c:v>279.39</c:v>
                </c:pt>
                <c:pt idx="6755">
                  <c:v>279.88</c:v>
                </c:pt>
                <c:pt idx="6756">
                  <c:v>279.22000000000003</c:v>
                </c:pt>
                <c:pt idx="6757">
                  <c:v>280.42</c:v>
                </c:pt>
                <c:pt idx="6758">
                  <c:v>282.64</c:v>
                </c:pt>
                <c:pt idx="6759">
                  <c:v>282.72000000000003</c:v>
                </c:pt>
                <c:pt idx="6760">
                  <c:v>281.02</c:v>
                </c:pt>
                <c:pt idx="6761">
                  <c:v>279.02</c:v>
                </c:pt>
                <c:pt idx="6762">
                  <c:v>279.77999999999997</c:v>
                </c:pt>
                <c:pt idx="6763">
                  <c:v>279.5</c:v>
                </c:pt>
                <c:pt idx="6764">
                  <c:v>278.89999999999998</c:v>
                </c:pt>
                <c:pt idx="6765">
                  <c:v>277.92</c:v>
                </c:pt>
                <c:pt idx="6766">
                  <c:v>274.62</c:v>
                </c:pt>
                <c:pt idx="6767">
                  <c:v>270.26</c:v>
                </c:pt>
                <c:pt idx="6768">
                  <c:v>265.37</c:v>
                </c:pt>
                <c:pt idx="6769">
                  <c:v>262.3</c:v>
                </c:pt>
                <c:pt idx="6770">
                  <c:v>261.33</c:v>
                </c:pt>
                <c:pt idx="6771">
                  <c:v>261.20999999999998</c:v>
                </c:pt>
                <c:pt idx="6772">
                  <c:v>261.56</c:v>
                </c:pt>
                <c:pt idx="6773">
                  <c:v>265.36</c:v>
                </c:pt>
                <c:pt idx="6774">
                  <c:v>267.77999999999997</c:v>
                </c:pt>
                <c:pt idx="6775">
                  <c:v>270.10000000000002</c:v>
                </c:pt>
                <c:pt idx="6776">
                  <c:v>273.83999999999997</c:v>
                </c:pt>
                <c:pt idx="6777">
                  <c:v>275.76</c:v>
                </c:pt>
                <c:pt idx="6778">
                  <c:v>279.10000000000002</c:v>
                </c:pt>
                <c:pt idx="6779">
                  <c:v>279.72000000000003</c:v>
                </c:pt>
                <c:pt idx="6780">
                  <c:v>276.43</c:v>
                </c:pt>
                <c:pt idx="6781">
                  <c:v>280.02999999999997</c:v>
                </c:pt>
                <c:pt idx="6782">
                  <c:v>281.19</c:v>
                </c:pt>
                <c:pt idx="6783">
                  <c:v>281.39</c:v>
                </c:pt>
                <c:pt idx="6784">
                  <c:v>280.64</c:v>
                </c:pt>
                <c:pt idx="6785">
                  <c:v>278.27</c:v>
                </c:pt>
                <c:pt idx="6786">
                  <c:v>279.3</c:v>
                </c:pt>
                <c:pt idx="6787">
                  <c:v>279.29000000000002</c:v>
                </c:pt>
                <c:pt idx="6788">
                  <c:v>278.69</c:v>
                </c:pt>
                <c:pt idx="6789">
                  <c:v>277.68</c:v>
                </c:pt>
                <c:pt idx="6790">
                  <c:v>274.94</c:v>
                </c:pt>
                <c:pt idx="6791">
                  <c:v>269.48</c:v>
                </c:pt>
                <c:pt idx="6792">
                  <c:v>268.27999999999997</c:v>
                </c:pt>
                <c:pt idx="6793">
                  <c:v>265.35000000000002</c:v>
                </c:pt>
                <c:pt idx="6794">
                  <c:v>264.01</c:v>
                </c:pt>
                <c:pt idx="6795">
                  <c:v>263.83</c:v>
                </c:pt>
                <c:pt idx="6796">
                  <c:v>264.01</c:v>
                </c:pt>
                <c:pt idx="6797">
                  <c:v>266.23</c:v>
                </c:pt>
                <c:pt idx="6798">
                  <c:v>268.31</c:v>
                </c:pt>
                <c:pt idx="6799">
                  <c:v>270.89999999999998</c:v>
                </c:pt>
                <c:pt idx="6800">
                  <c:v>276.45</c:v>
                </c:pt>
                <c:pt idx="6801">
                  <c:v>279.63</c:v>
                </c:pt>
                <c:pt idx="6802">
                  <c:v>281.47000000000003</c:v>
                </c:pt>
                <c:pt idx="6803">
                  <c:v>281.61</c:v>
                </c:pt>
                <c:pt idx="6804">
                  <c:v>280.04000000000002</c:v>
                </c:pt>
                <c:pt idx="6805">
                  <c:v>281.72000000000003</c:v>
                </c:pt>
                <c:pt idx="6806">
                  <c:v>282.25</c:v>
                </c:pt>
                <c:pt idx="6807">
                  <c:v>282.33</c:v>
                </c:pt>
                <c:pt idx="6808">
                  <c:v>281.97000000000003</c:v>
                </c:pt>
                <c:pt idx="6809">
                  <c:v>280.02999999999997</c:v>
                </c:pt>
                <c:pt idx="6810">
                  <c:v>280.97000000000003</c:v>
                </c:pt>
                <c:pt idx="6811">
                  <c:v>281.52999999999997</c:v>
                </c:pt>
                <c:pt idx="6812">
                  <c:v>279.95999999999998</c:v>
                </c:pt>
                <c:pt idx="6813">
                  <c:v>279.35000000000002</c:v>
                </c:pt>
                <c:pt idx="6814">
                  <c:v>277.23</c:v>
                </c:pt>
                <c:pt idx="6815">
                  <c:v>271.72000000000003</c:v>
                </c:pt>
                <c:pt idx="6816">
                  <c:v>272.77999999999997</c:v>
                </c:pt>
                <c:pt idx="6817">
                  <c:v>271.33999999999997</c:v>
                </c:pt>
                <c:pt idx="6818">
                  <c:v>267.20999999999998</c:v>
                </c:pt>
                <c:pt idx="6819">
                  <c:v>265.87</c:v>
                </c:pt>
                <c:pt idx="6820">
                  <c:v>265.16000000000003</c:v>
                </c:pt>
                <c:pt idx="6821">
                  <c:v>264.54000000000002</c:v>
                </c:pt>
                <c:pt idx="6822">
                  <c:v>262.52</c:v>
                </c:pt>
                <c:pt idx="6823">
                  <c:v>266</c:v>
                </c:pt>
                <c:pt idx="6824">
                  <c:v>269.56</c:v>
                </c:pt>
                <c:pt idx="6825">
                  <c:v>272.66000000000003</c:v>
                </c:pt>
                <c:pt idx="6826">
                  <c:v>274.05</c:v>
                </c:pt>
                <c:pt idx="6827">
                  <c:v>274.08999999999997</c:v>
                </c:pt>
                <c:pt idx="6828">
                  <c:v>274.08999999999997</c:v>
                </c:pt>
                <c:pt idx="6829">
                  <c:v>274.01</c:v>
                </c:pt>
                <c:pt idx="6830">
                  <c:v>273.83</c:v>
                </c:pt>
                <c:pt idx="6831">
                  <c:v>273.8</c:v>
                </c:pt>
                <c:pt idx="6832">
                  <c:v>274.2</c:v>
                </c:pt>
                <c:pt idx="6833">
                  <c:v>275.76</c:v>
                </c:pt>
                <c:pt idx="6834">
                  <c:v>284.31</c:v>
                </c:pt>
                <c:pt idx="6835">
                  <c:v>284.91000000000003</c:v>
                </c:pt>
                <c:pt idx="6836">
                  <c:v>282.73</c:v>
                </c:pt>
                <c:pt idx="6837">
                  <c:v>281.45999999999998</c:v>
                </c:pt>
                <c:pt idx="6838">
                  <c:v>277.51</c:v>
                </c:pt>
                <c:pt idx="6839">
                  <c:v>274.02999999999997</c:v>
                </c:pt>
                <c:pt idx="6840">
                  <c:v>265.29000000000002</c:v>
                </c:pt>
                <c:pt idx="6841">
                  <c:v>261.58999999999997</c:v>
                </c:pt>
                <c:pt idx="6842">
                  <c:v>257.94</c:v>
                </c:pt>
                <c:pt idx="6843">
                  <c:v>256.29000000000002</c:v>
                </c:pt>
                <c:pt idx="6844">
                  <c:v>256.24</c:v>
                </c:pt>
                <c:pt idx="6845">
                  <c:v>255.66000000000003</c:v>
                </c:pt>
                <c:pt idx="6846">
                  <c:v>249.72000000000003</c:v>
                </c:pt>
                <c:pt idx="6847">
                  <c:v>253.95</c:v>
                </c:pt>
                <c:pt idx="6848">
                  <c:v>259.88</c:v>
                </c:pt>
                <c:pt idx="6849">
                  <c:v>263.3</c:v>
                </c:pt>
                <c:pt idx="6850">
                  <c:v>265.79000000000002</c:v>
                </c:pt>
                <c:pt idx="6851">
                  <c:v>266.18</c:v>
                </c:pt>
                <c:pt idx="6852">
                  <c:v>265.8</c:v>
                </c:pt>
                <c:pt idx="6853">
                  <c:v>265.45</c:v>
                </c:pt>
                <c:pt idx="6854">
                  <c:v>266.08999999999997</c:v>
                </c:pt>
                <c:pt idx="6855">
                  <c:v>267.39</c:v>
                </c:pt>
                <c:pt idx="6856">
                  <c:v>269.5</c:v>
                </c:pt>
                <c:pt idx="6857">
                  <c:v>271.12</c:v>
                </c:pt>
                <c:pt idx="6858">
                  <c:v>277.52</c:v>
                </c:pt>
                <c:pt idx="6859">
                  <c:v>277.55</c:v>
                </c:pt>
                <c:pt idx="6860">
                  <c:v>276.27</c:v>
                </c:pt>
                <c:pt idx="6861">
                  <c:v>275.51</c:v>
                </c:pt>
                <c:pt idx="6862">
                  <c:v>274.23</c:v>
                </c:pt>
                <c:pt idx="6863">
                  <c:v>270.83</c:v>
                </c:pt>
                <c:pt idx="6864">
                  <c:v>266.22000000000003</c:v>
                </c:pt>
                <c:pt idx="6865">
                  <c:v>265.25</c:v>
                </c:pt>
                <c:pt idx="6866">
                  <c:v>264.43</c:v>
                </c:pt>
                <c:pt idx="6867">
                  <c:v>264.14</c:v>
                </c:pt>
                <c:pt idx="6868">
                  <c:v>264.39999999999998</c:v>
                </c:pt>
                <c:pt idx="6869">
                  <c:v>265.42</c:v>
                </c:pt>
                <c:pt idx="6870">
                  <c:v>268.54000000000002</c:v>
                </c:pt>
                <c:pt idx="6871">
                  <c:v>273.98</c:v>
                </c:pt>
                <c:pt idx="6872">
                  <c:v>279.02</c:v>
                </c:pt>
                <c:pt idx="6873">
                  <c:v>282.89</c:v>
                </c:pt>
                <c:pt idx="6874">
                  <c:v>284.87</c:v>
                </c:pt>
                <c:pt idx="6875">
                  <c:v>285.88</c:v>
                </c:pt>
                <c:pt idx="6876">
                  <c:v>284.93</c:v>
                </c:pt>
                <c:pt idx="6877">
                  <c:v>286.22000000000003</c:v>
                </c:pt>
                <c:pt idx="6878">
                  <c:v>287.43</c:v>
                </c:pt>
                <c:pt idx="6879">
                  <c:v>286.69</c:v>
                </c:pt>
                <c:pt idx="6880">
                  <c:v>286.60000000000002</c:v>
                </c:pt>
                <c:pt idx="6881">
                  <c:v>285.48</c:v>
                </c:pt>
                <c:pt idx="6882">
                  <c:v>285.82</c:v>
                </c:pt>
                <c:pt idx="6883">
                  <c:v>285.94</c:v>
                </c:pt>
                <c:pt idx="6884">
                  <c:v>285.68</c:v>
                </c:pt>
                <c:pt idx="6885">
                  <c:v>285.8</c:v>
                </c:pt>
                <c:pt idx="6886">
                  <c:v>283.33</c:v>
                </c:pt>
                <c:pt idx="6887">
                  <c:v>278.77</c:v>
                </c:pt>
                <c:pt idx="6888">
                  <c:v>273.36</c:v>
                </c:pt>
                <c:pt idx="6889">
                  <c:v>271.25</c:v>
                </c:pt>
                <c:pt idx="6890">
                  <c:v>269.61</c:v>
                </c:pt>
                <c:pt idx="6891">
                  <c:v>269.11</c:v>
                </c:pt>
                <c:pt idx="6892">
                  <c:v>269.08</c:v>
                </c:pt>
                <c:pt idx="6893">
                  <c:v>270.70999999999998</c:v>
                </c:pt>
                <c:pt idx="6894">
                  <c:v>273.49</c:v>
                </c:pt>
                <c:pt idx="6895">
                  <c:v>276.02</c:v>
                </c:pt>
                <c:pt idx="6896">
                  <c:v>281.37</c:v>
                </c:pt>
                <c:pt idx="6897">
                  <c:v>285.70999999999998</c:v>
                </c:pt>
                <c:pt idx="6898">
                  <c:v>286.88</c:v>
                </c:pt>
                <c:pt idx="6899">
                  <c:v>287.01</c:v>
                </c:pt>
                <c:pt idx="6900">
                  <c:v>286.22000000000003</c:v>
                </c:pt>
                <c:pt idx="6901">
                  <c:v>287</c:v>
                </c:pt>
                <c:pt idx="6902">
                  <c:v>288.69</c:v>
                </c:pt>
                <c:pt idx="6903">
                  <c:v>288.85000000000002</c:v>
                </c:pt>
                <c:pt idx="6904">
                  <c:v>288.05</c:v>
                </c:pt>
                <c:pt idx="6905">
                  <c:v>286.44</c:v>
                </c:pt>
                <c:pt idx="6906">
                  <c:v>286.89</c:v>
                </c:pt>
                <c:pt idx="6907">
                  <c:v>286.8</c:v>
                </c:pt>
                <c:pt idx="6908">
                  <c:v>285.93</c:v>
                </c:pt>
                <c:pt idx="6909">
                  <c:v>285.49</c:v>
                </c:pt>
                <c:pt idx="6910">
                  <c:v>282.83999999999997</c:v>
                </c:pt>
                <c:pt idx="6911">
                  <c:v>277.48</c:v>
                </c:pt>
                <c:pt idx="6912">
                  <c:v>272.08</c:v>
                </c:pt>
                <c:pt idx="6913">
                  <c:v>269.66000000000003</c:v>
                </c:pt>
                <c:pt idx="6914">
                  <c:v>267.36</c:v>
                </c:pt>
                <c:pt idx="6915">
                  <c:v>267.25</c:v>
                </c:pt>
                <c:pt idx="6916">
                  <c:v>267.25</c:v>
                </c:pt>
                <c:pt idx="6917">
                  <c:v>269.64999999999998</c:v>
                </c:pt>
                <c:pt idx="6918">
                  <c:v>273.39</c:v>
                </c:pt>
                <c:pt idx="6919">
                  <c:v>275.8</c:v>
                </c:pt>
                <c:pt idx="6920">
                  <c:v>283.56</c:v>
                </c:pt>
                <c:pt idx="6921">
                  <c:v>286.98</c:v>
                </c:pt>
                <c:pt idx="6922">
                  <c:v>288.82</c:v>
                </c:pt>
                <c:pt idx="6923">
                  <c:v>289.77</c:v>
                </c:pt>
                <c:pt idx="6924">
                  <c:v>287.47000000000003</c:v>
                </c:pt>
                <c:pt idx="6925">
                  <c:v>291.48</c:v>
                </c:pt>
                <c:pt idx="6926">
                  <c:v>294.63</c:v>
                </c:pt>
                <c:pt idx="6927">
                  <c:v>294.56</c:v>
                </c:pt>
                <c:pt idx="6928">
                  <c:v>292.89</c:v>
                </c:pt>
                <c:pt idx="6929">
                  <c:v>287.70999999999998</c:v>
                </c:pt>
                <c:pt idx="6930">
                  <c:v>288.93</c:v>
                </c:pt>
                <c:pt idx="6931">
                  <c:v>288.64</c:v>
                </c:pt>
                <c:pt idx="6932">
                  <c:v>287.66000000000003</c:v>
                </c:pt>
                <c:pt idx="6933">
                  <c:v>287.64</c:v>
                </c:pt>
                <c:pt idx="6934">
                  <c:v>285.26</c:v>
                </c:pt>
                <c:pt idx="6935">
                  <c:v>277.17</c:v>
                </c:pt>
                <c:pt idx="6936">
                  <c:v>272</c:v>
                </c:pt>
                <c:pt idx="6937">
                  <c:v>270.35000000000002</c:v>
                </c:pt>
                <c:pt idx="6938">
                  <c:v>267.18</c:v>
                </c:pt>
                <c:pt idx="6939">
                  <c:v>266.66000000000003</c:v>
                </c:pt>
                <c:pt idx="6940">
                  <c:v>267.57</c:v>
                </c:pt>
                <c:pt idx="6941">
                  <c:v>270.52999999999997</c:v>
                </c:pt>
                <c:pt idx="6942">
                  <c:v>272.5</c:v>
                </c:pt>
                <c:pt idx="6943">
                  <c:v>276.41000000000003</c:v>
                </c:pt>
                <c:pt idx="6944">
                  <c:v>281.42</c:v>
                </c:pt>
                <c:pt idx="6945">
                  <c:v>286.02999999999997</c:v>
                </c:pt>
                <c:pt idx="6946">
                  <c:v>291.54000000000002</c:v>
                </c:pt>
                <c:pt idx="6947">
                  <c:v>292.25</c:v>
                </c:pt>
                <c:pt idx="6948">
                  <c:v>287.64</c:v>
                </c:pt>
                <c:pt idx="6949">
                  <c:v>292.63</c:v>
                </c:pt>
                <c:pt idx="6950">
                  <c:v>293.05</c:v>
                </c:pt>
                <c:pt idx="6951">
                  <c:v>293.39</c:v>
                </c:pt>
                <c:pt idx="6952">
                  <c:v>292.62</c:v>
                </c:pt>
                <c:pt idx="6953">
                  <c:v>287.47000000000003</c:v>
                </c:pt>
                <c:pt idx="6954">
                  <c:v>289.3</c:v>
                </c:pt>
                <c:pt idx="6955">
                  <c:v>290.43</c:v>
                </c:pt>
                <c:pt idx="6956">
                  <c:v>288.25</c:v>
                </c:pt>
                <c:pt idx="6957">
                  <c:v>287.94</c:v>
                </c:pt>
                <c:pt idx="6958">
                  <c:v>284.73</c:v>
                </c:pt>
                <c:pt idx="6959">
                  <c:v>279.10000000000002</c:v>
                </c:pt>
                <c:pt idx="6960">
                  <c:v>272.75</c:v>
                </c:pt>
                <c:pt idx="6961">
                  <c:v>272.10000000000002</c:v>
                </c:pt>
                <c:pt idx="6962">
                  <c:v>272.02</c:v>
                </c:pt>
                <c:pt idx="6963">
                  <c:v>272.02</c:v>
                </c:pt>
                <c:pt idx="6964">
                  <c:v>271.97000000000003</c:v>
                </c:pt>
                <c:pt idx="6965">
                  <c:v>272.02</c:v>
                </c:pt>
                <c:pt idx="6966">
                  <c:v>272.52</c:v>
                </c:pt>
                <c:pt idx="6967">
                  <c:v>277.5</c:v>
                </c:pt>
                <c:pt idx="6968">
                  <c:v>284.72000000000003</c:v>
                </c:pt>
                <c:pt idx="6969">
                  <c:v>290.26</c:v>
                </c:pt>
                <c:pt idx="6970">
                  <c:v>291.39999999999998</c:v>
                </c:pt>
                <c:pt idx="6971">
                  <c:v>292.47000000000003</c:v>
                </c:pt>
                <c:pt idx="6972">
                  <c:v>290.8</c:v>
                </c:pt>
                <c:pt idx="6973">
                  <c:v>297.95999999999998</c:v>
                </c:pt>
                <c:pt idx="6974">
                  <c:v>303.74</c:v>
                </c:pt>
                <c:pt idx="6975">
                  <c:v>303.68</c:v>
                </c:pt>
                <c:pt idx="6976">
                  <c:v>295.32</c:v>
                </c:pt>
                <c:pt idx="6977">
                  <c:v>289.64999999999998</c:v>
                </c:pt>
                <c:pt idx="6978">
                  <c:v>290.02999999999997</c:v>
                </c:pt>
                <c:pt idx="6979">
                  <c:v>290.23</c:v>
                </c:pt>
                <c:pt idx="6980">
                  <c:v>288.16000000000003</c:v>
                </c:pt>
                <c:pt idx="6981">
                  <c:v>286.66000000000003</c:v>
                </c:pt>
                <c:pt idx="6982">
                  <c:v>284</c:v>
                </c:pt>
                <c:pt idx="6983">
                  <c:v>278.23</c:v>
                </c:pt>
                <c:pt idx="6984">
                  <c:v>283.04000000000002</c:v>
                </c:pt>
                <c:pt idx="6985">
                  <c:v>281.31</c:v>
                </c:pt>
                <c:pt idx="6986">
                  <c:v>279.74</c:v>
                </c:pt>
                <c:pt idx="6987">
                  <c:v>279.45</c:v>
                </c:pt>
                <c:pt idx="6988">
                  <c:v>279.27999999999997</c:v>
                </c:pt>
                <c:pt idx="6989">
                  <c:v>278.22000000000003</c:v>
                </c:pt>
                <c:pt idx="6990">
                  <c:v>276.60000000000002</c:v>
                </c:pt>
                <c:pt idx="6991">
                  <c:v>279.66000000000003</c:v>
                </c:pt>
                <c:pt idx="6992">
                  <c:v>283.14999999999998</c:v>
                </c:pt>
                <c:pt idx="6993">
                  <c:v>286.49</c:v>
                </c:pt>
                <c:pt idx="6994">
                  <c:v>287.68</c:v>
                </c:pt>
                <c:pt idx="6995">
                  <c:v>287.86</c:v>
                </c:pt>
                <c:pt idx="6996">
                  <c:v>287.7</c:v>
                </c:pt>
                <c:pt idx="6997">
                  <c:v>287.74</c:v>
                </c:pt>
                <c:pt idx="6998">
                  <c:v>287.72000000000003</c:v>
                </c:pt>
                <c:pt idx="6999">
                  <c:v>287.26</c:v>
                </c:pt>
                <c:pt idx="7000">
                  <c:v>287.27999999999997</c:v>
                </c:pt>
                <c:pt idx="7001">
                  <c:v>287.55</c:v>
                </c:pt>
                <c:pt idx="7002">
                  <c:v>294.97000000000003</c:v>
                </c:pt>
                <c:pt idx="7003">
                  <c:v>295.63</c:v>
                </c:pt>
                <c:pt idx="7004">
                  <c:v>292.98</c:v>
                </c:pt>
                <c:pt idx="7005">
                  <c:v>287.57</c:v>
                </c:pt>
                <c:pt idx="7006">
                  <c:v>284.5</c:v>
                </c:pt>
                <c:pt idx="7007">
                  <c:v>279.35000000000002</c:v>
                </c:pt>
                <c:pt idx="7008">
                  <c:v>279.33999999999997</c:v>
                </c:pt>
                <c:pt idx="7009">
                  <c:v>277.02999999999997</c:v>
                </c:pt>
                <c:pt idx="7010">
                  <c:v>276.3</c:v>
                </c:pt>
                <c:pt idx="7011">
                  <c:v>275.75</c:v>
                </c:pt>
                <c:pt idx="7012">
                  <c:v>274.81</c:v>
                </c:pt>
                <c:pt idx="7013">
                  <c:v>272.88</c:v>
                </c:pt>
                <c:pt idx="7014">
                  <c:v>270.95999999999998</c:v>
                </c:pt>
                <c:pt idx="7015">
                  <c:v>272.06</c:v>
                </c:pt>
                <c:pt idx="7016">
                  <c:v>274.92</c:v>
                </c:pt>
                <c:pt idx="7017">
                  <c:v>276.43</c:v>
                </c:pt>
                <c:pt idx="7018">
                  <c:v>278.2</c:v>
                </c:pt>
                <c:pt idx="7019">
                  <c:v>279.60000000000002</c:v>
                </c:pt>
                <c:pt idx="7020">
                  <c:v>279.60000000000002</c:v>
                </c:pt>
                <c:pt idx="7021">
                  <c:v>279.60000000000002</c:v>
                </c:pt>
                <c:pt idx="7022">
                  <c:v>279.60000000000002</c:v>
                </c:pt>
                <c:pt idx="7023">
                  <c:v>279.60000000000002</c:v>
                </c:pt>
                <c:pt idx="7024">
                  <c:v>280.58</c:v>
                </c:pt>
                <c:pt idx="7025">
                  <c:v>282.58999999999997</c:v>
                </c:pt>
                <c:pt idx="7026">
                  <c:v>290.27999999999997</c:v>
                </c:pt>
                <c:pt idx="7027">
                  <c:v>291.82</c:v>
                </c:pt>
                <c:pt idx="7028">
                  <c:v>291.43</c:v>
                </c:pt>
                <c:pt idx="7029">
                  <c:v>289.55</c:v>
                </c:pt>
                <c:pt idx="7030">
                  <c:v>285.72000000000003</c:v>
                </c:pt>
                <c:pt idx="7031">
                  <c:v>282.39999999999998</c:v>
                </c:pt>
                <c:pt idx="7032">
                  <c:v>276.52999999999997</c:v>
                </c:pt>
                <c:pt idx="7033">
                  <c:v>276.2</c:v>
                </c:pt>
                <c:pt idx="7034">
                  <c:v>275.86</c:v>
                </c:pt>
                <c:pt idx="7035">
                  <c:v>275.76</c:v>
                </c:pt>
                <c:pt idx="7036">
                  <c:v>275.82</c:v>
                </c:pt>
                <c:pt idx="7037">
                  <c:v>276.45999999999998</c:v>
                </c:pt>
                <c:pt idx="7038">
                  <c:v>279.72000000000003</c:v>
                </c:pt>
                <c:pt idx="7039">
                  <c:v>284.17</c:v>
                </c:pt>
                <c:pt idx="7040">
                  <c:v>292.29000000000002</c:v>
                </c:pt>
                <c:pt idx="7041">
                  <c:v>296.62</c:v>
                </c:pt>
                <c:pt idx="7042">
                  <c:v>298.62</c:v>
                </c:pt>
                <c:pt idx="7043">
                  <c:v>298.88</c:v>
                </c:pt>
                <c:pt idx="7044">
                  <c:v>298.43</c:v>
                </c:pt>
                <c:pt idx="7045">
                  <c:v>299.08999999999997</c:v>
                </c:pt>
                <c:pt idx="7046">
                  <c:v>299.95</c:v>
                </c:pt>
                <c:pt idx="7047">
                  <c:v>300.33</c:v>
                </c:pt>
                <c:pt idx="7048">
                  <c:v>299.70999999999998</c:v>
                </c:pt>
                <c:pt idx="7049">
                  <c:v>298.17</c:v>
                </c:pt>
                <c:pt idx="7050">
                  <c:v>298.48</c:v>
                </c:pt>
                <c:pt idx="7051">
                  <c:v>298.29000000000002</c:v>
                </c:pt>
                <c:pt idx="7052">
                  <c:v>297.97000000000003</c:v>
                </c:pt>
                <c:pt idx="7053">
                  <c:v>297.92</c:v>
                </c:pt>
                <c:pt idx="7054">
                  <c:v>296.54000000000002</c:v>
                </c:pt>
                <c:pt idx="7055">
                  <c:v>291.69</c:v>
                </c:pt>
                <c:pt idx="7056">
                  <c:v>281.95</c:v>
                </c:pt>
                <c:pt idx="7057">
                  <c:v>279.48</c:v>
                </c:pt>
                <c:pt idx="7058">
                  <c:v>276.85000000000002</c:v>
                </c:pt>
                <c:pt idx="7059">
                  <c:v>276.61</c:v>
                </c:pt>
                <c:pt idx="7060">
                  <c:v>276.8</c:v>
                </c:pt>
                <c:pt idx="7061">
                  <c:v>278.31</c:v>
                </c:pt>
                <c:pt idx="7062">
                  <c:v>280.49</c:v>
                </c:pt>
                <c:pt idx="7063">
                  <c:v>286.86</c:v>
                </c:pt>
                <c:pt idx="7064">
                  <c:v>293.32</c:v>
                </c:pt>
                <c:pt idx="7065">
                  <c:v>297.19</c:v>
                </c:pt>
                <c:pt idx="7066">
                  <c:v>299.36</c:v>
                </c:pt>
                <c:pt idx="7067">
                  <c:v>299.38</c:v>
                </c:pt>
                <c:pt idx="7068">
                  <c:v>297.89</c:v>
                </c:pt>
                <c:pt idx="7069">
                  <c:v>300</c:v>
                </c:pt>
                <c:pt idx="7070">
                  <c:v>301.2</c:v>
                </c:pt>
                <c:pt idx="7071">
                  <c:v>301.27999999999997</c:v>
                </c:pt>
                <c:pt idx="7072">
                  <c:v>300.87</c:v>
                </c:pt>
                <c:pt idx="7073">
                  <c:v>297.60000000000002</c:v>
                </c:pt>
                <c:pt idx="7074">
                  <c:v>299.17</c:v>
                </c:pt>
                <c:pt idx="7075">
                  <c:v>299.95999999999998</c:v>
                </c:pt>
                <c:pt idx="7076">
                  <c:v>298.25</c:v>
                </c:pt>
                <c:pt idx="7077">
                  <c:v>298.5</c:v>
                </c:pt>
                <c:pt idx="7078">
                  <c:v>297.62</c:v>
                </c:pt>
                <c:pt idx="7079">
                  <c:v>293.10000000000002</c:v>
                </c:pt>
                <c:pt idx="7080">
                  <c:v>279.52</c:v>
                </c:pt>
                <c:pt idx="7081">
                  <c:v>278.36</c:v>
                </c:pt>
                <c:pt idx="7082">
                  <c:v>277.39999999999998</c:v>
                </c:pt>
                <c:pt idx="7083">
                  <c:v>277.41000000000003</c:v>
                </c:pt>
                <c:pt idx="7084">
                  <c:v>278</c:v>
                </c:pt>
                <c:pt idx="7085">
                  <c:v>278.58999999999997</c:v>
                </c:pt>
                <c:pt idx="7086">
                  <c:v>280.14999999999998</c:v>
                </c:pt>
                <c:pt idx="7087">
                  <c:v>287.2</c:v>
                </c:pt>
                <c:pt idx="7088">
                  <c:v>293.63</c:v>
                </c:pt>
                <c:pt idx="7089">
                  <c:v>298.7</c:v>
                </c:pt>
                <c:pt idx="7090">
                  <c:v>301.17</c:v>
                </c:pt>
                <c:pt idx="7091">
                  <c:v>301.06</c:v>
                </c:pt>
                <c:pt idx="7092">
                  <c:v>298.94</c:v>
                </c:pt>
                <c:pt idx="7093">
                  <c:v>300.16000000000003</c:v>
                </c:pt>
                <c:pt idx="7094">
                  <c:v>301.43</c:v>
                </c:pt>
                <c:pt idx="7095">
                  <c:v>300.74</c:v>
                </c:pt>
                <c:pt idx="7096">
                  <c:v>300.26</c:v>
                </c:pt>
                <c:pt idx="7097">
                  <c:v>298.66000000000003</c:v>
                </c:pt>
                <c:pt idx="7098">
                  <c:v>299.42</c:v>
                </c:pt>
                <c:pt idx="7099">
                  <c:v>299.43</c:v>
                </c:pt>
                <c:pt idx="7100">
                  <c:v>298.70999999999998</c:v>
                </c:pt>
                <c:pt idx="7101">
                  <c:v>298.43</c:v>
                </c:pt>
                <c:pt idx="7102">
                  <c:v>294.05</c:v>
                </c:pt>
                <c:pt idx="7103">
                  <c:v>287.36</c:v>
                </c:pt>
                <c:pt idx="7104">
                  <c:v>279.92</c:v>
                </c:pt>
                <c:pt idx="7105">
                  <c:v>277.48</c:v>
                </c:pt>
                <c:pt idx="7106">
                  <c:v>274.82</c:v>
                </c:pt>
                <c:pt idx="7107">
                  <c:v>274.62</c:v>
                </c:pt>
                <c:pt idx="7108">
                  <c:v>274.61</c:v>
                </c:pt>
                <c:pt idx="7109">
                  <c:v>275.52</c:v>
                </c:pt>
                <c:pt idx="7110">
                  <c:v>277.89999999999998</c:v>
                </c:pt>
                <c:pt idx="7111">
                  <c:v>282.38</c:v>
                </c:pt>
                <c:pt idx="7112">
                  <c:v>289.05</c:v>
                </c:pt>
                <c:pt idx="7113">
                  <c:v>298.52</c:v>
                </c:pt>
                <c:pt idx="7114">
                  <c:v>300.95</c:v>
                </c:pt>
                <c:pt idx="7115">
                  <c:v>301.16000000000003</c:v>
                </c:pt>
                <c:pt idx="7116">
                  <c:v>300.44</c:v>
                </c:pt>
                <c:pt idx="7117">
                  <c:v>301.73</c:v>
                </c:pt>
                <c:pt idx="7118">
                  <c:v>308.38</c:v>
                </c:pt>
                <c:pt idx="7119">
                  <c:v>306.77</c:v>
                </c:pt>
                <c:pt idx="7120">
                  <c:v>303.18</c:v>
                </c:pt>
                <c:pt idx="7121">
                  <c:v>300.04000000000002</c:v>
                </c:pt>
                <c:pt idx="7122">
                  <c:v>300.05</c:v>
                </c:pt>
                <c:pt idx="7123">
                  <c:v>299.97000000000003</c:v>
                </c:pt>
                <c:pt idx="7124">
                  <c:v>299.77999999999997</c:v>
                </c:pt>
                <c:pt idx="7125">
                  <c:v>298.94</c:v>
                </c:pt>
                <c:pt idx="7126">
                  <c:v>291.88</c:v>
                </c:pt>
                <c:pt idx="7127">
                  <c:v>285.42</c:v>
                </c:pt>
                <c:pt idx="7128">
                  <c:v>274.94</c:v>
                </c:pt>
                <c:pt idx="7129">
                  <c:v>272.58999999999997</c:v>
                </c:pt>
                <c:pt idx="7130">
                  <c:v>271.24</c:v>
                </c:pt>
                <c:pt idx="7131">
                  <c:v>270.14999999999998</c:v>
                </c:pt>
                <c:pt idx="7132">
                  <c:v>270.14999999999998</c:v>
                </c:pt>
                <c:pt idx="7133">
                  <c:v>272.06</c:v>
                </c:pt>
                <c:pt idx="7134">
                  <c:v>273.95</c:v>
                </c:pt>
                <c:pt idx="7135">
                  <c:v>281.14</c:v>
                </c:pt>
                <c:pt idx="7136">
                  <c:v>288.45</c:v>
                </c:pt>
                <c:pt idx="7137">
                  <c:v>296.81</c:v>
                </c:pt>
                <c:pt idx="7138">
                  <c:v>301.27999999999997</c:v>
                </c:pt>
                <c:pt idx="7139">
                  <c:v>302.66000000000003</c:v>
                </c:pt>
                <c:pt idx="7140">
                  <c:v>300.05</c:v>
                </c:pt>
                <c:pt idx="7141">
                  <c:v>300.77999999999997</c:v>
                </c:pt>
                <c:pt idx="7142">
                  <c:v>302.14999999999998</c:v>
                </c:pt>
                <c:pt idx="7143">
                  <c:v>301.63</c:v>
                </c:pt>
                <c:pt idx="7144">
                  <c:v>299.75</c:v>
                </c:pt>
                <c:pt idx="7145">
                  <c:v>293.14999999999998</c:v>
                </c:pt>
                <c:pt idx="7146">
                  <c:v>295.93</c:v>
                </c:pt>
                <c:pt idx="7147">
                  <c:v>296</c:v>
                </c:pt>
                <c:pt idx="7148">
                  <c:v>288.60000000000002</c:v>
                </c:pt>
                <c:pt idx="7149">
                  <c:v>286.70999999999998</c:v>
                </c:pt>
                <c:pt idx="7150">
                  <c:v>283.3</c:v>
                </c:pt>
                <c:pt idx="7151">
                  <c:v>277.29000000000002</c:v>
                </c:pt>
                <c:pt idx="7152">
                  <c:v>312.8</c:v>
                </c:pt>
                <c:pt idx="7153">
                  <c:v>310.19</c:v>
                </c:pt>
                <c:pt idx="7154">
                  <c:v>308.11</c:v>
                </c:pt>
                <c:pt idx="7155">
                  <c:v>307.08</c:v>
                </c:pt>
                <c:pt idx="7156">
                  <c:v>306.22000000000003</c:v>
                </c:pt>
                <c:pt idx="7157">
                  <c:v>305.27</c:v>
                </c:pt>
                <c:pt idx="7158">
                  <c:v>304.23</c:v>
                </c:pt>
                <c:pt idx="7159">
                  <c:v>306.98</c:v>
                </c:pt>
                <c:pt idx="7160">
                  <c:v>310.06</c:v>
                </c:pt>
                <c:pt idx="7161">
                  <c:v>314.04000000000002</c:v>
                </c:pt>
                <c:pt idx="7162">
                  <c:v>316.41000000000003</c:v>
                </c:pt>
                <c:pt idx="7163">
                  <c:v>316.70999999999998</c:v>
                </c:pt>
                <c:pt idx="7164">
                  <c:v>316.63</c:v>
                </c:pt>
                <c:pt idx="7165">
                  <c:v>316.58999999999997</c:v>
                </c:pt>
                <c:pt idx="7166">
                  <c:v>316.70999999999998</c:v>
                </c:pt>
                <c:pt idx="7167">
                  <c:v>316.70999999999998</c:v>
                </c:pt>
                <c:pt idx="7168">
                  <c:v>316.70999999999998</c:v>
                </c:pt>
                <c:pt idx="7169">
                  <c:v>316.83</c:v>
                </c:pt>
                <c:pt idx="7170">
                  <c:v>322.32</c:v>
                </c:pt>
                <c:pt idx="7171">
                  <c:v>323.58999999999997</c:v>
                </c:pt>
                <c:pt idx="7172">
                  <c:v>320.11</c:v>
                </c:pt>
                <c:pt idx="7173">
                  <c:v>316.55</c:v>
                </c:pt>
                <c:pt idx="7174">
                  <c:v>314.77</c:v>
                </c:pt>
                <c:pt idx="7175">
                  <c:v>310.18</c:v>
                </c:pt>
                <c:pt idx="7176">
                  <c:v>301.79000000000002</c:v>
                </c:pt>
                <c:pt idx="7177">
                  <c:v>298.94</c:v>
                </c:pt>
                <c:pt idx="7178">
                  <c:v>295.45999999999998</c:v>
                </c:pt>
                <c:pt idx="7179">
                  <c:v>290.08999999999997</c:v>
                </c:pt>
                <c:pt idx="7180">
                  <c:v>286.06</c:v>
                </c:pt>
                <c:pt idx="7181">
                  <c:v>280.8</c:v>
                </c:pt>
                <c:pt idx="7182">
                  <c:v>279.62</c:v>
                </c:pt>
                <c:pt idx="7183">
                  <c:v>287.48</c:v>
                </c:pt>
                <c:pt idx="7184">
                  <c:v>296.98</c:v>
                </c:pt>
                <c:pt idx="7185">
                  <c:v>299.69</c:v>
                </c:pt>
                <c:pt idx="7186">
                  <c:v>302.82</c:v>
                </c:pt>
                <c:pt idx="7187">
                  <c:v>304.08999999999997</c:v>
                </c:pt>
                <c:pt idx="7188">
                  <c:v>304.27</c:v>
                </c:pt>
                <c:pt idx="7189">
                  <c:v>304.39</c:v>
                </c:pt>
                <c:pt idx="7190">
                  <c:v>305.57</c:v>
                </c:pt>
                <c:pt idx="7191">
                  <c:v>306.54000000000002</c:v>
                </c:pt>
                <c:pt idx="7192">
                  <c:v>308.04000000000002</c:v>
                </c:pt>
                <c:pt idx="7193">
                  <c:v>309.98</c:v>
                </c:pt>
                <c:pt idx="7194">
                  <c:v>316.93</c:v>
                </c:pt>
                <c:pt idx="7195">
                  <c:v>317.19</c:v>
                </c:pt>
                <c:pt idx="7196">
                  <c:v>316.44</c:v>
                </c:pt>
                <c:pt idx="7197">
                  <c:v>314.35000000000002</c:v>
                </c:pt>
                <c:pt idx="7198">
                  <c:v>311.94</c:v>
                </c:pt>
                <c:pt idx="7199">
                  <c:v>308.95</c:v>
                </c:pt>
                <c:pt idx="7200">
                  <c:v>312.35000000000002</c:v>
                </c:pt>
                <c:pt idx="7201">
                  <c:v>310.11</c:v>
                </c:pt>
                <c:pt idx="7202">
                  <c:v>307.61</c:v>
                </c:pt>
                <c:pt idx="7203">
                  <c:v>306.56</c:v>
                </c:pt>
                <c:pt idx="7204">
                  <c:v>306.35000000000002</c:v>
                </c:pt>
                <c:pt idx="7205">
                  <c:v>307.02</c:v>
                </c:pt>
                <c:pt idx="7206">
                  <c:v>311.62</c:v>
                </c:pt>
                <c:pt idx="7207">
                  <c:v>319.88</c:v>
                </c:pt>
                <c:pt idx="7208">
                  <c:v>328.07</c:v>
                </c:pt>
                <c:pt idx="7209">
                  <c:v>335.9</c:v>
                </c:pt>
                <c:pt idx="7210">
                  <c:v>342.82</c:v>
                </c:pt>
                <c:pt idx="7211">
                  <c:v>344.1</c:v>
                </c:pt>
                <c:pt idx="7212">
                  <c:v>343</c:v>
                </c:pt>
                <c:pt idx="7213">
                  <c:v>347.9</c:v>
                </c:pt>
                <c:pt idx="7214">
                  <c:v>354.33</c:v>
                </c:pt>
                <c:pt idx="7215">
                  <c:v>351.47</c:v>
                </c:pt>
                <c:pt idx="7216">
                  <c:v>348.36</c:v>
                </c:pt>
                <c:pt idx="7217">
                  <c:v>339.91</c:v>
                </c:pt>
                <c:pt idx="7218">
                  <c:v>340.23</c:v>
                </c:pt>
                <c:pt idx="7219">
                  <c:v>339.65</c:v>
                </c:pt>
                <c:pt idx="7220">
                  <c:v>338.01</c:v>
                </c:pt>
                <c:pt idx="7221">
                  <c:v>337.31</c:v>
                </c:pt>
                <c:pt idx="7222">
                  <c:v>331.37</c:v>
                </c:pt>
                <c:pt idx="7223">
                  <c:v>324.38</c:v>
                </c:pt>
                <c:pt idx="7224">
                  <c:v>319.54000000000002</c:v>
                </c:pt>
                <c:pt idx="7225">
                  <c:v>316.02</c:v>
                </c:pt>
                <c:pt idx="7226">
                  <c:v>314.3</c:v>
                </c:pt>
                <c:pt idx="7227">
                  <c:v>314.08999999999997</c:v>
                </c:pt>
                <c:pt idx="7228">
                  <c:v>313.85000000000002</c:v>
                </c:pt>
                <c:pt idx="7229">
                  <c:v>314.39999999999998</c:v>
                </c:pt>
                <c:pt idx="7230">
                  <c:v>317.87</c:v>
                </c:pt>
                <c:pt idx="7231">
                  <c:v>322.64</c:v>
                </c:pt>
                <c:pt idx="7232">
                  <c:v>335.07</c:v>
                </c:pt>
                <c:pt idx="7233">
                  <c:v>341.07</c:v>
                </c:pt>
                <c:pt idx="7234">
                  <c:v>346.88</c:v>
                </c:pt>
                <c:pt idx="7235">
                  <c:v>348.52</c:v>
                </c:pt>
                <c:pt idx="7236">
                  <c:v>343.58</c:v>
                </c:pt>
                <c:pt idx="7237">
                  <c:v>352.15</c:v>
                </c:pt>
                <c:pt idx="7238">
                  <c:v>364.55</c:v>
                </c:pt>
                <c:pt idx="7239">
                  <c:v>366.44</c:v>
                </c:pt>
                <c:pt idx="7240">
                  <c:v>363.58</c:v>
                </c:pt>
                <c:pt idx="7241">
                  <c:v>343.73</c:v>
                </c:pt>
                <c:pt idx="7242">
                  <c:v>345.18</c:v>
                </c:pt>
                <c:pt idx="7243">
                  <c:v>345.29</c:v>
                </c:pt>
                <c:pt idx="7244">
                  <c:v>342.17</c:v>
                </c:pt>
                <c:pt idx="7245">
                  <c:v>341.01</c:v>
                </c:pt>
                <c:pt idx="7246">
                  <c:v>338.46</c:v>
                </c:pt>
                <c:pt idx="7247">
                  <c:v>327.84</c:v>
                </c:pt>
                <c:pt idx="7248">
                  <c:v>313.55</c:v>
                </c:pt>
                <c:pt idx="7249">
                  <c:v>308.55</c:v>
                </c:pt>
                <c:pt idx="7250">
                  <c:v>307.24</c:v>
                </c:pt>
                <c:pt idx="7251">
                  <c:v>307.14999999999998</c:v>
                </c:pt>
                <c:pt idx="7252">
                  <c:v>307.08</c:v>
                </c:pt>
                <c:pt idx="7253">
                  <c:v>307.10000000000002</c:v>
                </c:pt>
                <c:pt idx="7254">
                  <c:v>309.42</c:v>
                </c:pt>
                <c:pt idx="7255">
                  <c:v>317.23</c:v>
                </c:pt>
                <c:pt idx="7256">
                  <c:v>327.17</c:v>
                </c:pt>
                <c:pt idx="7257">
                  <c:v>333.21</c:v>
                </c:pt>
                <c:pt idx="7258">
                  <c:v>349.15</c:v>
                </c:pt>
                <c:pt idx="7259">
                  <c:v>351.45</c:v>
                </c:pt>
                <c:pt idx="7260">
                  <c:v>349.45</c:v>
                </c:pt>
                <c:pt idx="7261">
                  <c:v>351.21</c:v>
                </c:pt>
                <c:pt idx="7262">
                  <c:v>351.09</c:v>
                </c:pt>
                <c:pt idx="7263">
                  <c:v>350.97</c:v>
                </c:pt>
                <c:pt idx="7264">
                  <c:v>350.85</c:v>
                </c:pt>
                <c:pt idx="7265">
                  <c:v>343.52</c:v>
                </c:pt>
                <c:pt idx="7266">
                  <c:v>344.5</c:v>
                </c:pt>
                <c:pt idx="7267">
                  <c:v>350.52</c:v>
                </c:pt>
                <c:pt idx="7268">
                  <c:v>337.61</c:v>
                </c:pt>
                <c:pt idx="7269">
                  <c:v>335.2</c:v>
                </c:pt>
                <c:pt idx="7270">
                  <c:v>328.89</c:v>
                </c:pt>
                <c:pt idx="7271">
                  <c:v>322.52999999999997</c:v>
                </c:pt>
                <c:pt idx="7272">
                  <c:v>309.43</c:v>
                </c:pt>
                <c:pt idx="7273">
                  <c:v>305.13</c:v>
                </c:pt>
                <c:pt idx="7274">
                  <c:v>304.33999999999997</c:v>
                </c:pt>
                <c:pt idx="7275">
                  <c:v>304.06</c:v>
                </c:pt>
                <c:pt idx="7276">
                  <c:v>304.02999999999997</c:v>
                </c:pt>
                <c:pt idx="7277">
                  <c:v>304.20999999999998</c:v>
                </c:pt>
                <c:pt idx="7278">
                  <c:v>307.32</c:v>
                </c:pt>
                <c:pt idx="7279">
                  <c:v>312.70999999999998</c:v>
                </c:pt>
                <c:pt idx="7280">
                  <c:v>323.18</c:v>
                </c:pt>
                <c:pt idx="7281">
                  <c:v>327.13</c:v>
                </c:pt>
                <c:pt idx="7282">
                  <c:v>348.24</c:v>
                </c:pt>
                <c:pt idx="7283">
                  <c:v>349.32</c:v>
                </c:pt>
                <c:pt idx="7284">
                  <c:v>346.71</c:v>
                </c:pt>
                <c:pt idx="7285">
                  <c:v>349.15</c:v>
                </c:pt>
                <c:pt idx="7286">
                  <c:v>349.96</c:v>
                </c:pt>
                <c:pt idx="7287">
                  <c:v>349.44</c:v>
                </c:pt>
                <c:pt idx="7288">
                  <c:v>348.79</c:v>
                </c:pt>
                <c:pt idx="7289">
                  <c:v>328.71</c:v>
                </c:pt>
                <c:pt idx="7290">
                  <c:v>328.01</c:v>
                </c:pt>
                <c:pt idx="7291">
                  <c:v>329.78</c:v>
                </c:pt>
                <c:pt idx="7292">
                  <c:v>327.78</c:v>
                </c:pt>
                <c:pt idx="7293">
                  <c:v>327.08999999999997</c:v>
                </c:pt>
                <c:pt idx="7294">
                  <c:v>323.27</c:v>
                </c:pt>
                <c:pt idx="7295">
                  <c:v>316.39</c:v>
                </c:pt>
                <c:pt idx="7296">
                  <c:v>309.20999999999998</c:v>
                </c:pt>
                <c:pt idx="7297">
                  <c:v>305.39</c:v>
                </c:pt>
                <c:pt idx="7298">
                  <c:v>302.45</c:v>
                </c:pt>
                <c:pt idx="7299">
                  <c:v>301.77999999999997</c:v>
                </c:pt>
                <c:pt idx="7300">
                  <c:v>301.85000000000002</c:v>
                </c:pt>
                <c:pt idx="7301">
                  <c:v>304.32</c:v>
                </c:pt>
                <c:pt idx="7302">
                  <c:v>308</c:v>
                </c:pt>
                <c:pt idx="7303">
                  <c:v>315.12</c:v>
                </c:pt>
                <c:pt idx="7304">
                  <c:v>322.67</c:v>
                </c:pt>
                <c:pt idx="7305">
                  <c:v>330.75</c:v>
                </c:pt>
                <c:pt idx="7306">
                  <c:v>347.44</c:v>
                </c:pt>
                <c:pt idx="7307">
                  <c:v>347.32</c:v>
                </c:pt>
                <c:pt idx="7308">
                  <c:v>342.82</c:v>
                </c:pt>
                <c:pt idx="7309">
                  <c:v>347.09</c:v>
                </c:pt>
                <c:pt idx="7310">
                  <c:v>346.98</c:v>
                </c:pt>
                <c:pt idx="7311">
                  <c:v>346.86</c:v>
                </c:pt>
                <c:pt idx="7312">
                  <c:v>340.38</c:v>
                </c:pt>
                <c:pt idx="7313">
                  <c:v>323.37</c:v>
                </c:pt>
                <c:pt idx="7314">
                  <c:v>323.88</c:v>
                </c:pt>
                <c:pt idx="7315">
                  <c:v>323.86</c:v>
                </c:pt>
                <c:pt idx="7316">
                  <c:v>321.52</c:v>
                </c:pt>
                <c:pt idx="7317">
                  <c:v>321.45</c:v>
                </c:pt>
                <c:pt idx="7318">
                  <c:v>319.74</c:v>
                </c:pt>
                <c:pt idx="7319">
                  <c:v>313.83999999999997</c:v>
                </c:pt>
                <c:pt idx="7320">
                  <c:v>363.17</c:v>
                </c:pt>
                <c:pt idx="7321">
                  <c:v>360.4</c:v>
                </c:pt>
                <c:pt idx="7322">
                  <c:v>357.68</c:v>
                </c:pt>
                <c:pt idx="7323">
                  <c:v>357.09</c:v>
                </c:pt>
                <c:pt idx="7324">
                  <c:v>356.23</c:v>
                </c:pt>
                <c:pt idx="7325">
                  <c:v>352.89</c:v>
                </c:pt>
                <c:pt idx="7326">
                  <c:v>348.55</c:v>
                </c:pt>
                <c:pt idx="7327">
                  <c:v>353.76</c:v>
                </c:pt>
                <c:pt idx="7328">
                  <c:v>359.46</c:v>
                </c:pt>
                <c:pt idx="7329">
                  <c:v>361.08</c:v>
                </c:pt>
                <c:pt idx="7330">
                  <c:v>364.42</c:v>
                </c:pt>
                <c:pt idx="7331">
                  <c:v>365.58</c:v>
                </c:pt>
                <c:pt idx="7332">
                  <c:v>365.67</c:v>
                </c:pt>
                <c:pt idx="7333">
                  <c:v>365.77</c:v>
                </c:pt>
                <c:pt idx="7334">
                  <c:v>365.88</c:v>
                </c:pt>
                <c:pt idx="7335">
                  <c:v>365.88</c:v>
                </c:pt>
                <c:pt idx="7336">
                  <c:v>364.47</c:v>
                </c:pt>
                <c:pt idx="7337">
                  <c:v>365.39</c:v>
                </c:pt>
                <c:pt idx="7338">
                  <c:v>369.24</c:v>
                </c:pt>
                <c:pt idx="7339">
                  <c:v>370.1</c:v>
                </c:pt>
                <c:pt idx="7340">
                  <c:v>367.76</c:v>
                </c:pt>
                <c:pt idx="7341">
                  <c:v>366.93</c:v>
                </c:pt>
                <c:pt idx="7342">
                  <c:v>365.88</c:v>
                </c:pt>
                <c:pt idx="7343">
                  <c:v>363.24</c:v>
                </c:pt>
                <c:pt idx="7344">
                  <c:v>362.58</c:v>
                </c:pt>
                <c:pt idx="7345">
                  <c:v>356.11</c:v>
                </c:pt>
                <c:pt idx="7346">
                  <c:v>353.1</c:v>
                </c:pt>
                <c:pt idx="7347">
                  <c:v>350.08</c:v>
                </c:pt>
                <c:pt idx="7348">
                  <c:v>349.43</c:v>
                </c:pt>
                <c:pt idx="7349">
                  <c:v>340.33</c:v>
                </c:pt>
                <c:pt idx="7350">
                  <c:v>325.16000000000003</c:v>
                </c:pt>
                <c:pt idx="7351">
                  <c:v>344.91</c:v>
                </c:pt>
                <c:pt idx="7352">
                  <c:v>351.65</c:v>
                </c:pt>
                <c:pt idx="7353">
                  <c:v>355.15</c:v>
                </c:pt>
                <c:pt idx="7354">
                  <c:v>362.41</c:v>
                </c:pt>
                <c:pt idx="7355">
                  <c:v>362.98</c:v>
                </c:pt>
                <c:pt idx="7356">
                  <c:v>363.15</c:v>
                </c:pt>
                <c:pt idx="7357">
                  <c:v>363.15</c:v>
                </c:pt>
                <c:pt idx="7358">
                  <c:v>363.15</c:v>
                </c:pt>
                <c:pt idx="7359">
                  <c:v>363.15</c:v>
                </c:pt>
                <c:pt idx="7360">
                  <c:v>363.21</c:v>
                </c:pt>
                <c:pt idx="7361">
                  <c:v>364.92</c:v>
                </c:pt>
                <c:pt idx="7362">
                  <c:v>374.74</c:v>
                </c:pt>
                <c:pt idx="7363">
                  <c:v>376.32</c:v>
                </c:pt>
                <c:pt idx="7364">
                  <c:v>373.91</c:v>
                </c:pt>
                <c:pt idx="7365">
                  <c:v>373.21</c:v>
                </c:pt>
                <c:pt idx="7366">
                  <c:v>371.88</c:v>
                </c:pt>
                <c:pt idx="7367">
                  <c:v>367.74</c:v>
                </c:pt>
                <c:pt idx="7368">
                  <c:v>366.92</c:v>
                </c:pt>
                <c:pt idx="7369">
                  <c:v>365.15</c:v>
                </c:pt>
                <c:pt idx="7370">
                  <c:v>363.9</c:v>
                </c:pt>
                <c:pt idx="7371">
                  <c:v>363.59</c:v>
                </c:pt>
                <c:pt idx="7372">
                  <c:v>363.45</c:v>
                </c:pt>
                <c:pt idx="7373">
                  <c:v>363.88</c:v>
                </c:pt>
                <c:pt idx="7374">
                  <c:v>364.6</c:v>
                </c:pt>
                <c:pt idx="7375">
                  <c:v>371.48</c:v>
                </c:pt>
                <c:pt idx="7376">
                  <c:v>383.36</c:v>
                </c:pt>
                <c:pt idx="7377">
                  <c:v>390.38</c:v>
                </c:pt>
                <c:pt idx="7378">
                  <c:v>397.7</c:v>
                </c:pt>
                <c:pt idx="7379">
                  <c:v>397.55</c:v>
                </c:pt>
                <c:pt idx="7380">
                  <c:v>393.32</c:v>
                </c:pt>
                <c:pt idx="7381">
                  <c:v>400.96</c:v>
                </c:pt>
                <c:pt idx="7382">
                  <c:v>405.17</c:v>
                </c:pt>
                <c:pt idx="7383">
                  <c:v>405.01</c:v>
                </c:pt>
                <c:pt idx="7384">
                  <c:v>402.96</c:v>
                </c:pt>
                <c:pt idx="7385">
                  <c:v>392.05</c:v>
                </c:pt>
                <c:pt idx="7386">
                  <c:v>391.33</c:v>
                </c:pt>
                <c:pt idx="7387">
                  <c:v>392.41</c:v>
                </c:pt>
                <c:pt idx="7388">
                  <c:v>391.81</c:v>
                </c:pt>
                <c:pt idx="7389">
                  <c:v>391.61</c:v>
                </c:pt>
                <c:pt idx="7390">
                  <c:v>389.53</c:v>
                </c:pt>
                <c:pt idx="7391">
                  <c:v>380.21</c:v>
                </c:pt>
                <c:pt idx="7392">
                  <c:v>374.39</c:v>
                </c:pt>
                <c:pt idx="7393">
                  <c:v>367.65</c:v>
                </c:pt>
                <c:pt idx="7394">
                  <c:v>363.89</c:v>
                </c:pt>
                <c:pt idx="7395">
                  <c:v>363.67</c:v>
                </c:pt>
                <c:pt idx="7396">
                  <c:v>363.47</c:v>
                </c:pt>
                <c:pt idx="7397">
                  <c:v>363.79</c:v>
                </c:pt>
                <c:pt idx="7398">
                  <c:v>367.76</c:v>
                </c:pt>
                <c:pt idx="7399">
                  <c:v>376.85</c:v>
                </c:pt>
                <c:pt idx="7400">
                  <c:v>388.97</c:v>
                </c:pt>
                <c:pt idx="7401">
                  <c:v>397.14</c:v>
                </c:pt>
                <c:pt idx="7402">
                  <c:v>413.80999999999995</c:v>
                </c:pt>
                <c:pt idx="7403">
                  <c:v>413.89</c:v>
                </c:pt>
                <c:pt idx="7404">
                  <c:v>410.36</c:v>
                </c:pt>
                <c:pt idx="7405">
                  <c:v>413.89</c:v>
                </c:pt>
                <c:pt idx="7406">
                  <c:v>413.89</c:v>
                </c:pt>
                <c:pt idx="7407">
                  <c:v>413.89</c:v>
                </c:pt>
                <c:pt idx="7408">
                  <c:v>413.89</c:v>
                </c:pt>
                <c:pt idx="7409">
                  <c:v>401.76</c:v>
                </c:pt>
                <c:pt idx="7410">
                  <c:v>399.24</c:v>
                </c:pt>
                <c:pt idx="7411">
                  <c:v>402.23</c:v>
                </c:pt>
                <c:pt idx="7412">
                  <c:v>396.13</c:v>
                </c:pt>
                <c:pt idx="7413">
                  <c:v>395.55</c:v>
                </c:pt>
                <c:pt idx="7414">
                  <c:v>390.49</c:v>
                </c:pt>
                <c:pt idx="7415">
                  <c:v>383.92</c:v>
                </c:pt>
                <c:pt idx="7416">
                  <c:v>366.07</c:v>
                </c:pt>
                <c:pt idx="7417">
                  <c:v>362.89</c:v>
                </c:pt>
                <c:pt idx="7418">
                  <c:v>362.04</c:v>
                </c:pt>
                <c:pt idx="7419">
                  <c:v>361.65</c:v>
                </c:pt>
                <c:pt idx="7420">
                  <c:v>361.64</c:v>
                </c:pt>
                <c:pt idx="7421">
                  <c:v>361.73</c:v>
                </c:pt>
                <c:pt idx="7422">
                  <c:v>361.73</c:v>
                </c:pt>
                <c:pt idx="7423">
                  <c:v>365.21</c:v>
                </c:pt>
                <c:pt idx="7424">
                  <c:v>377.91</c:v>
                </c:pt>
                <c:pt idx="7425">
                  <c:v>385.47</c:v>
                </c:pt>
                <c:pt idx="7426">
                  <c:v>393.58</c:v>
                </c:pt>
                <c:pt idx="7427">
                  <c:v>394.51</c:v>
                </c:pt>
                <c:pt idx="7428">
                  <c:v>387.16</c:v>
                </c:pt>
                <c:pt idx="7429">
                  <c:v>405.26</c:v>
                </c:pt>
                <c:pt idx="7430">
                  <c:v>413.89</c:v>
                </c:pt>
                <c:pt idx="7431">
                  <c:v>413.89</c:v>
                </c:pt>
                <c:pt idx="7432">
                  <c:v>407.68</c:v>
                </c:pt>
                <c:pt idx="7433">
                  <c:v>387.28</c:v>
                </c:pt>
                <c:pt idx="7434">
                  <c:v>387.36</c:v>
                </c:pt>
                <c:pt idx="7435">
                  <c:v>387.32</c:v>
                </c:pt>
                <c:pt idx="7436">
                  <c:v>385.03</c:v>
                </c:pt>
                <c:pt idx="7437">
                  <c:v>384.94</c:v>
                </c:pt>
                <c:pt idx="7438">
                  <c:v>382.22</c:v>
                </c:pt>
                <c:pt idx="7439">
                  <c:v>370.41</c:v>
                </c:pt>
                <c:pt idx="7440">
                  <c:v>360.26</c:v>
                </c:pt>
                <c:pt idx="7441">
                  <c:v>356.56</c:v>
                </c:pt>
                <c:pt idx="7442">
                  <c:v>354.09</c:v>
                </c:pt>
                <c:pt idx="7443">
                  <c:v>353.91</c:v>
                </c:pt>
                <c:pt idx="7444">
                  <c:v>353.95</c:v>
                </c:pt>
                <c:pt idx="7445">
                  <c:v>354.21</c:v>
                </c:pt>
                <c:pt idx="7446">
                  <c:v>357.8</c:v>
                </c:pt>
                <c:pt idx="7447">
                  <c:v>361.15</c:v>
                </c:pt>
                <c:pt idx="7448">
                  <c:v>371.65</c:v>
                </c:pt>
                <c:pt idx="7449">
                  <c:v>380.92</c:v>
                </c:pt>
                <c:pt idx="7450">
                  <c:v>389.22</c:v>
                </c:pt>
                <c:pt idx="7451">
                  <c:v>389.68</c:v>
                </c:pt>
                <c:pt idx="7452">
                  <c:v>383.29</c:v>
                </c:pt>
                <c:pt idx="7453">
                  <c:v>392.36</c:v>
                </c:pt>
                <c:pt idx="7454">
                  <c:v>409.62</c:v>
                </c:pt>
                <c:pt idx="7455">
                  <c:v>404.51</c:v>
                </c:pt>
                <c:pt idx="7456">
                  <c:v>389.21</c:v>
                </c:pt>
                <c:pt idx="7457">
                  <c:v>380.27</c:v>
                </c:pt>
                <c:pt idx="7458">
                  <c:v>379.43</c:v>
                </c:pt>
                <c:pt idx="7459">
                  <c:v>381.65</c:v>
                </c:pt>
                <c:pt idx="7460">
                  <c:v>378.32</c:v>
                </c:pt>
                <c:pt idx="7461">
                  <c:v>377.19</c:v>
                </c:pt>
                <c:pt idx="7462">
                  <c:v>372.45</c:v>
                </c:pt>
                <c:pt idx="7463">
                  <c:v>361.79</c:v>
                </c:pt>
                <c:pt idx="7464">
                  <c:v>355.28</c:v>
                </c:pt>
                <c:pt idx="7465">
                  <c:v>352.56</c:v>
                </c:pt>
                <c:pt idx="7466">
                  <c:v>351.8</c:v>
                </c:pt>
                <c:pt idx="7467">
                  <c:v>351.78</c:v>
                </c:pt>
                <c:pt idx="7468">
                  <c:v>351.78</c:v>
                </c:pt>
                <c:pt idx="7469">
                  <c:v>351.93</c:v>
                </c:pt>
                <c:pt idx="7470">
                  <c:v>353.09</c:v>
                </c:pt>
                <c:pt idx="7471">
                  <c:v>356.92</c:v>
                </c:pt>
                <c:pt idx="7472">
                  <c:v>364.78</c:v>
                </c:pt>
                <c:pt idx="7473">
                  <c:v>373.69</c:v>
                </c:pt>
                <c:pt idx="7474">
                  <c:v>379.44</c:v>
                </c:pt>
                <c:pt idx="7475">
                  <c:v>381.07</c:v>
                </c:pt>
                <c:pt idx="7476">
                  <c:v>377.11</c:v>
                </c:pt>
                <c:pt idx="7477">
                  <c:v>382.06</c:v>
                </c:pt>
                <c:pt idx="7478">
                  <c:v>383.92</c:v>
                </c:pt>
                <c:pt idx="7479">
                  <c:v>383.57</c:v>
                </c:pt>
                <c:pt idx="7480">
                  <c:v>379.61</c:v>
                </c:pt>
                <c:pt idx="7481">
                  <c:v>371.79</c:v>
                </c:pt>
                <c:pt idx="7482">
                  <c:v>372.01</c:v>
                </c:pt>
                <c:pt idx="7483">
                  <c:v>373.69</c:v>
                </c:pt>
                <c:pt idx="7484">
                  <c:v>368.37</c:v>
                </c:pt>
                <c:pt idx="7485">
                  <c:v>367.42</c:v>
                </c:pt>
                <c:pt idx="7486">
                  <c:v>363.1</c:v>
                </c:pt>
                <c:pt idx="7487">
                  <c:v>356.09</c:v>
                </c:pt>
                <c:pt idx="7488">
                  <c:v>316.47000000000003</c:v>
                </c:pt>
                <c:pt idx="7489">
                  <c:v>313.61</c:v>
                </c:pt>
                <c:pt idx="7490">
                  <c:v>312.04000000000002</c:v>
                </c:pt>
                <c:pt idx="7491">
                  <c:v>311.10000000000002</c:v>
                </c:pt>
                <c:pt idx="7492">
                  <c:v>310.52</c:v>
                </c:pt>
                <c:pt idx="7493">
                  <c:v>309.06</c:v>
                </c:pt>
                <c:pt idx="7494">
                  <c:v>308</c:v>
                </c:pt>
                <c:pt idx="7495">
                  <c:v>310.83999999999997</c:v>
                </c:pt>
                <c:pt idx="7496">
                  <c:v>314.66000000000003</c:v>
                </c:pt>
                <c:pt idx="7497">
                  <c:v>317.25</c:v>
                </c:pt>
                <c:pt idx="7498">
                  <c:v>318.72000000000003</c:v>
                </c:pt>
                <c:pt idx="7499">
                  <c:v>319.85000000000002</c:v>
                </c:pt>
                <c:pt idx="7500">
                  <c:v>319.56</c:v>
                </c:pt>
                <c:pt idx="7501">
                  <c:v>319.69</c:v>
                </c:pt>
                <c:pt idx="7502">
                  <c:v>319.97000000000003</c:v>
                </c:pt>
                <c:pt idx="7503">
                  <c:v>319.94</c:v>
                </c:pt>
                <c:pt idx="7504">
                  <c:v>319.74</c:v>
                </c:pt>
                <c:pt idx="7505">
                  <c:v>320.37</c:v>
                </c:pt>
                <c:pt idx="7506">
                  <c:v>324.42</c:v>
                </c:pt>
                <c:pt idx="7507">
                  <c:v>326.11</c:v>
                </c:pt>
                <c:pt idx="7508">
                  <c:v>322.69</c:v>
                </c:pt>
                <c:pt idx="7509">
                  <c:v>320.82</c:v>
                </c:pt>
                <c:pt idx="7510">
                  <c:v>317.76</c:v>
                </c:pt>
                <c:pt idx="7511">
                  <c:v>315.69</c:v>
                </c:pt>
                <c:pt idx="7512">
                  <c:v>313.27999999999997</c:v>
                </c:pt>
                <c:pt idx="7513">
                  <c:v>312.69</c:v>
                </c:pt>
                <c:pt idx="7514">
                  <c:v>311.25</c:v>
                </c:pt>
                <c:pt idx="7515">
                  <c:v>309.25</c:v>
                </c:pt>
                <c:pt idx="7516">
                  <c:v>306.42</c:v>
                </c:pt>
                <c:pt idx="7517">
                  <c:v>291.38</c:v>
                </c:pt>
                <c:pt idx="7518">
                  <c:v>267.27999999999997</c:v>
                </c:pt>
                <c:pt idx="7519">
                  <c:v>278.06</c:v>
                </c:pt>
                <c:pt idx="7520">
                  <c:v>296.20999999999998</c:v>
                </c:pt>
                <c:pt idx="7521">
                  <c:v>306.16000000000003</c:v>
                </c:pt>
                <c:pt idx="7522">
                  <c:v>311.72000000000003</c:v>
                </c:pt>
                <c:pt idx="7523">
                  <c:v>313.41000000000003</c:v>
                </c:pt>
                <c:pt idx="7524">
                  <c:v>313.42</c:v>
                </c:pt>
                <c:pt idx="7525">
                  <c:v>313.42</c:v>
                </c:pt>
                <c:pt idx="7526">
                  <c:v>313.42</c:v>
                </c:pt>
                <c:pt idx="7527">
                  <c:v>313.42</c:v>
                </c:pt>
                <c:pt idx="7528">
                  <c:v>313.74</c:v>
                </c:pt>
                <c:pt idx="7529">
                  <c:v>316.7</c:v>
                </c:pt>
                <c:pt idx="7530">
                  <c:v>321.63</c:v>
                </c:pt>
                <c:pt idx="7531">
                  <c:v>322.93</c:v>
                </c:pt>
                <c:pt idx="7532">
                  <c:v>320.98</c:v>
                </c:pt>
                <c:pt idx="7533">
                  <c:v>320.04000000000002</c:v>
                </c:pt>
                <c:pt idx="7534">
                  <c:v>318.61</c:v>
                </c:pt>
                <c:pt idx="7535">
                  <c:v>315.24</c:v>
                </c:pt>
                <c:pt idx="7536">
                  <c:v>311.42</c:v>
                </c:pt>
                <c:pt idx="7537">
                  <c:v>310.73</c:v>
                </c:pt>
                <c:pt idx="7538">
                  <c:v>310.27999999999997</c:v>
                </c:pt>
                <c:pt idx="7539">
                  <c:v>309.54000000000002</c:v>
                </c:pt>
                <c:pt idx="7540">
                  <c:v>309.89</c:v>
                </c:pt>
                <c:pt idx="7541">
                  <c:v>310.79000000000002</c:v>
                </c:pt>
                <c:pt idx="7542">
                  <c:v>311.18</c:v>
                </c:pt>
                <c:pt idx="7543">
                  <c:v>315.52999999999997</c:v>
                </c:pt>
                <c:pt idx="7544">
                  <c:v>321.87</c:v>
                </c:pt>
                <c:pt idx="7545">
                  <c:v>330.13</c:v>
                </c:pt>
                <c:pt idx="7546">
                  <c:v>332.13</c:v>
                </c:pt>
                <c:pt idx="7547">
                  <c:v>332.6</c:v>
                </c:pt>
                <c:pt idx="7548">
                  <c:v>332.02</c:v>
                </c:pt>
                <c:pt idx="7549">
                  <c:v>333.14</c:v>
                </c:pt>
                <c:pt idx="7550">
                  <c:v>334.17</c:v>
                </c:pt>
                <c:pt idx="7551">
                  <c:v>334.22</c:v>
                </c:pt>
                <c:pt idx="7552">
                  <c:v>333.34</c:v>
                </c:pt>
                <c:pt idx="7553">
                  <c:v>331.54</c:v>
                </c:pt>
                <c:pt idx="7554">
                  <c:v>331.8</c:v>
                </c:pt>
                <c:pt idx="7555">
                  <c:v>332.08</c:v>
                </c:pt>
                <c:pt idx="7556">
                  <c:v>331.16</c:v>
                </c:pt>
                <c:pt idx="7557">
                  <c:v>330.96</c:v>
                </c:pt>
                <c:pt idx="7558">
                  <c:v>326.72000000000003</c:v>
                </c:pt>
                <c:pt idx="7559">
                  <c:v>318.29000000000002</c:v>
                </c:pt>
                <c:pt idx="7560">
                  <c:v>317.68</c:v>
                </c:pt>
                <c:pt idx="7561">
                  <c:v>313.8</c:v>
                </c:pt>
                <c:pt idx="7562">
                  <c:v>313</c:v>
                </c:pt>
                <c:pt idx="7563">
                  <c:v>312.95</c:v>
                </c:pt>
                <c:pt idx="7564">
                  <c:v>313.07</c:v>
                </c:pt>
                <c:pt idx="7565">
                  <c:v>313.64999999999998</c:v>
                </c:pt>
                <c:pt idx="7566">
                  <c:v>317.95999999999998</c:v>
                </c:pt>
                <c:pt idx="7567">
                  <c:v>326.87</c:v>
                </c:pt>
                <c:pt idx="7568">
                  <c:v>336.36</c:v>
                </c:pt>
                <c:pt idx="7569">
                  <c:v>339.49</c:v>
                </c:pt>
                <c:pt idx="7570">
                  <c:v>342.84</c:v>
                </c:pt>
                <c:pt idx="7571">
                  <c:v>341.41</c:v>
                </c:pt>
                <c:pt idx="7572">
                  <c:v>339.24</c:v>
                </c:pt>
                <c:pt idx="7573">
                  <c:v>344.3</c:v>
                </c:pt>
                <c:pt idx="7574">
                  <c:v>348.87</c:v>
                </c:pt>
                <c:pt idx="7575">
                  <c:v>348.79</c:v>
                </c:pt>
                <c:pt idx="7576">
                  <c:v>345.8</c:v>
                </c:pt>
                <c:pt idx="7577">
                  <c:v>338.8</c:v>
                </c:pt>
                <c:pt idx="7578">
                  <c:v>339.22</c:v>
                </c:pt>
                <c:pt idx="7579">
                  <c:v>340.74</c:v>
                </c:pt>
                <c:pt idx="7580">
                  <c:v>338.67</c:v>
                </c:pt>
                <c:pt idx="7581">
                  <c:v>338.06</c:v>
                </c:pt>
                <c:pt idx="7582">
                  <c:v>335.24</c:v>
                </c:pt>
                <c:pt idx="7583">
                  <c:v>324.5</c:v>
                </c:pt>
                <c:pt idx="7584">
                  <c:v>313.66000000000003</c:v>
                </c:pt>
                <c:pt idx="7585">
                  <c:v>307.8</c:v>
                </c:pt>
                <c:pt idx="7586">
                  <c:v>305.24</c:v>
                </c:pt>
                <c:pt idx="7587">
                  <c:v>305.05</c:v>
                </c:pt>
                <c:pt idx="7588">
                  <c:v>305.67</c:v>
                </c:pt>
                <c:pt idx="7589">
                  <c:v>307.47000000000003</c:v>
                </c:pt>
                <c:pt idx="7590">
                  <c:v>314.27</c:v>
                </c:pt>
                <c:pt idx="7591">
                  <c:v>316.12</c:v>
                </c:pt>
                <c:pt idx="7592">
                  <c:v>327.20999999999998</c:v>
                </c:pt>
                <c:pt idx="7593">
                  <c:v>335.09</c:v>
                </c:pt>
                <c:pt idx="7594">
                  <c:v>341.75</c:v>
                </c:pt>
                <c:pt idx="7595">
                  <c:v>341.72</c:v>
                </c:pt>
                <c:pt idx="7596">
                  <c:v>339.95</c:v>
                </c:pt>
                <c:pt idx="7597">
                  <c:v>344.22</c:v>
                </c:pt>
                <c:pt idx="7598">
                  <c:v>361.71</c:v>
                </c:pt>
                <c:pt idx="7599">
                  <c:v>357.03</c:v>
                </c:pt>
                <c:pt idx="7600">
                  <c:v>342.22</c:v>
                </c:pt>
                <c:pt idx="7601">
                  <c:v>335.7</c:v>
                </c:pt>
                <c:pt idx="7602">
                  <c:v>336.03</c:v>
                </c:pt>
                <c:pt idx="7603">
                  <c:v>338.44</c:v>
                </c:pt>
                <c:pt idx="7604">
                  <c:v>334</c:v>
                </c:pt>
                <c:pt idx="7605">
                  <c:v>333.67</c:v>
                </c:pt>
                <c:pt idx="7606">
                  <c:v>329.19</c:v>
                </c:pt>
                <c:pt idx="7607">
                  <c:v>320</c:v>
                </c:pt>
                <c:pt idx="7608">
                  <c:v>317.83</c:v>
                </c:pt>
                <c:pt idx="7609">
                  <c:v>314.3</c:v>
                </c:pt>
                <c:pt idx="7610">
                  <c:v>310.55</c:v>
                </c:pt>
                <c:pt idx="7611">
                  <c:v>309.57</c:v>
                </c:pt>
                <c:pt idx="7612">
                  <c:v>311.52</c:v>
                </c:pt>
                <c:pt idx="7613">
                  <c:v>312.69</c:v>
                </c:pt>
                <c:pt idx="7614">
                  <c:v>316.92</c:v>
                </c:pt>
                <c:pt idx="7615">
                  <c:v>321.73</c:v>
                </c:pt>
                <c:pt idx="7616">
                  <c:v>332.99</c:v>
                </c:pt>
                <c:pt idx="7617">
                  <c:v>342.1</c:v>
                </c:pt>
                <c:pt idx="7618">
                  <c:v>345.07</c:v>
                </c:pt>
                <c:pt idx="7619">
                  <c:v>345.9</c:v>
                </c:pt>
                <c:pt idx="7620">
                  <c:v>343.66</c:v>
                </c:pt>
                <c:pt idx="7621">
                  <c:v>353.14</c:v>
                </c:pt>
                <c:pt idx="7622">
                  <c:v>370.8</c:v>
                </c:pt>
                <c:pt idx="7623">
                  <c:v>366.04</c:v>
                </c:pt>
                <c:pt idx="7624">
                  <c:v>350.47</c:v>
                </c:pt>
                <c:pt idx="7625">
                  <c:v>342.44</c:v>
                </c:pt>
                <c:pt idx="7626">
                  <c:v>342.2</c:v>
                </c:pt>
                <c:pt idx="7627">
                  <c:v>342.64</c:v>
                </c:pt>
                <c:pt idx="7628">
                  <c:v>341.28</c:v>
                </c:pt>
                <c:pt idx="7629">
                  <c:v>339.38</c:v>
                </c:pt>
                <c:pt idx="7630">
                  <c:v>332.56</c:v>
                </c:pt>
                <c:pt idx="7631">
                  <c:v>326.76</c:v>
                </c:pt>
                <c:pt idx="7632">
                  <c:v>317.66000000000003</c:v>
                </c:pt>
                <c:pt idx="7633">
                  <c:v>313.55</c:v>
                </c:pt>
                <c:pt idx="7634">
                  <c:v>309.45</c:v>
                </c:pt>
                <c:pt idx="7635">
                  <c:v>308.56</c:v>
                </c:pt>
                <c:pt idx="7636">
                  <c:v>307.93</c:v>
                </c:pt>
                <c:pt idx="7637">
                  <c:v>301.19</c:v>
                </c:pt>
                <c:pt idx="7638">
                  <c:v>295.25</c:v>
                </c:pt>
                <c:pt idx="7639">
                  <c:v>302.86</c:v>
                </c:pt>
                <c:pt idx="7640">
                  <c:v>312.51</c:v>
                </c:pt>
                <c:pt idx="7641">
                  <c:v>316.20999999999998</c:v>
                </c:pt>
                <c:pt idx="7642">
                  <c:v>319.02</c:v>
                </c:pt>
                <c:pt idx="7643">
                  <c:v>319.27</c:v>
                </c:pt>
                <c:pt idx="7644">
                  <c:v>319.36</c:v>
                </c:pt>
                <c:pt idx="7645">
                  <c:v>319.44</c:v>
                </c:pt>
                <c:pt idx="7646">
                  <c:v>319.52999999999997</c:v>
                </c:pt>
                <c:pt idx="7647">
                  <c:v>319.62</c:v>
                </c:pt>
                <c:pt idx="7648">
                  <c:v>319.70999999999998</c:v>
                </c:pt>
                <c:pt idx="7649">
                  <c:v>321.48</c:v>
                </c:pt>
                <c:pt idx="7650">
                  <c:v>329.34</c:v>
                </c:pt>
                <c:pt idx="7651">
                  <c:v>330.88</c:v>
                </c:pt>
                <c:pt idx="7652">
                  <c:v>329.91</c:v>
                </c:pt>
                <c:pt idx="7653">
                  <c:v>329.06</c:v>
                </c:pt>
                <c:pt idx="7654">
                  <c:v>327.83</c:v>
                </c:pt>
                <c:pt idx="7655">
                  <c:v>324.95</c:v>
                </c:pt>
                <c:pt idx="7656">
                  <c:v>346.44</c:v>
                </c:pt>
                <c:pt idx="7657">
                  <c:v>341.85</c:v>
                </c:pt>
                <c:pt idx="7658">
                  <c:v>338.83</c:v>
                </c:pt>
                <c:pt idx="7659">
                  <c:v>338.76</c:v>
                </c:pt>
                <c:pt idx="7660">
                  <c:v>338.62</c:v>
                </c:pt>
                <c:pt idx="7661">
                  <c:v>337.81</c:v>
                </c:pt>
                <c:pt idx="7662">
                  <c:v>337.14</c:v>
                </c:pt>
                <c:pt idx="7663">
                  <c:v>338.62</c:v>
                </c:pt>
                <c:pt idx="7664">
                  <c:v>343.09</c:v>
                </c:pt>
                <c:pt idx="7665">
                  <c:v>346.26</c:v>
                </c:pt>
                <c:pt idx="7666">
                  <c:v>347.97</c:v>
                </c:pt>
                <c:pt idx="7667">
                  <c:v>347.91</c:v>
                </c:pt>
                <c:pt idx="7668">
                  <c:v>347.84</c:v>
                </c:pt>
                <c:pt idx="7669">
                  <c:v>347.77</c:v>
                </c:pt>
                <c:pt idx="7670">
                  <c:v>347.67</c:v>
                </c:pt>
                <c:pt idx="7671">
                  <c:v>347.68</c:v>
                </c:pt>
                <c:pt idx="7672">
                  <c:v>347.97</c:v>
                </c:pt>
                <c:pt idx="7673">
                  <c:v>349.13</c:v>
                </c:pt>
                <c:pt idx="7674">
                  <c:v>355.59</c:v>
                </c:pt>
                <c:pt idx="7675">
                  <c:v>358.75</c:v>
                </c:pt>
                <c:pt idx="7676">
                  <c:v>355.13</c:v>
                </c:pt>
                <c:pt idx="7677">
                  <c:v>351.4</c:v>
                </c:pt>
                <c:pt idx="7678">
                  <c:v>349.93</c:v>
                </c:pt>
                <c:pt idx="7679">
                  <c:v>347.21</c:v>
                </c:pt>
                <c:pt idx="7680">
                  <c:v>341.75</c:v>
                </c:pt>
                <c:pt idx="7681">
                  <c:v>338.47</c:v>
                </c:pt>
                <c:pt idx="7682">
                  <c:v>336.28</c:v>
                </c:pt>
                <c:pt idx="7683">
                  <c:v>335.49</c:v>
                </c:pt>
                <c:pt idx="7684">
                  <c:v>331.74</c:v>
                </c:pt>
                <c:pt idx="7685">
                  <c:v>302.14999999999998</c:v>
                </c:pt>
                <c:pt idx="7686">
                  <c:v>291.07</c:v>
                </c:pt>
                <c:pt idx="7687">
                  <c:v>291.39999999999998</c:v>
                </c:pt>
                <c:pt idx="7688">
                  <c:v>315.92</c:v>
                </c:pt>
                <c:pt idx="7689">
                  <c:v>334.42</c:v>
                </c:pt>
                <c:pt idx="7690">
                  <c:v>337.99</c:v>
                </c:pt>
                <c:pt idx="7691">
                  <c:v>338.48</c:v>
                </c:pt>
                <c:pt idx="7692">
                  <c:v>338.48</c:v>
                </c:pt>
                <c:pt idx="7693">
                  <c:v>338.47</c:v>
                </c:pt>
                <c:pt idx="7694">
                  <c:v>338.47</c:v>
                </c:pt>
                <c:pt idx="7695">
                  <c:v>338.71</c:v>
                </c:pt>
                <c:pt idx="7696">
                  <c:v>340.3</c:v>
                </c:pt>
                <c:pt idx="7697">
                  <c:v>345.01</c:v>
                </c:pt>
                <c:pt idx="7698">
                  <c:v>352.23</c:v>
                </c:pt>
                <c:pt idx="7699">
                  <c:v>355.37</c:v>
                </c:pt>
                <c:pt idx="7700">
                  <c:v>353.9</c:v>
                </c:pt>
                <c:pt idx="7701">
                  <c:v>352.46</c:v>
                </c:pt>
                <c:pt idx="7702">
                  <c:v>350.14</c:v>
                </c:pt>
                <c:pt idx="7703">
                  <c:v>346.82</c:v>
                </c:pt>
                <c:pt idx="7704">
                  <c:v>335.46</c:v>
                </c:pt>
                <c:pt idx="7705">
                  <c:v>332.71</c:v>
                </c:pt>
                <c:pt idx="7706">
                  <c:v>331.28</c:v>
                </c:pt>
                <c:pt idx="7707">
                  <c:v>331.21</c:v>
                </c:pt>
                <c:pt idx="7708">
                  <c:v>331.23</c:v>
                </c:pt>
                <c:pt idx="7709">
                  <c:v>331.3</c:v>
                </c:pt>
                <c:pt idx="7710">
                  <c:v>333.94</c:v>
                </c:pt>
                <c:pt idx="7711">
                  <c:v>343.7</c:v>
                </c:pt>
                <c:pt idx="7712">
                  <c:v>357.32</c:v>
                </c:pt>
                <c:pt idx="7713">
                  <c:v>364.45</c:v>
                </c:pt>
                <c:pt idx="7714">
                  <c:v>370.44</c:v>
                </c:pt>
                <c:pt idx="7715">
                  <c:v>372.27</c:v>
                </c:pt>
                <c:pt idx="7716">
                  <c:v>366.3</c:v>
                </c:pt>
                <c:pt idx="7717">
                  <c:v>372.88</c:v>
                </c:pt>
                <c:pt idx="7718">
                  <c:v>376</c:v>
                </c:pt>
                <c:pt idx="7719">
                  <c:v>374.75</c:v>
                </c:pt>
                <c:pt idx="7720">
                  <c:v>371.97</c:v>
                </c:pt>
                <c:pt idx="7721">
                  <c:v>364.45</c:v>
                </c:pt>
                <c:pt idx="7722">
                  <c:v>364.2</c:v>
                </c:pt>
                <c:pt idx="7723">
                  <c:v>364.84</c:v>
                </c:pt>
                <c:pt idx="7724">
                  <c:v>364.48</c:v>
                </c:pt>
                <c:pt idx="7725">
                  <c:v>364.41</c:v>
                </c:pt>
                <c:pt idx="7726">
                  <c:v>362.54</c:v>
                </c:pt>
                <c:pt idx="7727">
                  <c:v>351.39</c:v>
                </c:pt>
                <c:pt idx="7728">
                  <c:v>343.39</c:v>
                </c:pt>
                <c:pt idx="7729">
                  <c:v>335.35</c:v>
                </c:pt>
                <c:pt idx="7730">
                  <c:v>334.72</c:v>
                </c:pt>
                <c:pt idx="7731">
                  <c:v>334.33</c:v>
                </c:pt>
                <c:pt idx="7732">
                  <c:v>334.21</c:v>
                </c:pt>
                <c:pt idx="7733">
                  <c:v>335.02</c:v>
                </c:pt>
                <c:pt idx="7734">
                  <c:v>342.16</c:v>
                </c:pt>
                <c:pt idx="7735">
                  <c:v>350.6</c:v>
                </c:pt>
                <c:pt idx="7736">
                  <c:v>357.77</c:v>
                </c:pt>
                <c:pt idx="7737">
                  <c:v>359.97</c:v>
                </c:pt>
                <c:pt idx="7738">
                  <c:v>364.42</c:v>
                </c:pt>
                <c:pt idx="7739">
                  <c:v>364.84</c:v>
                </c:pt>
                <c:pt idx="7740">
                  <c:v>361.77</c:v>
                </c:pt>
                <c:pt idx="7741">
                  <c:v>366.14</c:v>
                </c:pt>
                <c:pt idx="7742">
                  <c:v>370.42</c:v>
                </c:pt>
                <c:pt idx="7743">
                  <c:v>370.02</c:v>
                </c:pt>
                <c:pt idx="7744">
                  <c:v>365.87</c:v>
                </c:pt>
                <c:pt idx="7745">
                  <c:v>360.61</c:v>
                </c:pt>
                <c:pt idx="7746">
                  <c:v>360.34</c:v>
                </c:pt>
                <c:pt idx="7747">
                  <c:v>360.88</c:v>
                </c:pt>
                <c:pt idx="7748">
                  <c:v>360.79</c:v>
                </c:pt>
                <c:pt idx="7749">
                  <c:v>360.13</c:v>
                </c:pt>
                <c:pt idx="7750">
                  <c:v>358.39</c:v>
                </c:pt>
                <c:pt idx="7751">
                  <c:v>352.46</c:v>
                </c:pt>
                <c:pt idx="7752">
                  <c:v>344.84</c:v>
                </c:pt>
                <c:pt idx="7753">
                  <c:v>337.1</c:v>
                </c:pt>
                <c:pt idx="7754">
                  <c:v>332.95</c:v>
                </c:pt>
                <c:pt idx="7755">
                  <c:v>334.48</c:v>
                </c:pt>
                <c:pt idx="7756">
                  <c:v>335.03</c:v>
                </c:pt>
                <c:pt idx="7757">
                  <c:v>335.45</c:v>
                </c:pt>
                <c:pt idx="7758">
                  <c:v>339.58</c:v>
                </c:pt>
                <c:pt idx="7759">
                  <c:v>348.44</c:v>
                </c:pt>
                <c:pt idx="7760">
                  <c:v>355.41</c:v>
                </c:pt>
                <c:pt idx="7761">
                  <c:v>361.66</c:v>
                </c:pt>
                <c:pt idx="7762">
                  <c:v>364</c:v>
                </c:pt>
                <c:pt idx="7763">
                  <c:v>364.56</c:v>
                </c:pt>
                <c:pt idx="7764">
                  <c:v>363.56</c:v>
                </c:pt>
                <c:pt idx="7765">
                  <c:v>365.03</c:v>
                </c:pt>
                <c:pt idx="7766">
                  <c:v>365.19</c:v>
                </c:pt>
                <c:pt idx="7767">
                  <c:v>365.14</c:v>
                </c:pt>
                <c:pt idx="7768">
                  <c:v>365.14</c:v>
                </c:pt>
                <c:pt idx="7769">
                  <c:v>361.94</c:v>
                </c:pt>
                <c:pt idx="7770">
                  <c:v>362.04</c:v>
                </c:pt>
                <c:pt idx="7771">
                  <c:v>363.57</c:v>
                </c:pt>
                <c:pt idx="7772">
                  <c:v>361.49</c:v>
                </c:pt>
                <c:pt idx="7773">
                  <c:v>361.26</c:v>
                </c:pt>
                <c:pt idx="7774">
                  <c:v>359.66</c:v>
                </c:pt>
                <c:pt idx="7775">
                  <c:v>351.45</c:v>
                </c:pt>
                <c:pt idx="7776">
                  <c:v>337.33</c:v>
                </c:pt>
                <c:pt idx="7777">
                  <c:v>334.04</c:v>
                </c:pt>
                <c:pt idx="7778">
                  <c:v>331.78</c:v>
                </c:pt>
                <c:pt idx="7779">
                  <c:v>331.04</c:v>
                </c:pt>
                <c:pt idx="7780">
                  <c:v>331.05</c:v>
                </c:pt>
                <c:pt idx="7781">
                  <c:v>332.87</c:v>
                </c:pt>
                <c:pt idx="7782">
                  <c:v>334.29</c:v>
                </c:pt>
                <c:pt idx="7783">
                  <c:v>341.21</c:v>
                </c:pt>
                <c:pt idx="7784">
                  <c:v>355.57</c:v>
                </c:pt>
                <c:pt idx="7785">
                  <c:v>362.31</c:v>
                </c:pt>
                <c:pt idx="7786">
                  <c:v>371.38</c:v>
                </c:pt>
                <c:pt idx="7787">
                  <c:v>375.19</c:v>
                </c:pt>
                <c:pt idx="7788">
                  <c:v>365.47</c:v>
                </c:pt>
                <c:pt idx="7789">
                  <c:v>380.94</c:v>
                </c:pt>
                <c:pt idx="7790">
                  <c:v>387.63</c:v>
                </c:pt>
                <c:pt idx="7791">
                  <c:v>387.48</c:v>
                </c:pt>
                <c:pt idx="7792">
                  <c:v>380.7</c:v>
                </c:pt>
                <c:pt idx="7793">
                  <c:v>364.91</c:v>
                </c:pt>
                <c:pt idx="7794">
                  <c:v>362.7</c:v>
                </c:pt>
                <c:pt idx="7795">
                  <c:v>364.11</c:v>
                </c:pt>
                <c:pt idx="7796">
                  <c:v>363.58</c:v>
                </c:pt>
                <c:pt idx="7797">
                  <c:v>362.53</c:v>
                </c:pt>
                <c:pt idx="7798">
                  <c:v>359.01</c:v>
                </c:pt>
                <c:pt idx="7799">
                  <c:v>349.5</c:v>
                </c:pt>
                <c:pt idx="7800">
                  <c:v>342.83</c:v>
                </c:pt>
                <c:pt idx="7801">
                  <c:v>337.22</c:v>
                </c:pt>
                <c:pt idx="7802">
                  <c:v>335.04</c:v>
                </c:pt>
                <c:pt idx="7803">
                  <c:v>335.05</c:v>
                </c:pt>
                <c:pt idx="7804">
                  <c:v>335.03</c:v>
                </c:pt>
                <c:pt idx="7805">
                  <c:v>335.27</c:v>
                </c:pt>
                <c:pt idx="7806">
                  <c:v>340.46</c:v>
                </c:pt>
                <c:pt idx="7807">
                  <c:v>348.78</c:v>
                </c:pt>
                <c:pt idx="7808">
                  <c:v>359.91</c:v>
                </c:pt>
                <c:pt idx="7809">
                  <c:v>377.8</c:v>
                </c:pt>
                <c:pt idx="7810">
                  <c:v>387.3</c:v>
                </c:pt>
                <c:pt idx="7811">
                  <c:v>387.12</c:v>
                </c:pt>
                <c:pt idx="7812">
                  <c:v>386.98</c:v>
                </c:pt>
                <c:pt idx="7813">
                  <c:v>386.85</c:v>
                </c:pt>
                <c:pt idx="7814">
                  <c:v>387.6</c:v>
                </c:pt>
                <c:pt idx="7815">
                  <c:v>387.39</c:v>
                </c:pt>
                <c:pt idx="7816">
                  <c:v>386.45</c:v>
                </c:pt>
                <c:pt idx="7817">
                  <c:v>366.97</c:v>
                </c:pt>
                <c:pt idx="7818">
                  <c:v>363.83</c:v>
                </c:pt>
                <c:pt idx="7819">
                  <c:v>369.9</c:v>
                </c:pt>
                <c:pt idx="7820">
                  <c:v>361.25</c:v>
                </c:pt>
                <c:pt idx="7821">
                  <c:v>360.73</c:v>
                </c:pt>
                <c:pt idx="7822">
                  <c:v>358.05</c:v>
                </c:pt>
                <c:pt idx="7823">
                  <c:v>352.46</c:v>
                </c:pt>
                <c:pt idx="7824">
                  <c:v>336.71</c:v>
                </c:pt>
                <c:pt idx="7825">
                  <c:v>333.22</c:v>
                </c:pt>
                <c:pt idx="7826">
                  <c:v>330.23</c:v>
                </c:pt>
                <c:pt idx="7827">
                  <c:v>330.12</c:v>
                </c:pt>
                <c:pt idx="7828">
                  <c:v>330.07</c:v>
                </c:pt>
                <c:pt idx="7829">
                  <c:v>329.65</c:v>
                </c:pt>
                <c:pt idx="7830">
                  <c:v>329.95</c:v>
                </c:pt>
                <c:pt idx="7831">
                  <c:v>332.84</c:v>
                </c:pt>
                <c:pt idx="7832">
                  <c:v>337.49</c:v>
                </c:pt>
                <c:pt idx="7833">
                  <c:v>339.04</c:v>
                </c:pt>
                <c:pt idx="7834">
                  <c:v>339.51</c:v>
                </c:pt>
                <c:pt idx="7835">
                  <c:v>339.3</c:v>
                </c:pt>
                <c:pt idx="7836">
                  <c:v>339.08</c:v>
                </c:pt>
                <c:pt idx="7837">
                  <c:v>338.87</c:v>
                </c:pt>
                <c:pt idx="7838">
                  <c:v>338.66</c:v>
                </c:pt>
                <c:pt idx="7839">
                  <c:v>338.45</c:v>
                </c:pt>
                <c:pt idx="7840">
                  <c:v>338.24</c:v>
                </c:pt>
                <c:pt idx="7841">
                  <c:v>337.97</c:v>
                </c:pt>
                <c:pt idx="7842">
                  <c:v>344.68</c:v>
                </c:pt>
                <c:pt idx="7843">
                  <c:v>347.93</c:v>
                </c:pt>
                <c:pt idx="7844">
                  <c:v>342.22</c:v>
                </c:pt>
                <c:pt idx="7845">
                  <c:v>338.78</c:v>
                </c:pt>
                <c:pt idx="7846">
                  <c:v>337.31</c:v>
                </c:pt>
                <c:pt idx="7847">
                  <c:v>336.68</c:v>
                </c:pt>
                <c:pt idx="7848">
                  <c:v>334.16</c:v>
                </c:pt>
                <c:pt idx="7849">
                  <c:v>330.61</c:v>
                </c:pt>
                <c:pt idx="7850">
                  <c:v>328.69</c:v>
                </c:pt>
                <c:pt idx="7851">
                  <c:v>327.04000000000002</c:v>
                </c:pt>
                <c:pt idx="7852">
                  <c:v>326.52999999999997</c:v>
                </c:pt>
                <c:pt idx="7853">
                  <c:v>324.11</c:v>
                </c:pt>
                <c:pt idx="7854">
                  <c:v>320.41000000000003</c:v>
                </c:pt>
                <c:pt idx="7855">
                  <c:v>322.81</c:v>
                </c:pt>
                <c:pt idx="7856">
                  <c:v>325.39999999999998</c:v>
                </c:pt>
                <c:pt idx="7857">
                  <c:v>326.98</c:v>
                </c:pt>
                <c:pt idx="7858">
                  <c:v>328.75</c:v>
                </c:pt>
                <c:pt idx="7859">
                  <c:v>329.95</c:v>
                </c:pt>
                <c:pt idx="7860">
                  <c:v>329.93</c:v>
                </c:pt>
                <c:pt idx="7861">
                  <c:v>329.87</c:v>
                </c:pt>
                <c:pt idx="7862">
                  <c:v>329.83</c:v>
                </c:pt>
                <c:pt idx="7863">
                  <c:v>329.49</c:v>
                </c:pt>
                <c:pt idx="7864">
                  <c:v>329.95</c:v>
                </c:pt>
                <c:pt idx="7865">
                  <c:v>333.94</c:v>
                </c:pt>
                <c:pt idx="7866">
                  <c:v>339.05</c:v>
                </c:pt>
                <c:pt idx="7867">
                  <c:v>341.02</c:v>
                </c:pt>
                <c:pt idx="7868">
                  <c:v>339.63</c:v>
                </c:pt>
                <c:pt idx="7869">
                  <c:v>338.93</c:v>
                </c:pt>
                <c:pt idx="7870">
                  <c:v>338.15</c:v>
                </c:pt>
                <c:pt idx="7871">
                  <c:v>335.9</c:v>
                </c:pt>
                <c:pt idx="7872">
                  <c:v>328.38</c:v>
                </c:pt>
                <c:pt idx="7873">
                  <c:v>322.87</c:v>
                </c:pt>
                <c:pt idx="7874">
                  <c:v>316.95999999999998</c:v>
                </c:pt>
                <c:pt idx="7875">
                  <c:v>316.64999999999998</c:v>
                </c:pt>
                <c:pt idx="7876">
                  <c:v>316.52</c:v>
                </c:pt>
                <c:pt idx="7877">
                  <c:v>316.47000000000003</c:v>
                </c:pt>
                <c:pt idx="7878">
                  <c:v>322.58999999999997</c:v>
                </c:pt>
                <c:pt idx="7879">
                  <c:v>330.16</c:v>
                </c:pt>
                <c:pt idx="7880">
                  <c:v>336.06</c:v>
                </c:pt>
                <c:pt idx="7881">
                  <c:v>341.18</c:v>
                </c:pt>
                <c:pt idx="7882">
                  <c:v>345.21</c:v>
                </c:pt>
                <c:pt idx="7883">
                  <c:v>345.37</c:v>
                </c:pt>
                <c:pt idx="7884">
                  <c:v>342.19</c:v>
                </c:pt>
                <c:pt idx="7885">
                  <c:v>345.29</c:v>
                </c:pt>
                <c:pt idx="7886">
                  <c:v>345.63</c:v>
                </c:pt>
                <c:pt idx="7887">
                  <c:v>345.39</c:v>
                </c:pt>
                <c:pt idx="7888">
                  <c:v>344.65</c:v>
                </c:pt>
                <c:pt idx="7889">
                  <c:v>342.47</c:v>
                </c:pt>
                <c:pt idx="7890">
                  <c:v>342.72</c:v>
                </c:pt>
                <c:pt idx="7891">
                  <c:v>343.47</c:v>
                </c:pt>
                <c:pt idx="7892">
                  <c:v>343.68</c:v>
                </c:pt>
                <c:pt idx="7893">
                  <c:v>342.92</c:v>
                </c:pt>
                <c:pt idx="7894">
                  <c:v>340.05</c:v>
                </c:pt>
                <c:pt idx="7895">
                  <c:v>333.35</c:v>
                </c:pt>
                <c:pt idx="7896">
                  <c:v>324</c:v>
                </c:pt>
                <c:pt idx="7897">
                  <c:v>318.72000000000003</c:v>
                </c:pt>
                <c:pt idx="7898">
                  <c:v>317.5</c:v>
                </c:pt>
                <c:pt idx="7899">
                  <c:v>317.37</c:v>
                </c:pt>
                <c:pt idx="7900">
                  <c:v>317.23</c:v>
                </c:pt>
                <c:pt idx="7901">
                  <c:v>317.08999999999997</c:v>
                </c:pt>
                <c:pt idx="7902">
                  <c:v>320.42</c:v>
                </c:pt>
                <c:pt idx="7903">
                  <c:v>325.95</c:v>
                </c:pt>
                <c:pt idx="7904">
                  <c:v>333.19</c:v>
                </c:pt>
                <c:pt idx="7905">
                  <c:v>334.25</c:v>
                </c:pt>
                <c:pt idx="7906">
                  <c:v>337.36</c:v>
                </c:pt>
                <c:pt idx="7907">
                  <c:v>339.23</c:v>
                </c:pt>
                <c:pt idx="7908">
                  <c:v>334.21</c:v>
                </c:pt>
                <c:pt idx="7909">
                  <c:v>342.08</c:v>
                </c:pt>
                <c:pt idx="7910">
                  <c:v>344.26</c:v>
                </c:pt>
                <c:pt idx="7911">
                  <c:v>343.97</c:v>
                </c:pt>
                <c:pt idx="7912">
                  <c:v>342.68</c:v>
                </c:pt>
                <c:pt idx="7913">
                  <c:v>333.75</c:v>
                </c:pt>
                <c:pt idx="7914">
                  <c:v>333.17</c:v>
                </c:pt>
                <c:pt idx="7915">
                  <c:v>333.47</c:v>
                </c:pt>
                <c:pt idx="7916">
                  <c:v>333.04</c:v>
                </c:pt>
                <c:pt idx="7917">
                  <c:v>332.83</c:v>
                </c:pt>
                <c:pt idx="7918">
                  <c:v>332.53</c:v>
                </c:pt>
                <c:pt idx="7919">
                  <c:v>331</c:v>
                </c:pt>
                <c:pt idx="7920">
                  <c:v>326.97000000000003</c:v>
                </c:pt>
                <c:pt idx="7921">
                  <c:v>323.07</c:v>
                </c:pt>
                <c:pt idx="7922">
                  <c:v>318.79000000000002</c:v>
                </c:pt>
                <c:pt idx="7923">
                  <c:v>317.16000000000003</c:v>
                </c:pt>
                <c:pt idx="7924">
                  <c:v>316.94</c:v>
                </c:pt>
                <c:pt idx="7925">
                  <c:v>316.77999999999997</c:v>
                </c:pt>
                <c:pt idx="7926">
                  <c:v>322.42</c:v>
                </c:pt>
                <c:pt idx="7927">
                  <c:v>326.72000000000003</c:v>
                </c:pt>
                <c:pt idx="7928">
                  <c:v>329.18</c:v>
                </c:pt>
                <c:pt idx="7929">
                  <c:v>333.28</c:v>
                </c:pt>
                <c:pt idx="7930">
                  <c:v>338.84</c:v>
                </c:pt>
                <c:pt idx="7931">
                  <c:v>341.22</c:v>
                </c:pt>
                <c:pt idx="7932">
                  <c:v>337.9</c:v>
                </c:pt>
                <c:pt idx="7933">
                  <c:v>343.1</c:v>
                </c:pt>
                <c:pt idx="7934">
                  <c:v>346.97</c:v>
                </c:pt>
                <c:pt idx="7935">
                  <c:v>346.89</c:v>
                </c:pt>
                <c:pt idx="7936">
                  <c:v>344.64</c:v>
                </c:pt>
                <c:pt idx="7937">
                  <c:v>337.54</c:v>
                </c:pt>
                <c:pt idx="7938">
                  <c:v>335.59</c:v>
                </c:pt>
                <c:pt idx="7939">
                  <c:v>340.24</c:v>
                </c:pt>
                <c:pt idx="7940">
                  <c:v>340.14</c:v>
                </c:pt>
                <c:pt idx="7941">
                  <c:v>340.1</c:v>
                </c:pt>
                <c:pt idx="7942">
                  <c:v>334.8</c:v>
                </c:pt>
                <c:pt idx="7943">
                  <c:v>329.54</c:v>
                </c:pt>
                <c:pt idx="7944">
                  <c:v>321.77</c:v>
                </c:pt>
                <c:pt idx="7945">
                  <c:v>320.45999999999998</c:v>
                </c:pt>
                <c:pt idx="7946">
                  <c:v>319.60000000000002</c:v>
                </c:pt>
                <c:pt idx="7947">
                  <c:v>319.04000000000002</c:v>
                </c:pt>
                <c:pt idx="7948">
                  <c:v>319.54000000000002</c:v>
                </c:pt>
                <c:pt idx="7949">
                  <c:v>319.60000000000002</c:v>
                </c:pt>
                <c:pt idx="7950">
                  <c:v>320.08999999999997</c:v>
                </c:pt>
                <c:pt idx="7951">
                  <c:v>323.77999999999997</c:v>
                </c:pt>
                <c:pt idx="7952">
                  <c:v>330.98</c:v>
                </c:pt>
                <c:pt idx="7953">
                  <c:v>336.94</c:v>
                </c:pt>
                <c:pt idx="7954">
                  <c:v>341.92</c:v>
                </c:pt>
                <c:pt idx="7955">
                  <c:v>342.74</c:v>
                </c:pt>
                <c:pt idx="7956">
                  <c:v>340.24</c:v>
                </c:pt>
                <c:pt idx="7957">
                  <c:v>343.98</c:v>
                </c:pt>
                <c:pt idx="7958">
                  <c:v>347.18</c:v>
                </c:pt>
                <c:pt idx="7959">
                  <c:v>345.26</c:v>
                </c:pt>
                <c:pt idx="7960">
                  <c:v>341.63</c:v>
                </c:pt>
                <c:pt idx="7961">
                  <c:v>335.48</c:v>
                </c:pt>
                <c:pt idx="7962">
                  <c:v>334.56</c:v>
                </c:pt>
                <c:pt idx="7963">
                  <c:v>338.7</c:v>
                </c:pt>
                <c:pt idx="7964">
                  <c:v>335.92</c:v>
                </c:pt>
                <c:pt idx="7965">
                  <c:v>335.8</c:v>
                </c:pt>
                <c:pt idx="7966">
                  <c:v>333.3</c:v>
                </c:pt>
                <c:pt idx="7967">
                  <c:v>327.77</c:v>
                </c:pt>
                <c:pt idx="7968">
                  <c:v>317.60000000000002</c:v>
                </c:pt>
                <c:pt idx="7969">
                  <c:v>315.76</c:v>
                </c:pt>
                <c:pt idx="7970">
                  <c:v>314.04000000000002</c:v>
                </c:pt>
                <c:pt idx="7971">
                  <c:v>314.12</c:v>
                </c:pt>
                <c:pt idx="7972">
                  <c:v>314.92</c:v>
                </c:pt>
                <c:pt idx="7973">
                  <c:v>314.95999999999998</c:v>
                </c:pt>
                <c:pt idx="7974">
                  <c:v>315.89999999999998</c:v>
                </c:pt>
                <c:pt idx="7975">
                  <c:v>320.99</c:v>
                </c:pt>
                <c:pt idx="7976">
                  <c:v>328.18</c:v>
                </c:pt>
                <c:pt idx="7977">
                  <c:v>335.1</c:v>
                </c:pt>
                <c:pt idx="7978">
                  <c:v>338.49</c:v>
                </c:pt>
                <c:pt idx="7979">
                  <c:v>339.02</c:v>
                </c:pt>
                <c:pt idx="7980">
                  <c:v>336.55</c:v>
                </c:pt>
                <c:pt idx="7981">
                  <c:v>339.21</c:v>
                </c:pt>
                <c:pt idx="7982">
                  <c:v>340.79</c:v>
                </c:pt>
                <c:pt idx="7983">
                  <c:v>339.84</c:v>
                </c:pt>
                <c:pt idx="7984">
                  <c:v>336.96</c:v>
                </c:pt>
                <c:pt idx="7985">
                  <c:v>330.12</c:v>
                </c:pt>
                <c:pt idx="7986">
                  <c:v>329.28</c:v>
                </c:pt>
                <c:pt idx="7987">
                  <c:v>332.56</c:v>
                </c:pt>
                <c:pt idx="7988">
                  <c:v>330.88</c:v>
                </c:pt>
                <c:pt idx="7989">
                  <c:v>330.82</c:v>
                </c:pt>
                <c:pt idx="7990">
                  <c:v>326.94</c:v>
                </c:pt>
                <c:pt idx="7991">
                  <c:v>322.42</c:v>
                </c:pt>
                <c:pt idx="7992">
                  <c:v>250.7</c:v>
                </c:pt>
                <c:pt idx="7993">
                  <c:v>249.76</c:v>
                </c:pt>
                <c:pt idx="7994">
                  <c:v>247.9</c:v>
                </c:pt>
                <c:pt idx="7995">
                  <c:v>247.21</c:v>
                </c:pt>
                <c:pt idx="7996">
                  <c:v>247.24</c:v>
                </c:pt>
                <c:pt idx="7997">
                  <c:v>245.66</c:v>
                </c:pt>
                <c:pt idx="7998">
                  <c:v>244.68</c:v>
                </c:pt>
                <c:pt idx="7999">
                  <c:v>248.21</c:v>
                </c:pt>
                <c:pt idx="8000">
                  <c:v>250.32</c:v>
                </c:pt>
                <c:pt idx="8001">
                  <c:v>251.76</c:v>
                </c:pt>
                <c:pt idx="8002">
                  <c:v>252.32</c:v>
                </c:pt>
                <c:pt idx="8003">
                  <c:v>252.4</c:v>
                </c:pt>
                <c:pt idx="8004">
                  <c:v>252.44</c:v>
                </c:pt>
                <c:pt idx="8005">
                  <c:v>252.48</c:v>
                </c:pt>
                <c:pt idx="8006">
                  <c:v>252.47</c:v>
                </c:pt>
                <c:pt idx="8007">
                  <c:v>252.49</c:v>
                </c:pt>
                <c:pt idx="8008">
                  <c:v>252.54</c:v>
                </c:pt>
                <c:pt idx="8009">
                  <c:v>252.56</c:v>
                </c:pt>
                <c:pt idx="8010">
                  <c:v>253.05</c:v>
                </c:pt>
                <c:pt idx="8011">
                  <c:v>253.73</c:v>
                </c:pt>
                <c:pt idx="8012">
                  <c:v>252.89</c:v>
                </c:pt>
                <c:pt idx="8013">
                  <c:v>252.58</c:v>
                </c:pt>
                <c:pt idx="8014">
                  <c:v>252.2</c:v>
                </c:pt>
                <c:pt idx="8015">
                  <c:v>250.36</c:v>
                </c:pt>
                <c:pt idx="8016">
                  <c:v>251.08</c:v>
                </c:pt>
                <c:pt idx="8017">
                  <c:v>250.51</c:v>
                </c:pt>
                <c:pt idx="8018">
                  <c:v>249.3</c:v>
                </c:pt>
                <c:pt idx="8019">
                  <c:v>247.94</c:v>
                </c:pt>
                <c:pt idx="8020">
                  <c:v>246.62</c:v>
                </c:pt>
                <c:pt idx="8021">
                  <c:v>244.32</c:v>
                </c:pt>
                <c:pt idx="8022">
                  <c:v>241.97</c:v>
                </c:pt>
                <c:pt idx="8023">
                  <c:v>243.06</c:v>
                </c:pt>
                <c:pt idx="8024">
                  <c:v>245.78</c:v>
                </c:pt>
                <c:pt idx="8025">
                  <c:v>249.24</c:v>
                </c:pt>
                <c:pt idx="8026">
                  <c:v>249.96</c:v>
                </c:pt>
                <c:pt idx="8027">
                  <c:v>251.55</c:v>
                </c:pt>
                <c:pt idx="8028">
                  <c:v>251.55</c:v>
                </c:pt>
                <c:pt idx="8029">
                  <c:v>251.52</c:v>
                </c:pt>
                <c:pt idx="8030">
                  <c:v>251.4</c:v>
                </c:pt>
                <c:pt idx="8031">
                  <c:v>251.4</c:v>
                </c:pt>
                <c:pt idx="8032">
                  <c:v>251.53</c:v>
                </c:pt>
                <c:pt idx="8033">
                  <c:v>252.36</c:v>
                </c:pt>
                <c:pt idx="8034">
                  <c:v>254.74</c:v>
                </c:pt>
                <c:pt idx="8035">
                  <c:v>256.14999999999998</c:v>
                </c:pt>
                <c:pt idx="8036">
                  <c:v>256.10000000000002</c:v>
                </c:pt>
                <c:pt idx="8037">
                  <c:v>256.04000000000002</c:v>
                </c:pt>
                <c:pt idx="8038">
                  <c:v>254.29</c:v>
                </c:pt>
                <c:pt idx="8039">
                  <c:v>252.74</c:v>
                </c:pt>
                <c:pt idx="8040">
                  <c:v>251.26</c:v>
                </c:pt>
                <c:pt idx="8041">
                  <c:v>250.82</c:v>
                </c:pt>
                <c:pt idx="8042">
                  <c:v>250.06</c:v>
                </c:pt>
                <c:pt idx="8043">
                  <c:v>249.64</c:v>
                </c:pt>
                <c:pt idx="8044">
                  <c:v>249.81</c:v>
                </c:pt>
                <c:pt idx="8045">
                  <c:v>250.5</c:v>
                </c:pt>
                <c:pt idx="8046">
                  <c:v>251.4</c:v>
                </c:pt>
                <c:pt idx="8047">
                  <c:v>254.37</c:v>
                </c:pt>
                <c:pt idx="8048">
                  <c:v>259.39999999999998</c:v>
                </c:pt>
                <c:pt idx="8049">
                  <c:v>261.10000000000002</c:v>
                </c:pt>
                <c:pt idx="8050">
                  <c:v>261.81</c:v>
                </c:pt>
                <c:pt idx="8051">
                  <c:v>261.94</c:v>
                </c:pt>
                <c:pt idx="8052">
                  <c:v>261.52</c:v>
                </c:pt>
                <c:pt idx="8053">
                  <c:v>261.7</c:v>
                </c:pt>
                <c:pt idx="8054">
                  <c:v>262.70999999999998</c:v>
                </c:pt>
                <c:pt idx="8055">
                  <c:v>262.5</c:v>
                </c:pt>
                <c:pt idx="8056">
                  <c:v>261.61</c:v>
                </c:pt>
                <c:pt idx="8057">
                  <c:v>260.83999999999997</c:v>
                </c:pt>
                <c:pt idx="8058">
                  <c:v>260.61</c:v>
                </c:pt>
                <c:pt idx="8059">
                  <c:v>260.64</c:v>
                </c:pt>
                <c:pt idx="8060">
                  <c:v>260.51</c:v>
                </c:pt>
                <c:pt idx="8061">
                  <c:v>260.38</c:v>
                </c:pt>
                <c:pt idx="8062">
                  <c:v>260.26</c:v>
                </c:pt>
                <c:pt idx="8063">
                  <c:v>257.89</c:v>
                </c:pt>
                <c:pt idx="8064">
                  <c:v>252.87</c:v>
                </c:pt>
                <c:pt idx="8065">
                  <c:v>252.08</c:v>
                </c:pt>
                <c:pt idx="8066">
                  <c:v>250.45</c:v>
                </c:pt>
                <c:pt idx="8067">
                  <c:v>250.08</c:v>
                </c:pt>
                <c:pt idx="8068">
                  <c:v>250.34</c:v>
                </c:pt>
                <c:pt idx="8069">
                  <c:v>250.6</c:v>
                </c:pt>
                <c:pt idx="8070">
                  <c:v>252.08</c:v>
                </c:pt>
                <c:pt idx="8071">
                  <c:v>254.79</c:v>
                </c:pt>
                <c:pt idx="8072">
                  <c:v>257.05</c:v>
                </c:pt>
                <c:pt idx="8073">
                  <c:v>259.44</c:v>
                </c:pt>
                <c:pt idx="8074">
                  <c:v>264.38</c:v>
                </c:pt>
                <c:pt idx="8075">
                  <c:v>264.38</c:v>
                </c:pt>
                <c:pt idx="8076">
                  <c:v>260.27999999999997</c:v>
                </c:pt>
                <c:pt idx="8077">
                  <c:v>263.23</c:v>
                </c:pt>
                <c:pt idx="8078">
                  <c:v>265.36</c:v>
                </c:pt>
                <c:pt idx="8079">
                  <c:v>264.58999999999997</c:v>
                </c:pt>
                <c:pt idx="8080">
                  <c:v>263.24</c:v>
                </c:pt>
                <c:pt idx="8081">
                  <c:v>258.3</c:v>
                </c:pt>
                <c:pt idx="8082">
                  <c:v>256.75</c:v>
                </c:pt>
                <c:pt idx="8083">
                  <c:v>258.45999999999998</c:v>
                </c:pt>
                <c:pt idx="8084">
                  <c:v>257.58999999999997</c:v>
                </c:pt>
                <c:pt idx="8085">
                  <c:v>257.32</c:v>
                </c:pt>
                <c:pt idx="8086">
                  <c:v>255.56</c:v>
                </c:pt>
                <c:pt idx="8087">
                  <c:v>253.78</c:v>
                </c:pt>
                <c:pt idx="8088">
                  <c:v>251.55</c:v>
                </c:pt>
                <c:pt idx="8089">
                  <c:v>250.58</c:v>
                </c:pt>
                <c:pt idx="8090">
                  <c:v>249.18</c:v>
                </c:pt>
                <c:pt idx="8091">
                  <c:v>248.94</c:v>
                </c:pt>
                <c:pt idx="8092">
                  <c:v>249.1</c:v>
                </c:pt>
                <c:pt idx="8093">
                  <c:v>249.24</c:v>
                </c:pt>
                <c:pt idx="8094">
                  <c:v>250.68</c:v>
                </c:pt>
                <c:pt idx="8095">
                  <c:v>252.98</c:v>
                </c:pt>
                <c:pt idx="8096">
                  <c:v>256.32</c:v>
                </c:pt>
                <c:pt idx="8097">
                  <c:v>257.48</c:v>
                </c:pt>
                <c:pt idx="8098">
                  <c:v>260.08999999999997</c:v>
                </c:pt>
                <c:pt idx="8099">
                  <c:v>260.89999999999998</c:v>
                </c:pt>
                <c:pt idx="8100">
                  <c:v>257.73</c:v>
                </c:pt>
                <c:pt idx="8101">
                  <c:v>261.29000000000002</c:v>
                </c:pt>
                <c:pt idx="8102">
                  <c:v>263.3</c:v>
                </c:pt>
                <c:pt idx="8103">
                  <c:v>262.79000000000002</c:v>
                </c:pt>
                <c:pt idx="8104">
                  <c:v>261</c:v>
                </c:pt>
                <c:pt idx="8105">
                  <c:v>257.11</c:v>
                </c:pt>
                <c:pt idx="8106">
                  <c:v>256.64</c:v>
                </c:pt>
                <c:pt idx="8107">
                  <c:v>256.76</c:v>
                </c:pt>
                <c:pt idx="8108">
                  <c:v>256.39</c:v>
                </c:pt>
                <c:pt idx="8109">
                  <c:v>256.26</c:v>
                </c:pt>
                <c:pt idx="8110">
                  <c:v>255.38</c:v>
                </c:pt>
                <c:pt idx="8111">
                  <c:v>253.2</c:v>
                </c:pt>
                <c:pt idx="8112">
                  <c:v>252.86</c:v>
                </c:pt>
                <c:pt idx="8113">
                  <c:v>251.74</c:v>
                </c:pt>
                <c:pt idx="8114">
                  <c:v>250.6</c:v>
                </c:pt>
                <c:pt idx="8115">
                  <c:v>250.3</c:v>
                </c:pt>
                <c:pt idx="8116">
                  <c:v>250.47</c:v>
                </c:pt>
                <c:pt idx="8117">
                  <c:v>250.58</c:v>
                </c:pt>
                <c:pt idx="8118">
                  <c:v>251.68</c:v>
                </c:pt>
                <c:pt idx="8119">
                  <c:v>253.74</c:v>
                </c:pt>
                <c:pt idx="8120">
                  <c:v>256.8</c:v>
                </c:pt>
                <c:pt idx="8121">
                  <c:v>260.04000000000002</c:v>
                </c:pt>
                <c:pt idx="8122">
                  <c:v>262.81</c:v>
                </c:pt>
                <c:pt idx="8123">
                  <c:v>264.06</c:v>
                </c:pt>
                <c:pt idx="8124">
                  <c:v>261.39999999999998</c:v>
                </c:pt>
                <c:pt idx="8125">
                  <c:v>266.18</c:v>
                </c:pt>
                <c:pt idx="8126">
                  <c:v>269.18</c:v>
                </c:pt>
                <c:pt idx="8127">
                  <c:v>269.11</c:v>
                </c:pt>
                <c:pt idx="8128">
                  <c:v>266.99</c:v>
                </c:pt>
                <c:pt idx="8129">
                  <c:v>260.68</c:v>
                </c:pt>
                <c:pt idx="8130">
                  <c:v>260.52</c:v>
                </c:pt>
                <c:pt idx="8131">
                  <c:v>260.49</c:v>
                </c:pt>
                <c:pt idx="8132">
                  <c:v>260.49</c:v>
                </c:pt>
                <c:pt idx="8133">
                  <c:v>260.49</c:v>
                </c:pt>
                <c:pt idx="8134">
                  <c:v>260.12</c:v>
                </c:pt>
                <c:pt idx="8135">
                  <c:v>256.60000000000002</c:v>
                </c:pt>
                <c:pt idx="8136">
                  <c:v>253.75</c:v>
                </c:pt>
                <c:pt idx="8137">
                  <c:v>252.92</c:v>
                </c:pt>
                <c:pt idx="8138">
                  <c:v>252.15</c:v>
                </c:pt>
                <c:pt idx="8139">
                  <c:v>251.37</c:v>
                </c:pt>
                <c:pt idx="8140">
                  <c:v>251.43</c:v>
                </c:pt>
                <c:pt idx="8141">
                  <c:v>252.26</c:v>
                </c:pt>
                <c:pt idx="8142">
                  <c:v>253.06</c:v>
                </c:pt>
                <c:pt idx="8143">
                  <c:v>254.42</c:v>
                </c:pt>
                <c:pt idx="8144">
                  <c:v>260.67</c:v>
                </c:pt>
                <c:pt idx="8145">
                  <c:v>266.06</c:v>
                </c:pt>
                <c:pt idx="8146">
                  <c:v>268.11</c:v>
                </c:pt>
                <c:pt idx="8147">
                  <c:v>267.98</c:v>
                </c:pt>
                <c:pt idx="8148">
                  <c:v>267.55</c:v>
                </c:pt>
                <c:pt idx="8149">
                  <c:v>267.72000000000003</c:v>
                </c:pt>
                <c:pt idx="8150">
                  <c:v>267.83</c:v>
                </c:pt>
                <c:pt idx="8151">
                  <c:v>267.85000000000002</c:v>
                </c:pt>
                <c:pt idx="8152">
                  <c:v>267.33</c:v>
                </c:pt>
                <c:pt idx="8153">
                  <c:v>264.93</c:v>
                </c:pt>
                <c:pt idx="8154">
                  <c:v>263.45</c:v>
                </c:pt>
                <c:pt idx="8155">
                  <c:v>266.72000000000003</c:v>
                </c:pt>
                <c:pt idx="8156">
                  <c:v>265.97000000000003</c:v>
                </c:pt>
                <c:pt idx="8157">
                  <c:v>264.82</c:v>
                </c:pt>
                <c:pt idx="8158">
                  <c:v>259.83</c:v>
                </c:pt>
                <c:pt idx="8159">
                  <c:v>255.71</c:v>
                </c:pt>
                <c:pt idx="8160">
                  <c:v>229.92</c:v>
                </c:pt>
                <c:pt idx="8161">
                  <c:v>229.47</c:v>
                </c:pt>
                <c:pt idx="8162">
                  <c:v>229.36</c:v>
                </c:pt>
                <c:pt idx="8163">
                  <c:v>229.25</c:v>
                </c:pt>
                <c:pt idx="8164">
                  <c:v>229.14</c:v>
                </c:pt>
                <c:pt idx="8165">
                  <c:v>228.33</c:v>
                </c:pt>
                <c:pt idx="8166">
                  <c:v>228.66</c:v>
                </c:pt>
                <c:pt idx="8167">
                  <c:v>229.09</c:v>
                </c:pt>
                <c:pt idx="8168">
                  <c:v>229.44</c:v>
                </c:pt>
                <c:pt idx="8169">
                  <c:v>230.28</c:v>
                </c:pt>
                <c:pt idx="8170">
                  <c:v>230.3</c:v>
                </c:pt>
                <c:pt idx="8171">
                  <c:v>230.31</c:v>
                </c:pt>
                <c:pt idx="8172">
                  <c:v>230.27</c:v>
                </c:pt>
                <c:pt idx="8173">
                  <c:v>230.27</c:v>
                </c:pt>
                <c:pt idx="8174">
                  <c:v>230.27</c:v>
                </c:pt>
                <c:pt idx="8175">
                  <c:v>230.27</c:v>
                </c:pt>
                <c:pt idx="8176">
                  <c:v>230.27</c:v>
                </c:pt>
                <c:pt idx="8177">
                  <c:v>230.29</c:v>
                </c:pt>
                <c:pt idx="8178">
                  <c:v>233.18</c:v>
                </c:pt>
                <c:pt idx="8179">
                  <c:v>237.4</c:v>
                </c:pt>
                <c:pt idx="8180">
                  <c:v>235.62</c:v>
                </c:pt>
                <c:pt idx="8181">
                  <c:v>232.99</c:v>
                </c:pt>
                <c:pt idx="8182">
                  <c:v>230.14</c:v>
                </c:pt>
                <c:pt idx="8183">
                  <c:v>229.02</c:v>
                </c:pt>
                <c:pt idx="8184">
                  <c:v>227.88</c:v>
                </c:pt>
                <c:pt idx="8185">
                  <c:v>224.18</c:v>
                </c:pt>
                <c:pt idx="8186">
                  <c:v>223.64</c:v>
                </c:pt>
                <c:pt idx="8187">
                  <c:v>223.54</c:v>
                </c:pt>
                <c:pt idx="8188">
                  <c:v>223.4</c:v>
                </c:pt>
                <c:pt idx="8189">
                  <c:v>219.56</c:v>
                </c:pt>
                <c:pt idx="8190">
                  <c:v>215.85</c:v>
                </c:pt>
                <c:pt idx="8191">
                  <c:v>217.48</c:v>
                </c:pt>
                <c:pt idx="8192">
                  <c:v>222.98</c:v>
                </c:pt>
                <c:pt idx="8193">
                  <c:v>223.19</c:v>
                </c:pt>
                <c:pt idx="8194">
                  <c:v>223.31</c:v>
                </c:pt>
                <c:pt idx="8195">
                  <c:v>223.28</c:v>
                </c:pt>
                <c:pt idx="8196">
                  <c:v>223.24</c:v>
                </c:pt>
                <c:pt idx="8197">
                  <c:v>223.2</c:v>
                </c:pt>
                <c:pt idx="8198">
                  <c:v>223.16</c:v>
                </c:pt>
                <c:pt idx="8199">
                  <c:v>223.13</c:v>
                </c:pt>
                <c:pt idx="8200">
                  <c:v>223.38</c:v>
                </c:pt>
                <c:pt idx="8201">
                  <c:v>224.4</c:v>
                </c:pt>
                <c:pt idx="8202">
                  <c:v>229.68</c:v>
                </c:pt>
                <c:pt idx="8203">
                  <c:v>230.52</c:v>
                </c:pt>
                <c:pt idx="8204">
                  <c:v>230.48</c:v>
                </c:pt>
                <c:pt idx="8205">
                  <c:v>230.38</c:v>
                </c:pt>
                <c:pt idx="8206">
                  <c:v>229.88</c:v>
                </c:pt>
                <c:pt idx="8207">
                  <c:v>226.37</c:v>
                </c:pt>
                <c:pt idx="8208">
                  <c:v>229.14</c:v>
                </c:pt>
                <c:pt idx="8209">
                  <c:v>228.27</c:v>
                </c:pt>
                <c:pt idx="8210">
                  <c:v>227.2</c:v>
                </c:pt>
                <c:pt idx="8211">
                  <c:v>225.75</c:v>
                </c:pt>
                <c:pt idx="8212">
                  <c:v>225.2</c:v>
                </c:pt>
                <c:pt idx="8213">
                  <c:v>224.8</c:v>
                </c:pt>
                <c:pt idx="8214">
                  <c:v>228.32</c:v>
                </c:pt>
                <c:pt idx="8215">
                  <c:v>230.08</c:v>
                </c:pt>
                <c:pt idx="8216">
                  <c:v>232.84</c:v>
                </c:pt>
                <c:pt idx="8217">
                  <c:v>236.94</c:v>
                </c:pt>
                <c:pt idx="8218">
                  <c:v>241.63</c:v>
                </c:pt>
                <c:pt idx="8219">
                  <c:v>243.59</c:v>
                </c:pt>
                <c:pt idx="8220">
                  <c:v>240.76</c:v>
                </c:pt>
                <c:pt idx="8221">
                  <c:v>243.66</c:v>
                </c:pt>
                <c:pt idx="8222">
                  <c:v>244.06</c:v>
                </c:pt>
                <c:pt idx="8223">
                  <c:v>243.99</c:v>
                </c:pt>
                <c:pt idx="8224">
                  <c:v>243.92</c:v>
                </c:pt>
                <c:pt idx="8225">
                  <c:v>239.66</c:v>
                </c:pt>
                <c:pt idx="8226">
                  <c:v>236.96</c:v>
                </c:pt>
                <c:pt idx="8227">
                  <c:v>239.34</c:v>
                </c:pt>
                <c:pt idx="8228">
                  <c:v>238.9</c:v>
                </c:pt>
                <c:pt idx="8229">
                  <c:v>238.68</c:v>
                </c:pt>
                <c:pt idx="8230">
                  <c:v>235.57</c:v>
                </c:pt>
                <c:pt idx="8231">
                  <c:v>232.47</c:v>
                </c:pt>
                <c:pt idx="8232">
                  <c:v>229.72</c:v>
                </c:pt>
                <c:pt idx="8233">
                  <c:v>229.62</c:v>
                </c:pt>
                <c:pt idx="8234">
                  <c:v>229.5</c:v>
                </c:pt>
                <c:pt idx="8235">
                  <c:v>229.39</c:v>
                </c:pt>
                <c:pt idx="8236">
                  <c:v>229.28</c:v>
                </c:pt>
                <c:pt idx="8237">
                  <c:v>229.17</c:v>
                </c:pt>
                <c:pt idx="8238">
                  <c:v>229.41</c:v>
                </c:pt>
                <c:pt idx="8239">
                  <c:v>231.42</c:v>
                </c:pt>
                <c:pt idx="8240">
                  <c:v>237.62</c:v>
                </c:pt>
                <c:pt idx="8241">
                  <c:v>242.29</c:v>
                </c:pt>
                <c:pt idx="8242">
                  <c:v>243.09</c:v>
                </c:pt>
                <c:pt idx="8243">
                  <c:v>243.18</c:v>
                </c:pt>
                <c:pt idx="8244">
                  <c:v>242.76</c:v>
                </c:pt>
                <c:pt idx="8245">
                  <c:v>243.74</c:v>
                </c:pt>
                <c:pt idx="8246">
                  <c:v>248.36</c:v>
                </c:pt>
                <c:pt idx="8247">
                  <c:v>246.44</c:v>
                </c:pt>
                <c:pt idx="8248">
                  <c:v>242.77</c:v>
                </c:pt>
                <c:pt idx="8249">
                  <c:v>240.08</c:v>
                </c:pt>
                <c:pt idx="8250">
                  <c:v>238.72</c:v>
                </c:pt>
                <c:pt idx="8251">
                  <c:v>241.9</c:v>
                </c:pt>
                <c:pt idx="8252">
                  <c:v>240.64</c:v>
                </c:pt>
                <c:pt idx="8253">
                  <c:v>240.02</c:v>
                </c:pt>
                <c:pt idx="8254">
                  <c:v>236.58</c:v>
                </c:pt>
                <c:pt idx="8255">
                  <c:v>231.66</c:v>
                </c:pt>
                <c:pt idx="8256">
                  <c:v>228.24</c:v>
                </c:pt>
                <c:pt idx="8257">
                  <c:v>227.86</c:v>
                </c:pt>
                <c:pt idx="8258">
                  <c:v>226.92</c:v>
                </c:pt>
                <c:pt idx="8259">
                  <c:v>226.74</c:v>
                </c:pt>
                <c:pt idx="8260">
                  <c:v>227.04</c:v>
                </c:pt>
                <c:pt idx="8261">
                  <c:v>227.41</c:v>
                </c:pt>
                <c:pt idx="8262">
                  <c:v>227.67</c:v>
                </c:pt>
                <c:pt idx="8263">
                  <c:v>230.2</c:v>
                </c:pt>
                <c:pt idx="8264">
                  <c:v>233.1</c:v>
                </c:pt>
                <c:pt idx="8265">
                  <c:v>237.83</c:v>
                </c:pt>
                <c:pt idx="8266">
                  <c:v>240.62</c:v>
                </c:pt>
                <c:pt idx="8267">
                  <c:v>240.56</c:v>
                </c:pt>
                <c:pt idx="8268">
                  <c:v>237.78</c:v>
                </c:pt>
                <c:pt idx="8269">
                  <c:v>240.06</c:v>
                </c:pt>
                <c:pt idx="8270">
                  <c:v>241.35</c:v>
                </c:pt>
                <c:pt idx="8271">
                  <c:v>240.89</c:v>
                </c:pt>
                <c:pt idx="8272">
                  <c:v>239.31</c:v>
                </c:pt>
                <c:pt idx="8273">
                  <c:v>233.84</c:v>
                </c:pt>
                <c:pt idx="8274">
                  <c:v>231.3</c:v>
                </c:pt>
                <c:pt idx="8275">
                  <c:v>232.92</c:v>
                </c:pt>
                <c:pt idx="8276">
                  <c:v>232.81</c:v>
                </c:pt>
                <c:pt idx="8277">
                  <c:v>232.44</c:v>
                </c:pt>
                <c:pt idx="8278">
                  <c:v>230.62</c:v>
                </c:pt>
                <c:pt idx="8279">
                  <c:v>229.24</c:v>
                </c:pt>
                <c:pt idx="8280">
                  <c:v>228.32</c:v>
                </c:pt>
                <c:pt idx="8281">
                  <c:v>227.41</c:v>
                </c:pt>
                <c:pt idx="8282">
                  <c:v>227.18</c:v>
                </c:pt>
                <c:pt idx="8283">
                  <c:v>227.15</c:v>
                </c:pt>
                <c:pt idx="8284">
                  <c:v>227.11</c:v>
                </c:pt>
                <c:pt idx="8285">
                  <c:v>227.07</c:v>
                </c:pt>
                <c:pt idx="8286">
                  <c:v>227.38</c:v>
                </c:pt>
                <c:pt idx="8287">
                  <c:v>231</c:v>
                </c:pt>
                <c:pt idx="8288">
                  <c:v>236.2</c:v>
                </c:pt>
                <c:pt idx="8289">
                  <c:v>240.44</c:v>
                </c:pt>
                <c:pt idx="8290">
                  <c:v>240.68</c:v>
                </c:pt>
                <c:pt idx="8291">
                  <c:v>240.79</c:v>
                </c:pt>
                <c:pt idx="8292">
                  <c:v>240.24</c:v>
                </c:pt>
                <c:pt idx="8293">
                  <c:v>240.68</c:v>
                </c:pt>
                <c:pt idx="8294">
                  <c:v>244.02</c:v>
                </c:pt>
                <c:pt idx="8295">
                  <c:v>241.79</c:v>
                </c:pt>
                <c:pt idx="8296">
                  <c:v>240.36</c:v>
                </c:pt>
                <c:pt idx="8297">
                  <c:v>238.36</c:v>
                </c:pt>
                <c:pt idx="8298">
                  <c:v>234.24</c:v>
                </c:pt>
                <c:pt idx="8299">
                  <c:v>237.1</c:v>
                </c:pt>
                <c:pt idx="8300">
                  <c:v>236.01</c:v>
                </c:pt>
                <c:pt idx="8301">
                  <c:v>235.56</c:v>
                </c:pt>
                <c:pt idx="8302">
                  <c:v>233.46</c:v>
                </c:pt>
                <c:pt idx="8303">
                  <c:v>230.43</c:v>
                </c:pt>
                <c:pt idx="8304">
                  <c:v>226.17</c:v>
                </c:pt>
                <c:pt idx="8305">
                  <c:v>226.07</c:v>
                </c:pt>
                <c:pt idx="8306">
                  <c:v>225.33</c:v>
                </c:pt>
                <c:pt idx="8307">
                  <c:v>224.94</c:v>
                </c:pt>
                <c:pt idx="8308">
                  <c:v>224.92</c:v>
                </c:pt>
                <c:pt idx="8309">
                  <c:v>224.93</c:v>
                </c:pt>
                <c:pt idx="8310">
                  <c:v>225.76</c:v>
                </c:pt>
                <c:pt idx="8311">
                  <c:v>227.3</c:v>
                </c:pt>
                <c:pt idx="8312">
                  <c:v>233.12</c:v>
                </c:pt>
                <c:pt idx="8313">
                  <c:v>237.46</c:v>
                </c:pt>
                <c:pt idx="8314">
                  <c:v>239.18</c:v>
                </c:pt>
                <c:pt idx="8315">
                  <c:v>239.12</c:v>
                </c:pt>
                <c:pt idx="8316">
                  <c:v>239.06</c:v>
                </c:pt>
                <c:pt idx="8317">
                  <c:v>239.35</c:v>
                </c:pt>
                <c:pt idx="8318">
                  <c:v>240.32</c:v>
                </c:pt>
                <c:pt idx="8319">
                  <c:v>239.26</c:v>
                </c:pt>
                <c:pt idx="8320">
                  <c:v>238.8</c:v>
                </c:pt>
                <c:pt idx="8321">
                  <c:v>235.96</c:v>
                </c:pt>
                <c:pt idx="8322">
                  <c:v>235.65</c:v>
                </c:pt>
                <c:pt idx="8323">
                  <c:v>235.73</c:v>
                </c:pt>
                <c:pt idx="8324">
                  <c:v>235.62</c:v>
                </c:pt>
                <c:pt idx="8325">
                  <c:v>235.5</c:v>
                </c:pt>
                <c:pt idx="8326">
                  <c:v>234.07</c:v>
                </c:pt>
                <c:pt idx="8327">
                  <c:v>231.03</c:v>
                </c:pt>
                <c:pt idx="8328">
                  <c:v>243.3</c:v>
                </c:pt>
                <c:pt idx="8329">
                  <c:v>242.01</c:v>
                </c:pt>
                <c:pt idx="8330">
                  <c:v>241.85</c:v>
                </c:pt>
                <c:pt idx="8331">
                  <c:v>240.61</c:v>
                </c:pt>
                <c:pt idx="8332">
                  <c:v>240.52</c:v>
                </c:pt>
                <c:pt idx="8333">
                  <c:v>238.44</c:v>
                </c:pt>
                <c:pt idx="8334">
                  <c:v>239.14</c:v>
                </c:pt>
                <c:pt idx="8335">
                  <c:v>240.85</c:v>
                </c:pt>
                <c:pt idx="8336">
                  <c:v>242.21</c:v>
                </c:pt>
                <c:pt idx="8337">
                  <c:v>244.34</c:v>
                </c:pt>
                <c:pt idx="8338">
                  <c:v>244.96</c:v>
                </c:pt>
                <c:pt idx="8339">
                  <c:v>244.99</c:v>
                </c:pt>
                <c:pt idx="8340">
                  <c:v>244.99</c:v>
                </c:pt>
                <c:pt idx="8341">
                  <c:v>244.99</c:v>
                </c:pt>
                <c:pt idx="8342">
                  <c:v>244.79</c:v>
                </c:pt>
                <c:pt idx="8343">
                  <c:v>244.57</c:v>
                </c:pt>
                <c:pt idx="8344">
                  <c:v>244.48</c:v>
                </c:pt>
                <c:pt idx="8345">
                  <c:v>244.45</c:v>
                </c:pt>
                <c:pt idx="8346">
                  <c:v>245.65</c:v>
                </c:pt>
                <c:pt idx="8347">
                  <c:v>250.2</c:v>
                </c:pt>
                <c:pt idx="8348">
                  <c:v>246.55</c:v>
                </c:pt>
                <c:pt idx="8349">
                  <c:v>245.08</c:v>
                </c:pt>
                <c:pt idx="8350">
                  <c:v>244.3</c:v>
                </c:pt>
                <c:pt idx="8351">
                  <c:v>240.61</c:v>
                </c:pt>
                <c:pt idx="8352">
                  <c:v>236.3</c:v>
                </c:pt>
                <c:pt idx="8353">
                  <c:v>225.04</c:v>
                </c:pt>
                <c:pt idx="8354">
                  <c:v>224.93</c:v>
                </c:pt>
                <c:pt idx="8355">
                  <c:v>224.18</c:v>
                </c:pt>
                <c:pt idx="8356">
                  <c:v>221.71</c:v>
                </c:pt>
                <c:pt idx="8357">
                  <c:v>156.32</c:v>
                </c:pt>
                <c:pt idx="8358">
                  <c:v>124.19</c:v>
                </c:pt>
                <c:pt idx="8359">
                  <c:v>159.82</c:v>
                </c:pt>
                <c:pt idx="8360">
                  <c:v>222.36</c:v>
                </c:pt>
                <c:pt idx="8361">
                  <c:v>229.04</c:v>
                </c:pt>
                <c:pt idx="8362">
                  <c:v>237.46</c:v>
                </c:pt>
                <c:pt idx="8363">
                  <c:v>238.45</c:v>
                </c:pt>
                <c:pt idx="8364">
                  <c:v>238.51</c:v>
                </c:pt>
                <c:pt idx="8365">
                  <c:v>239.61</c:v>
                </c:pt>
                <c:pt idx="8366">
                  <c:v>239.78</c:v>
                </c:pt>
                <c:pt idx="8367">
                  <c:v>240.86</c:v>
                </c:pt>
                <c:pt idx="8368">
                  <c:v>242.04</c:v>
                </c:pt>
                <c:pt idx="8369">
                  <c:v>243.14</c:v>
                </c:pt>
                <c:pt idx="8370">
                  <c:v>245.29</c:v>
                </c:pt>
                <c:pt idx="8371">
                  <c:v>246.33</c:v>
                </c:pt>
                <c:pt idx="8372">
                  <c:v>246.29</c:v>
                </c:pt>
                <c:pt idx="8373">
                  <c:v>246.25</c:v>
                </c:pt>
                <c:pt idx="8374">
                  <c:v>245.94</c:v>
                </c:pt>
                <c:pt idx="8375">
                  <c:v>244.32</c:v>
                </c:pt>
                <c:pt idx="8376">
                  <c:v>242.72</c:v>
                </c:pt>
                <c:pt idx="8377">
                  <c:v>240.78</c:v>
                </c:pt>
                <c:pt idx="8378">
                  <c:v>239.37</c:v>
                </c:pt>
                <c:pt idx="8379">
                  <c:v>238.56</c:v>
                </c:pt>
                <c:pt idx="8380">
                  <c:v>238.43</c:v>
                </c:pt>
                <c:pt idx="8381">
                  <c:v>237.91</c:v>
                </c:pt>
                <c:pt idx="8382">
                  <c:v>241.31</c:v>
                </c:pt>
                <c:pt idx="8383">
                  <c:v>245.23</c:v>
                </c:pt>
                <c:pt idx="8384">
                  <c:v>249.44</c:v>
                </c:pt>
                <c:pt idx="8385">
                  <c:v>254.99</c:v>
                </c:pt>
                <c:pt idx="8386">
                  <c:v>259.74</c:v>
                </c:pt>
                <c:pt idx="8387">
                  <c:v>259.67</c:v>
                </c:pt>
                <c:pt idx="8388">
                  <c:v>259.49</c:v>
                </c:pt>
                <c:pt idx="8389">
                  <c:v>259.81</c:v>
                </c:pt>
                <c:pt idx="8390">
                  <c:v>260.79000000000002</c:v>
                </c:pt>
                <c:pt idx="8391">
                  <c:v>260.35000000000002</c:v>
                </c:pt>
                <c:pt idx="8392">
                  <c:v>259.32</c:v>
                </c:pt>
                <c:pt idx="8393">
                  <c:v>255.06</c:v>
                </c:pt>
                <c:pt idx="8394">
                  <c:v>252.88</c:v>
                </c:pt>
                <c:pt idx="8395">
                  <c:v>255.71</c:v>
                </c:pt>
                <c:pt idx="8396">
                  <c:v>255.31</c:v>
                </c:pt>
                <c:pt idx="8397">
                  <c:v>255.74</c:v>
                </c:pt>
                <c:pt idx="8398">
                  <c:v>253.51</c:v>
                </c:pt>
                <c:pt idx="8399">
                  <c:v>249.17</c:v>
                </c:pt>
                <c:pt idx="8400">
                  <c:v>246.16</c:v>
                </c:pt>
                <c:pt idx="8401">
                  <c:v>244.93</c:v>
                </c:pt>
                <c:pt idx="8402">
                  <c:v>244.89</c:v>
                </c:pt>
                <c:pt idx="8403">
                  <c:v>244.64</c:v>
                </c:pt>
                <c:pt idx="8404">
                  <c:v>244.37</c:v>
                </c:pt>
                <c:pt idx="8405">
                  <c:v>244.12</c:v>
                </c:pt>
                <c:pt idx="8406">
                  <c:v>244.65</c:v>
                </c:pt>
                <c:pt idx="8407">
                  <c:v>246.91</c:v>
                </c:pt>
                <c:pt idx="8408">
                  <c:v>255.83</c:v>
                </c:pt>
                <c:pt idx="8409">
                  <c:v>259.02</c:v>
                </c:pt>
                <c:pt idx="8410">
                  <c:v>259.93</c:v>
                </c:pt>
                <c:pt idx="8411">
                  <c:v>260.13</c:v>
                </c:pt>
                <c:pt idx="8412">
                  <c:v>258.81</c:v>
                </c:pt>
                <c:pt idx="8413">
                  <c:v>262.43</c:v>
                </c:pt>
                <c:pt idx="8414">
                  <c:v>266.22000000000003</c:v>
                </c:pt>
                <c:pt idx="8415">
                  <c:v>264.89999999999998</c:v>
                </c:pt>
                <c:pt idx="8416">
                  <c:v>260.22000000000003</c:v>
                </c:pt>
                <c:pt idx="8417">
                  <c:v>257.36</c:v>
                </c:pt>
                <c:pt idx="8418">
                  <c:v>255.54</c:v>
                </c:pt>
                <c:pt idx="8419">
                  <c:v>256.77</c:v>
                </c:pt>
                <c:pt idx="8420">
                  <c:v>255.91</c:v>
                </c:pt>
                <c:pt idx="8421">
                  <c:v>256.77</c:v>
                </c:pt>
                <c:pt idx="8422">
                  <c:v>253.81</c:v>
                </c:pt>
                <c:pt idx="8423">
                  <c:v>249.68</c:v>
                </c:pt>
                <c:pt idx="8424">
                  <c:v>244.71</c:v>
                </c:pt>
                <c:pt idx="8425">
                  <c:v>242.59</c:v>
                </c:pt>
                <c:pt idx="8426">
                  <c:v>241.04</c:v>
                </c:pt>
                <c:pt idx="8427">
                  <c:v>240.96</c:v>
                </c:pt>
                <c:pt idx="8428">
                  <c:v>240.88</c:v>
                </c:pt>
                <c:pt idx="8429">
                  <c:v>240.99</c:v>
                </c:pt>
                <c:pt idx="8430">
                  <c:v>242.37</c:v>
                </c:pt>
                <c:pt idx="8431">
                  <c:v>245.36</c:v>
                </c:pt>
                <c:pt idx="8432">
                  <c:v>247.9</c:v>
                </c:pt>
                <c:pt idx="8433">
                  <c:v>252.29</c:v>
                </c:pt>
                <c:pt idx="8434">
                  <c:v>254.54</c:v>
                </c:pt>
                <c:pt idx="8435">
                  <c:v>254.19</c:v>
                </c:pt>
                <c:pt idx="8436">
                  <c:v>252.55</c:v>
                </c:pt>
                <c:pt idx="8437">
                  <c:v>253.89</c:v>
                </c:pt>
                <c:pt idx="8438">
                  <c:v>255.06</c:v>
                </c:pt>
                <c:pt idx="8439">
                  <c:v>254.43</c:v>
                </c:pt>
                <c:pt idx="8440">
                  <c:v>253.04</c:v>
                </c:pt>
                <c:pt idx="8441">
                  <c:v>248.8</c:v>
                </c:pt>
                <c:pt idx="8442">
                  <c:v>247.3</c:v>
                </c:pt>
                <c:pt idx="8443">
                  <c:v>248.65</c:v>
                </c:pt>
                <c:pt idx="8444">
                  <c:v>248.18</c:v>
                </c:pt>
                <c:pt idx="8445">
                  <c:v>248.25</c:v>
                </c:pt>
                <c:pt idx="8446">
                  <c:v>246.21</c:v>
                </c:pt>
                <c:pt idx="8447">
                  <c:v>244.54</c:v>
                </c:pt>
                <c:pt idx="8448">
                  <c:v>240.61</c:v>
                </c:pt>
                <c:pt idx="8449">
                  <c:v>238.79</c:v>
                </c:pt>
                <c:pt idx="8450">
                  <c:v>237.88</c:v>
                </c:pt>
                <c:pt idx="8451">
                  <c:v>237.4</c:v>
                </c:pt>
                <c:pt idx="8452">
                  <c:v>237.42</c:v>
                </c:pt>
                <c:pt idx="8453">
                  <c:v>237.42</c:v>
                </c:pt>
                <c:pt idx="8454">
                  <c:v>238.95</c:v>
                </c:pt>
                <c:pt idx="8455">
                  <c:v>241.09</c:v>
                </c:pt>
                <c:pt idx="8456">
                  <c:v>245.01</c:v>
                </c:pt>
                <c:pt idx="8457">
                  <c:v>247.56</c:v>
                </c:pt>
                <c:pt idx="8458">
                  <c:v>250.34</c:v>
                </c:pt>
                <c:pt idx="8459">
                  <c:v>250.44</c:v>
                </c:pt>
                <c:pt idx="8460">
                  <c:v>248.89</c:v>
                </c:pt>
                <c:pt idx="8461">
                  <c:v>251.54</c:v>
                </c:pt>
                <c:pt idx="8462">
                  <c:v>253.43</c:v>
                </c:pt>
                <c:pt idx="8463">
                  <c:v>253.1</c:v>
                </c:pt>
                <c:pt idx="8464">
                  <c:v>251.45</c:v>
                </c:pt>
                <c:pt idx="8465">
                  <c:v>246.9</c:v>
                </c:pt>
                <c:pt idx="8466">
                  <c:v>245.86</c:v>
                </c:pt>
                <c:pt idx="8467">
                  <c:v>246.93</c:v>
                </c:pt>
                <c:pt idx="8468">
                  <c:v>246.34</c:v>
                </c:pt>
                <c:pt idx="8469">
                  <c:v>246.19</c:v>
                </c:pt>
                <c:pt idx="8470">
                  <c:v>244.61</c:v>
                </c:pt>
                <c:pt idx="8471">
                  <c:v>241.24</c:v>
                </c:pt>
                <c:pt idx="8472">
                  <c:v>239.96</c:v>
                </c:pt>
                <c:pt idx="8473">
                  <c:v>236.55</c:v>
                </c:pt>
                <c:pt idx="8474">
                  <c:v>235.05</c:v>
                </c:pt>
                <c:pt idx="8475">
                  <c:v>234.55</c:v>
                </c:pt>
                <c:pt idx="8476">
                  <c:v>234.81</c:v>
                </c:pt>
                <c:pt idx="8477">
                  <c:v>235.04</c:v>
                </c:pt>
                <c:pt idx="8478">
                  <c:v>238.18</c:v>
                </c:pt>
                <c:pt idx="8479">
                  <c:v>240.08</c:v>
                </c:pt>
                <c:pt idx="8480">
                  <c:v>243.92</c:v>
                </c:pt>
                <c:pt idx="8481">
                  <c:v>246.84</c:v>
                </c:pt>
                <c:pt idx="8482">
                  <c:v>250.06</c:v>
                </c:pt>
                <c:pt idx="8483">
                  <c:v>250.09</c:v>
                </c:pt>
                <c:pt idx="8484">
                  <c:v>249.45</c:v>
                </c:pt>
                <c:pt idx="8485">
                  <c:v>251.18</c:v>
                </c:pt>
                <c:pt idx="8486">
                  <c:v>253.5</c:v>
                </c:pt>
                <c:pt idx="8487">
                  <c:v>251.43</c:v>
                </c:pt>
                <c:pt idx="8488">
                  <c:v>249.76</c:v>
                </c:pt>
                <c:pt idx="8489">
                  <c:v>245.48</c:v>
                </c:pt>
                <c:pt idx="8490">
                  <c:v>244.67</c:v>
                </c:pt>
                <c:pt idx="8491">
                  <c:v>245.49</c:v>
                </c:pt>
                <c:pt idx="8492">
                  <c:v>245.13</c:v>
                </c:pt>
                <c:pt idx="8493">
                  <c:v>244.84</c:v>
                </c:pt>
                <c:pt idx="8494">
                  <c:v>242.6</c:v>
                </c:pt>
                <c:pt idx="8495">
                  <c:v>240.48</c:v>
                </c:pt>
                <c:pt idx="8496">
                  <c:v>209.27</c:v>
                </c:pt>
                <c:pt idx="8497">
                  <c:v>205.2</c:v>
                </c:pt>
                <c:pt idx="8498">
                  <c:v>202.6</c:v>
                </c:pt>
                <c:pt idx="8499">
                  <c:v>202.57</c:v>
                </c:pt>
                <c:pt idx="8500">
                  <c:v>202.43</c:v>
                </c:pt>
                <c:pt idx="8501">
                  <c:v>200.1</c:v>
                </c:pt>
                <c:pt idx="8502">
                  <c:v>201.03</c:v>
                </c:pt>
                <c:pt idx="8503">
                  <c:v>202.43</c:v>
                </c:pt>
                <c:pt idx="8504">
                  <c:v>205.65</c:v>
                </c:pt>
                <c:pt idx="8505">
                  <c:v>209.39</c:v>
                </c:pt>
                <c:pt idx="8506">
                  <c:v>213.05</c:v>
                </c:pt>
                <c:pt idx="8507">
                  <c:v>213.77</c:v>
                </c:pt>
                <c:pt idx="8508">
                  <c:v>213.84</c:v>
                </c:pt>
                <c:pt idx="8509">
                  <c:v>214.03</c:v>
                </c:pt>
                <c:pt idx="8510">
                  <c:v>214.14</c:v>
                </c:pt>
                <c:pt idx="8511">
                  <c:v>214.13</c:v>
                </c:pt>
                <c:pt idx="8512">
                  <c:v>214.07</c:v>
                </c:pt>
                <c:pt idx="8513">
                  <c:v>214.04</c:v>
                </c:pt>
                <c:pt idx="8514">
                  <c:v>216.35</c:v>
                </c:pt>
                <c:pt idx="8515">
                  <c:v>217.85</c:v>
                </c:pt>
                <c:pt idx="8516">
                  <c:v>217.43</c:v>
                </c:pt>
                <c:pt idx="8517">
                  <c:v>216.25</c:v>
                </c:pt>
                <c:pt idx="8518">
                  <c:v>213.88</c:v>
                </c:pt>
                <c:pt idx="8519">
                  <c:v>210.64</c:v>
                </c:pt>
                <c:pt idx="8520">
                  <c:v>203.2</c:v>
                </c:pt>
                <c:pt idx="8521">
                  <c:v>198.7</c:v>
                </c:pt>
                <c:pt idx="8522">
                  <c:v>195.14</c:v>
                </c:pt>
                <c:pt idx="8523">
                  <c:v>195.1</c:v>
                </c:pt>
                <c:pt idx="8524">
                  <c:v>195.07</c:v>
                </c:pt>
                <c:pt idx="8525">
                  <c:v>167.43</c:v>
                </c:pt>
                <c:pt idx="8526">
                  <c:v>143.03</c:v>
                </c:pt>
                <c:pt idx="8527">
                  <c:v>159.16999999999999</c:v>
                </c:pt>
                <c:pt idx="8528">
                  <c:v>194.34</c:v>
                </c:pt>
                <c:pt idx="8529">
                  <c:v>196.68</c:v>
                </c:pt>
                <c:pt idx="8530">
                  <c:v>201.55</c:v>
                </c:pt>
                <c:pt idx="8531">
                  <c:v>203.71</c:v>
                </c:pt>
                <c:pt idx="8532">
                  <c:v>203.65</c:v>
                </c:pt>
                <c:pt idx="8533">
                  <c:v>203.57</c:v>
                </c:pt>
                <c:pt idx="8534">
                  <c:v>203.54</c:v>
                </c:pt>
                <c:pt idx="8535">
                  <c:v>203.53</c:v>
                </c:pt>
                <c:pt idx="8536">
                  <c:v>204.57</c:v>
                </c:pt>
                <c:pt idx="8537">
                  <c:v>206.71</c:v>
                </c:pt>
                <c:pt idx="8538">
                  <c:v>212.06</c:v>
                </c:pt>
                <c:pt idx="8539">
                  <c:v>215.47</c:v>
                </c:pt>
                <c:pt idx="8540">
                  <c:v>215.35</c:v>
                </c:pt>
                <c:pt idx="8541">
                  <c:v>214.75</c:v>
                </c:pt>
                <c:pt idx="8542">
                  <c:v>212.27</c:v>
                </c:pt>
                <c:pt idx="8543">
                  <c:v>207.14</c:v>
                </c:pt>
                <c:pt idx="8544">
                  <c:v>203.97</c:v>
                </c:pt>
                <c:pt idx="8545">
                  <c:v>201.69</c:v>
                </c:pt>
                <c:pt idx="8546">
                  <c:v>199.79</c:v>
                </c:pt>
                <c:pt idx="8547">
                  <c:v>199.05</c:v>
                </c:pt>
                <c:pt idx="8548">
                  <c:v>199.59</c:v>
                </c:pt>
                <c:pt idx="8549">
                  <c:v>199.91</c:v>
                </c:pt>
                <c:pt idx="8550">
                  <c:v>203.67</c:v>
                </c:pt>
                <c:pt idx="8551">
                  <c:v>210.41</c:v>
                </c:pt>
                <c:pt idx="8552">
                  <c:v>216.71</c:v>
                </c:pt>
                <c:pt idx="8553">
                  <c:v>218.43</c:v>
                </c:pt>
                <c:pt idx="8554">
                  <c:v>220.13</c:v>
                </c:pt>
                <c:pt idx="8555">
                  <c:v>220.08</c:v>
                </c:pt>
                <c:pt idx="8556">
                  <c:v>219.26</c:v>
                </c:pt>
                <c:pt idx="8557">
                  <c:v>220.3</c:v>
                </c:pt>
                <c:pt idx="8558">
                  <c:v>220.43</c:v>
                </c:pt>
                <c:pt idx="8559">
                  <c:v>220.14</c:v>
                </c:pt>
                <c:pt idx="8560">
                  <c:v>219</c:v>
                </c:pt>
                <c:pt idx="8561">
                  <c:v>218.11</c:v>
                </c:pt>
                <c:pt idx="8562">
                  <c:v>217.72</c:v>
                </c:pt>
                <c:pt idx="8563">
                  <c:v>218.59</c:v>
                </c:pt>
                <c:pt idx="8564">
                  <c:v>218.26</c:v>
                </c:pt>
                <c:pt idx="8565">
                  <c:v>217.89</c:v>
                </c:pt>
                <c:pt idx="8566">
                  <c:v>216.91</c:v>
                </c:pt>
                <c:pt idx="8567">
                  <c:v>213.96</c:v>
                </c:pt>
                <c:pt idx="8568">
                  <c:v>204.75</c:v>
                </c:pt>
                <c:pt idx="8569">
                  <c:v>201.04</c:v>
                </c:pt>
                <c:pt idx="8570">
                  <c:v>199.48</c:v>
                </c:pt>
                <c:pt idx="8571">
                  <c:v>199.15</c:v>
                </c:pt>
                <c:pt idx="8572">
                  <c:v>199.2</c:v>
                </c:pt>
                <c:pt idx="8573">
                  <c:v>198.27</c:v>
                </c:pt>
                <c:pt idx="8574">
                  <c:v>196.68</c:v>
                </c:pt>
                <c:pt idx="8575">
                  <c:v>198.85</c:v>
                </c:pt>
                <c:pt idx="8576">
                  <c:v>205.55</c:v>
                </c:pt>
                <c:pt idx="8577">
                  <c:v>210.14</c:v>
                </c:pt>
                <c:pt idx="8578">
                  <c:v>212.23</c:v>
                </c:pt>
                <c:pt idx="8579">
                  <c:v>212.37</c:v>
                </c:pt>
                <c:pt idx="8580">
                  <c:v>212.37</c:v>
                </c:pt>
                <c:pt idx="8581">
                  <c:v>212.37</c:v>
                </c:pt>
                <c:pt idx="8582">
                  <c:v>212.37</c:v>
                </c:pt>
                <c:pt idx="8583">
                  <c:v>212.37</c:v>
                </c:pt>
                <c:pt idx="8584">
                  <c:v>212.33</c:v>
                </c:pt>
                <c:pt idx="8585">
                  <c:v>212.2</c:v>
                </c:pt>
                <c:pt idx="8586">
                  <c:v>213.1</c:v>
                </c:pt>
                <c:pt idx="8587">
                  <c:v>215.67</c:v>
                </c:pt>
                <c:pt idx="8588">
                  <c:v>213.6</c:v>
                </c:pt>
                <c:pt idx="8589">
                  <c:v>211.59</c:v>
                </c:pt>
                <c:pt idx="8590">
                  <c:v>208.1</c:v>
                </c:pt>
                <c:pt idx="8591">
                  <c:v>204.13</c:v>
                </c:pt>
                <c:pt idx="8592">
                  <c:v>128.32</c:v>
                </c:pt>
                <c:pt idx="8593">
                  <c:v>126.21</c:v>
                </c:pt>
                <c:pt idx="8594">
                  <c:v>123.38</c:v>
                </c:pt>
                <c:pt idx="8595">
                  <c:v>79.16</c:v>
                </c:pt>
                <c:pt idx="8596">
                  <c:v>71.459999999999994</c:v>
                </c:pt>
                <c:pt idx="8597">
                  <c:v>42.35</c:v>
                </c:pt>
                <c:pt idx="8598">
                  <c:v>42.35</c:v>
                </c:pt>
                <c:pt idx="8599">
                  <c:v>42.35</c:v>
                </c:pt>
                <c:pt idx="8600">
                  <c:v>42.35</c:v>
                </c:pt>
                <c:pt idx="8601">
                  <c:v>79.17</c:v>
                </c:pt>
                <c:pt idx="8602">
                  <c:v>122.45</c:v>
                </c:pt>
                <c:pt idx="8603">
                  <c:v>122.37</c:v>
                </c:pt>
                <c:pt idx="8604">
                  <c:v>116.9</c:v>
                </c:pt>
                <c:pt idx="8605">
                  <c:v>82.3</c:v>
                </c:pt>
                <c:pt idx="8606">
                  <c:v>82.48</c:v>
                </c:pt>
                <c:pt idx="8607">
                  <c:v>112.91</c:v>
                </c:pt>
                <c:pt idx="8608">
                  <c:v>124.08</c:v>
                </c:pt>
                <c:pt idx="8609">
                  <c:v>172.75</c:v>
                </c:pt>
                <c:pt idx="8610">
                  <c:v>200.71</c:v>
                </c:pt>
                <c:pt idx="8611">
                  <c:v>210.06</c:v>
                </c:pt>
                <c:pt idx="8612">
                  <c:v>212.22</c:v>
                </c:pt>
                <c:pt idx="8613">
                  <c:v>212.18</c:v>
                </c:pt>
                <c:pt idx="8614">
                  <c:v>210.95</c:v>
                </c:pt>
                <c:pt idx="8615">
                  <c:v>207.22</c:v>
                </c:pt>
                <c:pt idx="8616">
                  <c:v>56.82</c:v>
                </c:pt>
                <c:pt idx="8617">
                  <c:v>42.35</c:v>
                </c:pt>
                <c:pt idx="8618">
                  <c:v>42.35</c:v>
                </c:pt>
                <c:pt idx="8619">
                  <c:v>42.35</c:v>
                </c:pt>
                <c:pt idx="8620">
                  <c:v>42.35</c:v>
                </c:pt>
                <c:pt idx="8621">
                  <c:v>42.35</c:v>
                </c:pt>
                <c:pt idx="8622">
                  <c:v>147.30000000000001</c:v>
                </c:pt>
                <c:pt idx="8623">
                  <c:v>201.28</c:v>
                </c:pt>
                <c:pt idx="8624">
                  <c:v>212.94</c:v>
                </c:pt>
                <c:pt idx="8625">
                  <c:v>216.83</c:v>
                </c:pt>
                <c:pt idx="8626">
                  <c:v>218.13</c:v>
                </c:pt>
                <c:pt idx="8627">
                  <c:v>218.3</c:v>
                </c:pt>
                <c:pt idx="8628">
                  <c:v>218.25</c:v>
                </c:pt>
                <c:pt idx="8629">
                  <c:v>219.07</c:v>
                </c:pt>
                <c:pt idx="8630">
                  <c:v>220.35</c:v>
                </c:pt>
                <c:pt idx="8631">
                  <c:v>220.09</c:v>
                </c:pt>
                <c:pt idx="8632">
                  <c:v>218.43</c:v>
                </c:pt>
                <c:pt idx="8633">
                  <c:v>217.18</c:v>
                </c:pt>
                <c:pt idx="8634">
                  <c:v>216.17</c:v>
                </c:pt>
                <c:pt idx="8635">
                  <c:v>217.19</c:v>
                </c:pt>
                <c:pt idx="8636">
                  <c:v>217.25</c:v>
                </c:pt>
                <c:pt idx="8637">
                  <c:v>217.32</c:v>
                </c:pt>
                <c:pt idx="8638">
                  <c:v>216.18</c:v>
                </c:pt>
                <c:pt idx="8639">
                  <c:v>211.44</c:v>
                </c:pt>
                <c:pt idx="8640">
                  <c:v>203.31</c:v>
                </c:pt>
                <c:pt idx="8641">
                  <c:v>199.4</c:v>
                </c:pt>
                <c:pt idx="8642">
                  <c:v>199.32</c:v>
                </c:pt>
                <c:pt idx="8643">
                  <c:v>198.63</c:v>
                </c:pt>
                <c:pt idx="8644">
                  <c:v>198.63</c:v>
                </c:pt>
                <c:pt idx="8645">
                  <c:v>197.77</c:v>
                </c:pt>
                <c:pt idx="8646">
                  <c:v>199.23</c:v>
                </c:pt>
                <c:pt idx="8647">
                  <c:v>201.64</c:v>
                </c:pt>
                <c:pt idx="8648">
                  <c:v>211.72</c:v>
                </c:pt>
                <c:pt idx="8649">
                  <c:v>214.69</c:v>
                </c:pt>
                <c:pt idx="8650">
                  <c:v>217.49</c:v>
                </c:pt>
                <c:pt idx="8651">
                  <c:v>218.47</c:v>
                </c:pt>
                <c:pt idx="8652">
                  <c:v>217.6</c:v>
                </c:pt>
                <c:pt idx="8653">
                  <c:v>218.5</c:v>
                </c:pt>
                <c:pt idx="8654">
                  <c:v>218.59</c:v>
                </c:pt>
                <c:pt idx="8655">
                  <c:v>218.03</c:v>
                </c:pt>
                <c:pt idx="8656">
                  <c:v>216.23</c:v>
                </c:pt>
                <c:pt idx="8657">
                  <c:v>213.83</c:v>
                </c:pt>
                <c:pt idx="8658">
                  <c:v>213.34</c:v>
                </c:pt>
                <c:pt idx="8659">
                  <c:v>215.13</c:v>
                </c:pt>
                <c:pt idx="8660">
                  <c:v>214.88</c:v>
                </c:pt>
                <c:pt idx="8661">
                  <c:v>214.74</c:v>
                </c:pt>
                <c:pt idx="8662">
                  <c:v>213.96</c:v>
                </c:pt>
                <c:pt idx="8663">
                  <c:v>211.19</c:v>
                </c:pt>
                <c:pt idx="8664">
                  <c:v>289.45999999999998</c:v>
                </c:pt>
                <c:pt idx="8665">
                  <c:v>288.05</c:v>
                </c:pt>
                <c:pt idx="8666">
                  <c:v>285.14</c:v>
                </c:pt>
                <c:pt idx="8667">
                  <c:v>282.5</c:v>
                </c:pt>
                <c:pt idx="8668">
                  <c:v>281.85000000000002</c:v>
                </c:pt>
                <c:pt idx="8669">
                  <c:v>277.76</c:v>
                </c:pt>
                <c:pt idx="8670">
                  <c:v>277.62</c:v>
                </c:pt>
                <c:pt idx="8671">
                  <c:v>283.52999999999997</c:v>
                </c:pt>
                <c:pt idx="8672">
                  <c:v>288.31</c:v>
                </c:pt>
                <c:pt idx="8673">
                  <c:v>289.94</c:v>
                </c:pt>
                <c:pt idx="8674">
                  <c:v>291.83</c:v>
                </c:pt>
                <c:pt idx="8675">
                  <c:v>291.88</c:v>
                </c:pt>
                <c:pt idx="8676">
                  <c:v>291.81</c:v>
                </c:pt>
                <c:pt idx="8677">
                  <c:v>291.74</c:v>
                </c:pt>
                <c:pt idx="8678">
                  <c:v>291.5</c:v>
                </c:pt>
                <c:pt idx="8679">
                  <c:v>291.01</c:v>
                </c:pt>
                <c:pt idx="8680">
                  <c:v>289.95</c:v>
                </c:pt>
                <c:pt idx="8681">
                  <c:v>290.58999999999997</c:v>
                </c:pt>
                <c:pt idx="8682">
                  <c:v>292.27999999999997</c:v>
                </c:pt>
                <c:pt idx="8683">
                  <c:v>293.55</c:v>
                </c:pt>
                <c:pt idx="8684">
                  <c:v>293.52</c:v>
                </c:pt>
                <c:pt idx="8685">
                  <c:v>292.52</c:v>
                </c:pt>
                <c:pt idx="8686">
                  <c:v>292.16000000000003</c:v>
                </c:pt>
                <c:pt idx="8687">
                  <c:v>289.06</c:v>
                </c:pt>
                <c:pt idx="8688">
                  <c:v>290.08</c:v>
                </c:pt>
                <c:pt idx="8689">
                  <c:v>288.01</c:v>
                </c:pt>
                <c:pt idx="8690">
                  <c:v>286.62</c:v>
                </c:pt>
                <c:pt idx="8691">
                  <c:v>284.89</c:v>
                </c:pt>
                <c:pt idx="8692">
                  <c:v>284</c:v>
                </c:pt>
                <c:pt idx="8693">
                  <c:v>274.47000000000003</c:v>
                </c:pt>
                <c:pt idx="8694">
                  <c:v>263.95</c:v>
                </c:pt>
                <c:pt idx="8695">
                  <c:v>266.85000000000002</c:v>
                </c:pt>
                <c:pt idx="8696">
                  <c:v>281.87</c:v>
                </c:pt>
                <c:pt idx="8697">
                  <c:v>286.91000000000003</c:v>
                </c:pt>
                <c:pt idx="8698">
                  <c:v>289.60000000000002</c:v>
                </c:pt>
                <c:pt idx="8699">
                  <c:v>289.81</c:v>
                </c:pt>
                <c:pt idx="8700">
                  <c:v>289.76</c:v>
                </c:pt>
                <c:pt idx="8701">
                  <c:v>289.70999999999998</c:v>
                </c:pt>
                <c:pt idx="8702">
                  <c:v>289.67</c:v>
                </c:pt>
                <c:pt idx="8703">
                  <c:v>289.57</c:v>
                </c:pt>
                <c:pt idx="8704">
                  <c:v>289.42</c:v>
                </c:pt>
                <c:pt idx="8705">
                  <c:v>289.52</c:v>
                </c:pt>
                <c:pt idx="8706">
                  <c:v>291.67</c:v>
                </c:pt>
                <c:pt idx="8707">
                  <c:v>294.76</c:v>
                </c:pt>
                <c:pt idx="8708">
                  <c:v>295.01</c:v>
                </c:pt>
                <c:pt idx="8709">
                  <c:v>294.99</c:v>
                </c:pt>
                <c:pt idx="8710">
                  <c:v>294.02</c:v>
                </c:pt>
                <c:pt idx="8711">
                  <c:v>291.32</c:v>
                </c:pt>
                <c:pt idx="8712">
                  <c:v>289.56</c:v>
                </c:pt>
                <c:pt idx="8713">
                  <c:v>287.24</c:v>
                </c:pt>
                <c:pt idx="8714">
                  <c:v>285.57</c:v>
                </c:pt>
                <c:pt idx="8715">
                  <c:v>284.8</c:v>
                </c:pt>
                <c:pt idx="8716">
                  <c:v>284.61</c:v>
                </c:pt>
                <c:pt idx="8717">
                  <c:v>283.94</c:v>
                </c:pt>
                <c:pt idx="8718">
                  <c:v>285.17</c:v>
                </c:pt>
                <c:pt idx="8719">
                  <c:v>290.38</c:v>
                </c:pt>
                <c:pt idx="8720">
                  <c:v>294.63</c:v>
                </c:pt>
                <c:pt idx="8721">
                  <c:v>296.22000000000003</c:v>
                </c:pt>
                <c:pt idx="8722">
                  <c:v>297.49</c:v>
                </c:pt>
                <c:pt idx="8723">
                  <c:v>297.60000000000002</c:v>
                </c:pt>
                <c:pt idx="8724">
                  <c:v>297.60000000000002</c:v>
                </c:pt>
                <c:pt idx="8725">
                  <c:v>298.11</c:v>
                </c:pt>
                <c:pt idx="8726">
                  <c:v>299.76</c:v>
                </c:pt>
                <c:pt idx="8727">
                  <c:v>299.68</c:v>
                </c:pt>
                <c:pt idx="8728">
                  <c:v>298.27</c:v>
                </c:pt>
                <c:pt idx="8729">
                  <c:v>297.02</c:v>
                </c:pt>
                <c:pt idx="8730">
                  <c:v>296.5</c:v>
                </c:pt>
                <c:pt idx="8731">
                  <c:v>297.64</c:v>
                </c:pt>
                <c:pt idx="8732">
                  <c:v>297.76</c:v>
                </c:pt>
                <c:pt idx="8733">
                  <c:v>297.76</c:v>
                </c:pt>
                <c:pt idx="8734">
                  <c:v>296.98</c:v>
                </c:pt>
                <c:pt idx="8735">
                  <c:v>295.54000000000002</c:v>
                </c:pt>
                <c:pt idx="8736">
                  <c:v>293.97000000000003</c:v>
                </c:pt>
                <c:pt idx="8737">
                  <c:v>291.52</c:v>
                </c:pt>
                <c:pt idx="8738">
                  <c:v>290.76</c:v>
                </c:pt>
                <c:pt idx="8739">
                  <c:v>290.25</c:v>
                </c:pt>
                <c:pt idx="8740">
                  <c:v>290.43</c:v>
                </c:pt>
                <c:pt idx="8741">
                  <c:v>287.56</c:v>
                </c:pt>
                <c:pt idx="8742">
                  <c:v>287.3</c:v>
                </c:pt>
                <c:pt idx="8743">
                  <c:v>289.98</c:v>
                </c:pt>
                <c:pt idx="8744">
                  <c:v>291.36</c:v>
                </c:pt>
                <c:pt idx="8745">
                  <c:v>292.88</c:v>
                </c:pt>
                <c:pt idx="8746">
                  <c:v>293.06</c:v>
                </c:pt>
                <c:pt idx="8747">
                  <c:v>293.06</c:v>
                </c:pt>
                <c:pt idx="8748">
                  <c:v>293</c:v>
                </c:pt>
                <c:pt idx="8749">
                  <c:v>293.07</c:v>
                </c:pt>
                <c:pt idx="8750">
                  <c:v>293.22000000000003</c:v>
                </c:pt>
                <c:pt idx="8751">
                  <c:v>293.27</c:v>
                </c:pt>
                <c:pt idx="8752">
                  <c:v>293.26</c:v>
                </c:pt>
                <c:pt idx="8753">
                  <c:v>292.99</c:v>
                </c:pt>
                <c:pt idx="8754">
                  <c:v>294.17</c:v>
                </c:pt>
                <c:pt idx="8755">
                  <c:v>297.33</c:v>
                </c:pt>
                <c:pt idx="8756">
                  <c:v>296.14999999999998</c:v>
                </c:pt>
                <c:pt idx="8757">
                  <c:v>294.05</c:v>
                </c:pt>
                <c:pt idx="8758">
                  <c:v>292.29000000000002</c:v>
                </c:pt>
                <c:pt idx="8759">
                  <c:v>290.19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569280"/>
        <c:axId val="209570816"/>
      </c:lineChart>
      <c:dateAx>
        <c:axId val="209569280"/>
        <c:scaling>
          <c:orientation val="minMax"/>
          <c:max val="43830"/>
        </c:scaling>
        <c:delete val="0"/>
        <c:axPos val="b"/>
        <c:numFmt formatCode="m/d/yyyy" sourceLinked="1"/>
        <c:majorTickMark val="none"/>
        <c:minorTickMark val="none"/>
        <c:tickLblPos val="none"/>
        <c:crossAx val="209570816"/>
        <c:crosses val="autoZero"/>
        <c:auto val="1"/>
        <c:lblOffset val="100"/>
        <c:baseTimeUnit val="days"/>
      </c:dateAx>
      <c:valAx>
        <c:axId val="209570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5692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PLD Semanal</c:v>
          </c:tx>
          <c:marker>
            <c:symbol val="none"/>
          </c:marker>
          <c:cat>
            <c:strRef>
              <c:f>'ANÁLISE PLD'!$AB$2:$AB$58</c:f>
              <c:strCache>
                <c:ptCount val="53"/>
                <c:pt idx="0">
                  <c:v>29/12/2018</c:v>
                </c:pt>
                <c:pt idx="1">
                  <c:v>5/1/2019</c:v>
                </c:pt>
                <c:pt idx="2">
                  <c:v>12/1/2019</c:v>
                </c:pt>
                <c:pt idx="3">
                  <c:v>19/01/2019</c:v>
                </c:pt>
                <c:pt idx="4">
                  <c:v>26/01/2019</c:v>
                </c:pt>
                <c:pt idx="5">
                  <c:v>2/2/2019</c:v>
                </c:pt>
                <c:pt idx="6">
                  <c:v>9/2/2019</c:v>
                </c:pt>
                <c:pt idx="7">
                  <c:v>16/02/2019</c:v>
                </c:pt>
                <c:pt idx="8">
                  <c:v>23/02/2019</c:v>
                </c:pt>
                <c:pt idx="9">
                  <c:v>2/3/2019</c:v>
                </c:pt>
                <c:pt idx="10">
                  <c:v>9/3/2019</c:v>
                </c:pt>
                <c:pt idx="11">
                  <c:v>16/03/2019</c:v>
                </c:pt>
                <c:pt idx="12">
                  <c:v>23/03/2019</c:v>
                </c:pt>
                <c:pt idx="13">
                  <c:v>30/03/2019</c:v>
                </c:pt>
                <c:pt idx="14">
                  <c:v>6/4/2019</c:v>
                </c:pt>
                <c:pt idx="15">
                  <c:v>13/04/2019</c:v>
                </c:pt>
                <c:pt idx="16">
                  <c:v>20/04/2019</c:v>
                </c:pt>
                <c:pt idx="17">
                  <c:v>27/04/2019</c:v>
                </c:pt>
                <c:pt idx="18">
                  <c:v>4/5/2019</c:v>
                </c:pt>
                <c:pt idx="19">
                  <c:v>11/5/2019</c:v>
                </c:pt>
                <c:pt idx="20">
                  <c:v>18/05/2019</c:v>
                </c:pt>
                <c:pt idx="21">
                  <c:v>25/05/2019</c:v>
                </c:pt>
                <c:pt idx="22">
                  <c:v>1/6/2019</c:v>
                </c:pt>
                <c:pt idx="23">
                  <c:v>8/6/2019</c:v>
                </c:pt>
                <c:pt idx="24">
                  <c:v>15/06/2019</c:v>
                </c:pt>
                <c:pt idx="25">
                  <c:v>22/06/2019</c:v>
                </c:pt>
                <c:pt idx="26">
                  <c:v>29/06/2019</c:v>
                </c:pt>
                <c:pt idx="27">
                  <c:v>6/7/2019</c:v>
                </c:pt>
                <c:pt idx="28">
                  <c:v>13/07/2019</c:v>
                </c:pt>
                <c:pt idx="29">
                  <c:v>20/07/2019</c:v>
                </c:pt>
                <c:pt idx="30">
                  <c:v>27/07/2019</c:v>
                </c:pt>
                <c:pt idx="31">
                  <c:v>3/8/2019</c:v>
                </c:pt>
                <c:pt idx="32">
                  <c:v>10/8/2019</c:v>
                </c:pt>
                <c:pt idx="33">
                  <c:v>17/08/2019</c:v>
                </c:pt>
                <c:pt idx="34">
                  <c:v>24/08/2019</c:v>
                </c:pt>
                <c:pt idx="35">
                  <c:v>31/08/2019</c:v>
                </c:pt>
                <c:pt idx="36">
                  <c:v>7/9/2019</c:v>
                </c:pt>
                <c:pt idx="37">
                  <c:v>14/09/2019</c:v>
                </c:pt>
                <c:pt idx="38">
                  <c:v>21/09/2019</c:v>
                </c:pt>
                <c:pt idx="39">
                  <c:v>28/09/2019</c:v>
                </c:pt>
                <c:pt idx="40">
                  <c:v>5/10/2019</c:v>
                </c:pt>
                <c:pt idx="41">
                  <c:v>12/10/2019</c:v>
                </c:pt>
                <c:pt idx="42">
                  <c:v>19/10/2019</c:v>
                </c:pt>
                <c:pt idx="43">
                  <c:v>26/10/2019</c:v>
                </c:pt>
                <c:pt idx="44">
                  <c:v>2/11/2019</c:v>
                </c:pt>
                <c:pt idx="45">
                  <c:v>9/11/2019</c:v>
                </c:pt>
                <c:pt idx="46">
                  <c:v>16/11/2019</c:v>
                </c:pt>
                <c:pt idx="47">
                  <c:v>23/11/2019</c:v>
                </c:pt>
                <c:pt idx="48">
                  <c:v>30/11/2019</c:v>
                </c:pt>
                <c:pt idx="49">
                  <c:v>7/12/2019</c:v>
                </c:pt>
                <c:pt idx="50">
                  <c:v>14/12/2019</c:v>
                </c:pt>
                <c:pt idx="51">
                  <c:v>21/12/2019</c:v>
                </c:pt>
                <c:pt idx="52">
                  <c:v>28/12/2019</c:v>
                </c:pt>
              </c:strCache>
            </c:strRef>
          </c:cat>
          <c:val>
            <c:numRef>
              <c:f>'ANÁLISE PLD'!$AC$2:$AC$58</c:f>
              <c:numCache>
                <c:formatCode>General</c:formatCode>
                <c:ptCount val="57"/>
                <c:pt idx="0">
                  <c:v>134</c:v>
                </c:pt>
                <c:pt idx="1">
                  <c:v>136</c:v>
                </c:pt>
                <c:pt idx="2">
                  <c:v>163</c:v>
                </c:pt>
                <c:pt idx="3">
                  <c:v>174</c:v>
                </c:pt>
                <c:pt idx="4">
                  <c:v>332</c:v>
                </c:pt>
                <c:pt idx="5">
                  <c:v>442</c:v>
                </c:pt>
                <c:pt idx="6">
                  <c:v>507</c:v>
                </c:pt>
                <c:pt idx="7">
                  <c:v>464</c:v>
                </c:pt>
                <c:pt idx="8">
                  <c:v>334</c:v>
                </c:pt>
                <c:pt idx="9">
                  <c:v>248</c:v>
                </c:pt>
                <c:pt idx="10">
                  <c:v>245</c:v>
                </c:pt>
                <c:pt idx="11">
                  <c:v>191</c:v>
                </c:pt>
                <c:pt idx="12">
                  <c:v>225</c:v>
                </c:pt>
                <c:pt idx="13">
                  <c:v>205</c:v>
                </c:pt>
                <c:pt idx="14">
                  <c:v>176</c:v>
                </c:pt>
                <c:pt idx="15">
                  <c:v>183</c:v>
                </c:pt>
                <c:pt idx="16">
                  <c:v>168</c:v>
                </c:pt>
                <c:pt idx="17">
                  <c:v>138</c:v>
                </c:pt>
                <c:pt idx="18">
                  <c:v>169</c:v>
                </c:pt>
                <c:pt idx="19">
                  <c:v>94</c:v>
                </c:pt>
                <c:pt idx="20">
                  <c:v>130</c:v>
                </c:pt>
                <c:pt idx="21">
                  <c:v>118</c:v>
                </c:pt>
                <c:pt idx="22">
                  <c:v>42</c:v>
                </c:pt>
                <c:pt idx="23">
                  <c:v>42</c:v>
                </c:pt>
                <c:pt idx="24">
                  <c:v>78</c:v>
                </c:pt>
                <c:pt idx="25">
                  <c:v>122</c:v>
                </c:pt>
                <c:pt idx="26">
                  <c:v>169</c:v>
                </c:pt>
                <c:pt idx="27">
                  <c:v>175</c:v>
                </c:pt>
                <c:pt idx="28">
                  <c:v>172</c:v>
                </c:pt>
                <c:pt idx="29">
                  <c:v>183</c:v>
                </c:pt>
                <c:pt idx="30">
                  <c:v>219</c:v>
                </c:pt>
                <c:pt idx="31">
                  <c:v>230</c:v>
                </c:pt>
                <c:pt idx="32">
                  <c:v>228</c:v>
                </c:pt>
                <c:pt idx="33">
                  <c:v>236</c:v>
                </c:pt>
                <c:pt idx="34">
                  <c:v>241</c:v>
                </c:pt>
                <c:pt idx="35">
                  <c:v>197</c:v>
                </c:pt>
                <c:pt idx="36">
                  <c:v>206</c:v>
                </c:pt>
                <c:pt idx="37">
                  <c:v>221</c:v>
                </c:pt>
                <c:pt idx="38">
                  <c:v>227</c:v>
                </c:pt>
                <c:pt idx="39">
                  <c:v>233</c:v>
                </c:pt>
                <c:pt idx="40">
                  <c:v>266</c:v>
                </c:pt>
                <c:pt idx="41">
                  <c:v>268</c:v>
                </c:pt>
                <c:pt idx="42">
                  <c:v>269</c:v>
                </c:pt>
                <c:pt idx="43">
                  <c:v>297</c:v>
                </c:pt>
                <c:pt idx="44">
                  <c:v>330</c:v>
                </c:pt>
                <c:pt idx="45">
                  <c:v>305</c:v>
                </c:pt>
                <c:pt idx="46">
                  <c:v>318</c:v>
                </c:pt>
                <c:pt idx="47">
                  <c:v>315</c:v>
                </c:pt>
                <c:pt idx="48">
                  <c:v>233</c:v>
                </c:pt>
                <c:pt idx="49">
                  <c:v>216</c:v>
                </c:pt>
                <c:pt idx="50">
                  <c:v>225</c:v>
                </c:pt>
                <c:pt idx="51">
                  <c:v>194</c:v>
                </c:pt>
                <c:pt idx="52">
                  <c:v>287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725504"/>
        <c:axId val="210747776"/>
      </c:lineChart>
      <c:dateAx>
        <c:axId val="210725504"/>
        <c:scaling>
          <c:orientation val="minMax"/>
        </c:scaling>
        <c:delete val="0"/>
        <c:axPos val="b"/>
        <c:majorTickMark val="none"/>
        <c:minorTickMark val="none"/>
        <c:tickLblPos val="none"/>
        <c:crossAx val="210747776"/>
        <c:crosses val="autoZero"/>
        <c:auto val="0"/>
        <c:lblOffset val="100"/>
        <c:baseTimeUnit val="days"/>
      </c:dateAx>
      <c:valAx>
        <c:axId val="210747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7255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ENA</c:v>
          </c:tx>
          <c:marker>
            <c:symbol val="none"/>
          </c:marker>
          <c:val>
            <c:numRef>
              <c:f>'ANÁLISE PLD'!$X$2:$X$397</c:f>
              <c:numCache>
                <c:formatCode>General</c:formatCode>
                <c:ptCount val="396"/>
                <c:pt idx="0">
                  <c:v>4.9290000000000003</c:v>
                </c:pt>
                <c:pt idx="1">
                  <c:v>4.6390000000000002</c:v>
                </c:pt>
                <c:pt idx="2">
                  <c:v>4.47</c:v>
                </c:pt>
                <c:pt idx="3">
                  <c:v>4.3620000000000001</c:v>
                </c:pt>
                <c:pt idx="4">
                  <c:v>4.5789999999999997</c:v>
                </c:pt>
                <c:pt idx="5">
                  <c:v>4.7720000000000002</c:v>
                </c:pt>
                <c:pt idx="6">
                  <c:v>5.3179999999999996</c:v>
                </c:pt>
                <c:pt idx="7">
                  <c:v>5.8029999999999999</c:v>
                </c:pt>
                <c:pt idx="8">
                  <c:v>6.33</c:v>
                </c:pt>
                <c:pt idx="9">
                  <c:v>6.4939999999999998</c:v>
                </c:pt>
                <c:pt idx="10">
                  <c:v>6.5579999999999998</c:v>
                </c:pt>
                <c:pt idx="11">
                  <c:v>6.5830000000000002</c:v>
                </c:pt>
                <c:pt idx="12">
                  <c:v>7.1260000000000003</c:v>
                </c:pt>
                <c:pt idx="13">
                  <c:v>8.3940000000000001</c:v>
                </c:pt>
                <c:pt idx="14">
                  <c:v>9.8179999999999996</c:v>
                </c:pt>
                <c:pt idx="15">
                  <c:v>10.37</c:v>
                </c:pt>
                <c:pt idx="16">
                  <c:v>9.8940000000000001</c:v>
                </c:pt>
                <c:pt idx="17">
                  <c:v>10.286</c:v>
                </c:pt>
                <c:pt idx="18">
                  <c:v>10.932</c:v>
                </c:pt>
                <c:pt idx="19">
                  <c:v>11.109</c:v>
                </c:pt>
                <c:pt idx="20">
                  <c:v>10.856999999999999</c:v>
                </c:pt>
                <c:pt idx="21">
                  <c:v>10.156000000000001</c:v>
                </c:pt>
                <c:pt idx="22">
                  <c:v>9.4380000000000006</c:v>
                </c:pt>
                <c:pt idx="23">
                  <c:v>9.1989999999999998</c:v>
                </c:pt>
                <c:pt idx="24">
                  <c:v>8.5749999999999993</c:v>
                </c:pt>
                <c:pt idx="25">
                  <c:v>7.726</c:v>
                </c:pt>
                <c:pt idx="26">
                  <c:v>6.83</c:v>
                </c:pt>
                <c:pt idx="27">
                  <c:v>6.0119999999999996</c:v>
                </c:pt>
                <c:pt idx="28">
                  <c:v>5.4169999999999998</c:v>
                </c:pt>
                <c:pt idx="29">
                  <c:v>4.9539999999999997</c:v>
                </c:pt>
                <c:pt idx="30">
                  <c:v>4.6260000000000003</c:v>
                </c:pt>
                <c:pt idx="31">
                  <c:v>4.4909999999999997</c:v>
                </c:pt>
                <c:pt idx="32">
                  <c:v>4.5659999999999998</c:v>
                </c:pt>
                <c:pt idx="33">
                  <c:v>4.9340000000000002</c:v>
                </c:pt>
                <c:pt idx="34">
                  <c:v>5.431</c:v>
                </c:pt>
                <c:pt idx="35">
                  <c:v>5.7140000000000004</c:v>
                </c:pt>
                <c:pt idx="36">
                  <c:v>5.4960000000000004</c:v>
                </c:pt>
                <c:pt idx="37">
                  <c:v>5.0060000000000002</c:v>
                </c:pt>
                <c:pt idx="38">
                  <c:v>4.5579999999999998</c:v>
                </c:pt>
                <c:pt idx="39">
                  <c:v>4.3049999999999997</c:v>
                </c:pt>
                <c:pt idx="40">
                  <c:v>4.13</c:v>
                </c:pt>
                <c:pt idx="41">
                  <c:v>4.0819999999999999</c:v>
                </c:pt>
                <c:pt idx="42">
                  <c:v>4.1970000000000001</c:v>
                </c:pt>
                <c:pt idx="43">
                  <c:v>4.3109999999999999</c:v>
                </c:pt>
                <c:pt idx="44">
                  <c:v>4.3620000000000001</c:v>
                </c:pt>
                <c:pt idx="45">
                  <c:v>6.3259999999999996</c:v>
                </c:pt>
                <c:pt idx="46">
                  <c:v>8.7330000000000005</c:v>
                </c:pt>
                <c:pt idx="47">
                  <c:v>9.2200000000000006</c:v>
                </c:pt>
                <c:pt idx="48">
                  <c:v>9.4280000000000008</c:v>
                </c:pt>
                <c:pt idx="49">
                  <c:v>9.4440000000000008</c:v>
                </c:pt>
                <c:pt idx="50">
                  <c:v>8.9830000000000005</c:v>
                </c:pt>
                <c:pt idx="51">
                  <c:v>8.4220000000000006</c:v>
                </c:pt>
                <c:pt idx="52">
                  <c:v>7.8230000000000004</c:v>
                </c:pt>
                <c:pt idx="53">
                  <c:v>7.524</c:v>
                </c:pt>
                <c:pt idx="54">
                  <c:v>7.383</c:v>
                </c:pt>
                <c:pt idx="55">
                  <c:v>7.6790000000000003</c:v>
                </c:pt>
                <c:pt idx="56">
                  <c:v>8.9849999999999994</c:v>
                </c:pt>
                <c:pt idx="57">
                  <c:v>9.891</c:v>
                </c:pt>
                <c:pt idx="58">
                  <c:v>9.6639999999999997</c:v>
                </c:pt>
                <c:pt idx="59">
                  <c:v>8.8040000000000003</c:v>
                </c:pt>
                <c:pt idx="60">
                  <c:v>7.7069999999999999</c:v>
                </c:pt>
                <c:pt idx="61">
                  <c:v>6.8449999999999998</c:v>
                </c:pt>
                <c:pt idx="62">
                  <c:v>6.2640000000000002</c:v>
                </c:pt>
                <c:pt idx="63">
                  <c:v>6.0430000000000001</c:v>
                </c:pt>
                <c:pt idx="64">
                  <c:v>6.2359999999999998</c:v>
                </c:pt>
                <c:pt idx="65">
                  <c:v>7.8019999999999996</c:v>
                </c:pt>
                <c:pt idx="66">
                  <c:v>10.189</c:v>
                </c:pt>
                <c:pt idx="67">
                  <c:v>10.962999999999999</c:v>
                </c:pt>
                <c:pt idx="68">
                  <c:v>11.052</c:v>
                </c:pt>
                <c:pt idx="69">
                  <c:v>10.829000000000001</c:v>
                </c:pt>
                <c:pt idx="70">
                  <c:v>11.971</c:v>
                </c:pt>
                <c:pt idx="71">
                  <c:v>14.702999999999999</c:v>
                </c:pt>
                <c:pt idx="72">
                  <c:v>14.198</c:v>
                </c:pt>
                <c:pt idx="73">
                  <c:v>12.939</c:v>
                </c:pt>
                <c:pt idx="74">
                  <c:v>11.868</c:v>
                </c:pt>
                <c:pt idx="75">
                  <c:v>11.864000000000001</c:v>
                </c:pt>
                <c:pt idx="76">
                  <c:v>12.57</c:v>
                </c:pt>
                <c:pt idx="77">
                  <c:v>13.695</c:v>
                </c:pt>
                <c:pt idx="78">
                  <c:v>13.074</c:v>
                </c:pt>
                <c:pt idx="79">
                  <c:v>11.629</c:v>
                </c:pt>
                <c:pt idx="80">
                  <c:v>10.220000000000001</c:v>
                </c:pt>
                <c:pt idx="81">
                  <c:v>9.3420000000000005</c:v>
                </c:pt>
                <c:pt idx="82">
                  <c:v>8.5069999999999997</c:v>
                </c:pt>
                <c:pt idx="83">
                  <c:v>7.718</c:v>
                </c:pt>
                <c:pt idx="84">
                  <c:v>7.1479999999999997</c:v>
                </c:pt>
                <c:pt idx="85">
                  <c:v>6.6429999999999998</c:v>
                </c:pt>
                <c:pt idx="86">
                  <c:v>6.2750000000000004</c:v>
                </c:pt>
                <c:pt idx="87">
                  <c:v>5.8730000000000002</c:v>
                </c:pt>
                <c:pt idx="88">
                  <c:v>5.4880000000000004</c:v>
                </c:pt>
                <c:pt idx="89">
                  <c:v>5.133</c:v>
                </c:pt>
                <c:pt idx="90">
                  <c:v>4.8410000000000002</c:v>
                </c:pt>
                <c:pt idx="91">
                  <c:v>4.6429999999999998</c:v>
                </c:pt>
                <c:pt idx="92">
                  <c:v>4.5529999999999999</c:v>
                </c:pt>
                <c:pt idx="93">
                  <c:v>4.62</c:v>
                </c:pt>
                <c:pt idx="94">
                  <c:v>5.0090000000000003</c:v>
                </c:pt>
                <c:pt idx="95">
                  <c:v>5.3929999999999998</c:v>
                </c:pt>
                <c:pt idx="96">
                  <c:v>6.06</c:v>
                </c:pt>
                <c:pt idx="97">
                  <c:v>6.9379999999999997</c:v>
                </c:pt>
                <c:pt idx="98">
                  <c:v>7.37</c:v>
                </c:pt>
                <c:pt idx="99">
                  <c:v>7.5609999999999999</c:v>
                </c:pt>
                <c:pt idx="100">
                  <c:v>7.6130000000000004</c:v>
                </c:pt>
                <c:pt idx="101">
                  <c:v>7.5129999999999999</c:v>
                </c:pt>
                <c:pt idx="102">
                  <c:v>7.3049999999999997</c:v>
                </c:pt>
                <c:pt idx="103">
                  <c:v>7.0830000000000002</c:v>
                </c:pt>
                <c:pt idx="104">
                  <c:v>6.867</c:v>
                </c:pt>
                <c:pt idx="105">
                  <c:v>6.8049999999999997</c:v>
                </c:pt>
                <c:pt idx="106">
                  <c:v>6.9930000000000003</c:v>
                </c:pt>
                <c:pt idx="107">
                  <c:v>6.976</c:v>
                </c:pt>
                <c:pt idx="108">
                  <c:v>6.5579999999999998</c:v>
                </c:pt>
                <c:pt idx="109">
                  <c:v>6.0389999999999997</c:v>
                </c:pt>
                <c:pt idx="110">
                  <c:v>5.6449999999999996</c:v>
                </c:pt>
                <c:pt idx="111">
                  <c:v>5.3780000000000001</c:v>
                </c:pt>
                <c:pt idx="112">
                  <c:v>5.3490000000000002</c:v>
                </c:pt>
                <c:pt idx="113">
                  <c:v>5.4729999999999999</c:v>
                </c:pt>
                <c:pt idx="114">
                  <c:v>5.4909999999999997</c:v>
                </c:pt>
                <c:pt idx="115">
                  <c:v>5.702</c:v>
                </c:pt>
                <c:pt idx="116">
                  <c:v>7.5880000000000001</c:v>
                </c:pt>
                <c:pt idx="117">
                  <c:v>9.5540000000000003</c:v>
                </c:pt>
                <c:pt idx="118">
                  <c:v>11.391999999999999</c:v>
                </c:pt>
                <c:pt idx="119">
                  <c:v>11.182</c:v>
                </c:pt>
                <c:pt idx="120">
                  <c:v>10.045</c:v>
                </c:pt>
                <c:pt idx="121">
                  <c:v>9.2870000000000008</c:v>
                </c:pt>
                <c:pt idx="122">
                  <c:v>8.83</c:v>
                </c:pt>
                <c:pt idx="123">
                  <c:v>8.8569999999999993</c:v>
                </c:pt>
                <c:pt idx="124">
                  <c:v>9.0760000000000005</c:v>
                </c:pt>
                <c:pt idx="125">
                  <c:v>9.4930000000000003</c:v>
                </c:pt>
                <c:pt idx="126">
                  <c:v>9.8819999999999997</c:v>
                </c:pt>
                <c:pt idx="127">
                  <c:v>9.7070000000000007</c:v>
                </c:pt>
                <c:pt idx="128">
                  <c:v>9.3000000000000007</c:v>
                </c:pt>
                <c:pt idx="129">
                  <c:v>10.223000000000001</c:v>
                </c:pt>
                <c:pt idx="130">
                  <c:v>15.397</c:v>
                </c:pt>
                <c:pt idx="131">
                  <c:v>18.571999999999999</c:v>
                </c:pt>
                <c:pt idx="132">
                  <c:v>17.181999999999999</c:v>
                </c:pt>
                <c:pt idx="133">
                  <c:v>14.817</c:v>
                </c:pt>
                <c:pt idx="134">
                  <c:v>12.723000000000001</c:v>
                </c:pt>
                <c:pt idx="135">
                  <c:v>11.324999999999999</c:v>
                </c:pt>
                <c:pt idx="136">
                  <c:v>10.616</c:v>
                </c:pt>
                <c:pt idx="137">
                  <c:v>9.6329999999999991</c:v>
                </c:pt>
                <c:pt idx="138">
                  <c:v>8.7520000000000007</c:v>
                </c:pt>
                <c:pt idx="139">
                  <c:v>8.2460000000000004</c:v>
                </c:pt>
                <c:pt idx="140">
                  <c:v>8.2260000000000009</c:v>
                </c:pt>
                <c:pt idx="141">
                  <c:v>8.4760000000000009</c:v>
                </c:pt>
                <c:pt idx="142">
                  <c:v>9.0370000000000008</c:v>
                </c:pt>
                <c:pt idx="143">
                  <c:v>11.840999999999999</c:v>
                </c:pt>
                <c:pt idx="144">
                  <c:v>16.495999999999999</c:v>
                </c:pt>
                <c:pt idx="145">
                  <c:v>17.152999999999999</c:v>
                </c:pt>
                <c:pt idx="146">
                  <c:v>16.173999999999999</c:v>
                </c:pt>
                <c:pt idx="147">
                  <c:v>20.283999999999999</c:v>
                </c:pt>
                <c:pt idx="148">
                  <c:v>24.88</c:v>
                </c:pt>
                <c:pt idx="149">
                  <c:v>32.415999999999997</c:v>
                </c:pt>
                <c:pt idx="150">
                  <c:v>46.075000000000003</c:v>
                </c:pt>
                <c:pt idx="151">
                  <c:v>46.097999999999999</c:v>
                </c:pt>
                <c:pt idx="152">
                  <c:v>40.395000000000003</c:v>
                </c:pt>
                <c:pt idx="153">
                  <c:v>34.265000000000001</c:v>
                </c:pt>
                <c:pt idx="154">
                  <c:v>29.021000000000001</c:v>
                </c:pt>
                <c:pt idx="155">
                  <c:v>25.355</c:v>
                </c:pt>
                <c:pt idx="156">
                  <c:v>22.725999999999999</c:v>
                </c:pt>
                <c:pt idx="157">
                  <c:v>21.164000000000001</c:v>
                </c:pt>
                <c:pt idx="158">
                  <c:v>20.052</c:v>
                </c:pt>
                <c:pt idx="159">
                  <c:v>19.196999999999999</c:v>
                </c:pt>
                <c:pt idx="160">
                  <c:v>18.527999999999999</c:v>
                </c:pt>
                <c:pt idx="161">
                  <c:v>17.876000000000001</c:v>
                </c:pt>
                <c:pt idx="162">
                  <c:v>17.23</c:v>
                </c:pt>
                <c:pt idx="163">
                  <c:v>16.494</c:v>
                </c:pt>
                <c:pt idx="164">
                  <c:v>15.686999999999999</c:v>
                </c:pt>
                <c:pt idx="165">
                  <c:v>14.887</c:v>
                </c:pt>
                <c:pt idx="166">
                  <c:v>14.087999999999999</c:v>
                </c:pt>
                <c:pt idx="167">
                  <c:v>13.211</c:v>
                </c:pt>
                <c:pt idx="168">
                  <c:v>12.363</c:v>
                </c:pt>
                <c:pt idx="169">
                  <c:v>11.257</c:v>
                </c:pt>
                <c:pt idx="170">
                  <c:v>10.026</c:v>
                </c:pt>
                <c:pt idx="171">
                  <c:v>8.7119999999999997</c:v>
                </c:pt>
                <c:pt idx="172">
                  <c:v>7.5949999999999998</c:v>
                </c:pt>
                <c:pt idx="173">
                  <c:v>6.827</c:v>
                </c:pt>
                <c:pt idx="174">
                  <c:v>6.3319999999999999</c:v>
                </c:pt>
                <c:pt idx="175">
                  <c:v>6.1120000000000001</c:v>
                </c:pt>
                <c:pt idx="176">
                  <c:v>6.3419999999999996</c:v>
                </c:pt>
                <c:pt idx="177">
                  <c:v>6.7949999999999999</c:v>
                </c:pt>
                <c:pt idx="178">
                  <c:v>6.9119999999999999</c:v>
                </c:pt>
                <c:pt idx="179">
                  <c:v>6.8860000000000001</c:v>
                </c:pt>
                <c:pt idx="180">
                  <c:v>6.9870000000000001</c:v>
                </c:pt>
                <c:pt idx="181">
                  <c:v>8.7059999999999995</c:v>
                </c:pt>
                <c:pt idx="182">
                  <c:v>11.377000000000001</c:v>
                </c:pt>
                <c:pt idx="183">
                  <c:v>19.748000000000001</c:v>
                </c:pt>
                <c:pt idx="184">
                  <c:v>18.716999999999999</c:v>
                </c:pt>
                <c:pt idx="185">
                  <c:v>14.478999999999999</c:v>
                </c:pt>
                <c:pt idx="186">
                  <c:v>10.891999999999999</c:v>
                </c:pt>
                <c:pt idx="187">
                  <c:v>8.8889999999999993</c:v>
                </c:pt>
                <c:pt idx="188">
                  <c:v>7.9589999999999996</c:v>
                </c:pt>
                <c:pt idx="189">
                  <c:v>7.2629999999999999</c:v>
                </c:pt>
                <c:pt idx="190">
                  <c:v>6.694</c:v>
                </c:pt>
                <c:pt idx="191">
                  <c:v>6.1790000000000003</c:v>
                </c:pt>
                <c:pt idx="192">
                  <c:v>5.7720000000000002</c:v>
                </c:pt>
                <c:pt idx="193">
                  <c:v>5.4710000000000001</c:v>
                </c:pt>
                <c:pt idx="194">
                  <c:v>5.306</c:v>
                </c:pt>
                <c:pt idx="195">
                  <c:v>5.2560000000000002</c:v>
                </c:pt>
                <c:pt idx="196">
                  <c:v>5.1879999999999997</c:v>
                </c:pt>
                <c:pt idx="197">
                  <c:v>5.0469999999999997</c:v>
                </c:pt>
                <c:pt idx="198">
                  <c:v>4.8789999999999996</c:v>
                </c:pt>
                <c:pt idx="199">
                  <c:v>4.7249999999999996</c:v>
                </c:pt>
                <c:pt idx="200">
                  <c:v>4.601</c:v>
                </c:pt>
                <c:pt idx="201">
                  <c:v>4.4950000000000001</c:v>
                </c:pt>
                <c:pt idx="202">
                  <c:v>4.4219999999999997</c:v>
                </c:pt>
                <c:pt idx="203">
                  <c:v>4.71</c:v>
                </c:pt>
                <c:pt idx="204">
                  <c:v>6.5990000000000002</c:v>
                </c:pt>
                <c:pt idx="205">
                  <c:v>5.5110000000000001</c:v>
                </c:pt>
                <c:pt idx="206">
                  <c:v>4.8680000000000003</c:v>
                </c:pt>
                <c:pt idx="207">
                  <c:v>4.4349999999999996</c:v>
                </c:pt>
                <c:pt idx="208">
                  <c:v>4.0720000000000001</c:v>
                </c:pt>
                <c:pt idx="209">
                  <c:v>3.8879999999999999</c:v>
                </c:pt>
                <c:pt idx="210">
                  <c:v>3.8</c:v>
                </c:pt>
                <c:pt idx="211">
                  <c:v>3.7549999999999999</c:v>
                </c:pt>
                <c:pt idx="212">
                  <c:v>3.6989999999999998</c:v>
                </c:pt>
                <c:pt idx="213">
                  <c:v>3.6840000000000002</c:v>
                </c:pt>
                <c:pt idx="214">
                  <c:v>3.5720000000000001</c:v>
                </c:pt>
                <c:pt idx="215">
                  <c:v>3.5009999999999999</c:v>
                </c:pt>
                <c:pt idx="216">
                  <c:v>3.4350000000000001</c:v>
                </c:pt>
                <c:pt idx="217">
                  <c:v>3.363</c:v>
                </c:pt>
                <c:pt idx="218">
                  <c:v>3.2130000000000001</c:v>
                </c:pt>
                <c:pt idx="219">
                  <c:v>3.0939999999999999</c:v>
                </c:pt>
                <c:pt idx="220">
                  <c:v>3.0449999999999999</c:v>
                </c:pt>
                <c:pt idx="221">
                  <c:v>3.0009999999999999</c:v>
                </c:pt>
                <c:pt idx="222">
                  <c:v>2.9470000000000001</c:v>
                </c:pt>
                <c:pt idx="223">
                  <c:v>2.887</c:v>
                </c:pt>
                <c:pt idx="224">
                  <c:v>2.8849999999999998</c:v>
                </c:pt>
                <c:pt idx="225">
                  <c:v>2.8239999999999998</c:v>
                </c:pt>
                <c:pt idx="226">
                  <c:v>2.762</c:v>
                </c:pt>
                <c:pt idx="227">
                  <c:v>2.673</c:v>
                </c:pt>
                <c:pt idx="228">
                  <c:v>2.6349999999999998</c:v>
                </c:pt>
                <c:pt idx="229">
                  <c:v>2.6280000000000001</c:v>
                </c:pt>
                <c:pt idx="230">
                  <c:v>2.6539999999999999</c:v>
                </c:pt>
                <c:pt idx="231">
                  <c:v>2.694</c:v>
                </c:pt>
                <c:pt idx="232">
                  <c:v>2.6829999999999998</c:v>
                </c:pt>
                <c:pt idx="233">
                  <c:v>2.673</c:v>
                </c:pt>
                <c:pt idx="234">
                  <c:v>2.641</c:v>
                </c:pt>
                <c:pt idx="235">
                  <c:v>2.6179999999999999</c:v>
                </c:pt>
                <c:pt idx="236">
                  <c:v>2.597</c:v>
                </c:pt>
                <c:pt idx="237">
                  <c:v>2.5739999999999998</c:v>
                </c:pt>
                <c:pt idx="238">
                  <c:v>2.516</c:v>
                </c:pt>
                <c:pt idx="239">
                  <c:v>2.4470000000000001</c:v>
                </c:pt>
                <c:pt idx="240">
                  <c:v>2.4039999999999999</c:v>
                </c:pt>
                <c:pt idx="241">
                  <c:v>2.3889999999999998</c:v>
                </c:pt>
                <c:pt idx="242">
                  <c:v>2.4910000000000001</c:v>
                </c:pt>
                <c:pt idx="243">
                  <c:v>2.7189999999999999</c:v>
                </c:pt>
                <c:pt idx="244">
                  <c:v>3.0150000000000001</c:v>
                </c:pt>
                <c:pt idx="245">
                  <c:v>3.0139999999999998</c:v>
                </c:pt>
                <c:pt idx="246">
                  <c:v>2.923</c:v>
                </c:pt>
                <c:pt idx="247">
                  <c:v>2.8740000000000001</c:v>
                </c:pt>
                <c:pt idx="248">
                  <c:v>2.9350000000000001</c:v>
                </c:pt>
                <c:pt idx="249">
                  <c:v>3.0329999999999999</c:v>
                </c:pt>
                <c:pt idx="250">
                  <c:v>3.085</c:v>
                </c:pt>
                <c:pt idx="251">
                  <c:v>3.056</c:v>
                </c:pt>
                <c:pt idx="252">
                  <c:v>2.9279999999999999</c:v>
                </c:pt>
                <c:pt idx="253">
                  <c:v>2.82</c:v>
                </c:pt>
                <c:pt idx="254">
                  <c:v>2.7320000000000002</c:v>
                </c:pt>
                <c:pt idx="255">
                  <c:v>2.64</c:v>
                </c:pt>
                <c:pt idx="256">
                  <c:v>2.5350000000000001</c:v>
                </c:pt>
                <c:pt idx="257">
                  <c:v>2.4849999999999999</c:v>
                </c:pt>
                <c:pt idx="258">
                  <c:v>2.4649999999999999</c:v>
                </c:pt>
                <c:pt idx="259">
                  <c:v>2.5089999999999999</c:v>
                </c:pt>
                <c:pt idx="260">
                  <c:v>2.5950000000000002</c:v>
                </c:pt>
                <c:pt idx="261">
                  <c:v>2.8</c:v>
                </c:pt>
                <c:pt idx="262">
                  <c:v>3.4790000000000001</c:v>
                </c:pt>
                <c:pt idx="263">
                  <c:v>4.1669999999999998</c:v>
                </c:pt>
                <c:pt idx="264">
                  <c:v>4.55</c:v>
                </c:pt>
                <c:pt idx="265">
                  <c:v>4.6539999999999999</c:v>
                </c:pt>
                <c:pt idx="266">
                  <c:v>4.6909999999999998</c:v>
                </c:pt>
                <c:pt idx="267">
                  <c:v>4.6909999999999998</c:v>
                </c:pt>
                <c:pt idx="268">
                  <c:v>4.5679999999999996</c:v>
                </c:pt>
                <c:pt idx="269">
                  <c:v>4.2969999999999997</c:v>
                </c:pt>
                <c:pt idx="270">
                  <c:v>4.0019999999999998</c:v>
                </c:pt>
                <c:pt idx="271">
                  <c:v>3.7160000000000002</c:v>
                </c:pt>
                <c:pt idx="272">
                  <c:v>3.4580000000000002</c:v>
                </c:pt>
                <c:pt idx="273">
                  <c:v>3.274</c:v>
                </c:pt>
                <c:pt idx="274">
                  <c:v>3.1629999999999998</c:v>
                </c:pt>
                <c:pt idx="275">
                  <c:v>3.2410000000000001</c:v>
                </c:pt>
                <c:pt idx="276">
                  <c:v>4.9710000000000001</c:v>
                </c:pt>
                <c:pt idx="277">
                  <c:v>5.8289999999999997</c:v>
                </c:pt>
                <c:pt idx="278">
                  <c:v>6.133</c:v>
                </c:pt>
                <c:pt idx="279">
                  <c:v>6.141</c:v>
                </c:pt>
                <c:pt idx="280">
                  <c:v>5.5170000000000003</c:v>
                </c:pt>
                <c:pt idx="281">
                  <c:v>4.851</c:v>
                </c:pt>
                <c:pt idx="282">
                  <c:v>4.2649999999999997</c:v>
                </c:pt>
                <c:pt idx="283">
                  <c:v>3.8119999999999998</c:v>
                </c:pt>
                <c:pt idx="284">
                  <c:v>3.5179999999999998</c:v>
                </c:pt>
                <c:pt idx="285">
                  <c:v>3.3820000000000001</c:v>
                </c:pt>
                <c:pt idx="286">
                  <c:v>3.3090000000000002</c:v>
                </c:pt>
                <c:pt idx="287">
                  <c:v>3.4609999999999999</c:v>
                </c:pt>
                <c:pt idx="288">
                  <c:v>4.1639999999999997</c:v>
                </c:pt>
                <c:pt idx="289">
                  <c:v>5.09</c:v>
                </c:pt>
                <c:pt idx="290">
                  <c:v>6.3109999999999999</c:v>
                </c:pt>
                <c:pt idx="291">
                  <c:v>7.3719999999999999</c:v>
                </c:pt>
                <c:pt idx="292">
                  <c:v>7.2889999999999997</c:v>
                </c:pt>
                <c:pt idx="293">
                  <c:v>7.1829999999999998</c:v>
                </c:pt>
                <c:pt idx="294">
                  <c:v>6.9189999999999996</c:v>
                </c:pt>
                <c:pt idx="295">
                  <c:v>6.4690000000000003</c:v>
                </c:pt>
                <c:pt idx="296">
                  <c:v>5.8</c:v>
                </c:pt>
                <c:pt idx="297">
                  <c:v>5.14</c:v>
                </c:pt>
                <c:pt idx="298">
                  <c:v>4.7050000000000001</c:v>
                </c:pt>
                <c:pt idx="299">
                  <c:v>5.05</c:v>
                </c:pt>
                <c:pt idx="300">
                  <c:v>6.01</c:v>
                </c:pt>
                <c:pt idx="301">
                  <c:v>6.7990000000000004</c:v>
                </c:pt>
                <c:pt idx="302">
                  <c:v>7.5490000000000004</c:v>
                </c:pt>
                <c:pt idx="303">
                  <c:v>9.4979999999999993</c:v>
                </c:pt>
                <c:pt idx="304">
                  <c:v>11.409000000000001</c:v>
                </c:pt>
                <c:pt idx="305">
                  <c:v>10.282</c:v>
                </c:pt>
                <c:pt idx="306">
                  <c:v>9.0850000000000009</c:v>
                </c:pt>
                <c:pt idx="307">
                  <c:v>9.5150000000000006</c:v>
                </c:pt>
                <c:pt idx="308">
                  <c:v>17.443000000000001</c:v>
                </c:pt>
                <c:pt idx="309">
                  <c:v>21.716000000000001</c:v>
                </c:pt>
                <c:pt idx="310">
                  <c:v>19.074000000000002</c:v>
                </c:pt>
                <c:pt idx="311">
                  <c:v>16.898</c:v>
                </c:pt>
                <c:pt idx="312">
                  <c:v>14.760999999999999</c:v>
                </c:pt>
                <c:pt idx="313">
                  <c:v>12.711</c:v>
                </c:pt>
                <c:pt idx="314">
                  <c:v>12.114000000000001</c:v>
                </c:pt>
                <c:pt idx="315">
                  <c:v>11.602</c:v>
                </c:pt>
                <c:pt idx="316">
                  <c:v>10.409000000000001</c:v>
                </c:pt>
                <c:pt idx="317">
                  <c:v>9.641</c:v>
                </c:pt>
                <c:pt idx="318">
                  <c:v>9.0050000000000008</c:v>
                </c:pt>
                <c:pt idx="319">
                  <c:v>8.3450000000000006</c:v>
                </c:pt>
                <c:pt idx="320">
                  <c:v>7.7539999999999996</c:v>
                </c:pt>
                <c:pt idx="321">
                  <c:v>6.9420000000000002</c:v>
                </c:pt>
                <c:pt idx="322">
                  <c:v>6.2709999999999999</c:v>
                </c:pt>
                <c:pt idx="323">
                  <c:v>5.681</c:v>
                </c:pt>
                <c:pt idx="324">
                  <c:v>5.1749999999999998</c:v>
                </c:pt>
                <c:pt idx="325">
                  <c:v>4.7679999999999998</c:v>
                </c:pt>
                <c:pt idx="326">
                  <c:v>4.3920000000000003</c:v>
                </c:pt>
                <c:pt idx="327">
                  <c:v>4.1020000000000003</c:v>
                </c:pt>
                <c:pt idx="328">
                  <c:v>3.9390000000000001</c:v>
                </c:pt>
                <c:pt idx="329">
                  <c:v>4.0179999999999998</c:v>
                </c:pt>
                <c:pt idx="330">
                  <c:v>4.524</c:v>
                </c:pt>
                <c:pt idx="331">
                  <c:v>5.2919999999999998</c:v>
                </c:pt>
                <c:pt idx="332">
                  <c:v>5.5679999999999996</c:v>
                </c:pt>
                <c:pt idx="333">
                  <c:v>5.3810000000000002</c:v>
                </c:pt>
                <c:pt idx="334">
                  <c:v>5.1230000000000002</c:v>
                </c:pt>
                <c:pt idx="335">
                  <c:v>4.9569999999999999</c:v>
                </c:pt>
                <c:pt idx="336">
                  <c:v>4.8010000000000002</c:v>
                </c:pt>
                <c:pt idx="337">
                  <c:v>4.673</c:v>
                </c:pt>
                <c:pt idx="338">
                  <c:v>4.681</c:v>
                </c:pt>
                <c:pt idx="339">
                  <c:v>4.6619999999999999</c:v>
                </c:pt>
                <c:pt idx="340">
                  <c:v>4.5199999999999996</c:v>
                </c:pt>
                <c:pt idx="341">
                  <c:v>4.282</c:v>
                </c:pt>
                <c:pt idx="342">
                  <c:v>4.0860000000000003</c:v>
                </c:pt>
                <c:pt idx="343">
                  <c:v>3.988</c:v>
                </c:pt>
                <c:pt idx="344">
                  <c:v>3.9319999999999999</c:v>
                </c:pt>
                <c:pt idx="345">
                  <c:v>3.8330000000000002</c:v>
                </c:pt>
                <c:pt idx="346">
                  <c:v>3.714</c:v>
                </c:pt>
                <c:pt idx="347">
                  <c:v>3.7109999999999999</c:v>
                </c:pt>
                <c:pt idx="348">
                  <c:v>3.9209999999999998</c:v>
                </c:pt>
                <c:pt idx="349">
                  <c:v>4.3789999999999996</c:v>
                </c:pt>
                <c:pt idx="350">
                  <c:v>5.19</c:v>
                </c:pt>
                <c:pt idx="351">
                  <c:v>5.7190000000000003</c:v>
                </c:pt>
                <c:pt idx="352">
                  <c:v>6.03</c:v>
                </c:pt>
                <c:pt idx="353">
                  <c:v>6.0940000000000003</c:v>
                </c:pt>
                <c:pt idx="354">
                  <c:v>6.0570000000000004</c:v>
                </c:pt>
                <c:pt idx="355">
                  <c:v>5.9119999999999999</c:v>
                </c:pt>
                <c:pt idx="356">
                  <c:v>5.4939999999999998</c:v>
                </c:pt>
                <c:pt idx="357">
                  <c:v>4.9820000000000002</c:v>
                </c:pt>
                <c:pt idx="358">
                  <c:v>4.5330000000000004</c:v>
                </c:pt>
                <c:pt idx="359">
                  <c:v>4.1059999999999999</c:v>
                </c:pt>
                <c:pt idx="360">
                  <c:v>3.72</c:v>
                </c:pt>
                <c:pt idx="361">
                  <c:v>3.3809999999999998</c:v>
                </c:pt>
                <c:pt idx="362">
                  <c:v>3.12</c:v>
                </c:pt>
                <c:pt idx="363">
                  <c:v>2.915</c:v>
                </c:pt>
                <c:pt idx="364">
                  <c:v>2.742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8898816"/>
        <c:axId val="218900352"/>
      </c:lineChart>
      <c:catAx>
        <c:axId val="218898816"/>
        <c:scaling>
          <c:orientation val="minMax"/>
        </c:scaling>
        <c:delete val="0"/>
        <c:axPos val="b"/>
        <c:majorTickMark val="none"/>
        <c:minorTickMark val="none"/>
        <c:tickLblPos val="none"/>
        <c:crossAx val="218900352"/>
        <c:crosses val="autoZero"/>
        <c:auto val="1"/>
        <c:lblAlgn val="ctr"/>
        <c:lblOffset val="100"/>
        <c:noMultiLvlLbl val="0"/>
      </c:catAx>
      <c:valAx>
        <c:axId val="218900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8988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MLP</c:v>
          </c:tx>
          <c:invertIfNegative val="0"/>
          <c:val>
            <c:numRef>
              <c:f>'ANÁLISE ACL'!$C$2:$C$13</c:f>
              <c:numCache>
                <c:formatCode>General</c:formatCode>
                <c:ptCount val="12"/>
                <c:pt idx="0">
                  <c:v>44</c:v>
                </c:pt>
                <c:pt idx="1">
                  <c:v>44</c:v>
                </c:pt>
                <c:pt idx="2">
                  <c:v>44</c:v>
                </c:pt>
                <c:pt idx="3">
                  <c:v>44</c:v>
                </c:pt>
                <c:pt idx="4">
                  <c:v>44</c:v>
                </c:pt>
                <c:pt idx="5">
                  <c:v>44</c:v>
                </c:pt>
                <c:pt idx="6">
                  <c:v>44</c:v>
                </c:pt>
                <c:pt idx="7">
                  <c:v>44</c:v>
                </c:pt>
                <c:pt idx="8">
                  <c:v>44</c:v>
                </c:pt>
                <c:pt idx="9">
                  <c:v>44</c:v>
                </c:pt>
                <c:pt idx="10">
                  <c:v>44</c:v>
                </c:pt>
                <c:pt idx="11">
                  <c:v>44</c:v>
                </c:pt>
              </c:numCache>
            </c:numRef>
          </c:val>
        </c:ser>
        <c:ser>
          <c:idx val="1"/>
          <c:order val="1"/>
          <c:tx>
            <c:v>MCP</c:v>
          </c:tx>
          <c:invertIfNegative val="0"/>
          <c:val>
            <c:numRef>
              <c:f>'ANÁLISE ACL'!$D$2:$D$13</c:f>
              <c:numCache>
                <c:formatCode>#,##0.00</c:formatCode>
                <c:ptCount val="12"/>
                <c:pt idx="0">
                  <c:v>9.8172399999999982</c:v>
                </c:pt>
                <c:pt idx="1">
                  <c:v>9.4642167999999973</c:v>
                </c:pt>
                <c:pt idx="2">
                  <c:v>2.4517997999999999</c:v>
                </c:pt>
                <c:pt idx="3">
                  <c:v>1.3224743999999984</c:v>
                </c:pt>
                <c:pt idx="4">
                  <c:v>1.7424287999999992</c:v>
                </c:pt>
                <c:pt idx="5">
                  <c:v>-0.28218339999999942</c:v>
                </c:pt>
                <c:pt idx="6">
                  <c:v>-1.2477339000000003</c:v>
                </c:pt>
                <c:pt idx="7">
                  <c:v>-0.98351819999999934</c:v>
                </c:pt>
                <c:pt idx="8">
                  <c:v>1.086425999999999</c:v>
                </c:pt>
                <c:pt idx="9">
                  <c:v>4.5338687000000037</c:v>
                </c:pt>
                <c:pt idx="10">
                  <c:v>5.6556324000000009</c:v>
                </c:pt>
                <c:pt idx="11">
                  <c:v>5.203106700000002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9808384"/>
        <c:axId val="209810176"/>
      </c:barChart>
      <c:catAx>
        <c:axId val="209808384"/>
        <c:scaling>
          <c:orientation val="minMax"/>
        </c:scaling>
        <c:delete val="0"/>
        <c:axPos val="b"/>
        <c:majorTickMark val="out"/>
        <c:minorTickMark val="none"/>
        <c:tickLblPos val="nextTo"/>
        <c:crossAx val="209810176"/>
        <c:crosses val="autoZero"/>
        <c:auto val="1"/>
        <c:lblAlgn val="ctr"/>
        <c:lblOffset val="100"/>
        <c:noMultiLvlLbl val="0"/>
      </c:catAx>
      <c:valAx>
        <c:axId val="209810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8083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304800</xdr:colOff>
      <xdr:row>3</xdr:row>
      <xdr:rowOff>114300</xdr:rowOff>
    </xdr:from>
    <xdr:to>
      <xdr:col>12</xdr:col>
      <xdr:colOff>818030</xdr:colOff>
      <xdr:row>21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377639</xdr:colOff>
      <xdr:row>3</xdr:row>
      <xdr:rowOff>94689</xdr:rowOff>
    </xdr:from>
    <xdr:to>
      <xdr:col>21</xdr:col>
      <xdr:colOff>556372</xdr:colOff>
      <xdr:row>20</xdr:row>
      <xdr:rowOff>189940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391084</xdr:colOff>
      <xdr:row>27</xdr:row>
      <xdr:rowOff>100853</xdr:rowOff>
    </xdr:from>
    <xdr:to>
      <xdr:col>12</xdr:col>
      <xdr:colOff>1030942</xdr:colOff>
      <xdr:row>44</xdr:row>
      <xdr:rowOff>123265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41</xdr:row>
          <xdr:rowOff>47625</xdr:rowOff>
        </xdr:from>
        <xdr:to>
          <xdr:col>17</xdr:col>
          <xdr:colOff>438150</xdr:colOff>
          <xdr:row>44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ALTERAR NÚMERO DE AMOSTRAS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22</xdr:row>
          <xdr:rowOff>9525</xdr:rowOff>
        </xdr:from>
        <xdr:to>
          <xdr:col>2</xdr:col>
          <xdr:colOff>0</xdr:colOff>
          <xdr:row>24</xdr:row>
          <xdr:rowOff>104775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executar especificações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238125</xdr:colOff>
          <xdr:row>9</xdr:row>
          <xdr:rowOff>9525</xdr:rowOff>
        </xdr:from>
        <xdr:to>
          <xdr:col>12</xdr:col>
          <xdr:colOff>571500</xdr:colOff>
          <xdr:row>12</xdr:row>
          <xdr:rowOff>133350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Flexibilidade Mensal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228600</xdr:colOff>
          <xdr:row>9</xdr:row>
          <xdr:rowOff>9525</xdr:rowOff>
        </xdr:from>
        <xdr:to>
          <xdr:col>9</xdr:col>
          <xdr:colOff>314325</xdr:colOff>
          <xdr:row>12</xdr:row>
          <xdr:rowOff>133350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Modulação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238125</xdr:colOff>
          <xdr:row>4</xdr:row>
          <xdr:rowOff>114300</xdr:rowOff>
        </xdr:from>
        <xdr:to>
          <xdr:col>9</xdr:col>
          <xdr:colOff>304800</xdr:colOff>
          <xdr:row>8</xdr:row>
          <xdr:rowOff>47625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Sem derivativos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247650</xdr:colOff>
          <xdr:row>4</xdr:row>
          <xdr:rowOff>123825</xdr:rowOff>
        </xdr:from>
        <xdr:to>
          <xdr:col>12</xdr:col>
          <xdr:colOff>581025</xdr:colOff>
          <xdr:row>8</xdr:row>
          <xdr:rowOff>57150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Sazonalização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301553</xdr:colOff>
      <xdr:row>16</xdr:row>
      <xdr:rowOff>95249</xdr:rowOff>
    </xdr:from>
    <xdr:to>
      <xdr:col>7</xdr:col>
      <xdr:colOff>517922</xdr:colOff>
      <xdr:row>30</xdr:row>
      <xdr:rowOff>140708</xdr:rowOff>
    </xdr:to>
    <xdr:graphicFrame macro="">
      <xdr:nvGraphicFramePr>
        <xdr:cNvPr id="7" name="Gráfico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9525</xdr:rowOff>
        </xdr:from>
        <xdr:to>
          <xdr:col>11</xdr:col>
          <xdr:colOff>9525</xdr:colOff>
          <xdr:row>3</xdr:row>
          <xdr:rowOff>142875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 lista/novos juros e custos de adesão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C9:AA43"/>
  <sheetViews>
    <sheetView topLeftCell="B1" zoomScale="55" zoomScaleNormal="55" workbookViewId="0">
      <selection activeCell="B1" sqref="B1"/>
    </sheetView>
  </sheetViews>
  <sheetFormatPr defaultRowHeight="15" x14ac:dyDescent="0.25"/>
  <cols>
    <col min="1" max="16384" width="9.140625" style="1"/>
  </cols>
  <sheetData>
    <row r="9" spans="4:27" ht="15" customHeight="1" x14ac:dyDescent="0.25">
      <c r="D9" s="139" t="s">
        <v>426</v>
      </c>
      <c r="E9" s="139"/>
      <c r="F9" s="139"/>
      <c r="G9" s="139"/>
      <c r="H9" s="139"/>
      <c r="I9" s="139"/>
      <c r="J9" s="139"/>
      <c r="K9" s="139"/>
      <c r="L9" s="139"/>
      <c r="M9" s="139"/>
      <c r="N9" s="139"/>
      <c r="O9" s="139"/>
      <c r="P9" s="139"/>
      <c r="Q9" s="139"/>
      <c r="R9" s="139"/>
      <c r="S9" s="139"/>
      <c r="T9" s="139"/>
      <c r="U9" s="139"/>
      <c r="V9" s="139"/>
      <c r="W9" s="139"/>
      <c r="X9" s="139"/>
      <c r="Y9" s="139"/>
      <c r="Z9" s="139"/>
      <c r="AA9" s="139"/>
    </row>
    <row r="10" spans="4:27" ht="15" customHeight="1" x14ac:dyDescent="0.25">
      <c r="D10" s="139"/>
      <c r="E10" s="139"/>
      <c r="F10" s="139"/>
      <c r="G10" s="139"/>
      <c r="H10" s="139"/>
      <c r="I10" s="139"/>
      <c r="J10" s="139"/>
      <c r="K10" s="139"/>
      <c r="L10" s="139"/>
      <c r="M10" s="139"/>
      <c r="N10" s="139"/>
      <c r="O10" s="139"/>
      <c r="P10" s="139"/>
      <c r="Q10" s="139"/>
      <c r="R10" s="139"/>
      <c r="S10" s="139"/>
      <c r="T10" s="139"/>
      <c r="U10" s="139"/>
      <c r="V10" s="139"/>
      <c r="W10" s="139"/>
      <c r="X10" s="139"/>
      <c r="Y10" s="139"/>
      <c r="Z10" s="139"/>
      <c r="AA10" s="139"/>
    </row>
    <row r="11" spans="4:27" ht="15" customHeight="1" x14ac:dyDescent="0.25"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</row>
    <row r="12" spans="4:27" ht="15" customHeight="1" x14ac:dyDescent="0.25">
      <c r="D12" s="139"/>
      <c r="E12" s="139"/>
      <c r="F12" s="139"/>
      <c r="G12" s="139"/>
      <c r="H12" s="139"/>
      <c r="I12" s="139"/>
      <c r="J12" s="139"/>
      <c r="K12" s="139"/>
      <c r="L12" s="139"/>
      <c r="M12" s="139"/>
      <c r="N12" s="139"/>
      <c r="O12" s="139"/>
      <c r="P12" s="139"/>
      <c r="Q12" s="139"/>
      <c r="R12" s="139"/>
      <c r="S12" s="139"/>
      <c r="T12" s="139"/>
      <c r="U12" s="139"/>
      <c r="V12" s="139"/>
      <c r="W12" s="139"/>
      <c r="X12" s="139"/>
      <c r="Y12" s="139"/>
      <c r="Z12" s="139"/>
      <c r="AA12" s="139"/>
    </row>
    <row r="13" spans="4:27" ht="15" customHeight="1" x14ac:dyDescent="0.25"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39"/>
      <c r="P13" s="139"/>
      <c r="Q13" s="139"/>
      <c r="R13" s="139"/>
      <c r="S13" s="139"/>
      <c r="T13" s="139"/>
      <c r="U13" s="139"/>
      <c r="V13" s="139"/>
      <c r="W13" s="139"/>
      <c r="X13" s="139"/>
      <c r="Y13" s="139"/>
      <c r="Z13" s="139"/>
      <c r="AA13" s="139"/>
    </row>
    <row r="14" spans="4:27" ht="15" customHeight="1" x14ac:dyDescent="0.25">
      <c r="D14" s="139"/>
      <c r="E14" s="139"/>
      <c r="F14" s="139"/>
      <c r="G14" s="139"/>
      <c r="H14" s="139"/>
      <c r="I14" s="139"/>
      <c r="J14" s="139"/>
      <c r="K14" s="139"/>
      <c r="L14" s="139"/>
      <c r="M14" s="139"/>
      <c r="N14" s="139"/>
      <c r="O14" s="139"/>
      <c r="P14" s="139"/>
      <c r="Q14" s="139"/>
      <c r="R14" s="139"/>
      <c r="S14" s="139"/>
      <c r="T14" s="139"/>
      <c r="U14" s="139"/>
      <c r="V14" s="139"/>
      <c r="W14" s="139"/>
      <c r="X14" s="139"/>
      <c r="Y14" s="139"/>
      <c r="Z14" s="139"/>
      <c r="AA14" s="139"/>
    </row>
    <row r="18" spans="3:26" x14ac:dyDescent="0.25"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</row>
    <row r="19" spans="3:26" x14ac:dyDescent="0.25"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</row>
    <row r="20" spans="3:26" x14ac:dyDescent="0.25"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</row>
    <row r="21" spans="3:26" x14ac:dyDescent="0.25">
      <c r="C21" s="52"/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</row>
    <row r="22" spans="3:26" x14ac:dyDescent="0.25">
      <c r="C22" s="52"/>
      <c r="D22" s="52"/>
      <c r="E22" s="138"/>
      <c r="F22" s="138"/>
      <c r="G22" s="138"/>
      <c r="H22" s="138"/>
      <c r="I22" s="138"/>
      <c r="J22" s="138"/>
      <c r="K22" s="52"/>
      <c r="L22" s="138"/>
      <c r="M22" s="138"/>
      <c r="N22" s="138"/>
      <c r="O22" s="138"/>
      <c r="P22" s="138"/>
      <c r="Q22" s="138"/>
      <c r="R22" s="52"/>
      <c r="S22" s="138"/>
      <c r="T22" s="138"/>
      <c r="U22" s="138"/>
      <c r="V22" s="138"/>
      <c r="W22" s="138"/>
      <c r="X22" s="138"/>
      <c r="Y22" s="52"/>
      <c r="Z22" s="52"/>
    </row>
    <row r="23" spans="3:26" x14ac:dyDescent="0.25"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</row>
    <row r="24" spans="3:26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</row>
    <row r="25" spans="3:26" x14ac:dyDescent="0.25"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</row>
    <row r="26" spans="3:26" x14ac:dyDescent="0.25"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</row>
    <row r="27" spans="3:26" x14ac:dyDescent="0.25"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</row>
    <row r="28" spans="3:26" x14ac:dyDescent="0.25"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</row>
    <row r="29" spans="3:26" x14ac:dyDescent="0.25"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</row>
    <row r="30" spans="3:26" x14ac:dyDescent="0.25">
      <c r="C30" s="52"/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</row>
    <row r="31" spans="3:26" x14ac:dyDescent="0.25"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</row>
    <row r="32" spans="3:26" x14ac:dyDescent="0.25"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</row>
    <row r="33" spans="3:26" x14ac:dyDescent="0.25">
      <c r="C33" s="52"/>
      <c r="D33" s="52"/>
      <c r="E33" s="52"/>
      <c r="F33" s="52"/>
      <c r="G33" s="52"/>
      <c r="H33" s="52"/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</row>
    <row r="34" spans="3:26" x14ac:dyDescent="0.25">
      <c r="C34" s="52"/>
      <c r="D34" s="52"/>
      <c r="E34" s="52"/>
      <c r="F34" s="52"/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</row>
    <row r="35" spans="3:26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</row>
    <row r="36" spans="3:26" x14ac:dyDescent="0.25">
      <c r="C36" s="52"/>
      <c r="D36" s="52"/>
      <c r="E36" s="52"/>
      <c r="F36" s="52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</row>
    <row r="37" spans="3:26" x14ac:dyDescent="0.25">
      <c r="C37" s="52"/>
      <c r="D37" s="52"/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</row>
    <row r="38" spans="3:26" x14ac:dyDescent="0.25"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</row>
    <row r="39" spans="3:26" x14ac:dyDescent="0.25"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</row>
    <row r="40" spans="3:26" x14ac:dyDescent="0.25"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</row>
    <row r="41" spans="3:26" x14ac:dyDescent="0.25"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</row>
    <row r="42" spans="3:26" x14ac:dyDescent="0.25"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</row>
    <row r="43" spans="3:26" x14ac:dyDescent="0.25"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</row>
  </sheetData>
  <mergeCells count="4">
    <mergeCell ref="E22:J22"/>
    <mergeCell ref="L22:Q22"/>
    <mergeCell ref="S22:X22"/>
    <mergeCell ref="D9:AA14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AR9505"/>
  <sheetViews>
    <sheetView topLeftCell="A19" zoomScaleNormal="100" workbookViewId="0">
      <selection activeCell="P37" sqref="P37"/>
    </sheetView>
  </sheetViews>
  <sheetFormatPr defaultRowHeight="15" x14ac:dyDescent="0.25"/>
  <cols>
    <col min="1" max="1" width="11.140625" customWidth="1"/>
    <col min="5" max="5" width="15.42578125" bestFit="1" customWidth="1"/>
    <col min="6" max="6" width="19.28515625" bestFit="1" customWidth="1"/>
    <col min="9" max="9" width="11.7109375" bestFit="1" customWidth="1"/>
    <col min="10" max="10" width="15.42578125" customWidth="1"/>
    <col min="13" max="13" width="22.42578125" customWidth="1"/>
    <col min="14" max="14" width="9.7109375" customWidth="1"/>
    <col min="15" max="15" width="10.42578125" customWidth="1"/>
    <col min="16" max="16" width="10.140625" customWidth="1"/>
    <col min="17" max="17" width="9.28515625" bestFit="1" customWidth="1"/>
    <col min="18" max="18" width="11" customWidth="1"/>
    <col min="19" max="19" width="9.85546875" customWidth="1"/>
    <col min="20" max="20" width="15.140625" customWidth="1"/>
    <col min="22" max="22" width="15.85546875" customWidth="1"/>
    <col min="23" max="23" width="14.85546875" bestFit="1" customWidth="1"/>
    <col min="28" max="28" width="10.7109375" bestFit="1" customWidth="1"/>
    <col min="34" max="34" width="19.42578125" bestFit="1" customWidth="1"/>
    <col min="36" max="36" width="11" bestFit="1" customWidth="1"/>
  </cols>
  <sheetData>
    <row r="1" spans="1:44" ht="15.75" thickBot="1" x14ac:dyDescent="0.3">
      <c r="A1" s="39" t="s">
        <v>37</v>
      </c>
      <c r="B1" s="40" t="s">
        <v>38</v>
      </c>
      <c r="C1" s="36"/>
      <c r="D1" s="48" t="s">
        <v>423</v>
      </c>
      <c r="E1" s="48" t="s">
        <v>424</v>
      </c>
      <c r="F1" s="141" t="s">
        <v>432</v>
      </c>
      <c r="G1" s="142"/>
      <c r="H1" s="142"/>
      <c r="I1" s="142"/>
      <c r="J1" s="142"/>
      <c r="K1" s="142"/>
      <c r="L1" s="142"/>
      <c r="M1" s="143"/>
      <c r="N1" s="141" t="s">
        <v>433</v>
      </c>
      <c r="O1" s="142"/>
      <c r="P1" s="142"/>
      <c r="Q1" s="142"/>
      <c r="R1" s="142"/>
      <c r="S1" s="142"/>
      <c r="T1" s="142"/>
      <c r="U1" s="142"/>
      <c r="V1" s="143"/>
      <c r="AG1">
        <v>33</v>
      </c>
      <c r="AI1">
        <v>35</v>
      </c>
      <c r="AO1">
        <v>40</v>
      </c>
    </row>
    <row r="2" spans="1:44" ht="15.75" thickBot="1" x14ac:dyDescent="0.3">
      <c r="A2" s="41">
        <v>43466</v>
      </c>
      <c r="B2" s="29">
        <v>124.05</v>
      </c>
      <c r="C2" s="37">
        <f>(B2*100/600)</f>
        <v>20.675000000000001</v>
      </c>
      <c r="D2" s="37">
        <v>4.9290000000000003</v>
      </c>
      <c r="E2" s="37">
        <v>0</v>
      </c>
      <c r="F2" s="144"/>
      <c r="G2" s="145"/>
      <c r="H2" s="145"/>
      <c r="I2" s="145"/>
      <c r="J2" s="145"/>
      <c r="K2" s="145"/>
      <c r="L2" s="145"/>
      <c r="M2" s="146"/>
      <c r="N2" s="144"/>
      <c r="O2" s="145"/>
      <c r="P2" s="145"/>
      <c r="Q2" s="145"/>
      <c r="R2" s="145"/>
      <c r="S2" s="145"/>
      <c r="T2" s="145"/>
      <c r="U2" s="145"/>
      <c r="V2" s="146"/>
      <c r="W2" t="s">
        <v>40</v>
      </c>
      <c r="X2">
        <v>4.9290000000000003</v>
      </c>
      <c r="Y2">
        <f>(X2*100/50)</f>
        <v>9.8580000000000005</v>
      </c>
      <c r="Z2">
        <v>9.8580000000000005</v>
      </c>
      <c r="AB2" s="59" t="s">
        <v>434</v>
      </c>
      <c r="AC2">
        <v>134</v>
      </c>
      <c r="AE2">
        <f>LARGE(AC2:AC6,1)</f>
        <v>332</v>
      </c>
      <c r="AG2" s="119"/>
      <c r="AH2" s="122"/>
      <c r="AI2" s="122"/>
      <c r="AJ2" s="157" t="s">
        <v>524</v>
      </c>
      <c r="AK2" s="155"/>
      <c r="AL2" s="157" t="s">
        <v>525</v>
      </c>
      <c r="AM2" s="155"/>
      <c r="AN2" s="157" t="s">
        <v>526</v>
      </c>
      <c r="AO2" s="155"/>
    </row>
    <row r="3" spans="1:44" x14ac:dyDescent="0.25">
      <c r="A3" s="41">
        <v>43466</v>
      </c>
      <c r="B3" s="29">
        <v>123.95</v>
      </c>
      <c r="C3" s="37">
        <f t="shared" ref="C3:C66" si="0">(B3*100/600)</f>
        <v>20.658333333333335</v>
      </c>
      <c r="D3" s="37">
        <v>4.9290000000000003</v>
      </c>
      <c r="E3" s="37">
        <f>(B3-B2)/B2</f>
        <v>-8.061265618701678E-4</v>
      </c>
      <c r="F3" s="32"/>
      <c r="G3" s="37"/>
      <c r="H3" s="37"/>
      <c r="I3" s="37"/>
      <c r="J3" s="37"/>
      <c r="K3" s="37"/>
      <c r="L3" s="37"/>
      <c r="M3" s="33"/>
      <c r="N3" s="37"/>
      <c r="O3" s="37"/>
      <c r="P3" s="37"/>
      <c r="Q3" s="37"/>
      <c r="R3" s="37"/>
      <c r="S3" s="37"/>
      <c r="T3" s="37"/>
      <c r="U3" s="37"/>
      <c r="V3" s="33"/>
      <c r="W3" t="s">
        <v>41</v>
      </c>
      <c r="X3">
        <v>4.6390000000000002</v>
      </c>
      <c r="Y3">
        <f t="shared" ref="Y3:Y66" si="1">(X3*100/50)</f>
        <v>9.2780000000000005</v>
      </c>
      <c r="Z3">
        <v>9.2780000000000005</v>
      </c>
      <c r="AB3" s="59">
        <v>43586</v>
      </c>
      <c r="AC3">
        <v>136</v>
      </c>
      <c r="AE3">
        <f>LARGE(AC2:AC6,2)</f>
        <v>174</v>
      </c>
      <c r="AG3" s="141" t="s">
        <v>527</v>
      </c>
      <c r="AH3" s="142" t="s">
        <v>523</v>
      </c>
      <c r="AI3" s="143" t="s">
        <v>528</v>
      </c>
      <c r="AJ3" s="161" t="s">
        <v>543</v>
      </c>
      <c r="AK3" s="162"/>
      <c r="AL3" s="161" t="s">
        <v>544</v>
      </c>
      <c r="AM3" s="162"/>
      <c r="AN3" s="161" t="s">
        <v>545</v>
      </c>
      <c r="AO3" s="162"/>
    </row>
    <row r="4" spans="1:44" x14ac:dyDescent="0.25">
      <c r="A4" s="41">
        <v>43466</v>
      </c>
      <c r="B4" s="29">
        <v>123.82</v>
      </c>
      <c r="C4" s="37">
        <f t="shared" si="0"/>
        <v>20.636666666666667</v>
      </c>
      <c r="D4" s="37">
        <v>4.9290000000000003</v>
      </c>
      <c r="E4" s="37">
        <f t="shared" ref="E4:E67" si="2">(B4-B3)/B3</f>
        <v>-1.0488100040339625E-3</v>
      </c>
      <c r="F4" s="32"/>
      <c r="G4" s="37"/>
      <c r="H4" s="37"/>
      <c r="I4" s="37"/>
      <c r="J4" s="37"/>
      <c r="K4" s="37"/>
      <c r="L4" s="37"/>
      <c r="M4" s="33"/>
      <c r="N4" s="37"/>
      <c r="O4" s="37"/>
      <c r="P4" s="37"/>
      <c r="Q4" s="37"/>
      <c r="R4" s="37"/>
      <c r="S4" s="37"/>
      <c r="T4" s="37"/>
      <c r="U4" s="37"/>
      <c r="V4" s="33"/>
      <c r="W4" t="s">
        <v>42</v>
      </c>
      <c r="X4">
        <v>4.47</v>
      </c>
      <c r="Y4">
        <f t="shared" si="1"/>
        <v>8.94</v>
      </c>
      <c r="Z4">
        <v>8.94</v>
      </c>
      <c r="AB4" s="59">
        <v>43800</v>
      </c>
      <c r="AC4">
        <v>163</v>
      </c>
      <c r="AE4">
        <f>LARGE(AC2:AC6,3)</f>
        <v>163</v>
      </c>
      <c r="AG4" s="166"/>
      <c r="AH4" s="167"/>
      <c r="AI4" s="170"/>
      <c r="AJ4" s="120" t="s">
        <v>519</v>
      </c>
      <c r="AK4" s="121" t="s">
        <v>520</v>
      </c>
      <c r="AL4" s="120" t="s">
        <v>519</v>
      </c>
      <c r="AM4" s="121" t="s">
        <v>520</v>
      </c>
      <c r="AN4" s="120" t="s">
        <v>519</v>
      </c>
      <c r="AO4" s="121" t="s">
        <v>520</v>
      </c>
    </row>
    <row r="5" spans="1:44" x14ac:dyDescent="0.25">
      <c r="A5" s="41">
        <v>43466</v>
      </c>
      <c r="B5" s="29">
        <v>123.73</v>
      </c>
      <c r="C5" s="37">
        <f t="shared" si="0"/>
        <v>20.621666666666666</v>
      </c>
      <c r="D5" s="37">
        <v>4.9290000000000003</v>
      </c>
      <c r="E5" s="37">
        <f t="shared" si="2"/>
        <v>-7.2686157325140693E-4</v>
      </c>
      <c r="F5" s="32"/>
      <c r="G5" s="37"/>
      <c r="H5" s="37"/>
      <c r="I5" s="37"/>
      <c r="J5" s="37"/>
      <c r="K5" s="37"/>
      <c r="L5" s="37"/>
      <c r="M5" s="33"/>
      <c r="N5" s="37"/>
      <c r="O5" s="37"/>
      <c r="P5" s="37"/>
      <c r="Q5" s="37"/>
      <c r="R5" s="37"/>
      <c r="S5" s="37"/>
      <c r="T5" s="37"/>
      <c r="U5" s="37"/>
      <c r="V5" s="33"/>
      <c r="W5" t="s">
        <v>43</v>
      </c>
      <c r="X5">
        <v>4.3620000000000001</v>
      </c>
      <c r="Y5">
        <f t="shared" si="1"/>
        <v>8.7240000000000002</v>
      </c>
      <c r="Z5">
        <v>8.7240000000000002</v>
      </c>
      <c r="AB5" s="59" t="s">
        <v>435</v>
      </c>
      <c r="AC5">
        <v>174</v>
      </c>
      <c r="AE5">
        <f>LARGE(AC2:AC6,4)</f>
        <v>136</v>
      </c>
      <c r="AG5" s="163" t="s">
        <v>529</v>
      </c>
      <c r="AH5" s="165" t="s">
        <v>530</v>
      </c>
      <c r="AI5" s="114" t="s">
        <v>531</v>
      </c>
      <c r="AJ5" s="123">
        <v>436.89</v>
      </c>
      <c r="AK5" s="124">
        <v>402.27</v>
      </c>
      <c r="AL5" s="123">
        <v>508.35</v>
      </c>
      <c r="AM5" s="124">
        <v>478.64</v>
      </c>
      <c r="AN5" s="123">
        <v>483.4</v>
      </c>
      <c r="AO5" s="124">
        <v>436.34</v>
      </c>
    </row>
    <row r="6" spans="1:44" x14ac:dyDescent="0.25">
      <c r="A6" s="41">
        <v>43466</v>
      </c>
      <c r="B6" s="29">
        <v>123.63</v>
      </c>
      <c r="C6" s="37">
        <f t="shared" si="0"/>
        <v>20.605</v>
      </c>
      <c r="D6" s="37">
        <v>4.9290000000000003</v>
      </c>
      <c r="E6" s="37">
        <f t="shared" si="2"/>
        <v>-8.0821142810966239E-4</v>
      </c>
      <c r="F6" s="32"/>
      <c r="G6" s="37"/>
      <c r="H6" s="37"/>
      <c r="I6" s="37"/>
      <c r="J6" s="37"/>
      <c r="K6" s="37"/>
      <c r="L6" s="37"/>
      <c r="M6" s="33"/>
      <c r="N6" s="37"/>
      <c r="O6" s="37"/>
      <c r="P6" s="37"/>
      <c r="Q6" s="37"/>
      <c r="R6" s="37"/>
      <c r="S6" s="37"/>
      <c r="T6" s="37"/>
      <c r="U6" s="37"/>
      <c r="V6" s="33"/>
      <c r="W6" t="s">
        <v>44</v>
      </c>
      <c r="X6">
        <v>4.5789999999999997</v>
      </c>
      <c r="Y6">
        <f t="shared" si="1"/>
        <v>9.1579999999999995</v>
      </c>
      <c r="Z6">
        <v>9.1579999999999995</v>
      </c>
      <c r="AB6" s="59" t="s">
        <v>436</v>
      </c>
      <c r="AC6">
        <v>332</v>
      </c>
      <c r="AE6">
        <f>LARGE(AC2:AC6,5)</f>
        <v>134</v>
      </c>
      <c r="AG6" s="163"/>
      <c r="AH6" s="165"/>
      <c r="AI6" s="114" t="s">
        <v>532</v>
      </c>
      <c r="AJ6" s="123">
        <v>300.60000000000002</v>
      </c>
      <c r="AK6" s="124">
        <v>233.34</v>
      </c>
      <c r="AL6" s="123">
        <v>340.55</v>
      </c>
      <c r="AM6" s="124">
        <v>301.81</v>
      </c>
      <c r="AN6" s="123">
        <v>322.18</v>
      </c>
      <c r="AO6" s="124">
        <v>274.72000000000003</v>
      </c>
    </row>
    <row r="7" spans="1:44" x14ac:dyDescent="0.25">
      <c r="A7" s="41">
        <v>43466</v>
      </c>
      <c r="B7" s="29">
        <v>123.22</v>
      </c>
      <c r="C7" s="37">
        <f t="shared" si="0"/>
        <v>20.536666666666665</v>
      </c>
      <c r="D7" s="37">
        <v>4.9290000000000003</v>
      </c>
      <c r="E7" s="37">
        <f t="shared" si="2"/>
        <v>-3.3163471649275793E-3</v>
      </c>
      <c r="F7" s="32"/>
      <c r="G7" s="37"/>
      <c r="H7" s="37"/>
      <c r="I7" s="37"/>
      <c r="J7" s="37"/>
      <c r="K7" s="37"/>
      <c r="L7" s="37"/>
      <c r="M7" s="33"/>
      <c r="N7" s="37"/>
      <c r="O7" s="37"/>
      <c r="P7" s="37"/>
      <c r="Q7" s="37"/>
      <c r="R7" s="37"/>
      <c r="S7" s="37"/>
      <c r="T7" s="37"/>
      <c r="U7" s="37"/>
      <c r="V7" s="33"/>
      <c r="W7" t="s">
        <v>45</v>
      </c>
      <c r="X7">
        <v>4.7720000000000002</v>
      </c>
      <c r="Y7">
        <f t="shared" si="1"/>
        <v>9.5440000000000005</v>
      </c>
      <c r="Z7">
        <v>9.5440000000000005</v>
      </c>
      <c r="AB7" s="59">
        <v>43498</v>
      </c>
      <c r="AC7">
        <v>442</v>
      </c>
      <c r="AE7" t="e">
        <f>LARGE(AC2:AC6,6)</f>
        <v>#NUM!</v>
      </c>
      <c r="AG7" s="163"/>
      <c r="AH7" s="165"/>
      <c r="AI7" s="114" t="s">
        <v>533</v>
      </c>
      <c r="AJ7" s="123">
        <v>164.31</v>
      </c>
      <c r="AK7" s="124">
        <v>233.34</v>
      </c>
      <c r="AL7" s="123">
        <v>172.76</v>
      </c>
      <c r="AM7" s="124">
        <v>301.81</v>
      </c>
      <c r="AN7" s="123">
        <v>160.96</v>
      </c>
      <c r="AO7" s="124">
        <v>274.72000000000003</v>
      </c>
    </row>
    <row r="8" spans="1:44" x14ac:dyDescent="0.25">
      <c r="A8" s="41">
        <v>43466</v>
      </c>
      <c r="B8" s="29">
        <v>113.8</v>
      </c>
      <c r="C8" s="37">
        <f t="shared" si="0"/>
        <v>18.966666666666665</v>
      </c>
      <c r="D8" s="37">
        <v>4.9290000000000003</v>
      </c>
      <c r="E8" s="37">
        <f t="shared" si="2"/>
        <v>-7.6448628469404326E-2</v>
      </c>
      <c r="F8" s="32"/>
      <c r="G8" s="37"/>
      <c r="H8" s="37"/>
      <c r="I8" s="37"/>
      <c r="J8" s="37"/>
      <c r="K8" s="37"/>
      <c r="L8" s="37"/>
      <c r="M8" s="33"/>
      <c r="N8" s="37"/>
      <c r="O8" s="37"/>
      <c r="P8" s="37"/>
      <c r="Q8" s="37"/>
      <c r="R8" s="37"/>
      <c r="S8" s="37"/>
      <c r="T8" s="37"/>
      <c r="U8" s="37"/>
      <c r="V8" s="33"/>
      <c r="W8" t="s">
        <v>46</v>
      </c>
      <c r="X8">
        <v>5.3179999999999996</v>
      </c>
      <c r="Y8">
        <f t="shared" si="1"/>
        <v>10.635999999999999</v>
      </c>
      <c r="Z8">
        <v>10.635999999999999</v>
      </c>
      <c r="AB8" s="59">
        <v>43710</v>
      </c>
      <c r="AC8">
        <v>507</v>
      </c>
      <c r="AE8" t="e">
        <f>LARGE(AC2:AC6,7)</f>
        <v>#NUM!</v>
      </c>
      <c r="AG8" s="163"/>
      <c r="AH8" s="115" t="s">
        <v>534</v>
      </c>
      <c r="AI8" s="114" t="s">
        <v>535</v>
      </c>
      <c r="AJ8" s="123">
        <v>222.36</v>
      </c>
      <c r="AK8" s="124">
        <v>247.42</v>
      </c>
      <c r="AL8" s="123">
        <v>231.06</v>
      </c>
      <c r="AM8" s="124">
        <v>316.54000000000002</v>
      </c>
      <c r="AN8" s="132">
        <v>219.93</v>
      </c>
      <c r="AO8" s="133">
        <v>288.19</v>
      </c>
      <c r="AQ8" s="123">
        <v>219.93</v>
      </c>
      <c r="AR8" s="124">
        <v>288.19</v>
      </c>
    </row>
    <row r="9" spans="1:44" x14ac:dyDescent="0.25">
      <c r="A9" s="41">
        <v>43466</v>
      </c>
      <c r="B9" s="29">
        <v>106.51</v>
      </c>
      <c r="C9" s="37">
        <f t="shared" si="0"/>
        <v>17.751666666666665</v>
      </c>
      <c r="D9" s="37">
        <v>4.9290000000000003</v>
      </c>
      <c r="E9" s="37">
        <f t="shared" si="2"/>
        <v>-6.4059753954305729E-2</v>
      </c>
      <c r="F9" s="32"/>
      <c r="G9" s="37"/>
      <c r="H9" s="37"/>
      <c r="I9" s="37"/>
      <c r="J9" s="37"/>
      <c r="K9" s="37"/>
      <c r="L9" s="37"/>
      <c r="M9" s="33"/>
      <c r="N9" s="37"/>
      <c r="O9" s="37"/>
      <c r="P9" s="37"/>
      <c r="Q9" s="37"/>
      <c r="R9" s="37"/>
      <c r="S9" s="37"/>
      <c r="T9" s="37"/>
      <c r="U9" s="37"/>
      <c r="V9" s="33"/>
      <c r="W9" t="s">
        <v>47</v>
      </c>
      <c r="X9">
        <v>5.8029999999999999</v>
      </c>
      <c r="Y9">
        <f t="shared" si="1"/>
        <v>11.606</v>
      </c>
      <c r="Z9">
        <v>11.606</v>
      </c>
      <c r="AB9" s="59" t="s">
        <v>437</v>
      </c>
      <c r="AC9">
        <v>464</v>
      </c>
      <c r="AE9" t="e">
        <f>LARGE(AC2:AC6,8)</f>
        <v>#NUM!</v>
      </c>
      <c r="AG9" s="163" t="s">
        <v>536</v>
      </c>
      <c r="AH9" s="165" t="s">
        <v>530</v>
      </c>
      <c r="AI9" s="114" t="s">
        <v>531</v>
      </c>
      <c r="AJ9" s="123">
        <v>356.01</v>
      </c>
      <c r="AK9" s="124">
        <v>305.72000000000003</v>
      </c>
      <c r="AL9" s="123">
        <v>335.93</v>
      </c>
      <c r="AM9" s="124">
        <v>335.05</v>
      </c>
      <c r="AN9" s="123">
        <v>338.38</v>
      </c>
      <c r="AO9" s="124">
        <v>305.43</v>
      </c>
    </row>
    <row r="10" spans="1:44" x14ac:dyDescent="0.25">
      <c r="A10" s="41">
        <v>43466</v>
      </c>
      <c r="B10" s="29">
        <v>113.67</v>
      </c>
      <c r="C10" s="37">
        <f t="shared" si="0"/>
        <v>18.945</v>
      </c>
      <c r="D10" s="37">
        <v>4.9290000000000003</v>
      </c>
      <c r="E10" s="37">
        <f t="shared" si="2"/>
        <v>6.7223734860576437E-2</v>
      </c>
      <c r="F10" s="61"/>
      <c r="G10" s="60"/>
      <c r="H10" s="60"/>
      <c r="I10" s="60"/>
      <c r="J10" s="60"/>
      <c r="K10" s="60"/>
      <c r="L10" s="60"/>
      <c r="M10" s="62"/>
      <c r="N10" s="60"/>
      <c r="O10" s="153"/>
      <c r="P10" s="153"/>
      <c r="Q10" s="153"/>
      <c r="R10" s="153"/>
      <c r="S10" s="153"/>
      <c r="T10" s="153"/>
      <c r="U10" s="153"/>
      <c r="V10" s="154"/>
      <c r="W10" t="s">
        <v>48</v>
      </c>
      <c r="X10">
        <v>6.33</v>
      </c>
      <c r="Y10">
        <f t="shared" si="1"/>
        <v>12.66</v>
      </c>
      <c r="Z10">
        <v>12.66</v>
      </c>
      <c r="AB10" s="59" t="s">
        <v>438</v>
      </c>
      <c r="AC10">
        <v>334</v>
      </c>
      <c r="AG10" s="163"/>
      <c r="AH10" s="165"/>
      <c r="AI10" s="114" t="s">
        <v>532</v>
      </c>
      <c r="AJ10" s="123">
        <v>242.84</v>
      </c>
      <c r="AK10" s="124">
        <v>177.34</v>
      </c>
      <c r="AL10" s="123">
        <v>226.44</v>
      </c>
      <c r="AM10" s="124">
        <v>211.26</v>
      </c>
      <c r="AN10" s="123">
        <v>225.52</v>
      </c>
      <c r="AO10" s="124">
        <v>192.3</v>
      </c>
      <c r="AQ10" t="s">
        <v>547</v>
      </c>
    </row>
    <row r="11" spans="1:44" x14ac:dyDescent="0.25">
      <c r="A11" s="41">
        <v>43466</v>
      </c>
      <c r="B11" s="29">
        <v>122.52</v>
      </c>
      <c r="C11" s="37">
        <f t="shared" si="0"/>
        <v>20.420000000000002</v>
      </c>
      <c r="D11" s="37">
        <v>4.9290000000000003</v>
      </c>
      <c r="E11" s="37">
        <f t="shared" si="2"/>
        <v>7.7856954341514864E-2</v>
      </c>
      <c r="F11" s="32"/>
      <c r="G11" s="37"/>
      <c r="H11" s="37"/>
      <c r="I11" s="57"/>
      <c r="J11" s="57"/>
      <c r="K11" s="57"/>
      <c r="L11" s="57"/>
      <c r="M11" s="58"/>
      <c r="N11" s="57"/>
      <c r="O11" s="57"/>
      <c r="P11" s="57"/>
      <c r="Q11" s="37"/>
      <c r="R11" s="37"/>
      <c r="S11" s="37"/>
      <c r="T11" s="37"/>
      <c r="U11" s="37"/>
      <c r="V11" s="33"/>
      <c r="W11" t="s">
        <v>49</v>
      </c>
      <c r="X11">
        <v>6.4939999999999998</v>
      </c>
      <c r="Y11">
        <f t="shared" si="1"/>
        <v>12.988</v>
      </c>
      <c r="Z11">
        <v>12.988</v>
      </c>
      <c r="AB11" s="59">
        <v>43499</v>
      </c>
      <c r="AC11">
        <v>248</v>
      </c>
      <c r="AE11" t="e">
        <f>SUM(AE2:AE9)</f>
        <v>#NUM!</v>
      </c>
      <c r="AG11" s="163"/>
      <c r="AH11" s="165"/>
      <c r="AI11" s="114" t="s">
        <v>533</v>
      </c>
      <c r="AJ11" s="123">
        <v>129.66999999999999</v>
      </c>
      <c r="AK11" s="124">
        <v>177.34</v>
      </c>
      <c r="AL11" s="123">
        <v>116.95</v>
      </c>
      <c r="AM11" s="124">
        <v>211.26</v>
      </c>
      <c r="AN11" s="123">
        <v>112.67</v>
      </c>
      <c r="AO11" s="124">
        <v>192.3</v>
      </c>
    </row>
    <row r="12" spans="1:44" x14ac:dyDescent="0.25">
      <c r="A12" s="41">
        <v>43466</v>
      </c>
      <c r="B12" s="29">
        <v>123.43</v>
      </c>
      <c r="C12" s="37">
        <f t="shared" si="0"/>
        <v>20.571666666666665</v>
      </c>
      <c r="D12" s="37">
        <v>4.9290000000000003</v>
      </c>
      <c r="E12" s="37">
        <f t="shared" si="2"/>
        <v>7.4273587985635879E-3</v>
      </c>
      <c r="F12" s="32"/>
      <c r="G12" s="37"/>
      <c r="H12" s="37"/>
      <c r="I12" s="37"/>
      <c r="J12" s="37"/>
      <c r="K12" s="37"/>
      <c r="L12" s="37"/>
      <c r="M12" s="33"/>
      <c r="N12" s="37"/>
      <c r="O12" s="37"/>
      <c r="P12" s="37"/>
      <c r="Q12" s="37"/>
      <c r="R12" s="37"/>
      <c r="S12" s="37"/>
      <c r="T12" s="37"/>
      <c r="U12" s="37"/>
      <c r="V12" s="33"/>
      <c r="W12" t="s">
        <v>50</v>
      </c>
      <c r="X12">
        <v>6.5579999999999998</v>
      </c>
      <c r="Y12">
        <f t="shared" si="1"/>
        <v>13.116</v>
      </c>
      <c r="Z12">
        <v>13.116</v>
      </c>
      <c r="AB12" s="59">
        <v>43711</v>
      </c>
      <c r="AC12">
        <v>245</v>
      </c>
      <c r="AG12" s="163"/>
      <c r="AH12" s="115" t="s">
        <v>534</v>
      </c>
      <c r="AI12" s="114" t="s">
        <v>535</v>
      </c>
      <c r="AJ12" s="123">
        <v>168.99</v>
      </c>
      <c r="AK12" s="124">
        <v>188.04</v>
      </c>
      <c r="AL12" s="123">
        <v>161.74</v>
      </c>
      <c r="AM12" s="124">
        <v>221.58</v>
      </c>
      <c r="AN12" s="123">
        <v>153.53</v>
      </c>
      <c r="AO12" s="124">
        <v>201.73</v>
      </c>
    </row>
    <row r="13" spans="1:44" x14ac:dyDescent="0.25">
      <c r="A13" s="41">
        <v>43466</v>
      </c>
      <c r="B13" s="29">
        <v>123.49</v>
      </c>
      <c r="C13" s="37">
        <f t="shared" si="0"/>
        <v>20.581666666666667</v>
      </c>
      <c r="D13" s="37">
        <v>4.9290000000000003</v>
      </c>
      <c r="E13" s="37">
        <f t="shared" si="2"/>
        <v>4.8610548489012444E-4</v>
      </c>
      <c r="F13" s="32"/>
      <c r="G13" s="37"/>
      <c r="H13" s="37"/>
      <c r="I13" s="37"/>
      <c r="J13" s="37"/>
      <c r="K13" s="37"/>
      <c r="L13" s="37"/>
      <c r="M13" s="33"/>
      <c r="N13" s="37"/>
      <c r="O13" s="37"/>
      <c r="P13" s="37"/>
      <c r="Q13" s="37"/>
      <c r="R13" s="37"/>
      <c r="S13" s="37"/>
      <c r="T13" s="37"/>
      <c r="U13" s="37"/>
      <c r="V13" s="33"/>
      <c r="W13" t="s">
        <v>51</v>
      </c>
      <c r="X13">
        <v>6.5830000000000002</v>
      </c>
      <c r="Y13">
        <f t="shared" si="1"/>
        <v>13.166000000000002</v>
      </c>
      <c r="Z13">
        <v>13.166000000000002</v>
      </c>
      <c r="AB13" s="59" t="s">
        <v>439</v>
      </c>
      <c r="AC13">
        <v>191</v>
      </c>
      <c r="AG13" s="163" t="s">
        <v>537</v>
      </c>
      <c r="AH13" s="165" t="s">
        <v>530</v>
      </c>
      <c r="AI13" s="114" t="s">
        <v>531</v>
      </c>
      <c r="AJ13" s="123">
        <v>531.54</v>
      </c>
      <c r="AK13" s="124">
        <v>402.27</v>
      </c>
      <c r="AL13" s="123">
        <v>558.11</v>
      </c>
      <c r="AM13" s="124">
        <v>478.64</v>
      </c>
      <c r="AN13" s="123">
        <v>525.09</v>
      </c>
      <c r="AO13" s="124">
        <v>436.34</v>
      </c>
    </row>
    <row r="14" spans="1:44" x14ac:dyDescent="0.25">
      <c r="A14" s="41">
        <v>43466</v>
      </c>
      <c r="B14" s="29">
        <v>123.47</v>
      </c>
      <c r="C14" s="37">
        <f t="shared" si="0"/>
        <v>20.578333333333333</v>
      </c>
      <c r="D14" s="37">
        <v>4.9290000000000003</v>
      </c>
      <c r="E14" s="37">
        <f t="shared" si="2"/>
        <v>-1.6195643371929729E-4</v>
      </c>
      <c r="F14" s="32"/>
      <c r="G14" s="37"/>
      <c r="H14" s="37"/>
      <c r="I14" s="37"/>
      <c r="J14" s="37"/>
      <c r="K14" s="37"/>
      <c r="L14" s="37"/>
      <c r="M14" s="33"/>
      <c r="N14" s="37"/>
      <c r="O14" s="37"/>
      <c r="P14" s="37"/>
      <c r="Q14" s="37"/>
      <c r="R14" s="37"/>
      <c r="S14" s="37"/>
      <c r="T14" s="37"/>
      <c r="U14" s="37"/>
      <c r="V14" s="33"/>
      <c r="W14" t="s">
        <v>52</v>
      </c>
      <c r="X14">
        <v>7.1260000000000003</v>
      </c>
      <c r="Y14">
        <f t="shared" si="1"/>
        <v>14.252000000000001</v>
      </c>
      <c r="Z14">
        <v>14.252000000000001</v>
      </c>
      <c r="AB14" s="59" t="s">
        <v>440</v>
      </c>
      <c r="AC14">
        <v>225</v>
      </c>
      <c r="AG14" s="163"/>
      <c r="AH14" s="165"/>
      <c r="AI14" s="114" t="s">
        <v>532</v>
      </c>
      <c r="AJ14" s="123">
        <v>357.39</v>
      </c>
      <c r="AK14" s="124">
        <v>233.34</v>
      </c>
      <c r="AL14" s="123">
        <v>370.41</v>
      </c>
      <c r="AM14" s="124">
        <v>301.81</v>
      </c>
      <c r="AN14" s="123">
        <v>347.19</v>
      </c>
      <c r="AO14" s="124">
        <v>274.72000000000003</v>
      </c>
    </row>
    <row r="15" spans="1:44" x14ac:dyDescent="0.25">
      <c r="A15" s="41">
        <v>43466</v>
      </c>
      <c r="B15" s="29">
        <v>123.41</v>
      </c>
      <c r="C15" s="37">
        <f t="shared" si="0"/>
        <v>20.568333333333332</v>
      </c>
      <c r="D15" s="37">
        <v>4.9290000000000003</v>
      </c>
      <c r="E15" s="37">
        <f t="shared" si="2"/>
        <v>-4.8594800356363711E-4</v>
      </c>
      <c r="F15" s="32"/>
      <c r="G15" s="37"/>
      <c r="H15" s="37"/>
      <c r="I15" s="37"/>
      <c r="J15" s="37"/>
      <c r="K15" s="37"/>
      <c r="L15" s="37"/>
      <c r="M15" s="33"/>
      <c r="N15" s="37"/>
      <c r="O15" s="37"/>
      <c r="P15" s="37"/>
      <c r="Q15" s="37"/>
      <c r="R15" s="37"/>
      <c r="S15" s="37"/>
      <c r="T15" s="37"/>
      <c r="U15" s="37"/>
      <c r="V15" s="33"/>
      <c r="W15" t="s">
        <v>53</v>
      </c>
      <c r="X15">
        <v>8.3940000000000001</v>
      </c>
      <c r="Y15">
        <f t="shared" si="1"/>
        <v>16.788</v>
      </c>
      <c r="Z15">
        <v>16.788</v>
      </c>
      <c r="AB15" s="59" t="s">
        <v>441</v>
      </c>
      <c r="AC15">
        <v>205</v>
      </c>
      <c r="AG15" s="163"/>
      <c r="AH15" s="165"/>
      <c r="AI15" s="114" t="s">
        <v>533</v>
      </c>
      <c r="AJ15" s="123">
        <v>183.24</v>
      </c>
      <c r="AK15" s="124">
        <v>233.34</v>
      </c>
      <c r="AL15" s="123">
        <v>182.71</v>
      </c>
      <c r="AM15" s="124">
        <v>301.81</v>
      </c>
      <c r="AN15" s="123">
        <v>169.29</v>
      </c>
      <c r="AO15" s="124">
        <v>274.72000000000003</v>
      </c>
    </row>
    <row r="16" spans="1:44" ht="15.75" thickBot="1" x14ac:dyDescent="0.3">
      <c r="A16" s="41">
        <v>43466</v>
      </c>
      <c r="B16" s="29">
        <v>123.31</v>
      </c>
      <c r="C16" s="37">
        <f t="shared" si="0"/>
        <v>20.551666666666666</v>
      </c>
      <c r="D16" s="37">
        <v>4.9290000000000003</v>
      </c>
      <c r="E16" s="37">
        <f t="shared" si="2"/>
        <v>-8.1030710639327702E-4</v>
      </c>
      <c r="F16" s="32"/>
      <c r="G16" s="37"/>
      <c r="H16" s="37"/>
      <c r="I16" s="37"/>
      <c r="J16" s="37"/>
      <c r="K16" s="37"/>
      <c r="L16" s="37"/>
      <c r="M16" s="33"/>
      <c r="N16" s="37"/>
      <c r="O16" s="37"/>
      <c r="P16" s="37"/>
      <c r="Q16" s="37"/>
      <c r="R16" s="37"/>
      <c r="S16" s="37"/>
      <c r="T16" s="37"/>
      <c r="U16" s="37"/>
      <c r="V16" s="33"/>
      <c r="W16" t="s">
        <v>54</v>
      </c>
      <c r="X16">
        <v>9.8179999999999996</v>
      </c>
      <c r="Y16">
        <f t="shared" si="1"/>
        <v>19.635999999999999</v>
      </c>
      <c r="Z16">
        <v>19.635999999999999</v>
      </c>
      <c r="AB16" s="59">
        <v>43620</v>
      </c>
      <c r="AC16">
        <v>176</v>
      </c>
      <c r="AG16" s="164"/>
      <c r="AH16" s="116" t="s">
        <v>534</v>
      </c>
      <c r="AI16" s="118" t="s">
        <v>535</v>
      </c>
      <c r="AJ16" s="125">
        <v>222.36</v>
      </c>
      <c r="AK16" s="126">
        <v>247.42</v>
      </c>
      <c r="AL16" s="125">
        <v>231.06</v>
      </c>
      <c r="AM16" s="126">
        <v>316.54000000000002</v>
      </c>
      <c r="AN16" s="125">
        <v>219.33</v>
      </c>
      <c r="AO16" s="126">
        <v>288.19</v>
      </c>
    </row>
    <row r="17" spans="1:44" x14ac:dyDescent="0.25">
      <c r="A17" s="41">
        <v>43466</v>
      </c>
      <c r="B17" s="29">
        <v>123.33</v>
      </c>
      <c r="C17" s="37">
        <f t="shared" si="0"/>
        <v>20.555</v>
      </c>
      <c r="D17" s="37">
        <v>4.9290000000000003</v>
      </c>
      <c r="E17" s="37">
        <f t="shared" si="2"/>
        <v>1.6219284729540199E-4</v>
      </c>
      <c r="F17" s="32"/>
      <c r="G17" s="37"/>
      <c r="H17" s="37"/>
      <c r="I17" s="37"/>
      <c r="J17" s="37"/>
      <c r="K17" s="37"/>
      <c r="L17" s="37"/>
      <c r="M17" s="33"/>
      <c r="N17" s="37"/>
      <c r="O17" s="37"/>
      <c r="P17" s="37"/>
      <c r="Q17" s="37"/>
      <c r="R17" s="37"/>
      <c r="S17" s="37"/>
      <c r="T17" s="37"/>
      <c r="U17" s="37"/>
      <c r="V17" s="33"/>
      <c r="W17" t="s">
        <v>55</v>
      </c>
      <c r="X17">
        <v>10.37</v>
      </c>
      <c r="Y17">
        <f t="shared" si="1"/>
        <v>20.74</v>
      </c>
      <c r="Z17">
        <v>20.74</v>
      </c>
      <c r="AB17" s="59" t="s">
        <v>442</v>
      </c>
      <c r="AC17">
        <v>183</v>
      </c>
      <c r="AG17" s="141" t="s">
        <v>527</v>
      </c>
      <c r="AH17" s="142" t="s">
        <v>523</v>
      </c>
      <c r="AI17" s="168" t="s">
        <v>528</v>
      </c>
      <c r="AJ17" s="159" t="s">
        <v>538</v>
      </c>
      <c r="AK17" s="160"/>
      <c r="AL17" s="159" t="s">
        <v>542</v>
      </c>
      <c r="AM17" s="160"/>
      <c r="AN17" s="159" t="s">
        <v>546</v>
      </c>
      <c r="AO17" s="160"/>
    </row>
    <row r="18" spans="1:44" x14ac:dyDescent="0.25">
      <c r="A18" s="41">
        <v>43466</v>
      </c>
      <c r="B18" s="29">
        <v>123.32</v>
      </c>
      <c r="C18" s="37">
        <f t="shared" si="0"/>
        <v>20.553333333333335</v>
      </c>
      <c r="D18" s="37">
        <v>4.9290000000000003</v>
      </c>
      <c r="E18" s="37">
        <f t="shared" si="2"/>
        <v>-8.1083272520920431E-5</v>
      </c>
      <c r="F18" s="32"/>
      <c r="G18" s="37"/>
      <c r="H18" s="37"/>
      <c r="I18" s="37"/>
      <c r="J18" s="37"/>
      <c r="K18" s="37"/>
      <c r="L18" s="37"/>
      <c r="M18" s="33"/>
      <c r="N18" s="37"/>
      <c r="O18" s="37"/>
      <c r="P18" s="37"/>
      <c r="Q18" s="37"/>
      <c r="R18" s="37"/>
      <c r="S18" s="37"/>
      <c r="T18" s="37"/>
      <c r="U18" s="37"/>
      <c r="V18" s="33"/>
      <c r="W18" t="s">
        <v>56</v>
      </c>
      <c r="X18">
        <v>9.8940000000000001</v>
      </c>
      <c r="Y18">
        <f t="shared" si="1"/>
        <v>19.788</v>
      </c>
      <c r="Z18">
        <v>19.788</v>
      </c>
      <c r="AB18" s="59" t="s">
        <v>443</v>
      </c>
      <c r="AC18">
        <v>168</v>
      </c>
      <c r="AG18" s="166"/>
      <c r="AH18" s="167"/>
      <c r="AI18" s="169"/>
      <c r="AJ18" s="127" t="s">
        <v>519</v>
      </c>
      <c r="AK18" s="128" t="s">
        <v>520</v>
      </c>
      <c r="AL18" s="127" t="s">
        <v>519</v>
      </c>
      <c r="AM18" s="128" t="s">
        <v>520</v>
      </c>
      <c r="AN18" s="127" t="s">
        <v>519</v>
      </c>
      <c r="AO18" s="128" t="s">
        <v>520</v>
      </c>
    </row>
    <row r="19" spans="1:44" x14ac:dyDescent="0.25">
      <c r="A19" s="41">
        <v>43466</v>
      </c>
      <c r="B19" s="29">
        <v>124.06</v>
      </c>
      <c r="C19" s="37">
        <f t="shared" si="0"/>
        <v>20.676666666666666</v>
      </c>
      <c r="D19" s="37">
        <v>4.9290000000000003</v>
      </c>
      <c r="E19" s="37">
        <f t="shared" si="2"/>
        <v>6.000648718780483E-3</v>
      </c>
      <c r="F19" s="32"/>
      <c r="G19" s="37"/>
      <c r="H19" s="37"/>
      <c r="I19" s="37"/>
      <c r="J19" s="37"/>
      <c r="K19" s="37"/>
      <c r="L19" s="37"/>
      <c r="M19" s="33"/>
      <c r="N19" s="37"/>
      <c r="O19" s="37"/>
      <c r="P19" s="37"/>
      <c r="Q19" s="37"/>
      <c r="R19" s="37"/>
      <c r="S19" s="37"/>
      <c r="T19" s="37"/>
      <c r="U19" s="37"/>
      <c r="V19" s="33"/>
      <c r="W19" t="s">
        <v>57</v>
      </c>
      <c r="X19">
        <v>10.286</v>
      </c>
      <c r="Y19">
        <f t="shared" si="1"/>
        <v>20.571999999999999</v>
      </c>
      <c r="Z19">
        <v>20.571999999999999</v>
      </c>
      <c r="AB19" s="59" t="s">
        <v>444</v>
      </c>
      <c r="AC19">
        <v>138</v>
      </c>
      <c r="AG19" s="163" t="s">
        <v>529</v>
      </c>
      <c r="AH19" s="165" t="s">
        <v>530</v>
      </c>
      <c r="AI19" s="112" t="s">
        <v>531</v>
      </c>
      <c r="AJ19" s="123">
        <v>410.59</v>
      </c>
      <c r="AK19" s="124">
        <v>472.51</v>
      </c>
      <c r="AL19" s="123">
        <v>554.1</v>
      </c>
      <c r="AM19" s="124">
        <v>425.01</v>
      </c>
      <c r="AN19" s="123">
        <v>510.31</v>
      </c>
      <c r="AO19" s="124">
        <v>432.45</v>
      </c>
    </row>
    <row r="20" spans="1:44" x14ac:dyDescent="0.25">
      <c r="A20" s="41">
        <v>43466</v>
      </c>
      <c r="B20" s="29">
        <v>131.44999999999999</v>
      </c>
      <c r="C20" s="37">
        <f t="shared" si="0"/>
        <v>21.908333333333331</v>
      </c>
      <c r="D20" s="37">
        <v>4.9290000000000003</v>
      </c>
      <c r="E20" s="37">
        <f t="shared" si="2"/>
        <v>5.9567950991455634E-2</v>
      </c>
      <c r="F20" s="32"/>
      <c r="G20" s="37"/>
      <c r="H20" s="37"/>
      <c r="I20" s="37"/>
      <c r="J20" s="37"/>
      <c r="K20" s="37"/>
      <c r="L20" s="37"/>
      <c r="M20" s="33"/>
      <c r="N20" s="37"/>
      <c r="O20" s="37"/>
      <c r="P20" s="37"/>
      <c r="Q20" s="37"/>
      <c r="R20" s="37"/>
      <c r="S20" s="37"/>
      <c r="T20" s="37"/>
      <c r="U20" s="37"/>
      <c r="V20" s="33"/>
      <c r="W20" t="s">
        <v>58</v>
      </c>
      <c r="X20">
        <v>10.932</v>
      </c>
      <c r="Y20">
        <f t="shared" si="1"/>
        <v>21.864000000000001</v>
      </c>
      <c r="Z20">
        <v>21.864000000000001</v>
      </c>
      <c r="AB20" s="59">
        <v>43560</v>
      </c>
      <c r="AC20">
        <v>169</v>
      </c>
      <c r="AG20" s="163"/>
      <c r="AH20" s="165"/>
      <c r="AI20" s="112" t="s">
        <v>532</v>
      </c>
      <c r="AJ20" s="123">
        <v>282.33999999999997</v>
      </c>
      <c r="AK20" s="124">
        <v>297.16000000000003</v>
      </c>
      <c r="AL20" s="123">
        <v>369.01</v>
      </c>
      <c r="AM20" s="124">
        <v>252.46</v>
      </c>
      <c r="AN20" s="123">
        <v>347.54</v>
      </c>
      <c r="AO20" s="124">
        <v>259.5</v>
      </c>
    </row>
    <row r="21" spans="1:44" x14ac:dyDescent="0.25">
      <c r="A21" s="41">
        <v>43466</v>
      </c>
      <c r="B21" s="29">
        <v>136.96</v>
      </c>
      <c r="C21" s="37">
        <f t="shared" si="0"/>
        <v>22.826666666666668</v>
      </c>
      <c r="D21" s="37">
        <v>4.9290000000000003</v>
      </c>
      <c r="E21" s="37">
        <f t="shared" si="2"/>
        <v>4.1917078737162571E-2</v>
      </c>
      <c r="F21" s="32"/>
      <c r="G21" s="37"/>
      <c r="H21" s="37"/>
      <c r="I21" s="37"/>
      <c r="J21" s="37"/>
      <c r="K21" s="37"/>
      <c r="L21" s="37"/>
      <c r="M21" s="33"/>
      <c r="N21" s="37"/>
      <c r="O21" s="37"/>
      <c r="P21" s="37"/>
      <c r="Q21" s="37"/>
      <c r="R21" s="37"/>
      <c r="S21" s="37"/>
      <c r="T21" s="37"/>
      <c r="U21" s="37"/>
      <c r="V21" s="33"/>
      <c r="W21" t="s">
        <v>59</v>
      </c>
      <c r="X21">
        <v>11.109</v>
      </c>
      <c r="Y21">
        <f t="shared" si="1"/>
        <v>22.218000000000004</v>
      </c>
      <c r="Z21">
        <v>22.218000000000004</v>
      </c>
      <c r="AB21" s="59">
        <v>43774</v>
      </c>
      <c r="AC21">
        <v>94</v>
      </c>
      <c r="AG21" s="163"/>
      <c r="AH21" s="165"/>
      <c r="AI21" s="112" t="s">
        <v>533</v>
      </c>
      <c r="AJ21" s="123">
        <v>154.1</v>
      </c>
      <c r="AK21" s="124">
        <v>297.16000000000003</v>
      </c>
      <c r="AL21" s="123">
        <v>183.92</v>
      </c>
      <c r="AM21" s="124">
        <v>252.46</v>
      </c>
      <c r="AN21" s="123">
        <v>184.76</v>
      </c>
      <c r="AO21" s="124">
        <v>259.5</v>
      </c>
    </row>
    <row r="22" spans="1:44" x14ac:dyDescent="0.25">
      <c r="A22" s="41">
        <v>43466</v>
      </c>
      <c r="B22" s="29">
        <v>139.97999999999999</v>
      </c>
      <c r="C22" s="37">
        <f t="shared" si="0"/>
        <v>23.33</v>
      </c>
      <c r="D22" s="37">
        <v>4.9290000000000003</v>
      </c>
      <c r="E22" s="37">
        <f t="shared" si="2"/>
        <v>2.2050233644859678E-2</v>
      </c>
      <c r="F22" s="32"/>
      <c r="G22" s="37"/>
      <c r="H22" s="37"/>
      <c r="I22" s="37"/>
      <c r="J22" s="37"/>
      <c r="K22" s="37"/>
      <c r="L22" s="37"/>
      <c r="M22" s="33"/>
      <c r="N22" s="37"/>
      <c r="O22" s="37"/>
      <c r="P22" s="37"/>
      <c r="Q22" s="37"/>
      <c r="R22" s="37"/>
      <c r="S22" s="37"/>
      <c r="T22" s="37"/>
      <c r="U22" s="37"/>
      <c r="V22" s="33"/>
      <c r="W22" t="s">
        <v>60</v>
      </c>
      <c r="X22">
        <v>10.856999999999999</v>
      </c>
      <c r="Y22">
        <f t="shared" si="1"/>
        <v>21.713999999999995</v>
      </c>
      <c r="Z22">
        <v>21.713999999999995</v>
      </c>
      <c r="AB22" s="59" t="s">
        <v>445</v>
      </c>
      <c r="AC22">
        <v>130</v>
      </c>
      <c r="AG22" s="163"/>
      <c r="AH22" s="115" t="s">
        <v>534</v>
      </c>
      <c r="AI22" s="112" t="s">
        <v>535</v>
      </c>
      <c r="AJ22" s="123">
        <v>208.72</v>
      </c>
      <c r="AK22" s="124">
        <v>311.77</v>
      </c>
      <c r="AL22" s="123">
        <v>248.23</v>
      </c>
      <c r="AM22" s="124">
        <v>266.83999999999997</v>
      </c>
      <c r="AN22" s="123">
        <v>243.7</v>
      </c>
      <c r="AO22" s="124">
        <v>273.91000000000003</v>
      </c>
      <c r="AQ22" s="132">
        <v>259.70999999999998</v>
      </c>
      <c r="AR22" s="133">
        <v>255.88</v>
      </c>
    </row>
    <row r="23" spans="1:44" x14ac:dyDescent="0.25">
      <c r="A23" s="41">
        <v>43466</v>
      </c>
      <c r="B23" s="29">
        <v>140.24</v>
      </c>
      <c r="C23" s="37">
        <f t="shared" si="0"/>
        <v>23.373333333333335</v>
      </c>
      <c r="D23" s="37">
        <v>4.9290000000000003</v>
      </c>
      <c r="E23" s="37">
        <f t="shared" si="2"/>
        <v>1.8574082011717341E-3</v>
      </c>
      <c r="F23" s="32"/>
      <c r="G23" s="37"/>
      <c r="H23" s="37"/>
      <c r="I23" s="37"/>
      <c r="J23" s="37"/>
      <c r="K23" s="37"/>
      <c r="L23" s="37"/>
      <c r="M23" s="33"/>
      <c r="N23" s="37"/>
      <c r="O23" s="37"/>
      <c r="P23" s="37"/>
      <c r="Q23" s="37"/>
      <c r="R23" s="37"/>
      <c r="S23" s="37"/>
      <c r="T23" s="37"/>
      <c r="U23" s="37"/>
      <c r="V23" s="33"/>
      <c r="W23" t="s">
        <v>61</v>
      </c>
      <c r="X23">
        <v>10.156000000000001</v>
      </c>
      <c r="Y23">
        <f t="shared" si="1"/>
        <v>20.312000000000001</v>
      </c>
      <c r="Z23">
        <v>20.312000000000001</v>
      </c>
      <c r="AB23" s="59" t="s">
        <v>446</v>
      </c>
      <c r="AC23">
        <v>118</v>
      </c>
      <c r="AG23" s="163" t="s">
        <v>536</v>
      </c>
      <c r="AH23" s="165" t="s">
        <v>530</v>
      </c>
      <c r="AI23" s="112" t="s">
        <v>531</v>
      </c>
      <c r="AJ23" s="123">
        <v>308.19</v>
      </c>
      <c r="AK23" s="124">
        <v>330.75</v>
      </c>
      <c r="AL23" s="123">
        <v>397.27</v>
      </c>
      <c r="AM23" s="124">
        <v>323.01</v>
      </c>
      <c r="AN23" s="123">
        <v>387.84</v>
      </c>
      <c r="AO23" s="124">
        <v>328.66</v>
      </c>
    </row>
    <row r="24" spans="1:44" ht="15.75" thickBot="1" x14ac:dyDescent="0.3">
      <c r="A24" s="41">
        <v>43466</v>
      </c>
      <c r="B24" s="29">
        <v>140.18</v>
      </c>
      <c r="C24" s="37">
        <f t="shared" si="0"/>
        <v>23.363333333333333</v>
      </c>
      <c r="D24" s="37">
        <v>4.9290000000000003</v>
      </c>
      <c r="E24" s="37">
        <f t="shared" si="2"/>
        <v>-4.27837992013707E-4</v>
      </c>
      <c r="F24" s="34"/>
      <c r="G24" s="38"/>
      <c r="H24" s="38"/>
      <c r="I24" s="38"/>
      <c r="J24" s="38"/>
      <c r="K24" s="38"/>
      <c r="L24" s="38"/>
      <c r="M24" s="35"/>
      <c r="N24" s="38"/>
      <c r="O24" s="38"/>
      <c r="P24" s="38"/>
      <c r="Q24" s="38"/>
      <c r="R24" s="38"/>
      <c r="S24" s="38"/>
      <c r="T24" s="38"/>
      <c r="U24" s="38"/>
      <c r="V24" s="35"/>
      <c r="W24" t="s">
        <v>62</v>
      </c>
      <c r="X24">
        <v>9.4380000000000006</v>
      </c>
      <c r="Y24">
        <f t="shared" si="1"/>
        <v>18.876000000000001</v>
      </c>
      <c r="Z24">
        <v>18.876000000000001</v>
      </c>
      <c r="AB24" s="59">
        <v>43471</v>
      </c>
      <c r="AC24">
        <v>42</v>
      </c>
      <c r="AG24" s="163"/>
      <c r="AH24" s="165"/>
      <c r="AI24" s="112" t="s">
        <v>532</v>
      </c>
      <c r="AJ24" s="123">
        <v>210.11</v>
      </c>
      <c r="AK24" s="124">
        <v>208.01</v>
      </c>
      <c r="AL24" s="123">
        <v>266.14</v>
      </c>
      <c r="AM24" s="124">
        <v>191.87</v>
      </c>
      <c r="AN24" s="123">
        <v>264.13</v>
      </c>
      <c r="AO24" s="124">
        <v>197.22</v>
      </c>
    </row>
    <row r="25" spans="1:44" ht="15.75" thickBot="1" x14ac:dyDescent="0.3">
      <c r="A25" s="41">
        <v>43466</v>
      </c>
      <c r="B25" s="29">
        <v>139.91</v>
      </c>
      <c r="C25" s="37">
        <f t="shared" si="0"/>
        <v>23.318333333333332</v>
      </c>
      <c r="D25" s="37">
        <v>4.9290000000000003</v>
      </c>
      <c r="E25" s="37">
        <f t="shared" si="2"/>
        <v>-1.9260950206877602E-3</v>
      </c>
      <c r="F25" s="63"/>
      <c r="G25" s="63"/>
      <c r="H25" s="63"/>
      <c r="I25" s="63"/>
      <c r="J25" s="63"/>
      <c r="K25" s="63"/>
      <c r="L25" s="63"/>
      <c r="M25" s="63"/>
      <c r="N25" s="37"/>
      <c r="O25" s="37"/>
      <c r="P25" s="37"/>
      <c r="Q25" s="37"/>
      <c r="R25" s="37"/>
      <c r="S25" s="37"/>
      <c r="T25" s="37"/>
      <c r="U25" s="37"/>
      <c r="V25" s="37"/>
      <c r="W25" t="s">
        <v>63</v>
      </c>
      <c r="X25">
        <v>9.1989999999999998</v>
      </c>
      <c r="Y25">
        <f t="shared" si="1"/>
        <v>18.398</v>
      </c>
      <c r="Z25">
        <v>18.398</v>
      </c>
      <c r="AB25" s="59">
        <v>43683</v>
      </c>
      <c r="AC25">
        <v>42</v>
      </c>
      <c r="AG25" s="163"/>
      <c r="AH25" s="165"/>
      <c r="AI25" s="112" t="s">
        <v>533</v>
      </c>
      <c r="AJ25" s="123">
        <v>112.02</v>
      </c>
      <c r="AK25" s="124">
        <v>208.01</v>
      </c>
      <c r="AL25" s="123">
        <v>135.01</v>
      </c>
      <c r="AM25" s="124">
        <v>191.87</v>
      </c>
      <c r="AN25" s="123">
        <v>140.41999999999999</v>
      </c>
      <c r="AO25" s="124">
        <v>197.22</v>
      </c>
    </row>
    <row r="26" spans="1:44" ht="15.75" thickBot="1" x14ac:dyDescent="0.3">
      <c r="A26" s="41">
        <v>43467</v>
      </c>
      <c r="B26" s="29">
        <v>132.97999999999999</v>
      </c>
      <c r="C26" s="37">
        <f t="shared" si="0"/>
        <v>22.16333333333333</v>
      </c>
      <c r="D26" s="37">
        <v>4.6390000000000002</v>
      </c>
      <c r="E26" s="37">
        <f t="shared" si="2"/>
        <v>-4.9531841898363287E-2</v>
      </c>
      <c r="F26" s="147" t="s">
        <v>423</v>
      </c>
      <c r="G26" s="148"/>
      <c r="H26" s="148"/>
      <c r="I26" s="148"/>
      <c r="J26" s="148"/>
      <c r="K26" s="148"/>
      <c r="L26" s="148"/>
      <c r="M26" s="149"/>
      <c r="N26" s="37"/>
      <c r="O26" s="37"/>
      <c r="P26" s="37"/>
      <c r="Q26" s="37"/>
      <c r="R26" s="37"/>
      <c r="S26" s="37"/>
      <c r="T26" s="37"/>
      <c r="U26" s="37"/>
      <c r="V26" s="37"/>
      <c r="W26" t="s">
        <v>64</v>
      </c>
      <c r="X26">
        <v>8.5749999999999993</v>
      </c>
      <c r="Y26">
        <f t="shared" si="1"/>
        <v>17.149999999999999</v>
      </c>
      <c r="Z26">
        <v>17.149999999999999</v>
      </c>
      <c r="AB26" s="59" t="s">
        <v>447</v>
      </c>
      <c r="AC26">
        <v>78</v>
      </c>
      <c r="AG26" s="163"/>
      <c r="AH26" s="115" t="s">
        <v>534</v>
      </c>
      <c r="AI26" s="112" t="s">
        <v>535</v>
      </c>
      <c r="AJ26" s="123">
        <v>146.1</v>
      </c>
      <c r="AK26" s="124">
        <v>218.24</v>
      </c>
      <c r="AL26" s="123">
        <v>188.65</v>
      </c>
      <c r="AM26" s="124">
        <v>202.8</v>
      </c>
      <c r="AN26" s="123">
        <v>185.21</v>
      </c>
      <c r="AO26" s="124">
        <v>208.17</v>
      </c>
    </row>
    <row r="27" spans="1:44" ht="15.75" thickBot="1" x14ac:dyDescent="0.3">
      <c r="A27" s="41">
        <v>43467</v>
      </c>
      <c r="B27" s="29">
        <v>129.01</v>
      </c>
      <c r="C27" s="37">
        <f t="shared" si="0"/>
        <v>21.501666666666665</v>
      </c>
      <c r="D27" s="37">
        <v>4.6390000000000002</v>
      </c>
      <c r="E27" s="37">
        <f t="shared" si="2"/>
        <v>-2.9854113400511348E-2</v>
      </c>
      <c r="F27" s="32"/>
      <c r="G27" s="37"/>
      <c r="H27" s="37"/>
      <c r="I27" s="37"/>
      <c r="J27" s="37"/>
      <c r="K27" s="37"/>
      <c r="L27" s="37"/>
      <c r="M27" s="33"/>
      <c r="N27" s="37"/>
      <c r="O27" s="156"/>
      <c r="P27" s="155" t="s">
        <v>481</v>
      </c>
      <c r="Q27" s="156"/>
      <c r="R27" s="156" t="s">
        <v>482</v>
      </c>
      <c r="S27" s="157"/>
      <c r="T27" s="65">
        <v>90</v>
      </c>
      <c r="U27" s="37"/>
      <c r="V27" s="37"/>
      <c r="W27" t="s">
        <v>65</v>
      </c>
      <c r="X27">
        <v>7.726</v>
      </c>
      <c r="Y27">
        <f t="shared" si="1"/>
        <v>15.452</v>
      </c>
      <c r="Z27">
        <v>15.452</v>
      </c>
      <c r="AB27" s="59" t="s">
        <v>448</v>
      </c>
      <c r="AC27">
        <v>122</v>
      </c>
      <c r="AG27" s="163" t="s">
        <v>537</v>
      </c>
      <c r="AH27" s="165" t="s">
        <v>530</v>
      </c>
      <c r="AI27" s="112" t="s">
        <v>531</v>
      </c>
      <c r="AJ27" s="123">
        <v>499.64</v>
      </c>
      <c r="AK27" s="124">
        <v>472.51</v>
      </c>
      <c r="AL27" s="123">
        <v>609</v>
      </c>
      <c r="AM27" s="124">
        <v>425.01</v>
      </c>
      <c r="AN27" s="123">
        <v>552.41</v>
      </c>
      <c r="AO27" s="124">
        <v>432.45</v>
      </c>
    </row>
    <row r="28" spans="1:44" ht="15.75" thickBot="1" x14ac:dyDescent="0.3">
      <c r="A28" s="41">
        <v>43467</v>
      </c>
      <c r="B28" s="29">
        <v>127.92</v>
      </c>
      <c r="C28" s="37">
        <f t="shared" si="0"/>
        <v>21.32</v>
      </c>
      <c r="D28" s="37">
        <v>4.6390000000000002</v>
      </c>
      <c r="E28" s="37">
        <f t="shared" si="2"/>
        <v>-8.4489574451592064E-3</v>
      </c>
      <c r="F28" s="32"/>
      <c r="G28" s="37"/>
      <c r="H28" s="37"/>
      <c r="I28" s="37"/>
      <c r="J28" s="37"/>
      <c r="K28" s="37"/>
      <c r="L28" s="37"/>
      <c r="M28" s="33"/>
      <c r="N28" s="37"/>
      <c r="O28" s="156"/>
      <c r="P28" s="64" t="s">
        <v>479</v>
      </c>
      <c r="Q28" s="64" t="s">
        <v>480</v>
      </c>
      <c r="R28" s="156" t="s">
        <v>483</v>
      </c>
      <c r="S28" s="156"/>
      <c r="T28" s="64" t="s">
        <v>484</v>
      </c>
      <c r="U28" s="37"/>
      <c r="V28" s="37"/>
      <c r="W28" t="s">
        <v>66</v>
      </c>
      <c r="X28">
        <v>6.83</v>
      </c>
      <c r="Y28">
        <f t="shared" si="1"/>
        <v>13.66</v>
      </c>
      <c r="Z28">
        <v>13.66</v>
      </c>
      <c r="AB28" s="59" t="s">
        <v>449</v>
      </c>
      <c r="AC28">
        <v>169</v>
      </c>
      <c r="AG28" s="163"/>
      <c r="AH28" s="165"/>
      <c r="AI28" s="112" t="s">
        <v>532</v>
      </c>
      <c r="AJ28" s="123">
        <v>335.78</v>
      </c>
      <c r="AK28" s="124">
        <v>297.16000000000003</v>
      </c>
      <c r="AL28" s="123">
        <v>401.95</v>
      </c>
      <c r="AM28" s="124">
        <v>252.46</v>
      </c>
      <c r="AN28" s="123">
        <v>372.8</v>
      </c>
      <c r="AO28" s="124">
        <v>259.5</v>
      </c>
    </row>
    <row r="29" spans="1:44" ht="15.75" thickBot="1" x14ac:dyDescent="0.3">
      <c r="A29" s="41">
        <v>43467</v>
      </c>
      <c r="B29" s="29">
        <v>127.27</v>
      </c>
      <c r="C29" s="37">
        <f t="shared" si="0"/>
        <v>21.211666666666666</v>
      </c>
      <c r="D29" s="37">
        <v>4.6390000000000002</v>
      </c>
      <c r="E29" s="37">
        <f t="shared" si="2"/>
        <v>-5.0813008130081742E-3</v>
      </c>
      <c r="F29" s="32"/>
      <c r="G29" s="37"/>
      <c r="H29" s="37"/>
      <c r="I29" s="37"/>
      <c r="J29" s="37"/>
      <c r="K29" s="37"/>
      <c r="L29" s="37"/>
      <c r="M29" s="33"/>
      <c r="N29" s="37"/>
      <c r="O29" s="64" t="s">
        <v>467</v>
      </c>
      <c r="P29" s="77">
        <f>(B745)</f>
        <v>174.37</v>
      </c>
      <c r="Q29" s="67">
        <f>(AC6)</f>
        <v>332</v>
      </c>
      <c r="R29" s="158">
        <v>132.5142222222222</v>
      </c>
      <c r="S29" s="158"/>
      <c r="T29" s="87">
        <v>311.04288888888897</v>
      </c>
      <c r="U29" s="37"/>
      <c r="V29" s="37"/>
      <c r="W29" t="s">
        <v>67</v>
      </c>
      <c r="X29">
        <v>6.0119999999999996</v>
      </c>
      <c r="Y29">
        <f t="shared" si="1"/>
        <v>12.023999999999999</v>
      </c>
      <c r="Z29">
        <v>12.023999999999999</v>
      </c>
      <c r="AB29" s="59">
        <v>43623</v>
      </c>
      <c r="AC29">
        <v>175</v>
      </c>
      <c r="AG29" s="163"/>
      <c r="AH29" s="165"/>
      <c r="AI29" s="112" t="s">
        <v>533</v>
      </c>
      <c r="AJ29" s="123">
        <v>171.91</v>
      </c>
      <c r="AK29" s="124">
        <v>297.16000000000003</v>
      </c>
      <c r="AL29" s="123">
        <v>194.9</v>
      </c>
      <c r="AM29" s="124">
        <v>252.46</v>
      </c>
      <c r="AN29" s="123">
        <v>193.18</v>
      </c>
      <c r="AO29" s="124">
        <v>259.5</v>
      </c>
    </row>
    <row r="30" spans="1:44" ht="15.75" thickBot="1" x14ac:dyDescent="0.3">
      <c r="A30" s="41">
        <v>43467</v>
      </c>
      <c r="B30" s="29">
        <v>127.27</v>
      </c>
      <c r="C30" s="37">
        <f t="shared" si="0"/>
        <v>21.211666666666666</v>
      </c>
      <c r="D30" s="37">
        <v>4.6390000000000002</v>
      </c>
      <c r="E30" s="37">
        <f t="shared" si="2"/>
        <v>0</v>
      </c>
      <c r="F30" s="32"/>
      <c r="G30" s="37"/>
      <c r="H30" s="37"/>
      <c r="I30" s="37"/>
      <c r="J30" s="37"/>
      <c r="K30" s="37"/>
      <c r="L30" s="37"/>
      <c r="M30" s="33"/>
      <c r="N30" s="37"/>
      <c r="O30" s="64" t="s">
        <v>468</v>
      </c>
      <c r="P30" s="77">
        <f>(B1417)</f>
        <v>340.93</v>
      </c>
      <c r="Q30" s="29">
        <f>(AC10)</f>
        <v>334</v>
      </c>
      <c r="R30" s="140">
        <v>290.76377777777776</v>
      </c>
      <c r="S30" s="140"/>
      <c r="T30" s="88">
        <v>513.88999999999965</v>
      </c>
      <c r="U30" s="37"/>
      <c r="V30" s="37"/>
      <c r="W30" t="s">
        <v>68</v>
      </c>
      <c r="X30">
        <v>5.4169999999999998</v>
      </c>
      <c r="Y30">
        <f t="shared" si="1"/>
        <v>10.833999999999998</v>
      </c>
      <c r="Z30">
        <v>10.833999999999998</v>
      </c>
      <c r="AB30" s="59" t="s">
        <v>450</v>
      </c>
      <c r="AC30">
        <v>172</v>
      </c>
      <c r="AF30">
        <v>30</v>
      </c>
      <c r="AG30" s="164"/>
      <c r="AH30" s="116" t="s">
        <v>534</v>
      </c>
      <c r="AI30" s="117" t="s">
        <v>535</v>
      </c>
      <c r="AJ30" s="125">
        <v>208.72</v>
      </c>
      <c r="AK30" s="126">
        <v>311.77</v>
      </c>
      <c r="AL30" s="125">
        <v>248.23</v>
      </c>
      <c r="AM30" s="126">
        <v>266.83999999999997</v>
      </c>
      <c r="AN30" s="125">
        <v>243.7</v>
      </c>
      <c r="AO30" s="126">
        <v>273.91000000000003</v>
      </c>
    </row>
    <row r="31" spans="1:44" ht="15.75" thickBot="1" x14ac:dyDescent="0.3">
      <c r="A31" s="41">
        <v>43467</v>
      </c>
      <c r="B31" s="29">
        <v>128.62</v>
      </c>
      <c r="C31" s="37">
        <f t="shared" si="0"/>
        <v>21.436666666666667</v>
      </c>
      <c r="D31" s="37">
        <v>4.6390000000000002</v>
      </c>
      <c r="E31" s="37">
        <f t="shared" si="2"/>
        <v>1.0607370157932023E-2</v>
      </c>
      <c r="F31" s="32"/>
      <c r="G31" s="37"/>
      <c r="H31" s="37"/>
      <c r="I31" s="37"/>
      <c r="J31" s="37"/>
      <c r="K31" s="37"/>
      <c r="L31" s="37"/>
      <c r="M31" s="33"/>
      <c r="N31" s="37"/>
      <c r="O31" s="64" t="s">
        <v>469</v>
      </c>
      <c r="P31" s="77">
        <f>(B2161)</f>
        <v>105.59</v>
      </c>
      <c r="Q31" s="29">
        <f>(AC15)</f>
        <v>205</v>
      </c>
      <c r="R31" s="140">
        <v>118.18633333333337</v>
      </c>
      <c r="S31" s="140"/>
      <c r="T31" s="88">
        <v>254.93111111111111</v>
      </c>
      <c r="U31" s="37"/>
      <c r="V31" s="37"/>
      <c r="W31" t="s">
        <v>69</v>
      </c>
      <c r="X31">
        <v>4.9539999999999997</v>
      </c>
      <c r="Y31">
        <f t="shared" si="1"/>
        <v>9.9079999999999995</v>
      </c>
      <c r="Z31">
        <v>9.9079999999999995</v>
      </c>
      <c r="AB31" s="59" t="s">
        <v>451</v>
      </c>
      <c r="AC31">
        <v>183</v>
      </c>
    </row>
    <row r="32" spans="1:44" ht="15.75" thickBot="1" x14ac:dyDescent="0.3">
      <c r="A32" s="41">
        <v>43467</v>
      </c>
      <c r="B32" s="29">
        <v>132.61000000000001</v>
      </c>
      <c r="C32" s="37">
        <f t="shared" si="0"/>
        <v>22.10166666666667</v>
      </c>
      <c r="D32" s="37">
        <v>4.6390000000000002</v>
      </c>
      <c r="E32" s="37">
        <f t="shared" si="2"/>
        <v>3.1021614056911902E-2</v>
      </c>
      <c r="F32" s="32"/>
      <c r="G32" s="37"/>
      <c r="H32" s="37"/>
      <c r="I32" s="57"/>
      <c r="J32" s="60"/>
      <c r="K32" s="60"/>
      <c r="L32" s="60"/>
      <c r="M32" s="62"/>
      <c r="N32" s="60"/>
      <c r="O32" s="66" t="s">
        <v>470</v>
      </c>
      <c r="P32" s="77">
        <f>(B2881)</f>
        <v>143.28</v>
      </c>
      <c r="Q32" s="29">
        <f>(AC19)</f>
        <v>138</v>
      </c>
      <c r="R32" s="140">
        <v>114.03555555555553</v>
      </c>
      <c r="S32" s="140"/>
      <c r="T32" s="88">
        <v>203.37411111111118</v>
      </c>
      <c r="U32" s="37"/>
      <c r="V32" s="37"/>
      <c r="W32" t="s">
        <v>70</v>
      </c>
      <c r="X32">
        <v>4.6260000000000003</v>
      </c>
      <c r="Y32">
        <f t="shared" si="1"/>
        <v>9.2520000000000007</v>
      </c>
      <c r="Z32">
        <v>9.2520000000000007</v>
      </c>
      <c r="AB32" s="59" t="s">
        <v>452</v>
      </c>
      <c r="AC32">
        <v>219</v>
      </c>
    </row>
    <row r="33" spans="1:35" ht="15.75" thickBot="1" x14ac:dyDescent="0.3">
      <c r="A33" s="41">
        <v>43467</v>
      </c>
      <c r="B33" s="29">
        <v>137.44</v>
      </c>
      <c r="C33" s="37">
        <f t="shared" si="0"/>
        <v>22.906666666666666</v>
      </c>
      <c r="D33" s="37">
        <v>4.6390000000000002</v>
      </c>
      <c r="E33" s="37">
        <f t="shared" si="2"/>
        <v>3.6422592564663174E-2</v>
      </c>
      <c r="F33" s="32"/>
      <c r="G33" s="37"/>
      <c r="H33" s="37"/>
      <c r="I33" s="37"/>
      <c r="J33" s="37"/>
      <c r="K33" s="37"/>
      <c r="L33" s="37"/>
      <c r="M33" s="33"/>
      <c r="N33" s="37"/>
      <c r="O33" s="66" t="s">
        <v>471</v>
      </c>
      <c r="P33" s="77">
        <f>(B3625)</f>
        <v>123.84</v>
      </c>
      <c r="Q33" s="29">
        <f>(AC23)</f>
        <v>118</v>
      </c>
      <c r="R33" s="140">
        <v>42.350000000000051</v>
      </c>
      <c r="S33" s="140"/>
      <c r="T33" s="88">
        <v>178.21111111111111</v>
      </c>
      <c r="U33" s="37"/>
      <c r="V33" s="37"/>
      <c r="W33" t="s">
        <v>71</v>
      </c>
      <c r="X33">
        <v>4.4909999999999997</v>
      </c>
      <c r="Y33">
        <f t="shared" si="1"/>
        <v>8.9819999999999993</v>
      </c>
      <c r="Z33">
        <v>8.9819999999999993</v>
      </c>
      <c r="AB33" s="59">
        <v>43532</v>
      </c>
      <c r="AC33">
        <v>230</v>
      </c>
    </row>
    <row r="34" spans="1:35" ht="15.75" thickBot="1" x14ac:dyDescent="0.3">
      <c r="A34" s="41">
        <v>43467</v>
      </c>
      <c r="B34" s="29">
        <v>139.84</v>
      </c>
      <c r="C34" s="37">
        <f t="shared" si="0"/>
        <v>23.306666666666668</v>
      </c>
      <c r="D34" s="37">
        <v>4.6390000000000002</v>
      </c>
      <c r="E34" s="37">
        <f t="shared" si="2"/>
        <v>1.7462165308498295E-2</v>
      </c>
      <c r="F34" s="32"/>
      <c r="G34" s="37"/>
      <c r="H34" s="37"/>
      <c r="I34" s="37"/>
      <c r="J34" s="37"/>
      <c r="K34" s="37"/>
      <c r="L34" s="37"/>
      <c r="M34" s="33"/>
      <c r="N34" s="37"/>
      <c r="O34" s="66" t="s">
        <v>472</v>
      </c>
      <c r="P34" s="77">
        <f>(B4345)</f>
        <v>169.99</v>
      </c>
      <c r="Q34" s="29">
        <f>(AC28)</f>
        <v>169</v>
      </c>
      <c r="R34" s="140">
        <v>42.350000000000051</v>
      </c>
      <c r="S34" s="140"/>
      <c r="T34" s="88">
        <v>175.63222222222225</v>
      </c>
      <c r="U34" s="37"/>
      <c r="V34" s="37"/>
      <c r="W34" t="s">
        <v>72</v>
      </c>
      <c r="X34">
        <v>4.5659999999999998</v>
      </c>
      <c r="Y34">
        <f t="shared" si="1"/>
        <v>9.1319999999999997</v>
      </c>
      <c r="Z34">
        <v>9.1319999999999997</v>
      </c>
      <c r="AB34" s="59">
        <v>43746</v>
      </c>
      <c r="AC34">
        <v>228</v>
      </c>
    </row>
    <row r="35" spans="1:35" ht="15.75" thickBot="1" x14ac:dyDescent="0.3">
      <c r="A35" s="41">
        <v>43467</v>
      </c>
      <c r="B35" s="29">
        <v>141.11000000000001</v>
      </c>
      <c r="C35" s="37">
        <f t="shared" si="0"/>
        <v>23.518333333333338</v>
      </c>
      <c r="D35" s="37">
        <v>4.6390000000000002</v>
      </c>
      <c r="E35" s="37">
        <f t="shared" si="2"/>
        <v>9.0818077803204392E-3</v>
      </c>
      <c r="F35" s="32"/>
      <c r="G35" s="37"/>
      <c r="H35" s="37"/>
      <c r="I35" s="37"/>
      <c r="J35" s="37"/>
      <c r="K35" s="37"/>
      <c r="L35" s="37"/>
      <c r="M35" s="33"/>
      <c r="O35" s="66" t="s">
        <v>473</v>
      </c>
      <c r="P35" s="77">
        <f>(B5089)</f>
        <v>225.63</v>
      </c>
      <c r="Q35" s="29">
        <f>(AC32)</f>
        <v>219</v>
      </c>
      <c r="R35" s="140">
        <v>171.97222222222226</v>
      </c>
      <c r="S35" s="140"/>
      <c r="T35" s="88">
        <v>232.90155555555563</v>
      </c>
      <c r="W35" t="s">
        <v>73</v>
      </c>
      <c r="X35">
        <v>4.9340000000000002</v>
      </c>
      <c r="Y35">
        <f t="shared" si="1"/>
        <v>9.8680000000000003</v>
      </c>
      <c r="Z35">
        <v>9.8680000000000003</v>
      </c>
      <c r="AB35" s="59" t="s">
        <v>453</v>
      </c>
      <c r="AC35">
        <v>236</v>
      </c>
      <c r="AI35" s="113"/>
    </row>
    <row r="36" spans="1:35" ht="15.75" thickBot="1" x14ac:dyDescent="0.3">
      <c r="A36" s="41">
        <v>43467</v>
      </c>
      <c r="B36" s="29">
        <v>141.12</v>
      </c>
      <c r="C36" s="37">
        <f t="shared" si="0"/>
        <v>23.52</v>
      </c>
      <c r="D36" s="37">
        <v>4.6390000000000002</v>
      </c>
      <c r="E36" s="37">
        <f t="shared" si="2"/>
        <v>7.0866699737728747E-5</v>
      </c>
      <c r="F36" s="32"/>
      <c r="G36" s="37"/>
      <c r="H36" s="37"/>
      <c r="I36" s="37"/>
      <c r="J36" s="37"/>
      <c r="K36" s="37"/>
      <c r="L36" s="37"/>
      <c r="M36" s="33"/>
      <c r="O36" s="66" t="s">
        <v>474</v>
      </c>
      <c r="P36" s="77">
        <f>(B5833)</f>
        <v>223.02</v>
      </c>
      <c r="Q36" s="29">
        <f>(AC37)</f>
        <v>197</v>
      </c>
      <c r="R36" s="140">
        <v>222.51599999999996</v>
      </c>
      <c r="S36" s="140"/>
      <c r="T36" s="88">
        <v>255.13555555555544</v>
      </c>
      <c r="W36" t="s">
        <v>74</v>
      </c>
      <c r="X36">
        <v>5.431</v>
      </c>
      <c r="Y36">
        <f t="shared" si="1"/>
        <v>10.862</v>
      </c>
      <c r="Z36">
        <v>10.862</v>
      </c>
      <c r="AB36" s="59" t="s">
        <v>454</v>
      </c>
      <c r="AC36">
        <v>241</v>
      </c>
    </row>
    <row r="37" spans="1:35" ht="15.75" thickBot="1" x14ac:dyDescent="0.3">
      <c r="A37" s="41">
        <v>43467</v>
      </c>
      <c r="B37" s="29">
        <v>141.29</v>
      </c>
      <c r="C37" s="37">
        <f t="shared" si="0"/>
        <v>23.548333333333332</v>
      </c>
      <c r="D37" s="37">
        <v>4.6390000000000002</v>
      </c>
      <c r="E37" s="37">
        <f t="shared" si="2"/>
        <v>1.2046485260770088E-3</v>
      </c>
      <c r="F37" s="32"/>
      <c r="G37" s="37"/>
      <c r="H37" s="37"/>
      <c r="I37" s="37"/>
      <c r="J37" s="37"/>
      <c r="K37" s="37"/>
      <c r="L37" s="37"/>
      <c r="M37" s="33"/>
      <c r="O37" s="66" t="s">
        <v>475</v>
      </c>
      <c r="P37" s="77">
        <f>(B6553)</f>
        <v>318.60000000000002</v>
      </c>
      <c r="Q37" s="29">
        <f>(AC41)</f>
        <v>233</v>
      </c>
      <c r="R37" s="140">
        <v>229.42477777777773</v>
      </c>
      <c r="S37" s="140"/>
      <c r="T37" s="88">
        <v>325.20300000000009</v>
      </c>
      <c r="W37" t="s">
        <v>75</v>
      </c>
      <c r="X37">
        <v>5.7140000000000004</v>
      </c>
      <c r="Y37">
        <f t="shared" si="1"/>
        <v>11.428000000000003</v>
      </c>
      <c r="Z37">
        <v>11.428000000000003</v>
      </c>
      <c r="AB37" s="59" t="s">
        <v>455</v>
      </c>
      <c r="AC37">
        <v>197</v>
      </c>
    </row>
    <row r="38" spans="1:35" ht="15.75" thickBot="1" x14ac:dyDescent="0.3">
      <c r="A38" s="41">
        <v>43467</v>
      </c>
      <c r="B38" s="29">
        <v>141.29</v>
      </c>
      <c r="C38" s="37">
        <f t="shared" si="0"/>
        <v>23.548333333333332</v>
      </c>
      <c r="D38" s="37">
        <v>4.6390000000000002</v>
      </c>
      <c r="E38" s="37">
        <f t="shared" si="2"/>
        <v>0</v>
      </c>
      <c r="F38" s="32"/>
      <c r="G38" s="37"/>
      <c r="H38" s="37"/>
      <c r="I38" s="37"/>
      <c r="J38" s="37"/>
      <c r="K38" s="37"/>
      <c r="L38" s="37"/>
      <c r="M38" s="33"/>
      <c r="O38" s="66" t="s">
        <v>476</v>
      </c>
      <c r="P38" s="77">
        <f>(B7297)</f>
        <v>316.39</v>
      </c>
      <c r="Q38" s="29">
        <f>(AC45)</f>
        <v>297</v>
      </c>
      <c r="R38" s="140">
        <v>265.43833333333333</v>
      </c>
      <c r="S38" s="140"/>
      <c r="T38" s="88">
        <v>380.55722222222238</v>
      </c>
      <c r="W38" t="s">
        <v>76</v>
      </c>
      <c r="X38">
        <v>5.4960000000000004</v>
      </c>
      <c r="Y38">
        <f t="shared" si="1"/>
        <v>10.992000000000001</v>
      </c>
      <c r="Z38">
        <v>10.992000000000001</v>
      </c>
      <c r="AB38" s="59">
        <v>43655</v>
      </c>
      <c r="AC38">
        <v>206</v>
      </c>
    </row>
    <row r="39" spans="1:35" ht="15.75" thickBot="1" x14ac:dyDescent="0.3">
      <c r="A39" s="41">
        <v>43467</v>
      </c>
      <c r="B39" s="29">
        <v>141.62</v>
      </c>
      <c r="C39" s="37">
        <f t="shared" si="0"/>
        <v>23.603333333333332</v>
      </c>
      <c r="D39" s="37">
        <v>4.6390000000000002</v>
      </c>
      <c r="E39" s="37">
        <f t="shared" si="2"/>
        <v>2.3356217708260492E-3</v>
      </c>
      <c r="F39" s="32"/>
      <c r="G39" s="37"/>
      <c r="H39" s="37"/>
      <c r="I39" s="37"/>
      <c r="J39" s="37"/>
      <c r="K39" s="37"/>
      <c r="L39" s="37"/>
      <c r="M39" s="33"/>
      <c r="O39" s="66" t="s">
        <v>477</v>
      </c>
      <c r="P39" s="77">
        <f>(B8017)</f>
        <v>250.36</v>
      </c>
      <c r="Q39" s="29">
        <f>(AC50)</f>
        <v>233</v>
      </c>
      <c r="R39" s="140">
        <v>246.9106666666666</v>
      </c>
      <c r="S39" s="140"/>
      <c r="T39" s="88">
        <v>376.06655555555545</v>
      </c>
      <c r="W39" t="s">
        <v>77</v>
      </c>
      <c r="X39">
        <v>5.0060000000000002</v>
      </c>
      <c r="Y39">
        <f t="shared" si="1"/>
        <v>10.012</v>
      </c>
      <c r="Z39">
        <v>10.012</v>
      </c>
      <c r="AB39" s="59" t="s">
        <v>456</v>
      </c>
      <c r="AC39">
        <v>221</v>
      </c>
    </row>
    <row r="40" spans="1:35" ht="15.75" thickBot="1" x14ac:dyDescent="0.3">
      <c r="A40" s="41">
        <v>43467</v>
      </c>
      <c r="B40" s="29">
        <v>141.59</v>
      </c>
      <c r="C40" s="37">
        <f t="shared" si="0"/>
        <v>23.598333333333333</v>
      </c>
      <c r="D40" s="37">
        <v>4.6390000000000002</v>
      </c>
      <c r="E40" s="37">
        <f t="shared" si="2"/>
        <v>-2.1183448665443536E-4</v>
      </c>
      <c r="F40" s="32"/>
      <c r="G40" s="37"/>
      <c r="H40" s="37"/>
      <c r="I40" s="37"/>
      <c r="J40" s="37"/>
      <c r="K40" s="37"/>
      <c r="L40" s="37"/>
      <c r="M40" s="33"/>
      <c r="O40" s="66" t="s">
        <v>478</v>
      </c>
      <c r="P40" s="77">
        <f>(B8761)</f>
        <v>290.19</v>
      </c>
      <c r="Q40" s="29">
        <f>(AC54)</f>
        <v>287</v>
      </c>
      <c r="R40" s="140">
        <v>166.30333333333337</v>
      </c>
      <c r="S40" s="140"/>
      <c r="T40" s="88">
        <v>291.51655555555561</v>
      </c>
      <c r="W40" t="s">
        <v>78</v>
      </c>
      <c r="X40">
        <v>4.5579999999999998</v>
      </c>
      <c r="Y40">
        <f t="shared" si="1"/>
        <v>9.1159999999999997</v>
      </c>
      <c r="Z40">
        <v>9.1159999999999997</v>
      </c>
      <c r="AB40" s="59" t="s">
        <v>457</v>
      </c>
      <c r="AC40">
        <v>227</v>
      </c>
    </row>
    <row r="41" spans="1:35" x14ac:dyDescent="0.25">
      <c r="A41" s="41">
        <v>43467</v>
      </c>
      <c r="B41" s="29">
        <v>141.57</v>
      </c>
      <c r="C41" s="37">
        <f t="shared" si="0"/>
        <v>23.594999999999999</v>
      </c>
      <c r="D41" s="37">
        <v>4.6390000000000002</v>
      </c>
      <c r="E41" s="37">
        <f t="shared" si="2"/>
        <v>-1.4125291334140993E-4</v>
      </c>
      <c r="F41" s="32"/>
      <c r="G41" s="37"/>
      <c r="H41" s="37"/>
      <c r="I41" s="37"/>
      <c r="J41" s="37"/>
      <c r="K41" s="37"/>
      <c r="L41" s="37"/>
      <c r="M41" s="33"/>
      <c r="O41" s="36"/>
      <c r="W41" t="s">
        <v>79</v>
      </c>
      <c r="X41">
        <v>4.3049999999999997</v>
      </c>
      <c r="Y41">
        <f t="shared" si="1"/>
        <v>8.61</v>
      </c>
      <c r="Z41">
        <v>8.61</v>
      </c>
      <c r="AB41" s="59" t="s">
        <v>458</v>
      </c>
      <c r="AC41">
        <v>233</v>
      </c>
    </row>
    <row r="42" spans="1:35" x14ac:dyDescent="0.25">
      <c r="A42" s="41">
        <v>43467</v>
      </c>
      <c r="B42" s="29">
        <v>141.54</v>
      </c>
      <c r="C42" s="37">
        <f t="shared" si="0"/>
        <v>23.59</v>
      </c>
      <c r="D42" s="37">
        <v>4.6390000000000002</v>
      </c>
      <c r="E42" s="37">
        <f t="shared" si="2"/>
        <v>-2.1190930281840176E-4</v>
      </c>
      <c r="F42" s="32"/>
      <c r="G42" s="37"/>
      <c r="H42" s="37"/>
      <c r="I42" s="37"/>
      <c r="J42" s="37"/>
      <c r="K42" s="37"/>
      <c r="L42" s="37"/>
      <c r="M42" s="33"/>
      <c r="W42" t="s">
        <v>80</v>
      </c>
      <c r="X42">
        <v>4.13</v>
      </c>
      <c r="Y42">
        <f t="shared" si="1"/>
        <v>8.26</v>
      </c>
      <c r="Z42">
        <v>8.26</v>
      </c>
      <c r="AB42" s="59">
        <v>43595</v>
      </c>
      <c r="AC42">
        <v>266</v>
      </c>
    </row>
    <row r="43" spans="1:35" x14ac:dyDescent="0.25">
      <c r="A43" s="41">
        <v>43467</v>
      </c>
      <c r="B43" s="29">
        <v>141.16999999999999</v>
      </c>
      <c r="C43" s="37">
        <f t="shared" si="0"/>
        <v>23.528333333333329</v>
      </c>
      <c r="D43" s="37">
        <v>4.6390000000000002</v>
      </c>
      <c r="E43" s="37">
        <f t="shared" si="2"/>
        <v>-2.6141020206302428E-3</v>
      </c>
      <c r="F43" s="32"/>
      <c r="G43" s="37"/>
      <c r="H43" s="37"/>
      <c r="I43" s="37"/>
      <c r="J43" s="37"/>
      <c r="K43" s="37"/>
      <c r="L43" s="37"/>
      <c r="M43" s="33"/>
      <c r="W43" t="s">
        <v>81</v>
      </c>
      <c r="X43">
        <v>4.0819999999999999</v>
      </c>
      <c r="Y43">
        <f t="shared" si="1"/>
        <v>8.1639999999999997</v>
      </c>
      <c r="Z43">
        <v>8.1639999999999997</v>
      </c>
      <c r="AB43" s="59">
        <v>43809</v>
      </c>
      <c r="AC43">
        <v>268</v>
      </c>
    </row>
    <row r="44" spans="1:35" x14ac:dyDescent="0.25">
      <c r="A44" s="41">
        <v>43467</v>
      </c>
      <c r="B44" s="29">
        <v>140.37</v>
      </c>
      <c r="C44" s="37">
        <f t="shared" si="0"/>
        <v>23.395</v>
      </c>
      <c r="D44" s="37">
        <v>4.6390000000000002</v>
      </c>
      <c r="E44" s="37">
        <f t="shared" si="2"/>
        <v>-5.6669264007932494E-3</v>
      </c>
      <c r="F44" s="32"/>
      <c r="G44" s="37"/>
      <c r="H44" s="37"/>
      <c r="I44" s="37"/>
      <c r="J44" s="37"/>
      <c r="K44" s="37"/>
      <c r="L44" s="37"/>
      <c r="M44" s="33"/>
      <c r="W44" t="s">
        <v>82</v>
      </c>
      <c r="X44">
        <v>4.1970000000000001</v>
      </c>
      <c r="Y44">
        <f t="shared" si="1"/>
        <v>8.3940000000000001</v>
      </c>
      <c r="Z44">
        <v>8.3940000000000001</v>
      </c>
      <c r="AB44" s="59" t="s">
        <v>459</v>
      </c>
      <c r="AC44">
        <v>269</v>
      </c>
    </row>
    <row r="45" spans="1:35" x14ac:dyDescent="0.25">
      <c r="A45" s="41">
        <v>43467</v>
      </c>
      <c r="B45" s="29">
        <v>140.24</v>
      </c>
      <c r="C45" s="37">
        <f t="shared" si="0"/>
        <v>23.373333333333335</v>
      </c>
      <c r="D45" s="37">
        <v>4.6390000000000002</v>
      </c>
      <c r="E45" s="37">
        <f t="shared" si="2"/>
        <v>-9.2612381563008793E-4</v>
      </c>
      <c r="F45" s="32"/>
      <c r="G45" s="37"/>
      <c r="H45" s="37"/>
      <c r="I45" s="37"/>
      <c r="J45" s="37"/>
      <c r="K45" s="37"/>
      <c r="L45" s="37"/>
      <c r="M45" s="33"/>
      <c r="W45" t="s">
        <v>83</v>
      </c>
      <c r="X45">
        <v>4.3109999999999999</v>
      </c>
      <c r="Y45">
        <f t="shared" si="1"/>
        <v>8.6219999999999999</v>
      </c>
      <c r="Z45">
        <v>8.6219999999999999</v>
      </c>
      <c r="AB45" s="59" t="s">
        <v>460</v>
      </c>
      <c r="AC45">
        <v>297</v>
      </c>
    </row>
    <row r="46" spans="1:35" x14ac:dyDescent="0.25">
      <c r="A46" s="41">
        <v>43467</v>
      </c>
      <c r="B46" s="29">
        <v>141.09</v>
      </c>
      <c r="C46" s="37">
        <f t="shared" si="0"/>
        <v>23.515000000000001</v>
      </c>
      <c r="D46" s="37">
        <v>4.6390000000000002</v>
      </c>
      <c r="E46" s="37">
        <f t="shared" si="2"/>
        <v>6.0610382201939121E-3</v>
      </c>
      <c r="F46" s="32"/>
      <c r="G46" s="37"/>
      <c r="H46" s="37"/>
      <c r="I46" s="37"/>
      <c r="J46" s="37"/>
      <c r="K46" s="37"/>
      <c r="L46" s="37"/>
      <c r="M46" s="33"/>
      <c r="W46" t="s">
        <v>84</v>
      </c>
      <c r="X46">
        <v>4.3620000000000001</v>
      </c>
      <c r="Y46">
        <f t="shared" si="1"/>
        <v>8.7240000000000002</v>
      </c>
      <c r="Z46">
        <v>8.7240000000000002</v>
      </c>
      <c r="AB46" s="59">
        <v>43507</v>
      </c>
      <c r="AC46">
        <v>330</v>
      </c>
    </row>
    <row r="47" spans="1:35" ht="15.75" thickBot="1" x14ac:dyDescent="0.3">
      <c r="A47" s="41">
        <v>43467</v>
      </c>
      <c r="B47" s="29">
        <v>141.41999999999999</v>
      </c>
      <c r="C47" s="37">
        <f t="shared" si="0"/>
        <v>23.569999999999997</v>
      </c>
      <c r="D47" s="37">
        <v>4.6390000000000002</v>
      </c>
      <c r="E47" s="37">
        <f t="shared" si="2"/>
        <v>2.3389325962150688E-3</v>
      </c>
      <c r="F47" s="34"/>
      <c r="G47" s="38"/>
      <c r="H47" s="38"/>
      <c r="I47" s="38"/>
      <c r="J47" s="38"/>
      <c r="K47" s="38"/>
      <c r="L47" s="38"/>
      <c r="M47" s="35"/>
      <c r="W47" t="s">
        <v>85</v>
      </c>
      <c r="X47">
        <v>6.3259999999999996</v>
      </c>
      <c r="Y47">
        <f t="shared" si="1"/>
        <v>12.651999999999997</v>
      </c>
      <c r="Z47">
        <v>12.651999999999997</v>
      </c>
      <c r="AB47" s="59">
        <v>43719</v>
      </c>
      <c r="AC47">
        <v>305</v>
      </c>
    </row>
    <row r="48" spans="1:35" x14ac:dyDescent="0.25">
      <c r="A48" s="41">
        <v>43467</v>
      </c>
      <c r="B48" s="29">
        <v>141.22999999999999</v>
      </c>
      <c r="C48" s="37">
        <f t="shared" si="0"/>
        <v>23.53833333333333</v>
      </c>
      <c r="D48" s="37">
        <v>4.6390000000000002</v>
      </c>
      <c r="E48" s="33">
        <f t="shared" si="2"/>
        <v>-1.3435157686324264E-3</v>
      </c>
      <c r="W48" t="s">
        <v>86</v>
      </c>
      <c r="X48">
        <v>8.7330000000000005</v>
      </c>
      <c r="Y48">
        <f t="shared" si="1"/>
        <v>17.466000000000001</v>
      </c>
      <c r="Z48">
        <v>17.466000000000001</v>
      </c>
      <c r="AB48" s="59" t="s">
        <v>461</v>
      </c>
      <c r="AC48">
        <v>318</v>
      </c>
    </row>
    <row r="49" spans="1:29" x14ac:dyDescent="0.25">
      <c r="A49" s="41">
        <v>43467</v>
      </c>
      <c r="B49" s="29">
        <v>141.01</v>
      </c>
      <c r="C49" s="37">
        <f t="shared" si="0"/>
        <v>23.501666666666665</v>
      </c>
      <c r="D49" s="37">
        <v>4.6390000000000002</v>
      </c>
      <c r="E49" s="33">
        <f t="shared" si="2"/>
        <v>-1.5577426892303256E-3</v>
      </c>
      <c r="W49" t="s">
        <v>87</v>
      </c>
      <c r="X49">
        <v>9.2200000000000006</v>
      </c>
      <c r="Y49">
        <f t="shared" si="1"/>
        <v>18.440000000000001</v>
      </c>
      <c r="Z49">
        <v>18.440000000000001</v>
      </c>
      <c r="AB49" s="59" t="s">
        <v>462</v>
      </c>
      <c r="AC49">
        <v>315</v>
      </c>
    </row>
    <row r="50" spans="1:29" x14ac:dyDescent="0.25">
      <c r="A50" s="41">
        <v>43468</v>
      </c>
      <c r="B50" s="29">
        <v>138.57</v>
      </c>
      <c r="C50" s="37">
        <f t="shared" si="0"/>
        <v>23.094999999999999</v>
      </c>
      <c r="D50" s="37">
        <v>4.47</v>
      </c>
      <c r="E50" s="33">
        <f t="shared" si="2"/>
        <v>-1.7303737323594057E-2</v>
      </c>
      <c r="W50" t="s">
        <v>88</v>
      </c>
      <c r="X50">
        <v>9.4280000000000008</v>
      </c>
      <c r="Y50">
        <f t="shared" si="1"/>
        <v>18.856000000000002</v>
      </c>
      <c r="Z50">
        <v>18.856000000000002</v>
      </c>
      <c r="AB50" s="59" t="s">
        <v>463</v>
      </c>
      <c r="AC50">
        <v>233</v>
      </c>
    </row>
    <row r="51" spans="1:29" x14ac:dyDescent="0.25">
      <c r="A51" s="41">
        <v>43468</v>
      </c>
      <c r="B51" s="29">
        <v>136.02000000000001</v>
      </c>
      <c r="C51" s="37">
        <f t="shared" si="0"/>
        <v>22.67</v>
      </c>
      <c r="D51" s="37">
        <v>4.47</v>
      </c>
      <c r="E51" s="33">
        <f t="shared" si="2"/>
        <v>-1.8402251569603689E-2</v>
      </c>
      <c r="W51" t="s">
        <v>89</v>
      </c>
      <c r="X51">
        <v>9.4440000000000008</v>
      </c>
      <c r="Y51">
        <f t="shared" si="1"/>
        <v>18.888000000000002</v>
      </c>
      <c r="Z51">
        <v>18.888000000000002</v>
      </c>
      <c r="AB51" s="59">
        <v>43658</v>
      </c>
      <c r="AC51">
        <v>216</v>
      </c>
    </row>
    <row r="52" spans="1:29" x14ac:dyDescent="0.25">
      <c r="A52" s="41">
        <v>43468</v>
      </c>
      <c r="B52" s="29">
        <v>134.84</v>
      </c>
      <c r="C52" s="37">
        <f t="shared" si="0"/>
        <v>22.473333333333333</v>
      </c>
      <c r="D52" s="37">
        <v>4.47</v>
      </c>
      <c r="E52" s="33">
        <f t="shared" si="2"/>
        <v>-8.6751948242905948E-3</v>
      </c>
      <c r="W52" t="s">
        <v>90</v>
      </c>
      <c r="X52">
        <v>8.9830000000000005</v>
      </c>
      <c r="Y52">
        <f t="shared" si="1"/>
        <v>17.966000000000001</v>
      </c>
      <c r="Z52">
        <v>17.966000000000001</v>
      </c>
      <c r="AB52" s="59" t="s">
        <v>464</v>
      </c>
      <c r="AC52">
        <v>225</v>
      </c>
    </row>
    <row r="53" spans="1:29" x14ac:dyDescent="0.25">
      <c r="A53" s="41">
        <v>43468</v>
      </c>
      <c r="B53" s="29">
        <v>134.37</v>
      </c>
      <c r="C53" s="37">
        <f t="shared" si="0"/>
        <v>22.395</v>
      </c>
      <c r="D53" s="37">
        <v>4.47</v>
      </c>
      <c r="E53" s="33">
        <f t="shared" si="2"/>
        <v>-3.4856125778700599E-3</v>
      </c>
      <c r="W53" t="s">
        <v>91</v>
      </c>
      <c r="X53">
        <v>8.4220000000000006</v>
      </c>
      <c r="Y53">
        <f t="shared" si="1"/>
        <v>16.844000000000001</v>
      </c>
      <c r="Z53">
        <v>16.844000000000001</v>
      </c>
      <c r="AB53" s="59" t="s">
        <v>465</v>
      </c>
      <c r="AC53">
        <v>194</v>
      </c>
    </row>
    <row r="54" spans="1:29" x14ac:dyDescent="0.25">
      <c r="A54" s="41">
        <v>43468</v>
      </c>
      <c r="B54" s="29">
        <v>133.84</v>
      </c>
      <c r="C54" s="37">
        <f t="shared" si="0"/>
        <v>22.306666666666668</v>
      </c>
      <c r="D54" s="37">
        <v>4.47</v>
      </c>
      <c r="E54" s="33">
        <f t="shared" si="2"/>
        <v>-3.9443328123837246E-3</v>
      </c>
      <c r="W54" t="s">
        <v>92</v>
      </c>
      <c r="X54">
        <v>7.8230000000000004</v>
      </c>
      <c r="Y54">
        <f t="shared" si="1"/>
        <v>15.646000000000001</v>
      </c>
      <c r="Z54">
        <v>15.646000000000001</v>
      </c>
      <c r="AB54" s="59" t="s">
        <v>466</v>
      </c>
      <c r="AC54">
        <v>287</v>
      </c>
    </row>
    <row r="55" spans="1:29" ht="15.75" thickBot="1" x14ac:dyDescent="0.3">
      <c r="A55" s="41">
        <v>43468</v>
      </c>
      <c r="B55" s="29">
        <v>134.72999999999999</v>
      </c>
      <c r="C55" s="37">
        <f t="shared" si="0"/>
        <v>22.454999999999998</v>
      </c>
      <c r="D55" s="37">
        <v>4.47</v>
      </c>
      <c r="E55" s="33">
        <f t="shared" si="2"/>
        <v>6.6497310221158576E-3</v>
      </c>
      <c r="W55" t="s">
        <v>93</v>
      </c>
      <c r="X55">
        <v>7.524</v>
      </c>
      <c r="Y55">
        <f t="shared" si="1"/>
        <v>15.048</v>
      </c>
      <c r="Z55">
        <v>15.048</v>
      </c>
      <c r="AB55" s="59"/>
    </row>
    <row r="56" spans="1:29" ht="15.75" thickBot="1" x14ac:dyDescent="0.3">
      <c r="A56" s="41">
        <v>43468</v>
      </c>
      <c r="B56" s="29">
        <v>135.9</v>
      </c>
      <c r="C56" s="37">
        <f t="shared" si="0"/>
        <v>22.65</v>
      </c>
      <c r="D56" s="37">
        <v>4.47</v>
      </c>
      <c r="E56" s="33">
        <f t="shared" si="2"/>
        <v>8.6840347361390631E-3</v>
      </c>
      <c r="O56" s="30" t="s">
        <v>39</v>
      </c>
      <c r="P56" s="31">
        <f>CORREL($B$2:$B$9505,$D$2:$D$9505)</f>
        <v>-0.38352853045925434</v>
      </c>
      <c r="W56" t="s">
        <v>94</v>
      </c>
      <c r="X56">
        <v>7.383</v>
      </c>
      <c r="Y56">
        <f t="shared" si="1"/>
        <v>14.765999999999998</v>
      </c>
      <c r="Z56">
        <v>14.765999999999998</v>
      </c>
      <c r="AB56" s="59"/>
    </row>
    <row r="57" spans="1:29" x14ac:dyDescent="0.25">
      <c r="A57" s="41">
        <v>43468</v>
      </c>
      <c r="B57" s="29">
        <v>138.41999999999999</v>
      </c>
      <c r="C57" s="37">
        <f t="shared" si="0"/>
        <v>23.069999999999997</v>
      </c>
      <c r="D57" s="37">
        <v>4.47</v>
      </c>
      <c r="E57" s="33">
        <f t="shared" si="2"/>
        <v>1.854304635761576E-2</v>
      </c>
      <c r="W57" t="s">
        <v>95</v>
      </c>
      <c r="X57">
        <v>7.6790000000000003</v>
      </c>
      <c r="Y57">
        <f t="shared" si="1"/>
        <v>15.357999999999999</v>
      </c>
      <c r="Z57">
        <v>15.357999999999999</v>
      </c>
      <c r="AB57" s="59"/>
    </row>
    <row r="58" spans="1:29" x14ac:dyDescent="0.25">
      <c r="A58" s="41">
        <v>43468</v>
      </c>
      <c r="B58" s="29">
        <v>140.03</v>
      </c>
      <c r="C58" s="37">
        <f t="shared" si="0"/>
        <v>23.338333333333335</v>
      </c>
      <c r="D58" s="37">
        <v>4.47</v>
      </c>
      <c r="E58" s="33">
        <f t="shared" si="2"/>
        <v>1.1631267157925255E-2</v>
      </c>
      <c r="W58" t="s">
        <v>96</v>
      </c>
      <c r="X58">
        <v>8.9849999999999994</v>
      </c>
      <c r="Y58">
        <f t="shared" si="1"/>
        <v>17.97</v>
      </c>
      <c r="Z58">
        <v>17.97</v>
      </c>
      <c r="AB58" s="59"/>
    </row>
    <row r="59" spans="1:29" ht="15.75" thickBot="1" x14ac:dyDescent="0.3">
      <c r="A59" s="41">
        <v>43468</v>
      </c>
      <c r="B59" s="29">
        <v>140.84</v>
      </c>
      <c r="C59" s="37">
        <f t="shared" si="0"/>
        <v>23.473333333333333</v>
      </c>
      <c r="D59" s="37">
        <v>4.47</v>
      </c>
      <c r="E59" s="33">
        <f t="shared" si="2"/>
        <v>5.7844747554095712E-3</v>
      </c>
      <c r="W59" t="s">
        <v>97</v>
      </c>
      <c r="X59">
        <v>9.891</v>
      </c>
      <c r="Y59">
        <f t="shared" si="1"/>
        <v>19.782</v>
      </c>
      <c r="Z59">
        <v>19.782</v>
      </c>
    </row>
    <row r="60" spans="1:29" x14ac:dyDescent="0.25">
      <c r="A60" s="41">
        <v>43468</v>
      </c>
      <c r="B60" s="29">
        <v>140.91999999999999</v>
      </c>
      <c r="C60" s="37">
        <f t="shared" si="0"/>
        <v>23.486666666666665</v>
      </c>
      <c r="D60" s="37">
        <v>4.47</v>
      </c>
      <c r="E60" s="33">
        <f t="shared" si="2"/>
        <v>5.6802044873604152E-4</v>
      </c>
      <c r="I60" s="150" t="s">
        <v>418</v>
      </c>
      <c r="J60" s="151"/>
      <c r="K60" s="151"/>
      <c r="L60" s="152"/>
      <c r="W60" t="s">
        <v>98</v>
      </c>
      <c r="X60">
        <v>9.6639999999999997</v>
      </c>
      <c r="Y60">
        <f t="shared" si="1"/>
        <v>19.327999999999999</v>
      </c>
      <c r="Z60">
        <v>19.327999999999999</v>
      </c>
    </row>
    <row r="61" spans="1:29" x14ac:dyDescent="0.25">
      <c r="A61" s="41">
        <v>43468</v>
      </c>
      <c r="B61" s="29">
        <v>140.91999999999999</v>
      </c>
      <c r="C61" s="37">
        <f t="shared" si="0"/>
        <v>23.486666666666665</v>
      </c>
      <c r="D61" s="37">
        <v>4.47</v>
      </c>
      <c r="E61" s="33">
        <f t="shared" si="2"/>
        <v>0</v>
      </c>
      <c r="I61" s="44" t="s">
        <v>419</v>
      </c>
      <c r="J61" s="45" t="s">
        <v>420</v>
      </c>
      <c r="K61" s="45" t="s">
        <v>421</v>
      </c>
      <c r="L61" s="46" t="s">
        <v>422</v>
      </c>
      <c r="W61" t="s">
        <v>99</v>
      </c>
      <c r="X61">
        <v>8.8040000000000003</v>
      </c>
      <c r="Y61">
        <f t="shared" si="1"/>
        <v>17.608000000000001</v>
      </c>
      <c r="Z61">
        <v>17.608000000000001</v>
      </c>
    </row>
    <row r="62" spans="1:29" x14ac:dyDescent="0.25">
      <c r="A62" s="41">
        <v>43468</v>
      </c>
      <c r="B62" s="29">
        <v>140.88999999999999</v>
      </c>
      <c r="C62" s="37">
        <f t="shared" si="0"/>
        <v>23.481666666666662</v>
      </c>
      <c r="D62" s="37">
        <v>4.47</v>
      </c>
      <c r="E62" s="33">
        <f t="shared" si="2"/>
        <v>-2.12886744252066E-4</v>
      </c>
      <c r="I62" s="47" t="s">
        <v>405</v>
      </c>
      <c r="J62" s="37">
        <v>-1.3726050900771799E-3</v>
      </c>
      <c r="K62" s="37">
        <v>1.9411567341694916E-3</v>
      </c>
      <c r="L62" s="33">
        <v>-1.3726050900771799E-3</v>
      </c>
      <c r="W62" t="s">
        <v>100</v>
      </c>
      <c r="X62">
        <v>7.7069999999999999</v>
      </c>
      <c r="Y62">
        <f t="shared" si="1"/>
        <v>15.413999999999998</v>
      </c>
      <c r="Z62">
        <v>15.413999999999998</v>
      </c>
    </row>
    <row r="63" spans="1:29" x14ac:dyDescent="0.25">
      <c r="A63" s="41">
        <v>43468</v>
      </c>
      <c r="B63" s="29">
        <v>140.9</v>
      </c>
      <c r="C63" s="37">
        <f t="shared" si="0"/>
        <v>23.483333333333334</v>
      </c>
      <c r="D63" s="37">
        <v>4.47</v>
      </c>
      <c r="E63" s="33">
        <f t="shared" si="2"/>
        <v>7.0977358222864127E-5</v>
      </c>
      <c r="I63" s="32" t="s">
        <v>406</v>
      </c>
      <c r="J63" s="37">
        <v>0.48115705167509365</v>
      </c>
      <c r="K63" s="37">
        <v>0.69328374913775126</v>
      </c>
      <c r="L63" s="33">
        <v>0.48115705167509365</v>
      </c>
      <c r="W63" t="s">
        <v>101</v>
      </c>
      <c r="X63">
        <v>6.8449999999999998</v>
      </c>
      <c r="Y63">
        <f t="shared" si="1"/>
        <v>13.69</v>
      </c>
      <c r="Z63">
        <v>13.69</v>
      </c>
    </row>
    <row r="64" spans="1:29" x14ac:dyDescent="0.25">
      <c r="A64" s="41">
        <v>43468</v>
      </c>
      <c r="B64" s="29">
        <v>140.91999999999999</v>
      </c>
      <c r="C64" s="37">
        <f t="shared" si="0"/>
        <v>23.486666666666665</v>
      </c>
      <c r="D64" s="37">
        <v>4.47</v>
      </c>
      <c r="E64" s="33">
        <f t="shared" si="2"/>
        <v>1.419446415896509E-4</v>
      </c>
      <c r="I64" s="32" t="s">
        <v>407</v>
      </c>
      <c r="J64" s="37">
        <v>-4.6419896069775438E-3</v>
      </c>
      <c r="K64" s="37">
        <v>1.1199121534840314E-2</v>
      </c>
      <c r="L64" s="33">
        <v>-4.6419896069775438E-3</v>
      </c>
      <c r="W64" t="s">
        <v>102</v>
      </c>
      <c r="X64">
        <v>6.2640000000000002</v>
      </c>
      <c r="Y64">
        <f t="shared" si="1"/>
        <v>12.527999999999999</v>
      </c>
      <c r="Z64">
        <v>12.527999999999999</v>
      </c>
    </row>
    <row r="65" spans="1:26" x14ac:dyDescent="0.25">
      <c r="A65" s="41">
        <v>43468</v>
      </c>
      <c r="B65" s="29">
        <v>140.91999999999999</v>
      </c>
      <c r="C65" s="37">
        <f t="shared" si="0"/>
        <v>23.486666666666665</v>
      </c>
      <c r="D65" s="37">
        <v>4.47</v>
      </c>
      <c r="E65" s="33">
        <f t="shared" si="2"/>
        <v>0</v>
      </c>
      <c r="I65" s="32" t="s">
        <v>408</v>
      </c>
      <c r="J65" s="37">
        <v>-5.0754438967289227E-3</v>
      </c>
      <c r="K65" s="37">
        <v>2.5858615701724425E-4</v>
      </c>
      <c r="L65" s="33">
        <v>-5.0754438967289227E-3</v>
      </c>
      <c r="W65" t="s">
        <v>103</v>
      </c>
      <c r="X65">
        <v>6.0430000000000001</v>
      </c>
      <c r="Y65">
        <f t="shared" si="1"/>
        <v>12.086000000000002</v>
      </c>
      <c r="Z65">
        <v>12.086000000000002</v>
      </c>
    </row>
    <row r="66" spans="1:26" x14ac:dyDescent="0.25">
      <c r="A66" s="41">
        <v>43468</v>
      </c>
      <c r="B66" s="29">
        <v>140.91999999999999</v>
      </c>
      <c r="C66" s="37">
        <f t="shared" si="0"/>
        <v>23.486666666666665</v>
      </c>
      <c r="D66" s="37">
        <v>4.47</v>
      </c>
      <c r="E66" s="33">
        <f t="shared" si="2"/>
        <v>0</v>
      </c>
      <c r="I66" s="32" t="s">
        <v>409</v>
      </c>
      <c r="J66" s="37">
        <v>-0.3769968051118211</v>
      </c>
      <c r="K66" s="37">
        <v>0.53315399476046399</v>
      </c>
      <c r="L66" s="33">
        <v>-0.3769968051118211</v>
      </c>
      <c r="W66" t="s">
        <v>104</v>
      </c>
      <c r="X66">
        <v>6.2359999999999998</v>
      </c>
      <c r="Y66">
        <f t="shared" si="1"/>
        <v>12.472000000000001</v>
      </c>
      <c r="Z66">
        <v>12.472000000000001</v>
      </c>
    </row>
    <row r="67" spans="1:26" x14ac:dyDescent="0.25">
      <c r="A67" s="41">
        <v>43468</v>
      </c>
      <c r="B67" s="29">
        <v>140.80000000000001</v>
      </c>
      <c r="C67" s="37">
        <f t="shared" ref="C67:C130" si="3">(B67*100/600)</f>
        <v>23.466666666666669</v>
      </c>
      <c r="D67" s="37">
        <v>4.47</v>
      </c>
      <c r="E67" s="33">
        <f t="shared" si="2"/>
        <v>-8.5154697700806224E-4</v>
      </c>
      <c r="I67" s="32" t="s">
        <v>410</v>
      </c>
      <c r="J67" s="37">
        <v>-7.0222273808833377E-3</v>
      </c>
      <c r="K67" s="37">
        <v>9.9309292001129139E-3</v>
      </c>
      <c r="L67" s="33">
        <v>-7.0222273808833377E-3</v>
      </c>
      <c r="W67" t="s">
        <v>105</v>
      </c>
      <c r="X67">
        <v>7.8019999999999996</v>
      </c>
      <c r="Y67">
        <f t="shared" ref="Y67:Y130" si="4">(X67*100/50)</f>
        <v>15.603999999999999</v>
      </c>
      <c r="Z67">
        <v>15.603999999999999</v>
      </c>
    </row>
    <row r="68" spans="1:26" x14ac:dyDescent="0.25">
      <c r="A68" s="41">
        <v>43468</v>
      </c>
      <c r="B68" s="29">
        <v>140.25</v>
      </c>
      <c r="C68" s="37">
        <f t="shared" si="3"/>
        <v>23.375</v>
      </c>
      <c r="D68" s="37">
        <v>4.47</v>
      </c>
      <c r="E68" s="33">
        <f t="shared" ref="E68:E131" si="5">(B68-B67)/B67</f>
        <v>-3.9062500000000807E-3</v>
      </c>
      <c r="I68" s="32" t="s">
        <v>411</v>
      </c>
      <c r="J68" s="37">
        <v>7.3451588481743945E-3</v>
      </c>
      <c r="K68" s="37">
        <v>1.874739038504988E-2</v>
      </c>
      <c r="L68" s="33">
        <v>7.3451588481743945E-3</v>
      </c>
      <c r="W68" t="s">
        <v>106</v>
      </c>
      <c r="X68">
        <v>10.189</v>
      </c>
      <c r="Y68">
        <f t="shared" si="4"/>
        <v>20.378</v>
      </c>
      <c r="Z68">
        <v>20.378</v>
      </c>
    </row>
    <row r="69" spans="1:26" x14ac:dyDescent="0.25">
      <c r="A69" s="41">
        <v>43468</v>
      </c>
      <c r="B69" s="29">
        <v>140.04</v>
      </c>
      <c r="C69" s="37">
        <f t="shared" si="3"/>
        <v>23.34</v>
      </c>
      <c r="D69" s="37">
        <v>4.47</v>
      </c>
      <c r="E69" s="33">
        <f t="shared" si="5"/>
        <v>-1.4973262032086129E-3</v>
      </c>
      <c r="I69" s="32" t="s">
        <v>412</v>
      </c>
      <c r="J69" s="37">
        <v>-1.1186419139668159E-2</v>
      </c>
      <c r="K69" s="37">
        <v>4.670713357600032E-3</v>
      </c>
      <c r="L69" s="33">
        <v>-1.1186419139668159E-2</v>
      </c>
      <c r="W69" t="s">
        <v>107</v>
      </c>
      <c r="X69">
        <v>10.962999999999999</v>
      </c>
      <c r="Y69">
        <f t="shared" si="4"/>
        <v>21.925999999999998</v>
      </c>
      <c r="Z69">
        <v>21.925999999999998</v>
      </c>
    </row>
    <row r="70" spans="1:26" x14ac:dyDescent="0.25">
      <c r="A70" s="41">
        <v>43468</v>
      </c>
      <c r="B70" s="29">
        <v>140.72</v>
      </c>
      <c r="C70" s="37">
        <f t="shared" si="3"/>
        <v>23.453333333333333</v>
      </c>
      <c r="D70" s="37">
        <v>4.47</v>
      </c>
      <c r="E70" s="33">
        <f t="shared" si="5"/>
        <v>4.8557554984290695E-3</v>
      </c>
      <c r="I70" s="32" t="s">
        <v>413</v>
      </c>
      <c r="J70" s="37">
        <v>-1.6051664402307774E-2</v>
      </c>
      <c r="K70" s="37">
        <v>1.1452593968877862E-2</v>
      </c>
      <c r="L70" s="33">
        <v>-1.6051664402307774E-2</v>
      </c>
      <c r="W70" t="s">
        <v>108</v>
      </c>
      <c r="X70">
        <v>11.052</v>
      </c>
      <c r="Y70">
        <f t="shared" si="4"/>
        <v>22.103999999999999</v>
      </c>
      <c r="Z70">
        <v>22.103999999999999</v>
      </c>
    </row>
    <row r="71" spans="1:26" x14ac:dyDescent="0.25">
      <c r="A71" s="41">
        <v>43468</v>
      </c>
      <c r="B71" s="29">
        <v>140.69999999999999</v>
      </c>
      <c r="C71" s="37">
        <f t="shared" si="3"/>
        <v>23.449999999999996</v>
      </c>
      <c r="D71" s="37">
        <v>4.47</v>
      </c>
      <c r="E71" s="33">
        <f t="shared" si="5"/>
        <v>-1.4212620807284133E-4</v>
      </c>
      <c r="I71" s="32" t="s">
        <v>414</v>
      </c>
      <c r="J71" s="37">
        <v>-2.1721951749240832E-2</v>
      </c>
      <c r="K71" s="37">
        <v>1.2977507713022972E-2</v>
      </c>
      <c r="L71" s="33">
        <v>-2.1721951749240832E-2</v>
      </c>
      <c r="W71" t="s">
        <v>109</v>
      </c>
      <c r="X71">
        <v>10.829000000000001</v>
      </c>
      <c r="Y71">
        <f t="shared" si="4"/>
        <v>21.658000000000001</v>
      </c>
      <c r="Z71">
        <v>21.658000000000001</v>
      </c>
    </row>
    <row r="72" spans="1:26" x14ac:dyDescent="0.25">
      <c r="A72" s="41">
        <v>43468</v>
      </c>
      <c r="B72" s="29">
        <v>140.66999999999999</v>
      </c>
      <c r="C72" s="37">
        <f t="shared" si="3"/>
        <v>23.444999999999997</v>
      </c>
      <c r="D72" s="37">
        <v>4.47</v>
      </c>
      <c r="E72" s="33">
        <f t="shared" si="5"/>
        <v>-2.1321961620469893E-4</v>
      </c>
      <c r="I72" s="32" t="s">
        <v>415</v>
      </c>
      <c r="J72" s="37">
        <v>-1.6134335458034374E-2</v>
      </c>
      <c r="K72" s="37">
        <v>1.5934980147954997E-2</v>
      </c>
      <c r="L72" s="33">
        <v>-1.6134335458034374E-2</v>
      </c>
      <c r="W72" t="s">
        <v>110</v>
      </c>
      <c r="X72">
        <v>11.971</v>
      </c>
      <c r="Y72">
        <f t="shared" si="4"/>
        <v>23.941999999999997</v>
      </c>
      <c r="Z72">
        <v>23.941999999999997</v>
      </c>
    </row>
    <row r="73" spans="1:26" x14ac:dyDescent="0.25">
      <c r="A73" s="41">
        <v>43468</v>
      </c>
      <c r="B73" s="29">
        <v>140.4</v>
      </c>
      <c r="C73" s="37">
        <f t="shared" si="3"/>
        <v>23.4</v>
      </c>
      <c r="D73" s="37">
        <v>4.47</v>
      </c>
      <c r="E73" s="33">
        <f t="shared" si="5"/>
        <v>-1.9193857965449765E-3</v>
      </c>
      <c r="I73" s="32" t="s">
        <v>416</v>
      </c>
      <c r="J73" s="37">
        <v>-1.2107045017296635E-2</v>
      </c>
      <c r="K73" s="37">
        <v>1.0082372287277874E-2</v>
      </c>
      <c r="L73" s="33">
        <v>-1.2107045017296635E-2</v>
      </c>
      <c r="W73" t="s">
        <v>111</v>
      </c>
      <c r="X73">
        <v>14.702999999999999</v>
      </c>
      <c r="Y73">
        <f t="shared" si="4"/>
        <v>29.405999999999999</v>
      </c>
      <c r="Z73">
        <v>29.405999999999999</v>
      </c>
    </row>
    <row r="74" spans="1:26" ht="15.75" thickBot="1" x14ac:dyDescent="0.3">
      <c r="A74" s="41">
        <v>43469</v>
      </c>
      <c r="B74" s="29">
        <v>140.38999999999999</v>
      </c>
      <c r="C74" s="37">
        <f t="shared" si="3"/>
        <v>23.39833333333333</v>
      </c>
      <c r="D74" s="37">
        <v>4.3620000000000001</v>
      </c>
      <c r="E74" s="33">
        <f t="shared" si="5"/>
        <v>-7.1225071225208874E-5</v>
      </c>
      <c r="I74" s="34" t="s">
        <v>417</v>
      </c>
      <c r="J74" s="38">
        <v>-4.9034135301883044E-3</v>
      </c>
      <c r="K74" s="38"/>
      <c r="L74" s="35"/>
      <c r="W74" t="s">
        <v>112</v>
      </c>
      <c r="X74">
        <v>14.198</v>
      </c>
      <c r="Y74">
        <f t="shared" si="4"/>
        <v>28.396000000000001</v>
      </c>
      <c r="Z74">
        <v>28.396000000000001</v>
      </c>
    </row>
    <row r="75" spans="1:26" x14ac:dyDescent="0.25">
      <c r="A75" s="41">
        <v>43469</v>
      </c>
      <c r="B75" s="29">
        <v>139.83000000000001</v>
      </c>
      <c r="C75" s="37">
        <f t="shared" si="3"/>
        <v>23.305000000000003</v>
      </c>
      <c r="D75" s="37">
        <v>4.3620000000000001</v>
      </c>
      <c r="E75" s="33">
        <f t="shared" si="5"/>
        <v>-3.9888880974426524E-3</v>
      </c>
      <c r="W75" t="s">
        <v>113</v>
      </c>
      <c r="X75">
        <v>12.939</v>
      </c>
      <c r="Y75">
        <f t="shared" si="4"/>
        <v>25.878</v>
      </c>
      <c r="Z75">
        <v>25.878</v>
      </c>
    </row>
    <row r="76" spans="1:26" x14ac:dyDescent="0.25">
      <c r="A76" s="41">
        <v>43469</v>
      </c>
      <c r="B76" s="29">
        <v>139.75</v>
      </c>
      <c r="C76" s="37">
        <f t="shared" si="3"/>
        <v>23.291666666666668</v>
      </c>
      <c r="D76" s="37">
        <v>4.3620000000000001</v>
      </c>
      <c r="E76" s="33">
        <f t="shared" si="5"/>
        <v>-5.7212329256963812E-4</v>
      </c>
      <c r="W76" t="s">
        <v>114</v>
      </c>
      <c r="X76">
        <v>11.868</v>
      </c>
      <c r="Y76">
        <f t="shared" si="4"/>
        <v>23.736000000000001</v>
      </c>
      <c r="Z76">
        <v>23.736000000000001</v>
      </c>
    </row>
    <row r="77" spans="1:26" x14ac:dyDescent="0.25">
      <c r="A77" s="41">
        <v>43469</v>
      </c>
      <c r="B77" s="29">
        <v>139.46</v>
      </c>
      <c r="C77" s="37">
        <f t="shared" si="3"/>
        <v>23.243333333333332</v>
      </c>
      <c r="D77" s="37">
        <v>4.3620000000000001</v>
      </c>
      <c r="E77" s="33">
        <f t="shared" si="5"/>
        <v>-2.0751341681573671E-3</v>
      </c>
      <c r="W77" t="s">
        <v>115</v>
      </c>
      <c r="X77">
        <v>11.864000000000001</v>
      </c>
      <c r="Y77">
        <f t="shared" si="4"/>
        <v>23.728000000000002</v>
      </c>
      <c r="Z77">
        <v>23.728000000000002</v>
      </c>
    </row>
    <row r="78" spans="1:26" x14ac:dyDescent="0.25">
      <c r="A78" s="41">
        <v>43469</v>
      </c>
      <c r="B78" s="29">
        <v>139.38999999999999</v>
      </c>
      <c r="C78" s="37">
        <f t="shared" si="3"/>
        <v>23.231666666666662</v>
      </c>
      <c r="D78" s="37">
        <v>4.3620000000000001</v>
      </c>
      <c r="E78" s="33">
        <f t="shared" si="5"/>
        <v>-5.019360390077556E-4</v>
      </c>
      <c r="W78" t="s">
        <v>116</v>
      </c>
      <c r="X78">
        <v>12.57</v>
      </c>
      <c r="Y78">
        <f t="shared" si="4"/>
        <v>25.14</v>
      </c>
      <c r="Z78">
        <v>25.14</v>
      </c>
    </row>
    <row r="79" spans="1:26" x14ac:dyDescent="0.25">
      <c r="A79" s="41">
        <v>43469</v>
      </c>
      <c r="B79" s="29">
        <v>139.55000000000001</v>
      </c>
      <c r="C79" s="37">
        <f t="shared" si="3"/>
        <v>23.258333333333336</v>
      </c>
      <c r="D79" s="37">
        <v>4.3620000000000001</v>
      </c>
      <c r="E79" s="33">
        <f t="shared" si="5"/>
        <v>1.1478585264367961E-3</v>
      </c>
      <c r="W79" t="s">
        <v>117</v>
      </c>
      <c r="X79">
        <v>13.695</v>
      </c>
      <c r="Y79">
        <f t="shared" si="4"/>
        <v>27.39</v>
      </c>
      <c r="Z79">
        <v>27.39</v>
      </c>
    </row>
    <row r="80" spans="1:26" x14ac:dyDescent="0.25">
      <c r="A80" s="41">
        <v>43469</v>
      </c>
      <c r="B80" s="29">
        <v>139.81</v>
      </c>
      <c r="C80" s="37">
        <f t="shared" si="3"/>
        <v>23.301666666666666</v>
      </c>
      <c r="D80" s="37">
        <v>4.3620000000000001</v>
      </c>
      <c r="E80" s="33">
        <f t="shared" si="5"/>
        <v>1.8631314940880752E-3</v>
      </c>
      <c r="W80" t="s">
        <v>118</v>
      </c>
      <c r="X80">
        <v>13.074</v>
      </c>
      <c r="Y80">
        <f t="shared" si="4"/>
        <v>26.148000000000003</v>
      </c>
      <c r="Z80">
        <v>26.148000000000003</v>
      </c>
    </row>
    <row r="81" spans="1:26" x14ac:dyDescent="0.25">
      <c r="A81" s="41">
        <v>43469</v>
      </c>
      <c r="B81" s="29">
        <v>140.22</v>
      </c>
      <c r="C81" s="37">
        <f t="shared" si="3"/>
        <v>23.37</v>
      </c>
      <c r="D81" s="37">
        <v>4.3620000000000001</v>
      </c>
      <c r="E81" s="33">
        <f t="shared" si="5"/>
        <v>2.9325513196480696E-3</v>
      </c>
      <c r="W81" t="s">
        <v>119</v>
      </c>
      <c r="X81">
        <v>11.629</v>
      </c>
      <c r="Y81">
        <f t="shared" si="4"/>
        <v>23.257999999999996</v>
      </c>
      <c r="Z81">
        <v>23.257999999999996</v>
      </c>
    </row>
    <row r="82" spans="1:26" x14ac:dyDescent="0.25">
      <c r="A82" s="41">
        <v>43469</v>
      </c>
      <c r="B82" s="29">
        <v>140.74</v>
      </c>
      <c r="C82" s="37">
        <f t="shared" si="3"/>
        <v>23.456666666666667</v>
      </c>
      <c r="D82" s="37">
        <v>4.3620000000000001</v>
      </c>
      <c r="E82" s="33">
        <f t="shared" si="5"/>
        <v>3.7084581372130239E-3</v>
      </c>
      <c r="W82" t="s">
        <v>120</v>
      </c>
      <c r="X82">
        <v>10.220000000000001</v>
      </c>
      <c r="Y82">
        <f t="shared" si="4"/>
        <v>20.440000000000001</v>
      </c>
      <c r="Z82">
        <v>20.440000000000001</v>
      </c>
    </row>
    <row r="83" spans="1:26" x14ac:dyDescent="0.25">
      <c r="A83" s="41">
        <v>43469</v>
      </c>
      <c r="B83" s="29">
        <v>141.82</v>
      </c>
      <c r="C83" s="37">
        <f t="shared" si="3"/>
        <v>23.636666666666667</v>
      </c>
      <c r="D83" s="37">
        <v>4.3620000000000001</v>
      </c>
      <c r="E83" s="33">
        <f t="shared" si="5"/>
        <v>7.6737245985504052E-3</v>
      </c>
      <c r="W83" t="s">
        <v>121</v>
      </c>
      <c r="X83">
        <v>9.3420000000000005</v>
      </c>
      <c r="Y83">
        <f t="shared" si="4"/>
        <v>18.684000000000001</v>
      </c>
      <c r="Z83">
        <v>18.684000000000001</v>
      </c>
    </row>
    <row r="84" spans="1:26" x14ac:dyDescent="0.25">
      <c r="A84" s="41">
        <v>43469</v>
      </c>
      <c r="B84" s="29">
        <v>142.19</v>
      </c>
      <c r="C84" s="37">
        <f t="shared" si="3"/>
        <v>23.698333333333334</v>
      </c>
      <c r="D84" s="37">
        <v>4.3620000000000001</v>
      </c>
      <c r="E84" s="33">
        <f t="shared" si="5"/>
        <v>2.6089409110139935E-3</v>
      </c>
      <c r="W84" t="s">
        <v>122</v>
      </c>
      <c r="X84">
        <v>8.5069999999999997</v>
      </c>
      <c r="Y84">
        <f t="shared" si="4"/>
        <v>17.013999999999999</v>
      </c>
      <c r="Z84">
        <v>17.013999999999999</v>
      </c>
    </row>
    <row r="85" spans="1:26" x14ac:dyDescent="0.25">
      <c r="A85" s="41">
        <v>43469</v>
      </c>
      <c r="B85" s="29">
        <v>142.25</v>
      </c>
      <c r="C85" s="37">
        <f t="shared" si="3"/>
        <v>23.708333333333332</v>
      </c>
      <c r="D85" s="37">
        <v>4.3620000000000001</v>
      </c>
      <c r="E85" s="33">
        <f t="shared" si="5"/>
        <v>4.2197060271469356E-4</v>
      </c>
      <c r="W85" t="s">
        <v>123</v>
      </c>
      <c r="X85">
        <v>7.718</v>
      </c>
      <c r="Y85">
        <f t="shared" si="4"/>
        <v>15.436</v>
      </c>
      <c r="Z85">
        <v>15.436</v>
      </c>
    </row>
    <row r="86" spans="1:26" x14ac:dyDescent="0.25">
      <c r="A86" s="41">
        <v>43469</v>
      </c>
      <c r="B86" s="29">
        <v>142.08000000000001</v>
      </c>
      <c r="C86" s="37">
        <f t="shared" si="3"/>
        <v>23.680000000000003</v>
      </c>
      <c r="D86" s="37">
        <v>4.3620000000000001</v>
      </c>
      <c r="E86" s="33">
        <f t="shared" si="5"/>
        <v>-1.1950790861159051E-3</v>
      </c>
      <c r="W86" t="s">
        <v>124</v>
      </c>
      <c r="X86">
        <v>7.1479999999999997</v>
      </c>
      <c r="Y86">
        <f t="shared" si="4"/>
        <v>14.295999999999999</v>
      </c>
      <c r="Z86">
        <v>14.295999999999999</v>
      </c>
    </row>
    <row r="87" spans="1:26" x14ac:dyDescent="0.25">
      <c r="A87" s="41">
        <v>43469</v>
      </c>
      <c r="B87" s="29">
        <v>143.27000000000001</v>
      </c>
      <c r="C87" s="37">
        <f t="shared" si="3"/>
        <v>23.878333333333337</v>
      </c>
      <c r="D87" s="37">
        <v>4.3620000000000001</v>
      </c>
      <c r="E87" s="33">
        <f t="shared" si="5"/>
        <v>8.3755630630630469E-3</v>
      </c>
      <c r="W87" t="s">
        <v>125</v>
      </c>
      <c r="X87">
        <v>6.6429999999999998</v>
      </c>
      <c r="Y87">
        <f t="shared" si="4"/>
        <v>13.286</v>
      </c>
      <c r="Z87">
        <v>13.286</v>
      </c>
    </row>
    <row r="88" spans="1:26" x14ac:dyDescent="0.25">
      <c r="A88" s="41">
        <v>43469</v>
      </c>
      <c r="B88" s="29">
        <v>144.19</v>
      </c>
      <c r="C88" s="37">
        <f t="shared" si="3"/>
        <v>24.031666666666666</v>
      </c>
      <c r="D88" s="37">
        <v>4.3620000000000001</v>
      </c>
      <c r="E88" s="33">
        <f t="shared" si="5"/>
        <v>6.4214420325259119E-3</v>
      </c>
      <c r="W88" t="s">
        <v>126</v>
      </c>
      <c r="X88">
        <v>6.2750000000000004</v>
      </c>
      <c r="Y88">
        <f t="shared" si="4"/>
        <v>12.55</v>
      </c>
      <c r="Z88">
        <v>12.55</v>
      </c>
    </row>
    <row r="89" spans="1:26" x14ac:dyDescent="0.25">
      <c r="A89" s="41">
        <v>43469</v>
      </c>
      <c r="B89" s="29">
        <v>144.03</v>
      </c>
      <c r="C89" s="37">
        <f t="shared" si="3"/>
        <v>24.004999999999999</v>
      </c>
      <c r="D89" s="37">
        <v>4.3620000000000001</v>
      </c>
      <c r="E89" s="33">
        <f t="shared" si="5"/>
        <v>-1.1096469935501531E-3</v>
      </c>
      <c r="W89" t="s">
        <v>127</v>
      </c>
      <c r="X89">
        <v>5.8730000000000002</v>
      </c>
      <c r="Y89">
        <f t="shared" si="4"/>
        <v>11.746000000000002</v>
      </c>
      <c r="Z89">
        <v>11.746000000000002</v>
      </c>
    </row>
    <row r="90" spans="1:26" x14ac:dyDescent="0.25">
      <c r="A90" s="41">
        <v>43469</v>
      </c>
      <c r="B90" s="29">
        <v>143.09</v>
      </c>
      <c r="C90" s="37">
        <f t="shared" si="3"/>
        <v>23.848333333333333</v>
      </c>
      <c r="D90" s="37">
        <v>4.3620000000000001</v>
      </c>
      <c r="E90" s="33">
        <f t="shared" si="5"/>
        <v>-6.5264181073387334E-3</v>
      </c>
      <c r="W90" t="s">
        <v>128</v>
      </c>
      <c r="X90">
        <v>5.4880000000000004</v>
      </c>
      <c r="Y90">
        <f t="shared" si="4"/>
        <v>10.976000000000001</v>
      </c>
      <c r="Z90">
        <v>10.976000000000001</v>
      </c>
    </row>
    <row r="91" spans="1:26" x14ac:dyDescent="0.25">
      <c r="A91" s="41">
        <v>43469</v>
      </c>
      <c r="B91" s="29">
        <v>141.46</v>
      </c>
      <c r="C91" s="37">
        <f t="shared" si="3"/>
        <v>23.576666666666668</v>
      </c>
      <c r="D91" s="37">
        <v>4.3620000000000001</v>
      </c>
      <c r="E91" s="33">
        <f t="shared" si="5"/>
        <v>-1.1391431965895558E-2</v>
      </c>
      <c r="W91" t="s">
        <v>129</v>
      </c>
      <c r="X91">
        <v>5.133</v>
      </c>
      <c r="Y91">
        <f t="shared" si="4"/>
        <v>10.265999999999998</v>
      </c>
      <c r="Z91">
        <v>10.265999999999998</v>
      </c>
    </row>
    <row r="92" spans="1:26" x14ac:dyDescent="0.25">
      <c r="A92" s="41">
        <v>43469</v>
      </c>
      <c r="B92" s="29">
        <v>139.91</v>
      </c>
      <c r="C92" s="37">
        <f t="shared" si="3"/>
        <v>23.318333333333332</v>
      </c>
      <c r="D92" s="37">
        <v>4.3620000000000001</v>
      </c>
      <c r="E92" s="33">
        <f t="shared" si="5"/>
        <v>-1.0957161034921612E-2</v>
      </c>
      <c r="W92" t="s">
        <v>130</v>
      </c>
      <c r="X92">
        <v>4.8410000000000002</v>
      </c>
      <c r="Y92">
        <f t="shared" si="4"/>
        <v>9.6820000000000004</v>
      </c>
      <c r="Z92">
        <v>9.6820000000000004</v>
      </c>
    </row>
    <row r="93" spans="1:26" x14ac:dyDescent="0.25">
      <c r="A93" s="41">
        <v>43469</v>
      </c>
      <c r="B93" s="29">
        <v>139.88</v>
      </c>
      <c r="C93" s="37">
        <f t="shared" si="3"/>
        <v>23.313333333333333</v>
      </c>
      <c r="D93" s="37">
        <v>4.3620000000000001</v>
      </c>
      <c r="E93" s="33">
        <f t="shared" si="5"/>
        <v>-2.1442355800158056E-4</v>
      </c>
      <c r="W93" t="s">
        <v>131</v>
      </c>
      <c r="X93">
        <v>4.6429999999999998</v>
      </c>
      <c r="Y93">
        <f t="shared" si="4"/>
        <v>9.2859999999999996</v>
      </c>
      <c r="Z93">
        <v>9.2859999999999996</v>
      </c>
    </row>
    <row r="94" spans="1:26" x14ac:dyDescent="0.25">
      <c r="A94" s="41">
        <v>43469</v>
      </c>
      <c r="B94" s="29">
        <v>140.09</v>
      </c>
      <c r="C94" s="37">
        <f t="shared" si="3"/>
        <v>23.348333333333333</v>
      </c>
      <c r="D94" s="37">
        <v>4.3620000000000001</v>
      </c>
      <c r="E94" s="33">
        <f t="shared" si="5"/>
        <v>1.5012868172720043E-3</v>
      </c>
      <c r="W94" t="s">
        <v>132</v>
      </c>
      <c r="X94">
        <v>4.5529999999999999</v>
      </c>
      <c r="Y94">
        <f t="shared" si="4"/>
        <v>9.1059999999999999</v>
      </c>
      <c r="Z94">
        <v>9.1059999999999999</v>
      </c>
    </row>
    <row r="95" spans="1:26" x14ac:dyDescent="0.25">
      <c r="A95" s="41">
        <v>43469</v>
      </c>
      <c r="B95" s="29">
        <v>140.31</v>
      </c>
      <c r="C95" s="37">
        <f t="shared" si="3"/>
        <v>23.385000000000002</v>
      </c>
      <c r="D95" s="37">
        <v>4.3620000000000001</v>
      </c>
      <c r="E95" s="33">
        <f t="shared" si="5"/>
        <v>1.5704190163466261E-3</v>
      </c>
      <c r="W95" t="s">
        <v>133</v>
      </c>
      <c r="X95">
        <v>4.62</v>
      </c>
      <c r="Y95">
        <f t="shared" si="4"/>
        <v>9.24</v>
      </c>
      <c r="Z95">
        <v>9.24</v>
      </c>
    </row>
    <row r="96" spans="1:26" x14ac:dyDescent="0.25">
      <c r="A96" s="41">
        <v>43469</v>
      </c>
      <c r="B96" s="29">
        <v>140.25</v>
      </c>
      <c r="C96" s="37">
        <f t="shared" si="3"/>
        <v>23.375</v>
      </c>
      <c r="D96" s="37">
        <v>4.3620000000000001</v>
      </c>
      <c r="E96" s="33">
        <f t="shared" si="5"/>
        <v>-4.2762454564893645E-4</v>
      </c>
      <c r="W96" t="s">
        <v>134</v>
      </c>
      <c r="X96">
        <v>5.0090000000000003</v>
      </c>
      <c r="Y96">
        <f t="shared" si="4"/>
        <v>10.018000000000001</v>
      </c>
      <c r="Z96">
        <v>10.018000000000001</v>
      </c>
    </row>
    <row r="97" spans="1:26" x14ac:dyDescent="0.25">
      <c r="A97" s="41">
        <v>43469</v>
      </c>
      <c r="B97" s="29">
        <v>139.97999999999999</v>
      </c>
      <c r="C97" s="37">
        <f t="shared" si="3"/>
        <v>23.33</v>
      </c>
      <c r="D97" s="37">
        <v>4.3620000000000001</v>
      </c>
      <c r="E97" s="33">
        <f t="shared" si="5"/>
        <v>-1.9251336898396451E-3</v>
      </c>
      <c r="W97" t="s">
        <v>135</v>
      </c>
      <c r="X97">
        <v>5.3929999999999998</v>
      </c>
      <c r="Y97">
        <f t="shared" si="4"/>
        <v>10.786</v>
      </c>
      <c r="Z97">
        <v>10.786</v>
      </c>
    </row>
    <row r="98" spans="1:26" x14ac:dyDescent="0.25">
      <c r="A98" s="41">
        <v>43470</v>
      </c>
      <c r="B98" s="29">
        <v>138.13</v>
      </c>
      <c r="C98" s="37">
        <f t="shared" si="3"/>
        <v>23.021666666666668</v>
      </c>
      <c r="D98" s="37">
        <v>4.5789999999999997</v>
      </c>
      <c r="E98" s="33">
        <f t="shared" si="5"/>
        <v>-1.3216173739105547E-2</v>
      </c>
      <c r="W98" t="s">
        <v>136</v>
      </c>
      <c r="X98">
        <v>6.06</v>
      </c>
      <c r="Y98">
        <f t="shared" si="4"/>
        <v>12.12</v>
      </c>
      <c r="Z98">
        <v>12.12</v>
      </c>
    </row>
    <row r="99" spans="1:26" x14ac:dyDescent="0.25">
      <c r="A99" s="41">
        <v>43470</v>
      </c>
      <c r="B99" s="29">
        <v>138</v>
      </c>
      <c r="C99" s="37">
        <f t="shared" si="3"/>
        <v>23</v>
      </c>
      <c r="D99" s="37">
        <v>4.5789999999999997</v>
      </c>
      <c r="E99" s="33">
        <f t="shared" si="5"/>
        <v>-9.4114240208495947E-4</v>
      </c>
      <c r="W99" t="s">
        <v>137</v>
      </c>
      <c r="X99">
        <v>6.9379999999999997</v>
      </c>
      <c r="Y99">
        <f t="shared" si="4"/>
        <v>13.875999999999999</v>
      </c>
      <c r="Z99">
        <v>13.875999999999999</v>
      </c>
    </row>
    <row r="100" spans="1:26" x14ac:dyDescent="0.25">
      <c r="A100" s="41">
        <v>43470</v>
      </c>
      <c r="B100" s="29">
        <v>137.88</v>
      </c>
      <c r="C100" s="37">
        <f t="shared" si="3"/>
        <v>22.98</v>
      </c>
      <c r="D100" s="37">
        <v>4.5789999999999997</v>
      </c>
      <c r="E100" s="33">
        <f t="shared" si="5"/>
        <v>-8.6956521739133734E-4</v>
      </c>
      <c r="W100" t="s">
        <v>138</v>
      </c>
      <c r="X100">
        <v>7.37</v>
      </c>
      <c r="Y100">
        <f t="shared" si="4"/>
        <v>14.74</v>
      </c>
      <c r="Z100">
        <v>14.74</v>
      </c>
    </row>
    <row r="101" spans="1:26" x14ac:dyDescent="0.25">
      <c r="A101" s="41">
        <v>43470</v>
      </c>
      <c r="B101" s="29">
        <v>137.43</v>
      </c>
      <c r="C101" s="37">
        <f t="shared" si="3"/>
        <v>22.905000000000001</v>
      </c>
      <c r="D101" s="37">
        <v>4.5789999999999997</v>
      </c>
      <c r="E101" s="33">
        <f t="shared" si="5"/>
        <v>-3.2637075718014844E-3</v>
      </c>
      <c r="W101" t="s">
        <v>139</v>
      </c>
      <c r="X101">
        <v>7.5609999999999999</v>
      </c>
      <c r="Y101">
        <f t="shared" si="4"/>
        <v>15.122</v>
      </c>
      <c r="Z101">
        <v>15.122</v>
      </c>
    </row>
    <row r="102" spans="1:26" x14ac:dyDescent="0.25">
      <c r="A102" s="41">
        <v>43470</v>
      </c>
      <c r="B102" s="29">
        <v>137.37</v>
      </c>
      <c r="C102" s="37">
        <f t="shared" si="3"/>
        <v>22.895</v>
      </c>
      <c r="D102" s="37">
        <v>4.5789999999999997</v>
      </c>
      <c r="E102" s="33">
        <f t="shared" si="5"/>
        <v>-4.3658589827550223E-4</v>
      </c>
      <c r="W102" t="s">
        <v>140</v>
      </c>
      <c r="X102">
        <v>7.6130000000000004</v>
      </c>
      <c r="Y102">
        <f t="shared" si="4"/>
        <v>15.226000000000001</v>
      </c>
      <c r="Z102">
        <v>15.226000000000001</v>
      </c>
    </row>
    <row r="103" spans="1:26" x14ac:dyDescent="0.25">
      <c r="A103" s="41">
        <v>43470</v>
      </c>
      <c r="B103" s="29">
        <v>137.32</v>
      </c>
      <c r="C103" s="37">
        <f t="shared" si="3"/>
        <v>22.886666666666667</v>
      </c>
      <c r="D103" s="37">
        <v>4.5789999999999997</v>
      </c>
      <c r="E103" s="33">
        <f t="shared" si="5"/>
        <v>-3.6398049064578411E-4</v>
      </c>
      <c r="W103" t="s">
        <v>141</v>
      </c>
      <c r="X103">
        <v>7.5129999999999999</v>
      </c>
      <c r="Y103">
        <f t="shared" si="4"/>
        <v>15.026</v>
      </c>
      <c r="Z103">
        <v>15.026</v>
      </c>
    </row>
    <row r="104" spans="1:26" x14ac:dyDescent="0.25">
      <c r="A104" s="41">
        <v>43470</v>
      </c>
      <c r="B104" s="29">
        <v>137.33000000000001</v>
      </c>
      <c r="C104" s="37">
        <f t="shared" si="3"/>
        <v>22.888333333333335</v>
      </c>
      <c r="D104" s="37">
        <v>4.5789999999999997</v>
      </c>
      <c r="E104" s="33">
        <f t="shared" si="5"/>
        <v>7.2822604136464666E-5</v>
      </c>
      <c r="W104" t="s">
        <v>142</v>
      </c>
      <c r="X104">
        <v>7.3049999999999997</v>
      </c>
      <c r="Y104">
        <f t="shared" si="4"/>
        <v>14.61</v>
      </c>
      <c r="Z104">
        <v>14.61</v>
      </c>
    </row>
    <row r="105" spans="1:26" x14ac:dyDescent="0.25">
      <c r="A105" s="41">
        <v>43470</v>
      </c>
      <c r="B105" s="29">
        <v>137.36000000000001</v>
      </c>
      <c r="C105" s="37">
        <f t="shared" si="3"/>
        <v>22.893333333333338</v>
      </c>
      <c r="D105" s="37">
        <v>4.5789999999999997</v>
      </c>
      <c r="E105" s="33">
        <f t="shared" si="5"/>
        <v>2.1845190417243962E-4</v>
      </c>
      <c r="W105" t="s">
        <v>143</v>
      </c>
      <c r="X105">
        <v>7.0830000000000002</v>
      </c>
      <c r="Y105">
        <f t="shared" si="4"/>
        <v>14.166000000000002</v>
      </c>
      <c r="Z105">
        <v>14.166000000000002</v>
      </c>
    </row>
    <row r="106" spans="1:26" x14ac:dyDescent="0.25">
      <c r="A106" s="41">
        <v>43470</v>
      </c>
      <c r="B106" s="29">
        <v>137.86000000000001</v>
      </c>
      <c r="C106" s="37">
        <f t="shared" si="3"/>
        <v>22.97666666666667</v>
      </c>
      <c r="D106" s="37">
        <v>4.5789999999999997</v>
      </c>
      <c r="E106" s="33">
        <f t="shared" si="5"/>
        <v>3.640069889341875E-3</v>
      </c>
      <c r="W106" t="s">
        <v>144</v>
      </c>
      <c r="X106">
        <v>6.867</v>
      </c>
      <c r="Y106">
        <f t="shared" si="4"/>
        <v>13.734000000000002</v>
      </c>
      <c r="Z106">
        <v>13.734000000000002</v>
      </c>
    </row>
    <row r="107" spans="1:26" x14ac:dyDescent="0.25">
      <c r="A107" s="41">
        <v>43470</v>
      </c>
      <c r="B107" s="29">
        <v>137.91</v>
      </c>
      <c r="C107" s="37">
        <f t="shared" si="3"/>
        <v>22.984999999999999</v>
      </c>
      <c r="D107" s="37">
        <v>4.5789999999999997</v>
      </c>
      <c r="E107" s="33">
        <f t="shared" si="5"/>
        <v>3.6268678369347847E-4</v>
      </c>
      <c r="W107" t="s">
        <v>145</v>
      </c>
      <c r="X107">
        <v>6.8049999999999997</v>
      </c>
      <c r="Y107">
        <f t="shared" si="4"/>
        <v>13.61</v>
      </c>
      <c r="Z107">
        <v>13.61</v>
      </c>
    </row>
    <row r="108" spans="1:26" x14ac:dyDescent="0.25">
      <c r="A108" s="41">
        <v>43470</v>
      </c>
      <c r="B108" s="29">
        <v>137.88</v>
      </c>
      <c r="C108" s="37">
        <f t="shared" si="3"/>
        <v>22.98</v>
      </c>
      <c r="D108" s="37">
        <v>4.5789999999999997</v>
      </c>
      <c r="E108" s="33">
        <f t="shared" si="5"/>
        <v>-2.1753317380901412E-4</v>
      </c>
      <c r="W108" t="s">
        <v>146</v>
      </c>
      <c r="X108">
        <v>6.9930000000000003</v>
      </c>
      <c r="Y108">
        <f t="shared" si="4"/>
        <v>13.986000000000001</v>
      </c>
      <c r="Z108">
        <v>13.986000000000001</v>
      </c>
    </row>
    <row r="109" spans="1:26" x14ac:dyDescent="0.25">
      <c r="A109" s="41">
        <v>43470</v>
      </c>
      <c r="B109" s="29">
        <v>137.86000000000001</v>
      </c>
      <c r="C109" s="37">
        <f t="shared" si="3"/>
        <v>22.97666666666667</v>
      </c>
      <c r="D109" s="37">
        <v>4.5789999999999997</v>
      </c>
      <c r="E109" s="33">
        <f t="shared" si="5"/>
        <v>-1.4505366985771549E-4</v>
      </c>
      <c r="W109" t="s">
        <v>147</v>
      </c>
      <c r="X109">
        <v>6.976</v>
      </c>
      <c r="Y109">
        <f t="shared" si="4"/>
        <v>13.952</v>
      </c>
      <c r="Z109">
        <v>13.952</v>
      </c>
    </row>
    <row r="110" spans="1:26" x14ac:dyDescent="0.25">
      <c r="A110" s="41">
        <v>43470</v>
      </c>
      <c r="B110" s="29">
        <v>137.84</v>
      </c>
      <c r="C110" s="37">
        <f t="shared" si="3"/>
        <v>22.973333333333333</v>
      </c>
      <c r="D110" s="37">
        <v>4.5789999999999997</v>
      </c>
      <c r="E110" s="33">
        <f t="shared" si="5"/>
        <v>-1.4507471347751508E-4</v>
      </c>
      <c r="W110" t="s">
        <v>148</v>
      </c>
      <c r="X110">
        <v>6.5579999999999998</v>
      </c>
      <c r="Y110">
        <f t="shared" si="4"/>
        <v>13.116</v>
      </c>
      <c r="Z110">
        <v>13.116</v>
      </c>
    </row>
    <row r="111" spans="1:26" x14ac:dyDescent="0.25">
      <c r="A111" s="41">
        <v>43470</v>
      </c>
      <c r="B111" s="29">
        <v>137.81</v>
      </c>
      <c r="C111" s="37">
        <f t="shared" si="3"/>
        <v>22.968333333333334</v>
      </c>
      <c r="D111" s="37">
        <v>4.5789999999999997</v>
      </c>
      <c r="E111" s="33">
        <f t="shared" si="5"/>
        <v>-2.1764364480557992E-4</v>
      </c>
      <c r="W111" t="s">
        <v>149</v>
      </c>
      <c r="X111">
        <v>6.0389999999999997</v>
      </c>
      <c r="Y111">
        <f t="shared" si="4"/>
        <v>12.077999999999999</v>
      </c>
      <c r="Z111">
        <v>12.077999999999999</v>
      </c>
    </row>
    <row r="112" spans="1:26" x14ac:dyDescent="0.25">
      <c r="A112" s="41">
        <v>43470</v>
      </c>
      <c r="B112" s="29">
        <v>137.79</v>
      </c>
      <c r="C112" s="37">
        <f t="shared" si="3"/>
        <v>22.965</v>
      </c>
      <c r="D112" s="37">
        <v>4.5789999999999997</v>
      </c>
      <c r="E112" s="33">
        <f t="shared" si="5"/>
        <v>-1.4512734924904022E-4</v>
      </c>
      <c r="W112" t="s">
        <v>150</v>
      </c>
      <c r="X112">
        <v>5.6449999999999996</v>
      </c>
      <c r="Y112">
        <f t="shared" si="4"/>
        <v>11.29</v>
      </c>
      <c r="Z112">
        <v>11.29</v>
      </c>
    </row>
    <row r="113" spans="1:26" x14ac:dyDescent="0.25">
      <c r="A113" s="41">
        <v>43470</v>
      </c>
      <c r="B113" s="29">
        <v>137.76</v>
      </c>
      <c r="C113" s="37">
        <f t="shared" si="3"/>
        <v>22.96</v>
      </c>
      <c r="D113" s="37">
        <v>4.5789999999999997</v>
      </c>
      <c r="E113" s="33">
        <f t="shared" si="5"/>
        <v>-2.1772262138036968E-4</v>
      </c>
      <c r="W113" t="s">
        <v>151</v>
      </c>
      <c r="X113">
        <v>5.3780000000000001</v>
      </c>
      <c r="Y113">
        <f t="shared" si="4"/>
        <v>10.755999999999998</v>
      </c>
      <c r="Z113">
        <v>10.755999999999998</v>
      </c>
    </row>
    <row r="114" spans="1:26" x14ac:dyDescent="0.25">
      <c r="A114" s="41">
        <v>43470</v>
      </c>
      <c r="B114" s="29">
        <v>137.74</v>
      </c>
      <c r="C114" s="37">
        <f t="shared" si="3"/>
        <v>22.956666666666667</v>
      </c>
      <c r="D114" s="37">
        <v>4.5789999999999997</v>
      </c>
      <c r="E114" s="33">
        <f t="shared" si="5"/>
        <v>-1.4518002322867169E-4</v>
      </c>
      <c r="W114" t="s">
        <v>152</v>
      </c>
      <c r="X114">
        <v>5.3490000000000002</v>
      </c>
      <c r="Y114">
        <f t="shared" si="4"/>
        <v>10.698</v>
      </c>
      <c r="Z114">
        <v>10.698</v>
      </c>
    </row>
    <row r="115" spans="1:26" x14ac:dyDescent="0.25">
      <c r="A115" s="41">
        <v>43470</v>
      </c>
      <c r="B115" s="29">
        <v>137.71</v>
      </c>
      <c r="C115" s="37">
        <f t="shared" si="3"/>
        <v>22.951666666666668</v>
      </c>
      <c r="D115" s="37">
        <v>4.5789999999999997</v>
      </c>
      <c r="E115" s="33">
        <f t="shared" si="5"/>
        <v>-2.1780165529258847E-4</v>
      </c>
      <c r="W115" t="s">
        <v>153</v>
      </c>
      <c r="X115">
        <v>5.4729999999999999</v>
      </c>
      <c r="Y115">
        <f t="shared" si="4"/>
        <v>10.946</v>
      </c>
      <c r="Z115">
        <v>10.946</v>
      </c>
    </row>
    <row r="116" spans="1:26" x14ac:dyDescent="0.25">
      <c r="A116" s="41">
        <v>43470</v>
      </c>
      <c r="B116" s="29">
        <v>137.69</v>
      </c>
      <c r="C116" s="37">
        <f t="shared" si="3"/>
        <v>22.948333333333334</v>
      </c>
      <c r="D116" s="37">
        <v>4.5789999999999997</v>
      </c>
      <c r="E116" s="33">
        <f t="shared" si="5"/>
        <v>-1.4523273545864664E-4</v>
      </c>
      <c r="W116" t="s">
        <v>154</v>
      </c>
      <c r="X116">
        <v>5.4909999999999997</v>
      </c>
      <c r="Y116">
        <f t="shared" si="4"/>
        <v>10.981999999999998</v>
      </c>
      <c r="Z116">
        <v>10.981999999999998</v>
      </c>
    </row>
    <row r="117" spans="1:26" x14ac:dyDescent="0.25">
      <c r="A117" s="41">
        <v>43470</v>
      </c>
      <c r="B117" s="29">
        <v>137.66</v>
      </c>
      <c r="C117" s="37">
        <f t="shared" si="3"/>
        <v>22.943333333333332</v>
      </c>
      <c r="D117" s="37">
        <v>4.5789999999999997</v>
      </c>
      <c r="E117" s="33">
        <f t="shared" si="5"/>
        <v>-2.1788074660469996E-4</v>
      </c>
      <c r="W117" t="s">
        <v>155</v>
      </c>
      <c r="X117">
        <v>5.702</v>
      </c>
      <c r="Y117">
        <f t="shared" si="4"/>
        <v>11.404000000000002</v>
      </c>
      <c r="Z117">
        <v>11.404000000000002</v>
      </c>
    </row>
    <row r="118" spans="1:26" x14ac:dyDescent="0.25">
      <c r="A118" s="41">
        <v>43470</v>
      </c>
      <c r="B118" s="29">
        <v>138.47999999999999</v>
      </c>
      <c r="C118" s="37">
        <f t="shared" si="3"/>
        <v>23.08</v>
      </c>
      <c r="D118" s="37">
        <v>4.5789999999999997</v>
      </c>
      <c r="E118" s="33">
        <f t="shared" si="5"/>
        <v>5.9567049251779249E-3</v>
      </c>
      <c r="W118" t="s">
        <v>156</v>
      </c>
      <c r="X118">
        <v>7.5880000000000001</v>
      </c>
      <c r="Y118">
        <f t="shared" si="4"/>
        <v>15.175999999999998</v>
      </c>
      <c r="Z118">
        <v>15.175999999999998</v>
      </c>
    </row>
    <row r="119" spans="1:26" x14ac:dyDescent="0.25">
      <c r="A119" s="41">
        <v>43470</v>
      </c>
      <c r="B119" s="29">
        <v>138.47999999999999</v>
      </c>
      <c r="C119" s="37">
        <f t="shared" si="3"/>
        <v>23.08</v>
      </c>
      <c r="D119" s="37">
        <v>4.5789999999999997</v>
      </c>
      <c r="E119" s="33">
        <f t="shared" si="5"/>
        <v>0</v>
      </c>
      <c r="W119" t="s">
        <v>157</v>
      </c>
      <c r="X119">
        <v>9.5540000000000003</v>
      </c>
      <c r="Y119">
        <f t="shared" si="4"/>
        <v>19.108000000000001</v>
      </c>
      <c r="Z119">
        <v>19.108000000000001</v>
      </c>
    </row>
    <row r="120" spans="1:26" x14ac:dyDescent="0.25">
      <c r="A120" s="41">
        <v>43470</v>
      </c>
      <c r="B120" s="29">
        <v>137.74</v>
      </c>
      <c r="C120" s="37">
        <f t="shared" si="3"/>
        <v>22.956666666666667</v>
      </c>
      <c r="D120" s="37">
        <v>4.5789999999999997</v>
      </c>
      <c r="E120" s="33">
        <f t="shared" si="5"/>
        <v>-5.3437319468513916E-3</v>
      </c>
      <c r="W120" t="s">
        <v>158</v>
      </c>
      <c r="X120">
        <v>11.391999999999999</v>
      </c>
      <c r="Y120">
        <f t="shared" si="4"/>
        <v>22.784000000000002</v>
      </c>
      <c r="Z120">
        <v>22.784000000000002</v>
      </c>
    </row>
    <row r="121" spans="1:26" x14ac:dyDescent="0.25">
      <c r="A121" s="41">
        <v>43470</v>
      </c>
      <c r="B121" s="29">
        <v>137.56</v>
      </c>
      <c r="C121" s="37">
        <f t="shared" si="3"/>
        <v>22.926666666666666</v>
      </c>
      <c r="D121" s="37">
        <v>4.5789999999999997</v>
      </c>
      <c r="E121" s="33">
        <f t="shared" si="5"/>
        <v>-1.3068099317555307E-3</v>
      </c>
      <c r="W121" t="s">
        <v>159</v>
      </c>
      <c r="X121">
        <v>11.182</v>
      </c>
      <c r="Y121">
        <f t="shared" si="4"/>
        <v>22.364000000000001</v>
      </c>
      <c r="Z121">
        <v>22.364000000000001</v>
      </c>
    </row>
    <row r="122" spans="1:26" x14ac:dyDescent="0.25">
      <c r="A122" s="41">
        <v>43471</v>
      </c>
      <c r="B122" s="29">
        <v>134.21</v>
      </c>
      <c r="C122" s="37">
        <f t="shared" si="3"/>
        <v>22.368333333333332</v>
      </c>
      <c r="D122" s="37">
        <v>4.7720000000000002</v>
      </c>
      <c r="E122" s="33">
        <f t="shared" si="5"/>
        <v>-2.4353009595812696E-2</v>
      </c>
      <c r="W122" t="s">
        <v>160</v>
      </c>
      <c r="X122">
        <v>10.045</v>
      </c>
      <c r="Y122">
        <f t="shared" si="4"/>
        <v>20.09</v>
      </c>
      <c r="Z122">
        <v>20.09</v>
      </c>
    </row>
    <row r="123" spans="1:26" x14ac:dyDescent="0.25">
      <c r="A123" s="41">
        <v>43471</v>
      </c>
      <c r="B123" s="29">
        <v>133.30000000000001</v>
      </c>
      <c r="C123" s="37">
        <f t="shared" si="3"/>
        <v>22.216666666666669</v>
      </c>
      <c r="D123" s="37">
        <v>4.7720000000000002</v>
      </c>
      <c r="E123" s="33">
        <f t="shared" si="5"/>
        <v>-6.7804187467401574E-3</v>
      </c>
      <c r="W123" t="s">
        <v>161</v>
      </c>
      <c r="X123">
        <v>9.2870000000000008</v>
      </c>
      <c r="Y123">
        <f t="shared" si="4"/>
        <v>18.574000000000002</v>
      </c>
      <c r="Z123">
        <v>18.574000000000002</v>
      </c>
    </row>
    <row r="124" spans="1:26" x14ac:dyDescent="0.25">
      <c r="A124" s="41">
        <v>43471</v>
      </c>
      <c r="B124" s="29">
        <v>131.1</v>
      </c>
      <c r="C124" s="37">
        <f t="shared" si="3"/>
        <v>21.85</v>
      </c>
      <c r="D124" s="37">
        <v>4.7720000000000002</v>
      </c>
      <c r="E124" s="33">
        <f t="shared" si="5"/>
        <v>-1.6504126031508002E-2</v>
      </c>
      <c r="W124" t="s">
        <v>162</v>
      </c>
      <c r="X124">
        <v>8.83</v>
      </c>
      <c r="Y124">
        <f t="shared" si="4"/>
        <v>17.66</v>
      </c>
      <c r="Z124">
        <v>17.66</v>
      </c>
    </row>
    <row r="125" spans="1:26" x14ac:dyDescent="0.25">
      <c r="A125" s="41">
        <v>43471</v>
      </c>
      <c r="B125" s="29">
        <v>129.99</v>
      </c>
      <c r="C125" s="37">
        <f t="shared" si="3"/>
        <v>21.664999999999999</v>
      </c>
      <c r="D125" s="37">
        <v>4.7720000000000002</v>
      </c>
      <c r="E125" s="33">
        <f t="shared" si="5"/>
        <v>-8.4668192219678508E-3</v>
      </c>
      <c r="W125" t="s">
        <v>163</v>
      </c>
      <c r="X125">
        <v>8.8569999999999993</v>
      </c>
      <c r="Y125">
        <f t="shared" si="4"/>
        <v>17.713999999999999</v>
      </c>
      <c r="Z125">
        <v>17.713999999999999</v>
      </c>
    </row>
    <row r="126" spans="1:26" x14ac:dyDescent="0.25">
      <c r="A126" s="41">
        <v>43471</v>
      </c>
      <c r="B126" s="29">
        <v>128.94999999999999</v>
      </c>
      <c r="C126" s="37">
        <f t="shared" si="3"/>
        <v>21.491666666666664</v>
      </c>
      <c r="D126" s="37">
        <v>4.7720000000000002</v>
      </c>
      <c r="E126" s="33">
        <f t="shared" si="5"/>
        <v>-8.000615431956461E-3</v>
      </c>
      <c r="W126" t="s">
        <v>164</v>
      </c>
      <c r="X126">
        <v>9.0760000000000005</v>
      </c>
      <c r="Y126">
        <f t="shared" si="4"/>
        <v>18.152000000000001</v>
      </c>
      <c r="Z126">
        <v>18.152000000000001</v>
      </c>
    </row>
    <row r="127" spans="1:26" x14ac:dyDescent="0.25">
      <c r="A127" s="41">
        <v>43471</v>
      </c>
      <c r="B127" s="29">
        <v>128.99</v>
      </c>
      <c r="C127" s="37">
        <f t="shared" si="3"/>
        <v>21.498333333333335</v>
      </c>
      <c r="D127" s="37">
        <v>4.7720000000000002</v>
      </c>
      <c r="E127" s="33">
        <f t="shared" si="5"/>
        <v>3.1019775106646348E-4</v>
      </c>
      <c r="W127" t="s">
        <v>165</v>
      </c>
      <c r="X127">
        <v>9.4930000000000003</v>
      </c>
      <c r="Y127">
        <f t="shared" si="4"/>
        <v>18.986000000000001</v>
      </c>
      <c r="Z127">
        <v>18.986000000000001</v>
      </c>
    </row>
    <row r="128" spans="1:26" x14ac:dyDescent="0.25">
      <c r="A128" s="41">
        <v>43471</v>
      </c>
      <c r="B128" s="29">
        <v>127.22</v>
      </c>
      <c r="C128" s="37">
        <f t="shared" si="3"/>
        <v>21.203333333333333</v>
      </c>
      <c r="D128" s="37">
        <v>4.7720000000000002</v>
      </c>
      <c r="E128" s="33">
        <f t="shared" si="5"/>
        <v>-1.3721993953019693E-2</v>
      </c>
      <c r="W128" t="s">
        <v>166</v>
      </c>
      <c r="X128">
        <v>9.8819999999999997</v>
      </c>
      <c r="Y128">
        <f t="shared" si="4"/>
        <v>19.763999999999999</v>
      </c>
      <c r="Z128">
        <v>19.763999999999999</v>
      </c>
    </row>
    <row r="129" spans="1:26" x14ac:dyDescent="0.25">
      <c r="A129" s="41">
        <v>43471</v>
      </c>
      <c r="B129" s="29">
        <v>126.37</v>
      </c>
      <c r="C129" s="37">
        <f t="shared" si="3"/>
        <v>21.061666666666667</v>
      </c>
      <c r="D129" s="37">
        <v>4.7720000000000002</v>
      </c>
      <c r="E129" s="33">
        <f t="shared" si="5"/>
        <v>-6.6813394120420868E-3</v>
      </c>
      <c r="W129" t="s">
        <v>167</v>
      </c>
      <c r="X129">
        <v>9.7070000000000007</v>
      </c>
      <c r="Y129">
        <f t="shared" si="4"/>
        <v>19.414000000000001</v>
      </c>
      <c r="Z129">
        <v>19.414000000000001</v>
      </c>
    </row>
    <row r="130" spans="1:26" x14ac:dyDescent="0.25">
      <c r="A130" s="41">
        <v>43471</v>
      </c>
      <c r="B130" s="29">
        <v>129.16999999999999</v>
      </c>
      <c r="C130" s="37">
        <f t="shared" si="3"/>
        <v>21.528333333333329</v>
      </c>
      <c r="D130" s="37">
        <v>4.7720000000000002</v>
      </c>
      <c r="E130" s="33">
        <f t="shared" si="5"/>
        <v>2.2157157553216608E-2</v>
      </c>
      <c r="W130" t="s">
        <v>168</v>
      </c>
      <c r="X130">
        <v>9.3000000000000007</v>
      </c>
      <c r="Y130">
        <f t="shared" si="4"/>
        <v>18.600000000000001</v>
      </c>
      <c r="Z130">
        <v>18.600000000000001</v>
      </c>
    </row>
    <row r="131" spans="1:26" x14ac:dyDescent="0.25">
      <c r="A131" s="41">
        <v>43471</v>
      </c>
      <c r="B131" s="29">
        <v>131.63</v>
      </c>
      <c r="C131" s="37">
        <f t="shared" ref="C131:C194" si="6">(B131*100/600)</f>
        <v>21.938333333333333</v>
      </c>
      <c r="D131" s="37">
        <v>4.7720000000000002</v>
      </c>
      <c r="E131" s="33">
        <f t="shared" si="5"/>
        <v>1.9044669814972579E-2</v>
      </c>
      <c r="W131" t="s">
        <v>169</v>
      </c>
      <c r="X131">
        <v>10.223000000000001</v>
      </c>
      <c r="Y131">
        <f t="shared" ref="Y131:Y194" si="7">(X131*100/50)</f>
        <v>20.446000000000002</v>
      </c>
      <c r="Z131">
        <v>20.446000000000002</v>
      </c>
    </row>
    <row r="132" spans="1:26" x14ac:dyDescent="0.25">
      <c r="A132" s="41">
        <v>43471</v>
      </c>
      <c r="B132" s="29">
        <v>133.29</v>
      </c>
      <c r="C132" s="37">
        <f t="shared" si="6"/>
        <v>22.215</v>
      </c>
      <c r="D132" s="37">
        <v>4.7720000000000002</v>
      </c>
      <c r="E132" s="33">
        <f t="shared" ref="E132:E195" si="8">(B132-B131)/B131</f>
        <v>1.261110689052645E-2</v>
      </c>
      <c r="W132" t="s">
        <v>170</v>
      </c>
      <c r="X132">
        <v>15.397</v>
      </c>
      <c r="Y132">
        <f t="shared" si="7"/>
        <v>30.794</v>
      </c>
      <c r="Z132">
        <v>30.794</v>
      </c>
    </row>
    <row r="133" spans="1:26" x14ac:dyDescent="0.25">
      <c r="A133" s="41">
        <v>43471</v>
      </c>
      <c r="B133" s="29">
        <v>133.94999999999999</v>
      </c>
      <c r="C133" s="37">
        <f t="shared" si="6"/>
        <v>22.324999999999996</v>
      </c>
      <c r="D133" s="37">
        <v>4.7720000000000002</v>
      </c>
      <c r="E133" s="33">
        <f t="shared" si="8"/>
        <v>4.9516092730137046E-3</v>
      </c>
      <c r="W133" t="s">
        <v>171</v>
      </c>
      <c r="X133">
        <v>18.571999999999999</v>
      </c>
      <c r="Y133">
        <f t="shared" si="7"/>
        <v>37.143999999999998</v>
      </c>
      <c r="Z133">
        <v>37.143999999999998</v>
      </c>
    </row>
    <row r="134" spans="1:26" x14ac:dyDescent="0.25">
      <c r="A134" s="41">
        <v>43471</v>
      </c>
      <c r="B134" s="29">
        <v>133.91999999999999</v>
      </c>
      <c r="C134" s="37">
        <f t="shared" si="6"/>
        <v>22.319999999999997</v>
      </c>
      <c r="D134" s="37">
        <v>4.7720000000000002</v>
      </c>
      <c r="E134" s="33">
        <f t="shared" si="8"/>
        <v>-2.2396416573349114E-4</v>
      </c>
      <c r="W134" t="s">
        <v>172</v>
      </c>
      <c r="X134">
        <v>17.181999999999999</v>
      </c>
      <c r="Y134">
        <f t="shared" si="7"/>
        <v>34.363999999999997</v>
      </c>
      <c r="Z134">
        <v>34.363999999999997</v>
      </c>
    </row>
    <row r="135" spans="1:26" x14ac:dyDescent="0.25">
      <c r="A135" s="41">
        <v>43471</v>
      </c>
      <c r="B135" s="29">
        <v>133.9</v>
      </c>
      <c r="C135" s="37">
        <f t="shared" si="6"/>
        <v>22.316666666666666</v>
      </c>
      <c r="D135" s="37">
        <v>4.7720000000000002</v>
      </c>
      <c r="E135" s="33">
        <f t="shared" si="8"/>
        <v>-1.4934289127823934E-4</v>
      </c>
      <c r="W135" t="s">
        <v>173</v>
      </c>
      <c r="X135">
        <v>14.817</v>
      </c>
      <c r="Y135">
        <f t="shared" si="7"/>
        <v>29.634</v>
      </c>
      <c r="Z135">
        <v>29.634</v>
      </c>
    </row>
    <row r="136" spans="1:26" x14ac:dyDescent="0.25">
      <c r="A136" s="41">
        <v>43471</v>
      </c>
      <c r="B136" s="29">
        <v>133.87</v>
      </c>
      <c r="C136" s="37">
        <f t="shared" si="6"/>
        <v>22.311666666666667</v>
      </c>
      <c r="D136" s="37">
        <v>4.7720000000000002</v>
      </c>
      <c r="E136" s="33">
        <f t="shared" si="8"/>
        <v>-2.2404779686333932E-4</v>
      </c>
      <c r="W136" t="s">
        <v>174</v>
      </c>
      <c r="X136">
        <v>12.723000000000001</v>
      </c>
      <c r="Y136">
        <f t="shared" si="7"/>
        <v>25.446000000000005</v>
      </c>
      <c r="Z136">
        <v>25.446000000000005</v>
      </c>
    </row>
    <row r="137" spans="1:26" x14ac:dyDescent="0.25">
      <c r="A137" s="41">
        <v>43471</v>
      </c>
      <c r="B137" s="29">
        <v>133.85</v>
      </c>
      <c r="C137" s="37">
        <f t="shared" si="6"/>
        <v>22.308333333333334</v>
      </c>
      <c r="D137" s="37">
        <v>4.7720000000000002</v>
      </c>
      <c r="E137" s="33">
        <f t="shared" si="8"/>
        <v>-1.4939867035191029E-4</v>
      </c>
      <c r="W137" t="s">
        <v>175</v>
      </c>
      <c r="X137">
        <v>11.324999999999999</v>
      </c>
      <c r="Y137">
        <f t="shared" si="7"/>
        <v>22.65</v>
      </c>
      <c r="Z137">
        <v>22.65</v>
      </c>
    </row>
    <row r="138" spans="1:26" x14ac:dyDescent="0.25">
      <c r="A138" s="41">
        <v>43471</v>
      </c>
      <c r="B138" s="29">
        <v>133.83000000000001</v>
      </c>
      <c r="C138" s="37">
        <f t="shared" si="6"/>
        <v>22.305000000000003</v>
      </c>
      <c r="D138" s="37">
        <v>4.7720000000000002</v>
      </c>
      <c r="E138" s="33">
        <f t="shared" si="8"/>
        <v>-1.4942099364947188E-4</v>
      </c>
      <c r="W138" t="s">
        <v>176</v>
      </c>
      <c r="X138">
        <v>10.616</v>
      </c>
      <c r="Y138">
        <f t="shared" si="7"/>
        <v>21.231999999999999</v>
      </c>
      <c r="Z138">
        <v>21.231999999999999</v>
      </c>
    </row>
    <row r="139" spans="1:26" x14ac:dyDescent="0.25">
      <c r="A139" s="41">
        <v>43471</v>
      </c>
      <c r="B139" s="29">
        <v>133.80000000000001</v>
      </c>
      <c r="C139" s="37">
        <f t="shared" si="6"/>
        <v>22.300000000000004</v>
      </c>
      <c r="D139" s="37">
        <v>4.7720000000000002</v>
      </c>
      <c r="E139" s="33">
        <f t="shared" si="8"/>
        <v>-2.2416498542928443E-4</v>
      </c>
      <c r="W139" t="s">
        <v>177</v>
      </c>
      <c r="X139">
        <v>9.6329999999999991</v>
      </c>
      <c r="Y139">
        <f t="shared" si="7"/>
        <v>19.265999999999998</v>
      </c>
      <c r="Z139">
        <v>19.265999999999998</v>
      </c>
    </row>
    <row r="140" spans="1:26" x14ac:dyDescent="0.25">
      <c r="A140" s="41">
        <v>43471</v>
      </c>
      <c r="B140" s="29">
        <v>134.07</v>
      </c>
      <c r="C140" s="37">
        <f t="shared" si="6"/>
        <v>22.344999999999999</v>
      </c>
      <c r="D140" s="37">
        <v>4.7720000000000002</v>
      </c>
      <c r="E140" s="33">
        <f t="shared" si="8"/>
        <v>2.0179372197308056E-3</v>
      </c>
      <c r="W140" t="s">
        <v>178</v>
      </c>
      <c r="X140">
        <v>8.7520000000000007</v>
      </c>
      <c r="Y140">
        <f t="shared" si="7"/>
        <v>17.504000000000001</v>
      </c>
      <c r="Z140">
        <v>17.504000000000001</v>
      </c>
    </row>
    <row r="141" spans="1:26" x14ac:dyDescent="0.25">
      <c r="A141" s="41">
        <v>43471</v>
      </c>
      <c r="B141" s="29">
        <v>135.1</v>
      </c>
      <c r="C141" s="37">
        <f t="shared" si="6"/>
        <v>22.516666666666666</v>
      </c>
      <c r="D141" s="37">
        <v>4.7720000000000002</v>
      </c>
      <c r="E141" s="33">
        <f t="shared" si="8"/>
        <v>7.6825538897590901E-3</v>
      </c>
      <c r="W141" t="s">
        <v>179</v>
      </c>
      <c r="X141">
        <v>8.2460000000000004</v>
      </c>
      <c r="Y141">
        <f t="shared" si="7"/>
        <v>16.492000000000001</v>
      </c>
      <c r="Z141">
        <v>16.492000000000001</v>
      </c>
    </row>
    <row r="142" spans="1:26" x14ac:dyDescent="0.25">
      <c r="A142" s="41">
        <v>43471</v>
      </c>
      <c r="B142" s="29">
        <v>138.19</v>
      </c>
      <c r="C142" s="37">
        <f t="shared" si="6"/>
        <v>23.031666666666666</v>
      </c>
      <c r="D142" s="37">
        <v>4.7720000000000002</v>
      </c>
      <c r="E142" s="33">
        <f t="shared" si="8"/>
        <v>2.2871946706143623E-2</v>
      </c>
      <c r="W142" t="s">
        <v>180</v>
      </c>
      <c r="X142">
        <v>8.2260000000000009</v>
      </c>
      <c r="Y142">
        <f t="shared" si="7"/>
        <v>16.452000000000002</v>
      </c>
      <c r="Z142">
        <v>16.452000000000002</v>
      </c>
    </row>
    <row r="143" spans="1:26" x14ac:dyDescent="0.25">
      <c r="A143" s="41">
        <v>43471</v>
      </c>
      <c r="B143" s="29">
        <v>138.26</v>
      </c>
      <c r="C143" s="37">
        <f t="shared" si="6"/>
        <v>23.043333333333333</v>
      </c>
      <c r="D143" s="37">
        <v>4.7720000000000002</v>
      </c>
      <c r="E143" s="33">
        <f t="shared" si="8"/>
        <v>5.0654895433818064E-4</v>
      </c>
      <c r="W143" t="s">
        <v>181</v>
      </c>
      <c r="X143">
        <v>8.4760000000000009</v>
      </c>
      <c r="Y143">
        <f t="shared" si="7"/>
        <v>16.952000000000002</v>
      </c>
      <c r="Z143">
        <v>16.952000000000002</v>
      </c>
    </row>
    <row r="144" spans="1:26" x14ac:dyDescent="0.25">
      <c r="A144" s="41">
        <v>43471</v>
      </c>
      <c r="B144" s="29">
        <v>138.26</v>
      </c>
      <c r="C144" s="37">
        <f t="shared" si="6"/>
        <v>23.043333333333333</v>
      </c>
      <c r="D144" s="37">
        <v>4.7720000000000002</v>
      </c>
      <c r="E144" s="33">
        <f t="shared" si="8"/>
        <v>0</v>
      </c>
      <c r="W144" t="s">
        <v>182</v>
      </c>
      <c r="X144">
        <v>9.0370000000000008</v>
      </c>
      <c r="Y144">
        <f t="shared" si="7"/>
        <v>18.074000000000002</v>
      </c>
      <c r="Z144">
        <v>18.074000000000002</v>
      </c>
    </row>
    <row r="145" spans="1:26" x14ac:dyDescent="0.25">
      <c r="A145" s="41">
        <v>43471</v>
      </c>
      <c r="B145" s="29">
        <v>137.18</v>
      </c>
      <c r="C145" s="37">
        <f t="shared" si="6"/>
        <v>22.863333333333333</v>
      </c>
      <c r="D145" s="37">
        <v>4.7720000000000002</v>
      </c>
      <c r="E145" s="33">
        <f t="shared" si="8"/>
        <v>-7.8113698828293368E-3</v>
      </c>
      <c r="W145" t="s">
        <v>183</v>
      </c>
      <c r="X145">
        <v>11.840999999999999</v>
      </c>
      <c r="Y145">
        <f t="shared" si="7"/>
        <v>23.681999999999999</v>
      </c>
      <c r="Z145">
        <v>23.681999999999999</v>
      </c>
    </row>
    <row r="146" spans="1:26" x14ac:dyDescent="0.25">
      <c r="A146" s="41">
        <v>43472</v>
      </c>
      <c r="B146" s="29">
        <v>139.13999999999999</v>
      </c>
      <c r="C146" s="37">
        <f t="shared" si="6"/>
        <v>23.189999999999998</v>
      </c>
      <c r="D146" s="37">
        <v>5.3179999999999996</v>
      </c>
      <c r="E146" s="33">
        <f t="shared" si="8"/>
        <v>1.428779705496413E-2</v>
      </c>
      <c r="W146" t="s">
        <v>184</v>
      </c>
      <c r="X146">
        <v>16.495999999999999</v>
      </c>
      <c r="Y146">
        <f t="shared" si="7"/>
        <v>32.991999999999997</v>
      </c>
      <c r="Z146">
        <v>32.991999999999997</v>
      </c>
    </row>
    <row r="147" spans="1:26" x14ac:dyDescent="0.25">
      <c r="A147" s="41">
        <v>43472</v>
      </c>
      <c r="B147" s="29">
        <v>138.54</v>
      </c>
      <c r="C147" s="37">
        <f t="shared" si="6"/>
        <v>23.09</v>
      </c>
      <c r="D147" s="37">
        <v>5.3179999999999996</v>
      </c>
      <c r="E147" s="33">
        <f t="shared" si="8"/>
        <v>-4.3122035360068593E-3</v>
      </c>
      <c r="W147" t="s">
        <v>185</v>
      </c>
      <c r="X147">
        <v>17.152999999999999</v>
      </c>
      <c r="Y147">
        <f t="shared" si="7"/>
        <v>34.305999999999997</v>
      </c>
      <c r="Z147">
        <v>34.305999999999997</v>
      </c>
    </row>
    <row r="148" spans="1:26" x14ac:dyDescent="0.25">
      <c r="A148" s="41">
        <v>43472</v>
      </c>
      <c r="B148" s="29">
        <v>137.80000000000001</v>
      </c>
      <c r="C148" s="37">
        <f t="shared" si="6"/>
        <v>22.966666666666669</v>
      </c>
      <c r="D148" s="37">
        <v>5.3179999999999996</v>
      </c>
      <c r="E148" s="33">
        <f t="shared" si="8"/>
        <v>-5.3414176411143406E-3</v>
      </c>
      <c r="W148" t="s">
        <v>186</v>
      </c>
      <c r="X148">
        <v>16.173999999999999</v>
      </c>
      <c r="Y148">
        <f t="shared" si="7"/>
        <v>32.347999999999999</v>
      </c>
      <c r="Z148">
        <v>32.347999999999999</v>
      </c>
    </row>
    <row r="149" spans="1:26" x14ac:dyDescent="0.25">
      <c r="A149" s="41">
        <v>43472</v>
      </c>
      <c r="B149" s="29">
        <v>137.80000000000001</v>
      </c>
      <c r="C149" s="37">
        <f t="shared" si="6"/>
        <v>22.966666666666669</v>
      </c>
      <c r="D149" s="37">
        <v>5.3179999999999996</v>
      </c>
      <c r="E149" s="33">
        <f t="shared" si="8"/>
        <v>0</v>
      </c>
      <c r="W149" t="s">
        <v>187</v>
      </c>
      <c r="X149">
        <v>20.283999999999999</v>
      </c>
      <c r="Y149">
        <f t="shared" si="7"/>
        <v>40.567999999999998</v>
      </c>
      <c r="Z149">
        <v>40.567999999999998</v>
      </c>
    </row>
    <row r="150" spans="1:26" x14ac:dyDescent="0.25">
      <c r="A150" s="41">
        <v>43472</v>
      </c>
      <c r="B150" s="29">
        <v>137.83000000000001</v>
      </c>
      <c r="C150" s="37">
        <f t="shared" si="6"/>
        <v>22.971666666666671</v>
      </c>
      <c r="D150" s="37">
        <v>5.3179999999999996</v>
      </c>
      <c r="E150" s="33">
        <f t="shared" si="8"/>
        <v>2.1770682148041461E-4</v>
      </c>
      <c r="W150" t="s">
        <v>188</v>
      </c>
      <c r="X150">
        <v>24.88</v>
      </c>
      <c r="Y150">
        <f t="shared" si="7"/>
        <v>49.76</v>
      </c>
      <c r="Z150">
        <v>49.76</v>
      </c>
    </row>
    <row r="151" spans="1:26" x14ac:dyDescent="0.25">
      <c r="A151" s="41">
        <v>43472</v>
      </c>
      <c r="B151" s="29">
        <v>138.22999999999999</v>
      </c>
      <c r="C151" s="37">
        <f t="shared" si="6"/>
        <v>23.03833333333333</v>
      </c>
      <c r="D151" s="37">
        <v>5.3179999999999996</v>
      </c>
      <c r="E151" s="33">
        <f t="shared" si="8"/>
        <v>2.9021258071535751E-3</v>
      </c>
      <c r="W151" t="s">
        <v>189</v>
      </c>
      <c r="X151">
        <v>32.415999999999997</v>
      </c>
      <c r="Y151">
        <f t="shared" si="7"/>
        <v>64.831999999999994</v>
      </c>
      <c r="Z151">
        <v>64.831999999999994</v>
      </c>
    </row>
    <row r="152" spans="1:26" x14ac:dyDescent="0.25">
      <c r="A152" s="41">
        <v>43472</v>
      </c>
      <c r="B152" s="29">
        <v>139.38</v>
      </c>
      <c r="C152" s="37">
        <f t="shared" si="6"/>
        <v>23.23</v>
      </c>
      <c r="D152" s="37">
        <v>5.3179999999999996</v>
      </c>
      <c r="E152" s="33">
        <f t="shared" si="8"/>
        <v>8.3194675540765803E-3</v>
      </c>
      <c r="W152" t="s">
        <v>190</v>
      </c>
      <c r="X152">
        <v>46.075000000000003</v>
      </c>
      <c r="Y152">
        <f t="shared" si="7"/>
        <v>92.15</v>
      </c>
      <c r="Z152">
        <v>92.15</v>
      </c>
    </row>
    <row r="153" spans="1:26" x14ac:dyDescent="0.25">
      <c r="A153" s="41">
        <v>43472</v>
      </c>
      <c r="B153" s="29">
        <v>139.38</v>
      </c>
      <c r="C153" s="37">
        <f t="shared" si="6"/>
        <v>23.23</v>
      </c>
      <c r="D153" s="37">
        <v>5.3179999999999996</v>
      </c>
      <c r="E153" s="33">
        <f t="shared" si="8"/>
        <v>0</v>
      </c>
      <c r="W153" t="s">
        <v>191</v>
      </c>
      <c r="X153">
        <v>46.097999999999999</v>
      </c>
      <c r="Y153">
        <f t="shared" si="7"/>
        <v>92.195999999999998</v>
      </c>
      <c r="Z153">
        <v>92.195999999999998</v>
      </c>
    </row>
    <row r="154" spans="1:26" x14ac:dyDescent="0.25">
      <c r="A154" s="41">
        <v>43472</v>
      </c>
      <c r="B154" s="29">
        <v>140.86000000000001</v>
      </c>
      <c r="C154" s="37">
        <f t="shared" si="6"/>
        <v>23.47666666666667</v>
      </c>
      <c r="D154" s="37">
        <v>5.3179999999999996</v>
      </c>
      <c r="E154" s="33">
        <f t="shared" si="8"/>
        <v>1.0618453149662923E-2</v>
      </c>
      <c r="W154" t="s">
        <v>192</v>
      </c>
      <c r="X154">
        <v>40.395000000000003</v>
      </c>
      <c r="Y154">
        <f t="shared" si="7"/>
        <v>80.790000000000006</v>
      </c>
      <c r="Z154">
        <v>80.790000000000006</v>
      </c>
    </row>
    <row r="155" spans="1:26" x14ac:dyDescent="0.25">
      <c r="A155" s="41">
        <v>43472</v>
      </c>
      <c r="B155" s="29">
        <v>142.5</v>
      </c>
      <c r="C155" s="37">
        <f t="shared" si="6"/>
        <v>23.75</v>
      </c>
      <c r="D155" s="37">
        <v>5.3179999999999996</v>
      </c>
      <c r="E155" s="33">
        <f t="shared" si="8"/>
        <v>1.164276586681802E-2</v>
      </c>
      <c r="W155" t="s">
        <v>193</v>
      </c>
      <c r="X155">
        <v>34.265000000000001</v>
      </c>
      <c r="Y155">
        <f t="shared" si="7"/>
        <v>68.53</v>
      </c>
      <c r="Z155">
        <v>68.53</v>
      </c>
    </row>
    <row r="156" spans="1:26" x14ac:dyDescent="0.25">
      <c r="A156" s="41">
        <v>43472</v>
      </c>
      <c r="B156" s="29">
        <v>143.22999999999999</v>
      </c>
      <c r="C156" s="37">
        <f t="shared" si="6"/>
        <v>23.871666666666663</v>
      </c>
      <c r="D156" s="37">
        <v>5.3179999999999996</v>
      </c>
      <c r="E156" s="33">
        <f t="shared" si="8"/>
        <v>5.1228070175437877E-3</v>
      </c>
      <c r="W156" t="s">
        <v>194</v>
      </c>
      <c r="X156">
        <v>29.021000000000001</v>
      </c>
      <c r="Y156">
        <f t="shared" si="7"/>
        <v>58.042000000000002</v>
      </c>
      <c r="Z156">
        <v>58.042000000000002</v>
      </c>
    </row>
    <row r="157" spans="1:26" x14ac:dyDescent="0.25">
      <c r="A157" s="41">
        <v>43472</v>
      </c>
      <c r="B157" s="29">
        <v>143.24</v>
      </c>
      <c r="C157" s="37">
        <f t="shared" si="6"/>
        <v>23.873333333333335</v>
      </c>
      <c r="D157" s="37">
        <v>5.3179999999999996</v>
      </c>
      <c r="E157" s="33">
        <f t="shared" si="8"/>
        <v>6.981777560580415E-5</v>
      </c>
      <c r="W157" t="s">
        <v>195</v>
      </c>
      <c r="X157">
        <v>25.355</v>
      </c>
      <c r="Y157">
        <f t="shared" si="7"/>
        <v>50.71</v>
      </c>
      <c r="Z157">
        <v>50.71</v>
      </c>
    </row>
    <row r="158" spans="1:26" x14ac:dyDescent="0.25">
      <c r="A158" s="41">
        <v>43472</v>
      </c>
      <c r="B158" s="29">
        <v>143.26</v>
      </c>
      <c r="C158" s="37">
        <f t="shared" si="6"/>
        <v>23.876666666666665</v>
      </c>
      <c r="D158" s="37">
        <v>5.3179999999999996</v>
      </c>
      <c r="E158" s="33">
        <f t="shared" si="8"/>
        <v>1.3962580284823938E-4</v>
      </c>
      <c r="W158" t="s">
        <v>196</v>
      </c>
      <c r="X158">
        <v>22.725999999999999</v>
      </c>
      <c r="Y158">
        <f t="shared" si="7"/>
        <v>45.451999999999998</v>
      </c>
      <c r="Z158">
        <v>45.451999999999998</v>
      </c>
    </row>
    <row r="159" spans="1:26" x14ac:dyDescent="0.25">
      <c r="A159" s="41">
        <v>43472</v>
      </c>
      <c r="B159" s="29">
        <v>143.88</v>
      </c>
      <c r="C159" s="37">
        <f t="shared" si="6"/>
        <v>23.98</v>
      </c>
      <c r="D159" s="37">
        <v>5.3179999999999996</v>
      </c>
      <c r="E159" s="33">
        <f t="shared" si="8"/>
        <v>4.3277956163618918E-3</v>
      </c>
      <c r="W159" t="s">
        <v>197</v>
      </c>
      <c r="X159">
        <v>21.164000000000001</v>
      </c>
      <c r="Y159">
        <f t="shared" si="7"/>
        <v>42.328000000000003</v>
      </c>
      <c r="Z159">
        <v>42.328000000000003</v>
      </c>
    </row>
    <row r="160" spans="1:26" x14ac:dyDescent="0.25">
      <c r="A160" s="41">
        <v>43472</v>
      </c>
      <c r="B160" s="29">
        <v>144.63</v>
      </c>
      <c r="C160" s="37">
        <f t="shared" si="6"/>
        <v>24.105</v>
      </c>
      <c r="D160" s="37">
        <v>5.3179999999999996</v>
      </c>
      <c r="E160" s="33">
        <f t="shared" si="8"/>
        <v>5.2126772310258553E-3</v>
      </c>
      <c r="W160" t="s">
        <v>198</v>
      </c>
      <c r="X160">
        <v>20.052</v>
      </c>
      <c r="Y160">
        <f t="shared" si="7"/>
        <v>40.103999999999999</v>
      </c>
      <c r="Z160">
        <v>40.103999999999999</v>
      </c>
    </row>
    <row r="161" spans="1:26" x14ac:dyDescent="0.25">
      <c r="A161" s="41">
        <v>43472</v>
      </c>
      <c r="B161" s="29">
        <v>144.5</v>
      </c>
      <c r="C161" s="37">
        <f t="shared" si="6"/>
        <v>24.083333333333332</v>
      </c>
      <c r="D161" s="37">
        <v>5.3179999999999996</v>
      </c>
      <c r="E161" s="33">
        <f t="shared" si="8"/>
        <v>-8.9884532946135284E-4</v>
      </c>
      <c r="W161" t="s">
        <v>199</v>
      </c>
      <c r="X161">
        <v>19.196999999999999</v>
      </c>
      <c r="Y161">
        <f t="shared" si="7"/>
        <v>38.393999999999998</v>
      </c>
      <c r="Z161">
        <v>38.393999999999998</v>
      </c>
    </row>
    <row r="162" spans="1:26" x14ac:dyDescent="0.25">
      <c r="A162" s="41">
        <v>43472</v>
      </c>
      <c r="B162" s="29">
        <v>143.88</v>
      </c>
      <c r="C162" s="37">
        <f t="shared" si="6"/>
        <v>23.98</v>
      </c>
      <c r="D162" s="37">
        <v>5.3179999999999996</v>
      </c>
      <c r="E162" s="33">
        <f t="shared" si="8"/>
        <v>-4.2906574394463983E-3</v>
      </c>
      <c r="W162" t="s">
        <v>200</v>
      </c>
      <c r="X162">
        <v>18.527999999999999</v>
      </c>
      <c r="Y162">
        <f t="shared" si="7"/>
        <v>37.055999999999997</v>
      </c>
      <c r="Z162">
        <v>37.055999999999997</v>
      </c>
    </row>
    <row r="163" spans="1:26" x14ac:dyDescent="0.25">
      <c r="A163" s="41">
        <v>43472</v>
      </c>
      <c r="B163" s="29">
        <v>143.09</v>
      </c>
      <c r="C163" s="37">
        <f t="shared" si="6"/>
        <v>23.848333333333333</v>
      </c>
      <c r="D163" s="37">
        <v>5.3179999999999996</v>
      </c>
      <c r="E163" s="33">
        <f t="shared" si="8"/>
        <v>-5.490686683347179E-3</v>
      </c>
      <c r="W163" t="s">
        <v>201</v>
      </c>
      <c r="X163">
        <v>17.876000000000001</v>
      </c>
      <c r="Y163">
        <f t="shared" si="7"/>
        <v>35.752000000000002</v>
      </c>
      <c r="Z163">
        <v>35.752000000000002</v>
      </c>
    </row>
    <row r="164" spans="1:26" x14ac:dyDescent="0.25">
      <c r="A164" s="41">
        <v>43472</v>
      </c>
      <c r="B164" s="29">
        <v>141.33000000000001</v>
      </c>
      <c r="C164" s="37">
        <f t="shared" si="6"/>
        <v>23.555000000000003</v>
      </c>
      <c r="D164" s="37">
        <v>5.3179999999999996</v>
      </c>
      <c r="E164" s="33">
        <f t="shared" si="8"/>
        <v>-1.2299951079739959E-2</v>
      </c>
      <c r="W164" t="s">
        <v>202</v>
      </c>
      <c r="X164">
        <v>17.23</v>
      </c>
      <c r="Y164">
        <f t="shared" si="7"/>
        <v>34.46</v>
      </c>
      <c r="Z164">
        <v>34.46</v>
      </c>
    </row>
    <row r="165" spans="1:26" x14ac:dyDescent="0.25">
      <c r="A165" s="41">
        <v>43472</v>
      </c>
      <c r="B165" s="29">
        <v>141.02000000000001</v>
      </c>
      <c r="C165" s="37">
        <f t="shared" si="6"/>
        <v>23.503333333333337</v>
      </c>
      <c r="D165" s="37">
        <v>5.3179999999999996</v>
      </c>
      <c r="E165" s="33">
        <f t="shared" si="8"/>
        <v>-2.1934479586782868E-3</v>
      </c>
      <c r="W165" t="s">
        <v>203</v>
      </c>
      <c r="X165">
        <v>16.494</v>
      </c>
      <c r="Y165">
        <f t="shared" si="7"/>
        <v>32.988</v>
      </c>
      <c r="Z165">
        <v>32.988</v>
      </c>
    </row>
    <row r="166" spans="1:26" x14ac:dyDescent="0.25">
      <c r="A166" s="41">
        <v>43472</v>
      </c>
      <c r="B166" s="29">
        <v>142.32</v>
      </c>
      <c r="C166" s="37">
        <f t="shared" si="6"/>
        <v>23.72</v>
      </c>
      <c r="D166" s="37">
        <v>5.3179999999999996</v>
      </c>
      <c r="E166" s="33">
        <f t="shared" si="8"/>
        <v>9.2185505602041043E-3</v>
      </c>
      <c r="W166" t="s">
        <v>204</v>
      </c>
      <c r="X166">
        <v>15.686999999999999</v>
      </c>
      <c r="Y166">
        <f t="shared" si="7"/>
        <v>31.374000000000002</v>
      </c>
      <c r="Z166">
        <v>31.374000000000002</v>
      </c>
    </row>
    <row r="167" spans="1:26" x14ac:dyDescent="0.25">
      <c r="A167" s="41">
        <v>43472</v>
      </c>
      <c r="B167" s="29">
        <v>142.5</v>
      </c>
      <c r="C167" s="37">
        <f t="shared" si="6"/>
        <v>23.75</v>
      </c>
      <c r="D167" s="37">
        <v>5.3179999999999996</v>
      </c>
      <c r="E167" s="33">
        <f t="shared" si="8"/>
        <v>1.2647554806071307E-3</v>
      </c>
      <c r="W167" t="s">
        <v>205</v>
      </c>
      <c r="X167">
        <v>14.887</v>
      </c>
      <c r="Y167">
        <f t="shared" si="7"/>
        <v>29.774000000000001</v>
      </c>
      <c r="Z167">
        <v>29.774000000000001</v>
      </c>
    </row>
    <row r="168" spans="1:26" x14ac:dyDescent="0.25">
      <c r="A168" s="41">
        <v>43472</v>
      </c>
      <c r="B168" s="29">
        <v>142.5</v>
      </c>
      <c r="C168" s="37">
        <f t="shared" si="6"/>
        <v>23.75</v>
      </c>
      <c r="D168" s="37">
        <v>5.3179999999999996</v>
      </c>
      <c r="E168" s="33">
        <f t="shared" si="8"/>
        <v>0</v>
      </c>
      <c r="W168" t="s">
        <v>206</v>
      </c>
      <c r="X168">
        <v>14.087999999999999</v>
      </c>
      <c r="Y168">
        <f t="shared" si="7"/>
        <v>28.175999999999998</v>
      </c>
      <c r="Z168">
        <v>28.175999999999998</v>
      </c>
    </row>
    <row r="169" spans="1:26" x14ac:dyDescent="0.25">
      <c r="A169" s="41">
        <v>43472</v>
      </c>
      <c r="B169" s="29">
        <v>141.91</v>
      </c>
      <c r="C169" s="37">
        <f t="shared" si="6"/>
        <v>23.651666666666667</v>
      </c>
      <c r="D169" s="37">
        <v>5.3179999999999996</v>
      </c>
      <c r="E169" s="33">
        <f t="shared" si="8"/>
        <v>-4.1403508771930067E-3</v>
      </c>
      <c r="W169" t="s">
        <v>207</v>
      </c>
      <c r="X169">
        <v>13.211</v>
      </c>
      <c r="Y169">
        <f t="shared" si="7"/>
        <v>26.422000000000004</v>
      </c>
      <c r="Z169">
        <v>26.422000000000004</v>
      </c>
    </row>
    <row r="170" spans="1:26" x14ac:dyDescent="0.25">
      <c r="A170" s="41">
        <v>43473</v>
      </c>
      <c r="B170" s="29">
        <v>140.13999999999999</v>
      </c>
      <c r="C170" s="37">
        <f t="shared" si="6"/>
        <v>23.356666666666662</v>
      </c>
      <c r="D170" s="37">
        <v>5.8029999999999999</v>
      </c>
      <c r="E170" s="33">
        <f t="shared" si="8"/>
        <v>-1.2472693960961245E-2</v>
      </c>
      <c r="W170" t="s">
        <v>208</v>
      </c>
      <c r="X170">
        <v>12.363</v>
      </c>
      <c r="Y170">
        <f t="shared" si="7"/>
        <v>24.725999999999999</v>
      </c>
      <c r="Z170">
        <v>24.725999999999999</v>
      </c>
    </row>
    <row r="171" spans="1:26" x14ac:dyDescent="0.25">
      <c r="A171" s="41">
        <v>43473</v>
      </c>
      <c r="B171" s="29">
        <v>138.99</v>
      </c>
      <c r="C171" s="37">
        <f t="shared" si="6"/>
        <v>23.164999999999999</v>
      </c>
      <c r="D171" s="37">
        <v>5.8029999999999999</v>
      </c>
      <c r="E171" s="33">
        <f t="shared" si="8"/>
        <v>-8.2060796346509011E-3</v>
      </c>
      <c r="W171" t="s">
        <v>209</v>
      </c>
      <c r="X171">
        <v>11.257</v>
      </c>
      <c r="Y171">
        <f t="shared" si="7"/>
        <v>22.513999999999999</v>
      </c>
      <c r="Z171">
        <v>22.513999999999999</v>
      </c>
    </row>
    <row r="172" spans="1:26" x14ac:dyDescent="0.25">
      <c r="A172" s="41">
        <v>43473</v>
      </c>
      <c r="B172" s="29">
        <v>138.97</v>
      </c>
      <c r="C172" s="37">
        <f t="shared" si="6"/>
        <v>23.161666666666665</v>
      </c>
      <c r="D172" s="37">
        <v>5.8029999999999999</v>
      </c>
      <c r="E172" s="33">
        <f t="shared" si="8"/>
        <v>-1.4389524426225073E-4</v>
      </c>
      <c r="W172" t="s">
        <v>210</v>
      </c>
      <c r="X172">
        <v>10.026</v>
      </c>
      <c r="Y172">
        <f t="shared" si="7"/>
        <v>20.052</v>
      </c>
      <c r="Z172">
        <v>20.052</v>
      </c>
    </row>
    <row r="173" spans="1:26" x14ac:dyDescent="0.25">
      <c r="A173" s="41">
        <v>43473</v>
      </c>
      <c r="B173" s="29">
        <v>138.94</v>
      </c>
      <c r="C173" s="37">
        <f t="shared" si="6"/>
        <v>23.156666666666666</v>
      </c>
      <c r="D173" s="37">
        <v>5.8029999999999999</v>
      </c>
      <c r="E173" s="33">
        <f t="shared" si="8"/>
        <v>-2.1587392962510712E-4</v>
      </c>
      <c r="W173" t="s">
        <v>211</v>
      </c>
      <c r="X173">
        <v>8.7119999999999997</v>
      </c>
      <c r="Y173">
        <f t="shared" si="7"/>
        <v>17.423999999999999</v>
      </c>
      <c r="Z173">
        <v>17.423999999999999</v>
      </c>
    </row>
    <row r="174" spans="1:26" x14ac:dyDescent="0.25">
      <c r="A174" s="41">
        <v>43473</v>
      </c>
      <c r="B174" s="29">
        <v>138.91999999999999</v>
      </c>
      <c r="C174" s="37">
        <f t="shared" si="6"/>
        <v>23.153333333333329</v>
      </c>
      <c r="D174" s="37">
        <v>5.8029999999999999</v>
      </c>
      <c r="E174" s="33">
        <f t="shared" si="8"/>
        <v>-1.4394702749395591E-4</v>
      </c>
      <c r="W174" t="s">
        <v>212</v>
      </c>
      <c r="X174">
        <v>7.5949999999999998</v>
      </c>
      <c r="Y174">
        <f t="shared" si="7"/>
        <v>15.19</v>
      </c>
      <c r="Z174">
        <v>15.19</v>
      </c>
    </row>
    <row r="175" spans="1:26" x14ac:dyDescent="0.25">
      <c r="A175" s="41">
        <v>43473</v>
      </c>
      <c r="B175" s="29">
        <v>138.88999999999999</v>
      </c>
      <c r="C175" s="37">
        <f t="shared" si="6"/>
        <v>23.14833333333333</v>
      </c>
      <c r="D175" s="37">
        <v>5.8029999999999999</v>
      </c>
      <c r="E175" s="33">
        <f t="shared" si="8"/>
        <v>-2.1595162683559703E-4</v>
      </c>
      <c r="W175" t="s">
        <v>213</v>
      </c>
      <c r="X175">
        <v>6.827</v>
      </c>
      <c r="Y175">
        <f t="shared" si="7"/>
        <v>13.654000000000002</v>
      </c>
      <c r="Z175">
        <v>13.654000000000002</v>
      </c>
    </row>
    <row r="176" spans="1:26" x14ac:dyDescent="0.25">
      <c r="A176" s="41">
        <v>43473</v>
      </c>
      <c r="B176" s="29">
        <v>138.96</v>
      </c>
      <c r="C176" s="37">
        <f t="shared" si="6"/>
        <v>23.16</v>
      </c>
      <c r="D176" s="37">
        <v>5.8029999999999999</v>
      </c>
      <c r="E176" s="33">
        <f t="shared" si="8"/>
        <v>5.0399596803241131E-4</v>
      </c>
      <c r="W176" t="s">
        <v>214</v>
      </c>
      <c r="X176">
        <v>6.3319999999999999</v>
      </c>
      <c r="Y176">
        <f t="shared" si="7"/>
        <v>12.663999999999998</v>
      </c>
      <c r="Z176">
        <v>12.663999999999998</v>
      </c>
    </row>
    <row r="177" spans="1:26" x14ac:dyDescent="0.25">
      <c r="A177" s="41">
        <v>43473</v>
      </c>
      <c r="B177" s="29">
        <v>139.65</v>
      </c>
      <c r="C177" s="37">
        <f t="shared" si="6"/>
        <v>23.274999999999999</v>
      </c>
      <c r="D177" s="37">
        <v>5.8029999999999999</v>
      </c>
      <c r="E177" s="33">
        <f t="shared" si="8"/>
        <v>4.9654576856649228E-3</v>
      </c>
      <c r="W177" t="s">
        <v>215</v>
      </c>
      <c r="X177">
        <v>6.1120000000000001</v>
      </c>
      <c r="Y177">
        <f t="shared" si="7"/>
        <v>12.224</v>
      </c>
      <c r="Z177">
        <v>12.224</v>
      </c>
    </row>
    <row r="178" spans="1:26" x14ac:dyDescent="0.25">
      <c r="A178" s="41">
        <v>43473</v>
      </c>
      <c r="B178" s="29">
        <v>143.16</v>
      </c>
      <c r="C178" s="37">
        <f t="shared" si="6"/>
        <v>23.86</v>
      </c>
      <c r="D178" s="37">
        <v>5.8029999999999999</v>
      </c>
      <c r="E178" s="33">
        <f t="shared" si="8"/>
        <v>2.5134264232008527E-2</v>
      </c>
      <c r="W178" t="s">
        <v>216</v>
      </c>
      <c r="X178">
        <v>6.3419999999999996</v>
      </c>
      <c r="Y178">
        <f t="shared" si="7"/>
        <v>12.683999999999999</v>
      </c>
      <c r="Z178">
        <v>12.683999999999999</v>
      </c>
    </row>
    <row r="179" spans="1:26" x14ac:dyDescent="0.25">
      <c r="A179" s="41">
        <v>43473</v>
      </c>
      <c r="B179" s="29">
        <v>143.97999999999999</v>
      </c>
      <c r="C179" s="37">
        <f t="shared" si="6"/>
        <v>23.996666666666663</v>
      </c>
      <c r="D179" s="37">
        <v>5.8029999999999999</v>
      </c>
      <c r="E179" s="33">
        <f t="shared" si="8"/>
        <v>5.7278569432801987E-3</v>
      </c>
      <c r="W179" t="s">
        <v>217</v>
      </c>
      <c r="X179">
        <v>6.7949999999999999</v>
      </c>
      <c r="Y179">
        <f t="shared" si="7"/>
        <v>13.59</v>
      </c>
      <c r="Z179">
        <v>13.59</v>
      </c>
    </row>
    <row r="180" spans="1:26" x14ac:dyDescent="0.25">
      <c r="A180" s="41">
        <v>43473</v>
      </c>
      <c r="B180" s="29">
        <v>144.55000000000001</v>
      </c>
      <c r="C180" s="37">
        <f t="shared" si="6"/>
        <v>24.091666666666669</v>
      </c>
      <c r="D180" s="37">
        <v>5.8029999999999999</v>
      </c>
      <c r="E180" s="33">
        <f t="shared" si="8"/>
        <v>3.9588831782193471E-3</v>
      </c>
      <c r="W180" t="s">
        <v>218</v>
      </c>
      <c r="X180">
        <v>6.9119999999999999</v>
      </c>
      <c r="Y180">
        <f t="shared" si="7"/>
        <v>13.824000000000002</v>
      </c>
      <c r="Z180">
        <v>13.824000000000002</v>
      </c>
    </row>
    <row r="181" spans="1:26" x14ac:dyDescent="0.25">
      <c r="A181" s="41">
        <v>43473</v>
      </c>
      <c r="B181" s="29">
        <v>144.55000000000001</v>
      </c>
      <c r="C181" s="37">
        <f t="shared" si="6"/>
        <v>24.091666666666669</v>
      </c>
      <c r="D181" s="37">
        <v>5.8029999999999999</v>
      </c>
      <c r="E181" s="33">
        <f t="shared" si="8"/>
        <v>0</v>
      </c>
      <c r="W181" t="s">
        <v>219</v>
      </c>
      <c r="X181">
        <v>6.8860000000000001</v>
      </c>
      <c r="Y181">
        <f t="shared" si="7"/>
        <v>13.772</v>
      </c>
      <c r="Z181">
        <v>13.772</v>
      </c>
    </row>
    <row r="182" spans="1:26" x14ac:dyDescent="0.25">
      <c r="A182" s="41">
        <v>43473</v>
      </c>
      <c r="B182" s="29">
        <v>144.44</v>
      </c>
      <c r="C182" s="37">
        <f t="shared" si="6"/>
        <v>24.073333333333334</v>
      </c>
      <c r="D182" s="37">
        <v>5.8029999999999999</v>
      </c>
      <c r="E182" s="33">
        <f t="shared" si="8"/>
        <v>-7.6098235904540734E-4</v>
      </c>
      <c r="W182" t="s">
        <v>220</v>
      </c>
      <c r="X182">
        <v>6.9870000000000001</v>
      </c>
      <c r="Y182">
        <f t="shared" si="7"/>
        <v>13.974</v>
      </c>
      <c r="Z182">
        <v>13.974</v>
      </c>
    </row>
    <row r="183" spans="1:26" x14ac:dyDescent="0.25">
      <c r="A183" s="41">
        <v>43473</v>
      </c>
      <c r="B183" s="29">
        <v>144.59</v>
      </c>
      <c r="C183" s="37">
        <f t="shared" si="6"/>
        <v>24.098333333333333</v>
      </c>
      <c r="D183" s="37">
        <v>5.8029999999999999</v>
      </c>
      <c r="E183" s="33">
        <f t="shared" si="8"/>
        <v>1.0384934921074888E-3</v>
      </c>
      <c r="W183" t="s">
        <v>221</v>
      </c>
      <c r="X183">
        <v>8.7059999999999995</v>
      </c>
      <c r="Y183">
        <f t="shared" si="7"/>
        <v>17.411999999999999</v>
      </c>
      <c r="Z183">
        <v>17.411999999999999</v>
      </c>
    </row>
    <row r="184" spans="1:26" x14ac:dyDescent="0.25">
      <c r="A184" s="41">
        <v>43473</v>
      </c>
      <c r="B184" s="29">
        <v>145.36000000000001</v>
      </c>
      <c r="C184" s="37">
        <f t="shared" si="6"/>
        <v>24.22666666666667</v>
      </c>
      <c r="D184" s="37">
        <v>5.8029999999999999</v>
      </c>
      <c r="E184" s="33">
        <f t="shared" si="8"/>
        <v>5.3254028632686232E-3</v>
      </c>
      <c r="W184" t="s">
        <v>222</v>
      </c>
      <c r="X184">
        <v>11.377000000000001</v>
      </c>
      <c r="Y184">
        <f t="shared" si="7"/>
        <v>22.754000000000001</v>
      </c>
      <c r="Z184">
        <v>22.754000000000001</v>
      </c>
    </row>
    <row r="185" spans="1:26" x14ac:dyDescent="0.25">
      <c r="A185" s="41">
        <v>43473</v>
      </c>
      <c r="B185" s="29">
        <v>145.04</v>
      </c>
      <c r="C185" s="37">
        <f t="shared" si="6"/>
        <v>24.173333333333332</v>
      </c>
      <c r="D185" s="37">
        <v>5.8029999999999999</v>
      </c>
      <c r="E185" s="33">
        <f t="shared" si="8"/>
        <v>-2.2014309301047162E-3</v>
      </c>
      <c r="W185" t="s">
        <v>223</v>
      </c>
      <c r="X185">
        <v>19.748000000000001</v>
      </c>
      <c r="Y185">
        <f t="shared" si="7"/>
        <v>39.496000000000002</v>
      </c>
      <c r="Z185">
        <v>39.496000000000002</v>
      </c>
    </row>
    <row r="186" spans="1:26" x14ac:dyDescent="0.25">
      <c r="A186" s="41">
        <v>43473</v>
      </c>
      <c r="B186" s="29">
        <v>144.47</v>
      </c>
      <c r="C186" s="37">
        <f t="shared" si="6"/>
        <v>24.078333333333333</v>
      </c>
      <c r="D186" s="37">
        <v>5.8029999999999999</v>
      </c>
      <c r="E186" s="33">
        <f t="shared" si="8"/>
        <v>-3.9299503585217407E-3</v>
      </c>
      <c r="W186" t="s">
        <v>224</v>
      </c>
      <c r="X186">
        <v>18.716999999999999</v>
      </c>
      <c r="Y186">
        <f t="shared" si="7"/>
        <v>37.433999999999997</v>
      </c>
      <c r="Z186">
        <v>37.433999999999997</v>
      </c>
    </row>
    <row r="187" spans="1:26" x14ac:dyDescent="0.25">
      <c r="A187" s="41">
        <v>43473</v>
      </c>
      <c r="B187" s="29">
        <v>143.94999999999999</v>
      </c>
      <c r="C187" s="37">
        <f t="shared" si="6"/>
        <v>23.991666666666664</v>
      </c>
      <c r="D187" s="37">
        <v>5.8029999999999999</v>
      </c>
      <c r="E187" s="33">
        <f t="shared" si="8"/>
        <v>-3.5993631895896048E-3</v>
      </c>
      <c r="W187" t="s">
        <v>225</v>
      </c>
      <c r="X187">
        <v>14.478999999999999</v>
      </c>
      <c r="Y187">
        <f t="shared" si="7"/>
        <v>28.957999999999998</v>
      </c>
      <c r="Z187">
        <v>28.957999999999998</v>
      </c>
    </row>
    <row r="188" spans="1:26" x14ac:dyDescent="0.25">
      <c r="A188" s="41">
        <v>43473</v>
      </c>
      <c r="B188" s="29">
        <v>143.03</v>
      </c>
      <c r="C188" s="37">
        <f t="shared" si="6"/>
        <v>23.838333333333335</v>
      </c>
      <c r="D188" s="37">
        <v>5.8029999999999999</v>
      </c>
      <c r="E188" s="33">
        <f t="shared" si="8"/>
        <v>-6.3911080236192259E-3</v>
      </c>
      <c r="W188" t="s">
        <v>226</v>
      </c>
      <c r="X188">
        <v>10.891999999999999</v>
      </c>
      <c r="Y188">
        <f t="shared" si="7"/>
        <v>21.784000000000002</v>
      </c>
      <c r="Z188">
        <v>21.784000000000002</v>
      </c>
    </row>
    <row r="189" spans="1:26" x14ac:dyDescent="0.25">
      <c r="A189" s="41">
        <v>43473</v>
      </c>
      <c r="B189" s="29">
        <v>142.51</v>
      </c>
      <c r="C189" s="37">
        <f t="shared" si="6"/>
        <v>23.751666666666665</v>
      </c>
      <c r="D189" s="37">
        <v>5.8029999999999999</v>
      </c>
      <c r="E189" s="33">
        <f t="shared" si="8"/>
        <v>-3.6356009228833827E-3</v>
      </c>
      <c r="W189" t="s">
        <v>227</v>
      </c>
      <c r="X189">
        <v>8.8889999999999993</v>
      </c>
      <c r="Y189">
        <f t="shared" si="7"/>
        <v>17.777999999999999</v>
      </c>
      <c r="Z189">
        <v>17.777999999999999</v>
      </c>
    </row>
    <row r="190" spans="1:26" x14ac:dyDescent="0.25">
      <c r="A190" s="41">
        <v>43473</v>
      </c>
      <c r="B190" s="29">
        <v>143.94999999999999</v>
      </c>
      <c r="C190" s="37">
        <f t="shared" si="6"/>
        <v>23.991666666666664</v>
      </c>
      <c r="D190" s="37">
        <v>5.8029999999999999</v>
      </c>
      <c r="E190" s="33">
        <f t="shared" si="8"/>
        <v>1.0104554066381291E-2</v>
      </c>
      <c r="W190" t="s">
        <v>228</v>
      </c>
      <c r="X190">
        <v>7.9589999999999996</v>
      </c>
      <c r="Y190">
        <f t="shared" si="7"/>
        <v>15.917999999999999</v>
      </c>
      <c r="Z190">
        <v>15.917999999999999</v>
      </c>
    </row>
    <row r="191" spans="1:26" x14ac:dyDescent="0.25">
      <c r="A191" s="41">
        <v>43473</v>
      </c>
      <c r="B191" s="29">
        <v>143.94999999999999</v>
      </c>
      <c r="C191" s="37">
        <f t="shared" si="6"/>
        <v>23.991666666666664</v>
      </c>
      <c r="D191" s="37">
        <v>5.8029999999999999</v>
      </c>
      <c r="E191" s="33">
        <f t="shared" si="8"/>
        <v>0</v>
      </c>
      <c r="W191" t="s">
        <v>229</v>
      </c>
      <c r="X191">
        <v>7.2629999999999999</v>
      </c>
      <c r="Y191">
        <f t="shared" si="7"/>
        <v>14.526</v>
      </c>
      <c r="Z191">
        <v>14.526</v>
      </c>
    </row>
    <row r="192" spans="1:26" x14ac:dyDescent="0.25">
      <c r="A192" s="41">
        <v>43473</v>
      </c>
      <c r="B192" s="29">
        <v>143.85</v>
      </c>
      <c r="C192" s="37">
        <f t="shared" si="6"/>
        <v>23.975000000000001</v>
      </c>
      <c r="D192" s="37">
        <v>5.8029999999999999</v>
      </c>
      <c r="E192" s="33">
        <f t="shared" si="8"/>
        <v>-6.946856547411902E-4</v>
      </c>
      <c r="W192" t="s">
        <v>230</v>
      </c>
      <c r="X192">
        <v>6.694</v>
      </c>
      <c r="Y192">
        <f t="shared" si="7"/>
        <v>13.388</v>
      </c>
      <c r="Z192">
        <v>13.388</v>
      </c>
    </row>
    <row r="193" spans="1:26" x14ac:dyDescent="0.25">
      <c r="A193" s="41">
        <v>43473</v>
      </c>
      <c r="B193" s="29">
        <v>143.19999999999999</v>
      </c>
      <c r="C193" s="37">
        <f t="shared" si="6"/>
        <v>23.866666666666664</v>
      </c>
      <c r="D193" s="37">
        <v>5.8029999999999999</v>
      </c>
      <c r="E193" s="33">
        <f t="shared" si="8"/>
        <v>-4.5185957594717115E-3</v>
      </c>
      <c r="W193" t="s">
        <v>231</v>
      </c>
      <c r="X193">
        <v>6.1790000000000003</v>
      </c>
      <c r="Y193">
        <f t="shared" si="7"/>
        <v>12.357999999999999</v>
      </c>
      <c r="Z193">
        <v>12.357999999999999</v>
      </c>
    </row>
    <row r="194" spans="1:26" x14ac:dyDescent="0.25">
      <c r="A194" s="41">
        <v>43474</v>
      </c>
      <c r="B194" s="29">
        <v>139.85</v>
      </c>
      <c r="C194" s="37">
        <f t="shared" si="6"/>
        <v>23.308333333333334</v>
      </c>
      <c r="D194" s="37">
        <v>6.33</v>
      </c>
      <c r="E194" s="33">
        <f t="shared" si="8"/>
        <v>-2.3393854748603313E-2</v>
      </c>
      <c r="W194" t="s">
        <v>232</v>
      </c>
      <c r="X194">
        <v>5.7720000000000002</v>
      </c>
      <c r="Y194">
        <f t="shared" si="7"/>
        <v>11.544</v>
      </c>
      <c r="Z194">
        <v>11.544</v>
      </c>
    </row>
    <row r="195" spans="1:26" x14ac:dyDescent="0.25">
      <c r="A195" s="41">
        <v>43474</v>
      </c>
      <c r="B195" s="29">
        <v>138.83000000000001</v>
      </c>
      <c r="C195" s="37">
        <f t="shared" ref="C195:C258" si="9">(B195*100/600)</f>
        <v>23.138333333333335</v>
      </c>
      <c r="D195" s="37">
        <v>6.33</v>
      </c>
      <c r="E195" s="33">
        <f t="shared" si="8"/>
        <v>-7.2935287808364811E-3</v>
      </c>
      <c r="W195" t="s">
        <v>233</v>
      </c>
      <c r="X195">
        <v>5.4710000000000001</v>
      </c>
      <c r="Y195">
        <f t="shared" ref="Y195:Y258" si="10">(X195*100/50)</f>
        <v>10.942</v>
      </c>
      <c r="Z195">
        <v>10.942</v>
      </c>
    </row>
    <row r="196" spans="1:26" x14ac:dyDescent="0.25">
      <c r="A196" s="41">
        <v>43474</v>
      </c>
      <c r="B196" s="29">
        <v>138.37</v>
      </c>
      <c r="C196" s="37">
        <f t="shared" si="9"/>
        <v>23.061666666666667</v>
      </c>
      <c r="D196" s="37">
        <v>6.33</v>
      </c>
      <c r="E196" s="33">
        <f t="shared" ref="E196:E259" si="11">(B196-B195)/B195</f>
        <v>-3.3134048836707332E-3</v>
      </c>
      <c r="W196" t="s">
        <v>234</v>
      </c>
      <c r="X196">
        <v>5.306</v>
      </c>
      <c r="Y196">
        <f t="shared" si="10"/>
        <v>10.612</v>
      </c>
      <c r="Z196">
        <v>10.612</v>
      </c>
    </row>
    <row r="197" spans="1:26" x14ac:dyDescent="0.25">
      <c r="A197" s="41">
        <v>43474</v>
      </c>
      <c r="B197" s="29">
        <v>138.32</v>
      </c>
      <c r="C197" s="37">
        <f t="shared" si="9"/>
        <v>23.053333333333335</v>
      </c>
      <c r="D197" s="37">
        <v>6.33</v>
      </c>
      <c r="E197" s="33">
        <f t="shared" si="11"/>
        <v>-3.6135000361358217E-4</v>
      </c>
      <c r="W197" t="s">
        <v>235</v>
      </c>
      <c r="X197">
        <v>5.2560000000000002</v>
      </c>
      <c r="Y197">
        <f t="shared" si="10"/>
        <v>10.512</v>
      </c>
      <c r="Z197">
        <v>10.512</v>
      </c>
    </row>
    <row r="198" spans="1:26" x14ac:dyDescent="0.25">
      <c r="A198" s="41">
        <v>43474</v>
      </c>
      <c r="B198" s="29">
        <v>138.27000000000001</v>
      </c>
      <c r="C198" s="37">
        <f t="shared" si="9"/>
        <v>23.045000000000002</v>
      </c>
      <c r="D198" s="37">
        <v>6.33</v>
      </c>
      <c r="E198" s="33">
        <f t="shared" si="11"/>
        <v>-3.6148062463839609E-4</v>
      </c>
      <c r="W198" t="s">
        <v>236</v>
      </c>
      <c r="X198">
        <v>5.1879999999999997</v>
      </c>
      <c r="Y198">
        <f t="shared" si="10"/>
        <v>10.375999999999999</v>
      </c>
      <c r="Z198">
        <v>10.375999999999999</v>
      </c>
    </row>
    <row r="199" spans="1:26" x14ac:dyDescent="0.25">
      <c r="A199" s="41">
        <v>43474</v>
      </c>
      <c r="B199" s="29">
        <v>138.36000000000001</v>
      </c>
      <c r="C199" s="37">
        <f t="shared" si="9"/>
        <v>23.060000000000002</v>
      </c>
      <c r="D199" s="37">
        <v>6.33</v>
      </c>
      <c r="E199" s="33">
        <f t="shared" si="11"/>
        <v>6.5090041223695241E-4</v>
      </c>
      <c r="W199" t="s">
        <v>237</v>
      </c>
      <c r="X199">
        <v>5.0469999999999997</v>
      </c>
      <c r="Y199">
        <f t="shared" si="10"/>
        <v>10.093999999999999</v>
      </c>
      <c r="Z199">
        <v>10.093999999999999</v>
      </c>
    </row>
    <row r="200" spans="1:26" x14ac:dyDescent="0.25">
      <c r="A200" s="41">
        <v>43474</v>
      </c>
      <c r="B200" s="29">
        <v>138.47</v>
      </c>
      <c r="C200" s="37">
        <f t="shared" si="9"/>
        <v>23.078333333333333</v>
      </c>
      <c r="D200" s="37">
        <v>6.33</v>
      </c>
      <c r="E200" s="33">
        <f t="shared" si="11"/>
        <v>7.9502746458503333E-4</v>
      </c>
      <c r="W200" t="s">
        <v>238</v>
      </c>
      <c r="X200">
        <v>4.8789999999999996</v>
      </c>
      <c r="Y200">
        <f t="shared" si="10"/>
        <v>9.7579999999999991</v>
      </c>
      <c r="Z200">
        <v>9.7579999999999991</v>
      </c>
    </row>
    <row r="201" spans="1:26" x14ac:dyDescent="0.25">
      <c r="A201" s="41">
        <v>43474</v>
      </c>
      <c r="B201" s="29">
        <v>139.35</v>
      </c>
      <c r="C201" s="37">
        <f t="shared" si="9"/>
        <v>23.225000000000001</v>
      </c>
      <c r="D201" s="37">
        <v>6.33</v>
      </c>
      <c r="E201" s="33">
        <f t="shared" si="11"/>
        <v>6.3551671842275977E-3</v>
      </c>
      <c r="W201" t="s">
        <v>239</v>
      </c>
      <c r="X201">
        <v>4.7249999999999996</v>
      </c>
      <c r="Y201">
        <f t="shared" si="10"/>
        <v>9.4499999999999993</v>
      </c>
      <c r="Z201">
        <v>9.4499999999999993</v>
      </c>
    </row>
    <row r="202" spans="1:26" x14ac:dyDescent="0.25">
      <c r="A202" s="41">
        <v>43474</v>
      </c>
      <c r="B202" s="29">
        <v>142.24</v>
      </c>
      <c r="C202" s="37">
        <f t="shared" si="9"/>
        <v>23.706666666666667</v>
      </c>
      <c r="D202" s="37">
        <v>6.33</v>
      </c>
      <c r="E202" s="33">
        <f t="shared" si="11"/>
        <v>2.0739146035163365E-2</v>
      </c>
      <c r="W202" t="s">
        <v>240</v>
      </c>
      <c r="X202">
        <v>4.601</v>
      </c>
      <c r="Y202">
        <f t="shared" si="10"/>
        <v>9.202</v>
      </c>
      <c r="Z202">
        <v>9.202</v>
      </c>
    </row>
    <row r="203" spans="1:26" x14ac:dyDescent="0.25">
      <c r="A203" s="41">
        <v>43474</v>
      </c>
      <c r="B203" s="29">
        <v>143.53</v>
      </c>
      <c r="C203" s="37">
        <f t="shared" si="9"/>
        <v>23.921666666666667</v>
      </c>
      <c r="D203" s="37">
        <v>6.33</v>
      </c>
      <c r="E203" s="33">
        <f t="shared" si="11"/>
        <v>9.0691788526433628E-3</v>
      </c>
      <c r="W203" t="s">
        <v>241</v>
      </c>
      <c r="X203">
        <v>4.4950000000000001</v>
      </c>
      <c r="Y203">
        <f t="shared" si="10"/>
        <v>8.99</v>
      </c>
      <c r="Z203">
        <v>8.99</v>
      </c>
    </row>
    <row r="204" spans="1:26" x14ac:dyDescent="0.25">
      <c r="A204" s="41">
        <v>43474</v>
      </c>
      <c r="B204" s="29">
        <v>144.46</v>
      </c>
      <c r="C204" s="37">
        <f t="shared" si="9"/>
        <v>24.076666666666668</v>
      </c>
      <c r="D204" s="37">
        <v>6.33</v>
      </c>
      <c r="E204" s="33">
        <f t="shared" si="11"/>
        <v>6.4794816414687302E-3</v>
      </c>
      <c r="W204" t="s">
        <v>242</v>
      </c>
      <c r="X204">
        <v>4.4219999999999997</v>
      </c>
      <c r="Y204">
        <f t="shared" si="10"/>
        <v>8.8439999999999994</v>
      </c>
      <c r="Z204">
        <v>8.8439999999999994</v>
      </c>
    </row>
    <row r="205" spans="1:26" x14ac:dyDescent="0.25">
      <c r="A205" s="41">
        <v>43474</v>
      </c>
      <c r="B205" s="29">
        <v>144.46</v>
      </c>
      <c r="C205" s="37">
        <f t="shared" si="9"/>
        <v>24.076666666666668</v>
      </c>
      <c r="D205" s="37">
        <v>6.33</v>
      </c>
      <c r="E205" s="33">
        <f t="shared" si="11"/>
        <v>0</v>
      </c>
      <c r="W205" t="s">
        <v>243</v>
      </c>
      <c r="X205">
        <v>4.71</v>
      </c>
      <c r="Y205">
        <f t="shared" si="10"/>
        <v>9.42</v>
      </c>
      <c r="Z205">
        <v>9.42</v>
      </c>
    </row>
    <row r="206" spans="1:26" x14ac:dyDescent="0.25">
      <c r="A206" s="41">
        <v>43474</v>
      </c>
      <c r="B206" s="29">
        <v>144.46</v>
      </c>
      <c r="C206" s="37">
        <f t="shared" si="9"/>
        <v>24.076666666666668</v>
      </c>
      <c r="D206" s="37">
        <v>6.33</v>
      </c>
      <c r="E206" s="33">
        <f t="shared" si="11"/>
        <v>0</v>
      </c>
      <c r="W206" t="s">
        <v>244</v>
      </c>
      <c r="X206">
        <v>6.5990000000000002</v>
      </c>
      <c r="Y206">
        <f t="shared" si="10"/>
        <v>13.198</v>
      </c>
      <c r="Z206">
        <v>13.198</v>
      </c>
    </row>
    <row r="207" spans="1:26" x14ac:dyDescent="0.25">
      <c r="A207" s="41">
        <v>43474</v>
      </c>
      <c r="B207" s="29">
        <v>144.61000000000001</v>
      </c>
      <c r="C207" s="37">
        <f t="shared" si="9"/>
        <v>24.10166666666667</v>
      </c>
      <c r="D207" s="37">
        <v>6.33</v>
      </c>
      <c r="E207" s="33">
        <f t="shared" si="11"/>
        <v>1.0383497161844501E-3</v>
      </c>
      <c r="W207" t="s">
        <v>245</v>
      </c>
      <c r="X207">
        <v>5.5110000000000001</v>
      </c>
      <c r="Y207">
        <f t="shared" si="10"/>
        <v>11.022</v>
      </c>
      <c r="Z207">
        <v>11.022</v>
      </c>
    </row>
    <row r="208" spans="1:26" x14ac:dyDescent="0.25">
      <c r="A208" s="41">
        <v>43474</v>
      </c>
      <c r="B208" s="29">
        <v>144.57</v>
      </c>
      <c r="C208" s="37">
        <f t="shared" si="9"/>
        <v>24.094999999999999</v>
      </c>
      <c r="D208" s="37">
        <v>6.33</v>
      </c>
      <c r="E208" s="33">
        <f t="shared" si="11"/>
        <v>-2.7660604384219944E-4</v>
      </c>
      <c r="W208" t="s">
        <v>246</v>
      </c>
      <c r="X208">
        <v>4.8680000000000003</v>
      </c>
      <c r="Y208">
        <f t="shared" si="10"/>
        <v>9.7360000000000007</v>
      </c>
      <c r="Z208">
        <v>9.7360000000000007</v>
      </c>
    </row>
    <row r="209" spans="1:26" x14ac:dyDescent="0.25">
      <c r="A209" s="41">
        <v>43474</v>
      </c>
      <c r="B209" s="29">
        <v>144.53</v>
      </c>
      <c r="C209" s="37">
        <f t="shared" si="9"/>
        <v>24.088333333333335</v>
      </c>
      <c r="D209" s="37">
        <v>6.33</v>
      </c>
      <c r="E209" s="33">
        <f t="shared" si="11"/>
        <v>-2.7668257591472671E-4</v>
      </c>
      <c r="W209" t="s">
        <v>247</v>
      </c>
      <c r="X209">
        <v>4.4349999999999996</v>
      </c>
      <c r="Y209">
        <f t="shared" si="10"/>
        <v>8.8699999999999992</v>
      </c>
      <c r="Z209">
        <v>8.8699999999999992</v>
      </c>
    </row>
    <row r="210" spans="1:26" x14ac:dyDescent="0.25">
      <c r="A210" s="41">
        <v>43474</v>
      </c>
      <c r="B210" s="29">
        <v>144.49</v>
      </c>
      <c r="C210" s="37">
        <f t="shared" si="9"/>
        <v>24.081666666666667</v>
      </c>
      <c r="D210" s="37">
        <v>6.33</v>
      </c>
      <c r="E210" s="33">
        <f t="shared" si="11"/>
        <v>-2.7675915034935337E-4</v>
      </c>
      <c r="W210" t="s">
        <v>248</v>
      </c>
      <c r="X210">
        <v>4.0720000000000001</v>
      </c>
      <c r="Y210">
        <f t="shared" si="10"/>
        <v>8.1440000000000001</v>
      </c>
      <c r="Z210">
        <v>8.1440000000000001</v>
      </c>
    </row>
    <row r="211" spans="1:26" x14ac:dyDescent="0.25">
      <c r="A211" s="41">
        <v>43474</v>
      </c>
      <c r="B211" s="29">
        <v>144.33000000000001</v>
      </c>
      <c r="C211" s="37">
        <f t="shared" si="9"/>
        <v>24.055000000000003</v>
      </c>
      <c r="D211" s="37">
        <v>6.33</v>
      </c>
      <c r="E211" s="33">
        <f t="shared" si="11"/>
        <v>-1.1073430687244556E-3</v>
      </c>
      <c r="W211" t="s">
        <v>249</v>
      </c>
      <c r="X211">
        <v>3.8879999999999999</v>
      </c>
      <c r="Y211">
        <f t="shared" si="10"/>
        <v>7.7759999999999998</v>
      </c>
      <c r="Z211">
        <v>7.7759999999999998</v>
      </c>
    </row>
    <row r="212" spans="1:26" x14ac:dyDescent="0.25">
      <c r="A212" s="41">
        <v>43474</v>
      </c>
      <c r="B212" s="29">
        <v>142.74</v>
      </c>
      <c r="C212" s="37">
        <f t="shared" si="9"/>
        <v>23.79</v>
      </c>
      <c r="D212" s="37">
        <v>6.33</v>
      </c>
      <c r="E212" s="33">
        <f t="shared" si="11"/>
        <v>-1.1016420702556663E-2</v>
      </c>
      <c r="W212" t="s">
        <v>250</v>
      </c>
      <c r="X212">
        <v>3.8</v>
      </c>
      <c r="Y212">
        <f t="shared" si="10"/>
        <v>7.6</v>
      </c>
      <c r="Z212">
        <v>7.6</v>
      </c>
    </row>
    <row r="213" spans="1:26" x14ac:dyDescent="0.25">
      <c r="A213" s="41">
        <v>43474</v>
      </c>
      <c r="B213" s="29">
        <v>142.33000000000001</v>
      </c>
      <c r="C213" s="37">
        <f t="shared" si="9"/>
        <v>23.721666666666671</v>
      </c>
      <c r="D213" s="37">
        <v>6.33</v>
      </c>
      <c r="E213" s="33">
        <f t="shared" si="11"/>
        <v>-2.8723553313717005E-3</v>
      </c>
      <c r="W213" t="s">
        <v>251</v>
      </c>
      <c r="X213">
        <v>3.7549999999999999</v>
      </c>
      <c r="Y213">
        <f t="shared" si="10"/>
        <v>7.51</v>
      </c>
      <c r="Z213">
        <v>7.51</v>
      </c>
    </row>
    <row r="214" spans="1:26" x14ac:dyDescent="0.25">
      <c r="A214" s="41">
        <v>43474</v>
      </c>
      <c r="B214" s="29">
        <v>143.63999999999999</v>
      </c>
      <c r="C214" s="37">
        <f t="shared" si="9"/>
        <v>23.939999999999998</v>
      </c>
      <c r="D214" s="37">
        <v>6.33</v>
      </c>
      <c r="E214" s="33">
        <f t="shared" si="11"/>
        <v>9.2039626220752745E-3</v>
      </c>
      <c r="W214" t="s">
        <v>252</v>
      </c>
      <c r="X214">
        <v>3.6989999999999998</v>
      </c>
      <c r="Y214">
        <f t="shared" si="10"/>
        <v>7.3979999999999997</v>
      </c>
      <c r="Z214">
        <v>7.3979999999999997</v>
      </c>
    </row>
    <row r="215" spans="1:26" x14ac:dyDescent="0.25">
      <c r="A215" s="41">
        <v>43474</v>
      </c>
      <c r="B215" s="29">
        <v>144.28</v>
      </c>
      <c r="C215" s="37">
        <f t="shared" si="9"/>
        <v>24.046666666666667</v>
      </c>
      <c r="D215" s="37">
        <v>6.33</v>
      </c>
      <c r="E215" s="33">
        <f t="shared" si="11"/>
        <v>4.455583402951927E-3</v>
      </c>
      <c r="W215" t="s">
        <v>253</v>
      </c>
      <c r="X215">
        <v>3.6840000000000002</v>
      </c>
      <c r="Y215">
        <f t="shared" si="10"/>
        <v>7.3680000000000003</v>
      </c>
      <c r="Z215">
        <v>7.3680000000000003</v>
      </c>
    </row>
    <row r="216" spans="1:26" x14ac:dyDescent="0.25">
      <c r="A216" s="41">
        <v>43474</v>
      </c>
      <c r="B216" s="29">
        <v>144.21</v>
      </c>
      <c r="C216" s="37">
        <f t="shared" si="9"/>
        <v>24.035</v>
      </c>
      <c r="D216" s="37">
        <v>6.33</v>
      </c>
      <c r="E216" s="33">
        <f t="shared" si="11"/>
        <v>-4.8516772941497904E-4</v>
      </c>
      <c r="W216" t="s">
        <v>254</v>
      </c>
      <c r="X216">
        <v>3.5720000000000001</v>
      </c>
      <c r="Y216">
        <f t="shared" si="10"/>
        <v>7.1440000000000001</v>
      </c>
      <c r="Z216">
        <v>7.1440000000000001</v>
      </c>
    </row>
    <row r="217" spans="1:26" x14ac:dyDescent="0.25">
      <c r="A217" s="41">
        <v>43474</v>
      </c>
      <c r="B217" s="29">
        <v>143.16999999999999</v>
      </c>
      <c r="C217" s="37">
        <f t="shared" si="9"/>
        <v>23.861666666666665</v>
      </c>
      <c r="D217" s="37">
        <v>6.33</v>
      </c>
      <c r="E217" s="33">
        <f t="shared" si="11"/>
        <v>-7.2117051522087262E-3</v>
      </c>
      <c r="W217" t="s">
        <v>255</v>
      </c>
      <c r="X217">
        <v>3.5009999999999999</v>
      </c>
      <c r="Y217">
        <f t="shared" si="10"/>
        <v>7.0019999999999989</v>
      </c>
      <c r="Z217">
        <v>7.0019999999999989</v>
      </c>
    </row>
    <row r="218" spans="1:26" x14ac:dyDescent="0.25">
      <c r="A218" s="41">
        <v>43475</v>
      </c>
      <c r="B218" s="29">
        <v>140.63</v>
      </c>
      <c r="C218" s="37">
        <f t="shared" si="9"/>
        <v>23.438333333333333</v>
      </c>
      <c r="D218" s="37">
        <v>6.4939999999999998</v>
      </c>
      <c r="E218" s="33">
        <f t="shared" si="11"/>
        <v>-1.7741146888314536E-2</v>
      </c>
      <c r="W218" t="s">
        <v>256</v>
      </c>
      <c r="X218">
        <v>3.4350000000000001</v>
      </c>
      <c r="Y218">
        <f t="shared" si="10"/>
        <v>6.87</v>
      </c>
      <c r="Z218">
        <v>6.87</v>
      </c>
    </row>
    <row r="219" spans="1:26" x14ac:dyDescent="0.25">
      <c r="A219" s="41">
        <v>43475</v>
      </c>
      <c r="B219" s="29">
        <v>139.47</v>
      </c>
      <c r="C219" s="37">
        <f t="shared" si="9"/>
        <v>23.245000000000001</v>
      </c>
      <c r="D219" s="37">
        <v>6.4939999999999998</v>
      </c>
      <c r="E219" s="33">
        <f t="shared" si="11"/>
        <v>-8.2485956054895587E-3</v>
      </c>
      <c r="W219" t="s">
        <v>257</v>
      </c>
      <c r="X219">
        <v>3.363</v>
      </c>
      <c r="Y219">
        <f t="shared" si="10"/>
        <v>6.726</v>
      </c>
      <c r="Z219">
        <v>6.726</v>
      </c>
    </row>
    <row r="220" spans="1:26" x14ac:dyDescent="0.25">
      <c r="A220" s="41">
        <v>43475</v>
      </c>
      <c r="B220" s="29">
        <v>139.25</v>
      </c>
      <c r="C220" s="37">
        <f t="shared" si="9"/>
        <v>23.208333333333332</v>
      </c>
      <c r="D220" s="37">
        <v>6.4939999999999998</v>
      </c>
      <c r="E220" s="33">
        <f t="shared" si="11"/>
        <v>-1.5774001577400075E-3</v>
      </c>
      <c r="W220" t="s">
        <v>258</v>
      </c>
      <c r="X220">
        <v>3.2130000000000001</v>
      </c>
      <c r="Y220">
        <f t="shared" si="10"/>
        <v>6.4260000000000002</v>
      </c>
      <c r="Z220">
        <v>6.4260000000000002</v>
      </c>
    </row>
    <row r="221" spans="1:26" x14ac:dyDescent="0.25">
      <c r="A221" s="41">
        <v>43475</v>
      </c>
      <c r="B221" s="29">
        <v>138.83000000000001</v>
      </c>
      <c r="C221" s="37">
        <f t="shared" si="9"/>
        <v>23.138333333333335</v>
      </c>
      <c r="D221" s="37">
        <v>6.4939999999999998</v>
      </c>
      <c r="E221" s="33">
        <f t="shared" si="11"/>
        <v>-3.0161579892279172E-3</v>
      </c>
      <c r="W221" t="s">
        <v>259</v>
      </c>
      <c r="X221">
        <v>3.0939999999999999</v>
      </c>
      <c r="Y221">
        <f t="shared" si="10"/>
        <v>6.1879999999999997</v>
      </c>
      <c r="Z221">
        <v>6.1879999999999997</v>
      </c>
    </row>
    <row r="222" spans="1:26" x14ac:dyDescent="0.25">
      <c r="A222" s="41">
        <v>43475</v>
      </c>
      <c r="B222" s="29">
        <v>138.72999999999999</v>
      </c>
      <c r="C222" s="37">
        <f t="shared" si="9"/>
        <v>23.121666666666663</v>
      </c>
      <c r="D222" s="37">
        <v>6.4939999999999998</v>
      </c>
      <c r="E222" s="33">
        <f t="shared" si="11"/>
        <v>-7.20305409493789E-4</v>
      </c>
      <c r="W222" t="s">
        <v>260</v>
      </c>
      <c r="X222">
        <v>3.0449999999999999</v>
      </c>
      <c r="Y222">
        <f t="shared" si="10"/>
        <v>6.09</v>
      </c>
      <c r="Z222">
        <v>6.09</v>
      </c>
    </row>
    <row r="223" spans="1:26" x14ac:dyDescent="0.25">
      <c r="A223" s="41">
        <v>43475</v>
      </c>
      <c r="B223" s="29">
        <v>138.83000000000001</v>
      </c>
      <c r="C223" s="37">
        <f t="shared" si="9"/>
        <v>23.138333333333335</v>
      </c>
      <c r="D223" s="37">
        <v>6.4939999999999998</v>
      </c>
      <c r="E223" s="33">
        <f t="shared" si="11"/>
        <v>7.2082462336929825E-4</v>
      </c>
      <c r="W223" t="s">
        <v>261</v>
      </c>
      <c r="X223">
        <v>3.0009999999999999</v>
      </c>
      <c r="Y223">
        <f t="shared" si="10"/>
        <v>6.0019999999999989</v>
      </c>
      <c r="Z223">
        <v>6.0019999999999989</v>
      </c>
    </row>
    <row r="224" spans="1:26" x14ac:dyDescent="0.25">
      <c r="A224" s="41">
        <v>43475</v>
      </c>
      <c r="B224" s="29">
        <v>139.19999999999999</v>
      </c>
      <c r="C224" s="37">
        <f t="shared" si="9"/>
        <v>23.199999999999996</v>
      </c>
      <c r="D224" s="37">
        <v>6.4939999999999998</v>
      </c>
      <c r="E224" s="33">
        <f t="shared" si="11"/>
        <v>2.6651300151262413E-3</v>
      </c>
      <c r="W224" t="s">
        <v>262</v>
      </c>
      <c r="X224">
        <v>2.9470000000000001</v>
      </c>
      <c r="Y224">
        <f t="shared" si="10"/>
        <v>5.8940000000000001</v>
      </c>
      <c r="Z224">
        <v>5.8940000000000001</v>
      </c>
    </row>
    <row r="225" spans="1:26" x14ac:dyDescent="0.25">
      <c r="A225" s="41">
        <v>43475</v>
      </c>
      <c r="B225" s="29">
        <v>139.52000000000001</v>
      </c>
      <c r="C225" s="37">
        <f t="shared" si="9"/>
        <v>23.253333333333337</v>
      </c>
      <c r="D225" s="37">
        <v>6.4939999999999998</v>
      </c>
      <c r="E225" s="33">
        <f t="shared" si="11"/>
        <v>2.2988505747127989E-3</v>
      </c>
      <c r="W225" t="s">
        <v>263</v>
      </c>
      <c r="X225">
        <v>2.887</v>
      </c>
      <c r="Y225">
        <f t="shared" si="10"/>
        <v>5.774</v>
      </c>
      <c r="Z225">
        <v>5.774</v>
      </c>
    </row>
    <row r="226" spans="1:26" x14ac:dyDescent="0.25">
      <c r="A226" s="41">
        <v>43475</v>
      </c>
      <c r="B226" s="29">
        <v>140.93</v>
      </c>
      <c r="C226" s="37">
        <f t="shared" si="9"/>
        <v>23.488333333333333</v>
      </c>
      <c r="D226" s="37">
        <v>6.4939999999999998</v>
      </c>
      <c r="E226" s="33">
        <f t="shared" si="11"/>
        <v>1.010607798165135E-2</v>
      </c>
      <c r="W226" t="s">
        <v>264</v>
      </c>
      <c r="X226">
        <v>2.8849999999999998</v>
      </c>
      <c r="Y226">
        <f t="shared" si="10"/>
        <v>5.77</v>
      </c>
      <c r="Z226">
        <v>5.77</v>
      </c>
    </row>
    <row r="227" spans="1:26" x14ac:dyDescent="0.25">
      <c r="A227" s="41">
        <v>43475</v>
      </c>
      <c r="B227" s="29">
        <v>142.33000000000001</v>
      </c>
      <c r="C227" s="37">
        <f t="shared" si="9"/>
        <v>23.721666666666671</v>
      </c>
      <c r="D227" s="37">
        <v>6.4939999999999998</v>
      </c>
      <c r="E227" s="33">
        <f t="shared" si="11"/>
        <v>9.9340097920954072E-3</v>
      </c>
      <c r="W227" t="s">
        <v>265</v>
      </c>
      <c r="X227">
        <v>2.8239999999999998</v>
      </c>
      <c r="Y227">
        <f t="shared" si="10"/>
        <v>5.6479999999999997</v>
      </c>
      <c r="Z227">
        <v>5.6479999999999997</v>
      </c>
    </row>
    <row r="228" spans="1:26" x14ac:dyDescent="0.25">
      <c r="A228" s="41">
        <v>43475</v>
      </c>
      <c r="B228" s="29">
        <v>142.86000000000001</v>
      </c>
      <c r="C228" s="37">
        <f t="shared" si="9"/>
        <v>23.810000000000002</v>
      </c>
      <c r="D228" s="37">
        <v>6.4939999999999998</v>
      </c>
      <c r="E228" s="33">
        <f t="shared" si="11"/>
        <v>3.7237406028244298E-3</v>
      </c>
      <c r="W228" t="s">
        <v>266</v>
      </c>
      <c r="X228">
        <v>2.762</v>
      </c>
      <c r="Y228">
        <f t="shared" si="10"/>
        <v>5.524</v>
      </c>
      <c r="Z228">
        <v>5.524</v>
      </c>
    </row>
    <row r="229" spans="1:26" x14ac:dyDescent="0.25">
      <c r="A229" s="41">
        <v>43475</v>
      </c>
      <c r="B229" s="29">
        <v>142.86000000000001</v>
      </c>
      <c r="C229" s="37">
        <f t="shared" si="9"/>
        <v>23.810000000000002</v>
      </c>
      <c r="D229" s="37">
        <v>6.4939999999999998</v>
      </c>
      <c r="E229" s="33">
        <f t="shared" si="11"/>
        <v>0</v>
      </c>
      <c r="W229" t="s">
        <v>267</v>
      </c>
      <c r="X229">
        <v>2.673</v>
      </c>
      <c r="Y229">
        <f t="shared" si="10"/>
        <v>5.3460000000000001</v>
      </c>
      <c r="Z229">
        <v>5.3460000000000001</v>
      </c>
    </row>
    <row r="230" spans="1:26" x14ac:dyDescent="0.25">
      <c r="A230" s="41">
        <v>43475</v>
      </c>
      <c r="B230" s="29">
        <v>142.86000000000001</v>
      </c>
      <c r="C230" s="37">
        <f t="shared" si="9"/>
        <v>23.810000000000002</v>
      </c>
      <c r="D230" s="37">
        <v>6.4939999999999998</v>
      </c>
      <c r="E230" s="33">
        <f t="shared" si="11"/>
        <v>0</v>
      </c>
      <c r="W230" t="s">
        <v>268</v>
      </c>
      <c r="X230">
        <v>2.6349999999999998</v>
      </c>
      <c r="Y230">
        <f t="shared" si="10"/>
        <v>5.27</v>
      </c>
      <c r="Z230">
        <v>5.27</v>
      </c>
    </row>
    <row r="231" spans="1:26" x14ac:dyDescent="0.25">
      <c r="A231" s="41">
        <v>43475</v>
      </c>
      <c r="B231" s="29">
        <v>143.04</v>
      </c>
      <c r="C231" s="37">
        <f t="shared" si="9"/>
        <v>23.84</v>
      </c>
      <c r="D231" s="37">
        <v>6.4939999999999998</v>
      </c>
      <c r="E231" s="33">
        <f t="shared" si="11"/>
        <v>1.2599748005038386E-3</v>
      </c>
      <c r="W231" t="s">
        <v>269</v>
      </c>
      <c r="X231">
        <v>2.6280000000000001</v>
      </c>
      <c r="Y231">
        <f t="shared" si="10"/>
        <v>5.2560000000000002</v>
      </c>
      <c r="Z231">
        <v>5.2560000000000002</v>
      </c>
    </row>
    <row r="232" spans="1:26" x14ac:dyDescent="0.25">
      <c r="A232" s="41">
        <v>43475</v>
      </c>
      <c r="B232" s="29">
        <v>143.61000000000001</v>
      </c>
      <c r="C232" s="37">
        <f t="shared" si="9"/>
        <v>23.935000000000002</v>
      </c>
      <c r="D232" s="37">
        <v>6.4939999999999998</v>
      </c>
      <c r="E232" s="33">
        <f t="shared" si="11"/>
        <v>3.9848993288592116E-3</v>
      </c>
      <c r="W232" t="s">
        <v>270</v>
      </c>
      <c r="X232">
        <v>2.6539999999999999</v>
      </c>
      <c r="Y232">
        <f t="shared" si="10"/>
        <v>5.3079999999999998</v>
      </c>
      <c r="Z232">
        <v>5.3079999999999998</v>
      </c>
    </row>
    <row r="233" spans="1:26" x14ac:dyDescent="0.25">
      <c r="A233" s="41">
        <v>43475</v>
      </c>
      <c r="B233" s="29">
        <v>143.61000000000001</v>
      </c>
      <c r="C233" s="37">
        <f t="shared" si="9"/>
        <v>23.935000000000002</v>
      </c>
      <c r="D233" s="37">
        <v>6.4939999999999998</v>
      </c>
      <c r="E233" s="33">
        <f t="shared" si="11"/>
        <v>0</v>
      </c>
      <c r="W233" t="s">
        <v>271</v>
      </c>
      <c r="X233">
        <v>2.694</v>
      </c>
      <c r="Y233">
        <f t="shared" si="10"/>
        <v>5.3879999999999999</v>
      </c>
      <c r="Z233">
        <v>5.3879999999999999</v>
      </c>
    </row>
    <row r="234" spans="1:26" x14ac:dyDescent="0.25">
      <c r="A234" s="41">
        <v>43475</v>
      </c>
      <c r="B234" s="29">
        <v>143.15</v>
      </c>
      <c r="C234" s="37">
        <f t="shared" si="9"/>
        <v>23.858333333333334</v>
      </c>
      <c r="D234" s="37">
        <v>6.4939999999999998</v>
      </c>
      <c r="E234" s="33">
        <f t="shared" si="11"/>
        <v>-3.2031195599192806E-3</v>
      </c>
      <c r="W234" t="s">
        <v>272</v>
      </c>
      <c r="X234">
        <v>2.6829999999999998</v>
      </c>
      <c r="Y234">
        <f t="shared" si="10"/>
        <v>5.3659999999999988</v>
      </c>
      <c r="Z234">
        <v>5.3659999999999988</v>
      </c>
    </row>
    <row r="235" spans="1:26" x14ac:dyDescent="0.25">
      <c r="A235" s="41">
        <v>43475</v>
      </c>
      <c r="B235" s="29">
        <v>142.29</v>
      </c>
      <c r="C235" s="37">
        <f t="shared" si="9"/>
        <v>23.715</v>
      </c>
      <c r="D235" s="37">
        <v>6.4939999999999998</v>
      </c>
      <c r="E235" s="33">
        <f t="shared" si="11"/>
        <v>-6.0076842472931444E-3</v>
      </c>
      <c r="W235" t="s">
        <v>273</v>
      </c>
      <c r="X235">
        <v>2.673</v>
      </c>
      <c r="Y235">
        <f t="shared" si="10"/>
        <v>5.3460000000000001</v>
      </c>
      <c r="Z235">
        <v>5.3460000000000001</v>
      </c>
    </row>
    <row r="236" spans="1:26" x14ac:dyDescent="0.25">
      <c r="A236" s="41">
        <v>43475</v>
      </c>
      <c r="B236" s="29">
        <v>140.74</v>
      </c>
      <c r="C236" s="37">
        <f t="shared" si="9"/>
        <v>23.456666666666667</v>
      </c>
      <c r="D236" s="37">
        <v>6.4939999999999998</v>
      </c>
      <c r="E236" s="33">
        <f t="shared" si="11"/>
        <v>-1.0893246187363715E-2</v>
      </c>
      <c r="W236" t="s">
        <v>274</v>
      </c>
      <c r="X236">
        <v>2.641</v>
      </c>
      <c r="Y236">
        <f t="shared" si="10"/>
        <v>5.282</v>
      </c>
      <c r="Z236">
        <v>5.282</v>
      </c>
    </row>
    <row r="237" spans="1:26" x14ac:dyDescent="0.25">
      <c r="A237" s="41">
        <v>43475</v>
      </c>
      <c r="B237" s="29">
        <v>140.47</v>
      </c>
      <c r="C237" s="37">
        <f t="shared" si="9"/>
        <v>23.411666666666665</v>
      </c>
      <c r="D237" s="37">
        <v>6.4939999999999998</v>
      </c>
      <c r="E237" s="33">
        <f t="shared" si="11"/>
        <v>-1.9184311496377021E-3</v>
      </c>
      <c r="W237" t="s">
        <v>275</v>
      </c>
      <c r="X237">
        <v>2.6179999999999999</v>
      </c>
      <c r="Y237">
        <f t="shared" si="10"/>
        <v>5.2360000000000007</v>
      </c>
      <c r="Z237">
        <v>5.2360000000000007</v>
      </c>
    </row>
    <row r="238" spans="1:26" x14ac:dyDescent="0.25">
      <c r="A238" s="41">
        <v>43475</v>
      </c>
      <c r="B238" s="29">
        <v>141.66999999999999</v>
      </c>
      <c r="C238" s="37">
        <f t="shared" si="9"/>
        <v>23.611666666666665</v>
      </c>
      <c r="D238" s="37">
        <v>6.4939999999999998</v>
      </c>
      <c r="E238" s="33">
        <f t="shared" si="11"/>
        <v>8.5427493414963248E-3</v>
      </c>
      <c r="W238" t="s">
        <v>276</v>
      </c>
      <c r="X238">
        <v>2.597</v>
      </c>
      <c r="Y238">
        <f t="shared" si="10"/>
        <v>5.194</v>
      </c>
      <c r="Z238">
        <v>5.194</v>
      </c>
    </row>
    <row r="239" spans="1:26" x14ac:dyDescent="0.25">
      <c r="A239" s="41">
        <v>43475</v>
      </c>
      <c r="B239" s="29">
        <v>142.07</v>
      </c>
      <c r="C239" s="37">
        <f t="shared" si="9"/>
        <v>23.678333333333335</v>
      </c>
      <c r="D239" s="37">
        <v>6.4939999999999998</v>
      </c>
      <c r="E239" s="33">
        <f t="shared" si="11"/>
        <v>2.8234629773417502E-3</v>
      </c>
      <c r="W239" t="s">
        <v>277</v>
      </c>
      <c r="X239">
        <v>2.5739999999999998</v>
      </c>
      <c r="Y239">
        <f t="shared" si="10"/>
        <v>5.1479999999999997</v>
      </c>
      <c r="Z239">
        <v>5.1479999999999997</v>
      </c>
    </row>
    <row r="240" spans="1:26" x14ac:dyDescent="0.25">
      <c r="A240" s="41">
        <v>43475</v>
      </c>
      <c r="B240" s="29">
        <v>142.01</v>
      </c>
      <c r="C240" s="37">
        <f t="shared" si="9"/>
        <v>23.668333333333333</v>
      </c>
      <c r="D240" s="37">
        <v>6.4939999999999998</v>
      </c>
      <c r="E240" s="33">
        <f t="shared" si="11"/>
        <v>-4.2232702189063331E-4</v>
      </c>
      <c r="W240" t="s">
        <v>278</v>
      </c>
      <c r="X240">
        <v>2.516</v>
      </c>
      <c r="Y240">
        <f t="shared" si="10"/>
        <v>5.032</v>
      </c>
      <c r="Z240">
        <v>5.032</v>
      </c>
    </row>
    <row r="241" spans="1:26" x14ac:dyDescent="0.25">
      <c r="A241" s="41">
        <v>43475</v>
      </c>
      <c r="B241" s="29">
        <v>141.03</v>
      </c>
      <c r="C241" s="37">
        <f t="shared" si="9"/>
        <v>23.504999999999999</v>
      </c>
      <c r="D241" s="37">
        <v>6.4939999999999998</v>
      </c>
      <c r="E241" s="33">
        <f t="shared" si="11"/>
        <v>-6.9009224702485028E-3</v>
      </c>
      <c r="W241" t="s">
        <v>279</v>
      </c>
      <c r="X241">
        <v>2.4470000000000001</v>
      </c>
      <c r="Y241">
        <f t="shared" si="10"/>
        <v>4.8940000000000001</v>
      </c>
      <c r="Z241">
        <v>4.8940000000000001</v>
      </c>
    </row>
    <row r="242" spans="1:26" x14ac:dyDescent="0.25">
      <c r="A242" s="41">
        <v>43476</v>
      </c>
      <c r="B242" s="29">
        <v>142.16</v>
      </c>
      <c r="C242" s="37">
        <f t="shared" si="9"/>
        <v>23.693333333333332</v>
      </c>
      <c r="D242" s="37">
        <v>6.5579999999999998</v>
      </c>
      <c r="E242" s="33">
        <f t="shared" si="11"/>
        <v>8.0124796142664358E-3</v>
      </c>
      <c r="W242" t="s">
        <v>280</v>
      </c>
      <c r="X242">
        <v>2.4039999999999999</v>
      </c>
      <c r="Y242">
        <f t="shared" si="10"/>
        <v>4.8079999999999998</v>
      </c>
      <c r="Z242">
        <v>4.8079999999999998</v>
      </c>
    </row>
    <row r="243" spans="1:26" x14ac:dyDescent="0.25">
      <c r="A243" s="41">
        <v>43476</v>
      </c>
      <c r="B243" s="29">
        <v>140</v>
      </c>
      <c r="C243" s="37">
        <f t="shared" si="9"/>
        <v>23.333333333333332</v>
      </c>
      <c r="D243" s="37">
        <v>6.5579999999999998</v>
      </c>
      <c r="E243" s="33">
        <f t="shared" si="11"/>
        <v>-1.5194147439504761E-2</v>
      </c>
      <c r="W243" t="s">
        <v>281</v>
      </c>
      <c r="X243">
        <v>2.3889999999999998</v>
      </c>
      <c r="Y243">
        <f t="shared" si="10"/>
        <v>4.7779999999999996</v>
      </c>
      <c r="Z243">
        <v>4.7779999999999996</v>
      </c>
    </row>
    <row r="244" spans="1:26" x14ac:dyDescent="0.25">
      <c r="A244" s="41">
        <v>43476</v>
      </c>
      <c r="B244" s="29">
        <v>139.53</v>
      </c>
      <c r="C244" s="37">
        <f t="shared" si="9"/>
        <v>23.254999999999999</v>
      </c>
      <c r="D244" s="37">
        <v>6.5579999999999998</v>
      </c>
      <c r="E244" s="33">
        <f t="shared" si="11"/>
        <v>-3.3571428571428489E-3</v>
      </c>
      <c r="W244" t="s">
        <v>282</v>
      </c>
      <c r="X244">
        <v>2.4910000000000001</v>
      </c>
      <c r="Y244">
        <f t="shared" si="10"/>
        <v>4.9820000000000002</v>
      </c>
      <c r="Z244">
        <v>4.9820000000000002</v>
      </c>
    </row>
    <row r="245" spans="1:26" x14ac:dyDescent="0.25">
      <c r="A245" s="41">
        <v>43476</v>
      </c>
      <c r="B245" s="29">
        <v>138.9</v>
      </c>
      <c r="C245" s="37">
        <f t="shared" si="9"/>
        <v>23.15</v>
      </c>
      <c r="D245" s="37">
        <v>6.5579999999999998</v>
      </c>
      <c r="E245" s="33">
        <f t="shared" si="11"/>
        <v>-4.5151580305310361E-3</v>
      </c>
      <c r="W245" t="s">
        <v>283</v>
      </c>
      <c r="X245">
        <v>2.7189999999999999</v>
      </c>
      <c r="Y245">
        <f t="shared" si="10"/>
        <v>5.4379999999999997</v>
      </c>
      <c r="Z245">
        <v>5.4379999999999997</v>
      </c>
    </row>
    <row r="246" spans="1:26" x14ac:dyDescent="0.25">
      <c r="A246" s="41">
        <v>43476</v>
      </c>
      <c r="B246" s="29">
        <v>138.86000000000001</v>
      </c>
      <c r="C246" s="37">
        <f t="shared" si="9"/>
        <v>23.143333333333338</v>
      </c>
      <c r="D246" s="37">
        <v>6.5579999999999998</v>
      </c>
      <c r="E246" s="33">
        <f t="shared" si="11"/>
        <v>-2.8797696184299523E-4</v>
      </c>
      <c r="W246" t="s">
        <v>284</v>
      </c>
      <c r="X246">
        <v>3.0150000000000001</v>
      </c>
      <c r="Y246">
        <f t="shared" si="10"/>
        <v>6.03</v>
      </c>
      <c r="Z246">
        <v>6.03</v>
      </c>
    </row>
    <row r="247" spans="1:26" x14ac:dyDescent="0.25">
      <c r="A247" s="41">
        <v>43476</v>
      </c>
      <c r="B247" s="29">
        <v>139.12</v>
      </c>
      <c r="C247" s="37">
        <f t="shared" si="9"/>
        <v>23.186666666666667</v>
      </c>
      <c r="D247" s="37">
        <v>6.5579999999999998</v>
      </c>
      <c r="E247" s="33">
        <f t="shared" si="11"/>
        <v>1.8723894570069918E-3</v>
      </c>
      <c r="W247" t="s">
        <v>285</v>
      </c>
      <c r="X247">
        <v>3.0139999999999998</v>
      </c>
      <c r="Y247">
        <f t="shared" si="10"/>
        <v>6.0279999999999996</v>
      </c>
      <c r="Z247">
        <v>6.0279999999999996</v>
      </c>
    </row>
    <row r="248" spans="1:26" x14ac:dyDescent="0.25">
      <c r="A248" s="41">
        <v>43476</v>
      </c>
      <c r="B248" s="29">
        <v>139.76</v>
      </c>
      <c r="C248" s="37">
        <f t="shared" si="9"/>
        <v>23.293333333333333</v>
      </c>
      <c r="D248" s="37">
        <v>6.5579999999999998</v>
      </c>
      <c r="E248" s="33">
        <f t="shared" si="11"/>
        <v>4.6003450258768428E-3</v>
      </c>
      <c r="W248" t="s">
        <v>286</v>
      </c>
      <c r="X248">
        <v>2.923</v>
      </c>
      <c r="Y248">
        <f t="shared" si="10"/>
        <v>5.8460000000000001</v>
      </c>
      <c r="Z248">
        <v>5.8460000000000001</v>
      </c>
    </row>
    <row r="249" spans="1:26" x14ac:dyDescent="0.25">
      <c r="A249" s="41">
        <v>43476</v>
      </c>
      <c r="B249" s="29">
        <v>140.55000000000001</v>
      </c>
      <c r="C249" s="37">
        <f t="shared" si="9"/>
        <v>23.425000000000004</v>
      </c>
      <c r="D249" s="37">
        <v>6.5579999999999998</v>
      </c>
      <c r="E249" s="33">
        <f t="shared" si="11"/>
        <v>5.6525472238123965E-3</v>
      </c>
      <c r="W249" t="s">
        <v>287</v>
      </c>
      <c r="X249">
        <v>2.8740000000000001</v>
      </c>
      <c r="Y249">
        <f t="shared" si="10"/>
        <v>5.7480000000000011</v>
      </c>
      <c r="Z249">
        <v>5.7480000000000011</v>
      </c>
    </row>
    <row r="250" spans="1:26" x14ac:dyDescent="0.25">
      <c r="A250" s="41">
        <v>43476</v>
      </c>
      <c r="B250" s="29">
        <v>143.56</v>
      </c>
      <c r="C250" s="37">
        <f t="shared" si="9"/>
        <v>23.926666666666666</v>
      </c>
      <c r="D250" s="37">
        <v>6.5579999999999998</v>
      </c>
      <c r="E250" s="33">
        <f t="shared" si="11"/>
        <v>2.1415866239772256E-2</v>
      </c>
      <c r="W250" t="s">
        <v>288</v>
      </c>
      <c r="X250">
        <v>2.9350000000000001</v>
      </c>
      <c r="Y250">
        <f t="shared" si="10"/>
        <v>5.87</v>
      </c>
      <c r="Z250">
        <v>5.87</v>
      </c>
    </row>
    <row r="251" spans="1:26" x14ac:dyDescent="0.25">
      <c r="A251" s="41">
        <v>43476</v>
      </c>
      <c r="B251" s="29">
        <v>145.21</v>
      </c>
      <c r="C251" s="37">
        <f t="shared" si="9"/>
        <v>24.201666666666668</v>
      </c>
      <c r="D251" s="37">
        <v>6.5579999999999998</v>
      </c>
      <c r="E251" s="33">
        <f t="shared" si="11"/>
        <v>1.149345221510174E-2</v>
      </c>
      <c r="W251" t="s">
        <v>289</v>
      </c>
      <c r="X251">
        <v>3.0329999999999999</v>
      </c>
      <c r="Y251">
        <f t="shared" si="10"/>
        <v>6.0659999999999998</v>
      </c>
      <c r="Z251">
        <v>6.0659999999999998</v>
      </c>
    </row>
    <row r="252" spans="1:26" x14ac:dyDescent="0.25">
      <c r="A252" s="41">
        <v>43476</v>
      </c>
      <c r="B252" s="29">
        <v>145.16999999999999</v>
      </c>
      <c r="C252" s="37">
        <f t="shared" si="9"/>
        <v>24.194999999999997</v>
      </c>
      <c r="D252" s="37">
        <v>6.5579999999999998</v>
      </c>
      <c r="E252" s="33">
        <f t="shared" si="11"/>
        <v>-2.7546312237463304E-4</v>
      </c>
      <c r="W252" t="s">
        <v>290</v>
      </c>
      <c r="X252">
        <v>3.085</v>
      </c>
      <c r="Y252">
        <f t="shared" si="10"/>
        <v>6.17</v>
      </c>
      <c r="Z252">
        <v>6.17</v>
      </c>
    </row>
    <row r="253" spans="1:26" x14ac:dyDescent="0.25">
      <c r="A253" s="41">
        <v>43476</v>
      </c>
      <c r="B253" s="29">
        <v>145.13</v>
      </c>
      <c r="C253" s="37">
        <f t="shared" si="9"/>
        <v>24.188333333333333</v>
      </c>
      <c r="D253" s="37">
        <v>6.5579999999999998</v>
      </c>
      <c r="E253" s="33">
        <f t="shared" si="11"/>
        <v>-2.7553902321410793E-4</v>
      </c>
      <c r="W253" t="s">
        <v>291</v>
      </c>
      <c r="X253">
        <v>3.056</v>
      </c>
      <c r="Y253">
        <f t="shared" si="10"/>
        <v>6.1120000000000001</v>
      </c>
      <c r="Z253">
        <v>6.1120000000000001</v>
      </c>
    </row>
    <row r="254" spans="1:26" x14ac:dyDescent="0.25">
      <c r="A254" s="41">
        <v>43476</v>
      </c>
      <c r="B254" s="29">
        <v>145.09</v>
      </c>
      <c r="C254" s="37">
        <f t="shared" si="9"/>
        <v>24.181666666666668</v>
      </c>
      <c r="D254" s="37">
        <v>6.5579999999999998</v>
      </c>
      <c r="E254" s="33">
        <f t="shared" si="11"/>
        <v>-2.7561496589259316E-4</v>
      </c>
      <c r="W254" t="s">
        <v>292</v>
      </c>
      <c r="X254">
        <v>2.9279999999999999</v>
      </c>
      <c r="Y254">
        <f t="shared" si="10"/>
        <v>5.8559999999999999</v>
      </c>
      <c r="Z254">
        <v>5.8559999999999999</v>
      </c>
    </row>
    <row r="255" spans="1:26" x14ac:dyDescent="0.25">
      <c r="A255" s="41">
        <v>43476</v>
      </c>
      <c r="B255" s="29">
        <v>145.25</v>
      </c>
      <c r="C255" s="37">
        <f t="shared" si="9"/>
        <v>24.208333333333332</v>
      </c>
      <c r="D255" s="37">
        <v>6.5579999999999998</v>
      </c>
      <c r="E255" s="33">
        <f t="shared" si="11"/>
        <v>1.102763801778183E-3</v>
      </c>
      <c r="W255" t="s">
        <v>293</v>
      </c>
      <c r="X255">
        <v>2.82</v>
      </c>
      <c r="Y255">
        <f t="shared" si="10"/>
        <v>5.64</v>
      </c>
      <c r="Z255">
        <v>5.64</v>
      </c>
    </row>
    <row r="256" spans="1:26" x14ac:dyDescent="0.25">
      <c r="A256" s="41">
        <v>43476</v>
      </c>
      <c r="B256" s="29">
        <v>147.87</v>
      </c>
      <c r="C256" s="37">
        <f t="shared" si="9"/>
        <v>24.645</v>
      </c>
      <c r="D256" s="37">
        <v>6.5579999999999998</v>
      </c>
      <c r="E256" s="33">
        <f t="shared" si="11"/>
        <v>1.8037865748709154E-2</v>
      </c>
      <c r="W256" t="s">
        <v>294</v>
      </c>
      <c r="X256">
        <v>2.7320000000000002</v>
      </c>
      <c r="Y256">
        <f t="shared" si="10"/>
        <v>5.4640000000000013</v>
      </c>
      <c r="Z256">
        <v>5.4640000000000013</v>
      </c>
    </row>
    <row r="257" spans="1:26" x14ac:dyDescent="0.25">
      <c r="A257" s="41">
        <v>43476</v>
      </c>
      <c r="B257" s="29">
        <v>147.87</v>
      </c>
      <c r="C257" s="37">
        <f t="shared" si="9"/>
        <v>24.645</v>
      </c>
      <c r="D257" s="37">
        <v>6.5579999999999998</v>
      </c>
      <c r="E257" s="33">
        <f t="shared" si="11"/>
        <v>0</v>
      </c>
      <c r="W257" t="s">
        <v>295</v>
      </c>
      <c r="X257">
        <v>2.64</v>
      </c>
      <c r="Y257">
        <f t="shared" si="10"/>
        <v>5.28</v>
      </c>
      <c r="Z257">
        <v>5.28</v>
      </c>
    </row>
    <row r="258" spans="1:26" x14ac:dyDescent="0.25">
      <c r="A258" s="41">
        <v>43476</v>
      </c>
      <c r="B258" s="29">
        <v>145.35</v>
      </c>
      <c r="C258" s="37">
        <f t="shared" si="9"/>
        <v>24.225000000000001</v>
      </c>
      <c r="D258" s="37">
        <v>6.5579999999999998</v>
      </c>
      <c r="E258" s="33">
        <f t="shared" si="11"/>
        <v>-1.7041996348143709E-2</v>
      </c>
      <c r="W258" t="s">
        <v>296</v>
      </c>
      <c r="X258">
        <v>2.5350000000000001</v>
      </c>
      <c r="Y258">
        <f t="shared" si="10"/>
        <v>5.07</v>
      </c>
      <c r="Z258">
        <v>5.07</v>
      </c>
    </row>
    <row r="259" spans="1:26" x14ac:dyDescent="0.25">
      <c r="A259" s="41">
        <v>43476</v>
      </c>
      <c r="B259" s="29">
        <v>144.34</v>
      </c>
      <c r="C259" s="37">
        <f t="shared" ref="C259:C322" si="12">(B259*100/600)</f>
        <v>24.056666666666668</v>
      </c>
      <c r="D259" s="37">
        <v>6.5579999999999998</v>
      </c>
      <c r="E259" s="33">
        <f t="shared" si="11"/>
        <v>-6.9487444100446577E-3</v>
      </c>
      <c r="W259" t="s">
        <v>297</v>
      </c>
      <c r="X259">
        <v>2.4849999999999999</v>
      </c>
      <c r="Y259">
        <f t="shared" ref="Y259:Y322" si="13">(X259*100/50)</f>
        <v>4.97</v>
      </c>
      <c r="Z259">
        <v>4.97</v>
      </c>
    </row>
    <row r="260" spans="1:26" x14ac:dyDescent="0.25">
      <c r="A260" s="41">
        <v>43476</v>
      </c>
      <c r="B260" s="29">
        <v>142</v>
      </c>
      <c r="C260" s="37">
        <f t="shared" si="12"/>
        <v>23.666666666666668</v>
      </c>
      <c r="D260" s="37">
        <v>6.5579999999999998</v>
      </c>
      <c r="E260" s="33">
        <f t="shared" ref="E260:E323" si="14">(B260-B259)/B259</f>
        <v>-1.6211722322294606E-2</v>
      </c>
      <c r="W260" t="s">
        <v>298</v>
      </c>
      <c r="X260">
        <v>2.4649999999999999</v>
      </c>
      <c r="Y260">
        <f t="shared" si="13"/>
        <v>4.93</v>
      </c>
      <c r="Z260">
        <v>4.93</v>
      </c>
    </row>
    <row r="261" spans="1:26" x14ac:dyDescent="0.25">
      <c r="A261" s="41">
        <v>43476</v>
      </c>
      <c r="B261" s="29">
        <v>140.16</v>
      </c>
      <c r="C261" s="37">
        <f t="shared" si="12"/>
        <v>23.36</v>
      </c>
      <c r="D261" s="37">
        <v>6.5579999999999998</v>
      </c>
      <c r="E261" s="33">
        <f t="shared" si="14"/>
        <v>-1.2957746478873263E-2</v>
      </c>
      <c r="W261" t="s">
        <v>299</v>
      </c>
      <c r="X261">
        <v>2.5089999999999999</v>
      </c>
      <c r="Y261">
        <f t="shared" si="13"/>
        <v>5.0179999999999998</v>
      </c>
      <c r="Z261">
        <v>5.0179999999999998</v>
      </c>
    </row>
    <row r="262" spans="1:26" x14ac:dyDescent="0.25">
      <c r="A262" s="41">
        <v>43476</v>
      </c>
      <c r="B262" s="29">
        <v>143.09</v>
      </c>
      <c r="C262" s="37">
        <f t="shared" si="12"/>
        <v>23.848333333333333</v>
      </c>
      <c r="D262" s="37">
        <v>6.5579999999999998</v>
      </c>
      <c r="E262" s="33">
        <f t="shared" si="14"/>
        <v>2.0904680365296854E-2</v>
      </c>
      <c r="W262" t="s">
        <v>300</v>
      </c>
      <c r="X262">
        <v>2.5950000000000002</v>
      </c>
      <c r="Y262">
        <f t="shared" si="13"/>
        <v>5.19</v>
      </c>
      <c r="Z262">
        <v>5.19</v>
      </c>
    </row>
    <row r="263" spans="1:26" x14ac:dyDescent="0.25">
      <c r="A263" s="41">
        <v>43476</v>
      </c>
      <c r="B263" s="29">
        <v>143.96</v>
      </c>
      <c r="C263" s="37">
        <f t="shared" si="12"/>
        <v>23.993333333333332</v>
      </c>
      <c r="D263" s="37">
        <v>6.5579999999999998</v>
      </c>
      <c r="E263" s="33">
        <f t="shared" si="14"/>
        <v>6.0800894541897027E-3</v>
      </c>
      <c r="W263" t="s">
        <v>301</v>
      </c>
      <c r="X263">
        <v>2.8</v>
      </c>
      <c r="Y263">
        <f t="shared" si="13"/>
        <v>5.6</v>
      </c>
      <c r="Z263">
        <v>5.6</v>
      </c>
    </row>
    <row r="264" spans="1:26" x14ac:dyDescent="0.25">
      <c r="A264" s="41">
        <v>43476</v>
      </c>
      <c r="B264" s="29">
        <v>143.94999999999999</v>
      </c>
      <c r="C264" s="37">
        <f t="shared" si="12"/>
        <v>23.991666666666664</v>
      </c>
      <c r="D264" s="37">
        <v>6.5579999999999998</v>
      </c>
      <c r="E264" s="33">
        <f t="shared" si="14"/>
        <v>-6.9463739927891956E-5</v>
      </c>
      <c r="W264" t="s">
        <v>302</v>
      </c>
      <c r="X264">
        <v>3.4790000000000001</v>
      </c>
      <c r="Y264">
        <f t="shared" si="13"/>
        <v>6.9580000000000011</v>
      </c>
      <c r="Z264">
        <v>6.9580000000000011</v>
      </c>
    </row>
    <row r="265" spans="1:26" x14ac:dyDescent="0.25">
      <c r="A265" s="41">
        <v>43476</v>
      </c>
      <c r="B265" s="29">
        <v>143.05000000000001</v>
      </c>
      <c r="C265" s="37">
        <f t="shared" si="12"/>
        <v>23.841666666666669</v>
      </c>
      <c r="D265" s="37">
        <v>6.5579999999999998</v>
      </c>
      <c r="E265" s="33">
        <f t="shared" si="14"/>
        <v>-6.252170892670909E-3</v>
      </c>
      <c r="W265" t="s">
        <v>303</v>
      </c>
      <c r="X265">
        <v>4.1669999999999998</v>
      </c>
      <c r="Y265">
        <f t="shared" si="13"/>
        <v>8.3339999999999996</v>
      </c>
      <c r="Z265">
        <v>8.3339999999999996</v>
      </c>
    </row>
    <row r="266" spans="1:26" x14ac:dyDescent="0.25">
      <c r="A266" s="41">
        <v>43477</v>
      </c>
      <c r="B266" s="29">
        <v>168.1</v>
      </c>
      <c r="C266" s="37">
        <f t="shared" si="12"/>
        <v>28.016666666666666</v>
      </c>
      <c r="D266" s="37">
        <v>6.5830000000000002</v>
      </c>
      <c r="E266" s="33">
        <f t="shared" si="14"/>
        <v>0.17511359664452975</v>
      </c>
      <c r="W266" t="s">
        <v>304</v>
      </c>
      <c r="X266">
        <v>4.55</v>
      </c>
      <c r="Y266">
        <f t="shared" si="13"/>
        <v>9.1</v>
      </c>
      <c r="Z266">
        <v>9.1</v>
      </c>
    </row>
    <row r="267" spans="1:26" x14ac:dyDescent="0.25">
      <c r="A267" s="41">
        <v>43477</v>
      </c>
      <c r="B267" s="29">
        <v>167.24</v>
      </c>
      <c r="C267" s="37">
        <f t="shared" si="12"/>
        <v>27.873333333333335</v>
      </c>
      <c r="D267" s="37">
        <v>6.5830000000000002</v>
      </c>
      <c r="E267" s="33">
        <f t="shared" si="14"/>
        <v>-5.1160023795359024E-3</v>
      </c>
      <c r="W267" t="s">
        <v>305</v>
      </c>
      <c r="X267">
        <v>4.6539999999999999</v>
      </c>
      <c r="Y267">
        <f t="shared" si="13"/>
        <v>9.3079999999999998</v>
      </c>
      <c r="Z267">
        <v>9.3079999999999998</v>
      </c>
    </row>
    <row r="268" spans="1:26" x14ac:dyDescent="0.25">
      <c r="A268" s="41">
        <v>43477</v>
      </c>
      <c r="B268" s="29">
        <v>166.67</v>
      </c>
      <c r="C268" s="37">
        <f t="shared" si="12"/>
        <v>27.778333333333332</v>
      </c>
      <c r="D268" s="37">
        <v>6.5830000000000002</v>
      </c>
      <c r="E268" s="33">
        <f t="shared" si="14"/>
        <v>-3.4082755321694666E-3</v>
      </c>
      <c r="W268" t="s">
        <v>306</v>
      </c>
      <c r="X268">
        <v>4.6909999999999998</v>
      </c>
      <c r="Y268">
        <f t="shared" si="13"/>
        <v>9.3819999999999997</v>
      </c>
      <c r="Z268">
        <v>9.3819999999999997</v>
      </c>
    </row>
    <row r="269" spans="1:26" x14ac:dyDescent="0.25">
      <c r="A269" s="41">
        <v>43477</v>
      </c>
      <c r="B269" s="29">
        <v>165.89</v>
      </c>
      <c r="C269" s="37">
        <f t="shared" si="12"/>
        <v>27.648333333333333</v>
      </c>
      <c r="D269" s="37">
        <v>6.5830000000000002</v>
      </c>
      <c r="E269" s="33">
        <f t="shared" si="14"/>
        <v>-4.6799064018719699E-3</v>
      </c>
      <c r="W269" t="s">
        <v>307</v>
      </c>
      <c r="X269">
        <v>4.6909999999999998</v>
      </c>
      <c r="Y269">
        <f t="shared" si="13"/>
        <v>9.3819999999999997</v>
      </c>
      <c r="Z269">
        <v>9.3819999999999997</v>
      </c>
    </row>
    <row r="270" spans="1:26" x14ac:dyDescent="0.25">
      <c r="A270" s="41">
        <v>43477</v>
      </c>
      <c r="B270" s="29">
        <v>165.19</v>
      </c>
      <c r="C270" s="37">
        <f t="shared" si="12"/>
        <v>27.531666666666666</v>
      </c>
      <c r="D270" s="37">
        <v>6.5830000000000002</v>
      </c>
      <c r="E270" s="33">
        <f t="shared" si="14"/>
        <v>-4.2196636325275106E-3</v>
      </c>
      <c r="W270" t="s">
        <v>308</v>
      </c>
      <c r="X270">
        <v>4.5679999999999996</v>
      </c>
      <c r="Y270">
        <f t="shared" si="13"/>
        <v>9.1359999999999992</v>
      </c>
      <c r="Z270">
        <v>9.1359999999999992</v>
      </c>
    </row>
    <row r="271" spans="1:26" x14ac:dyDescent="0.25">
      <c r="A271" s="41">
        <v>43477</v>
      </c>
      <c r="B271" s="29">
        <v>164.85</v>
      </c>
      <c r="C271" s="37">
        <f t="shared" si="12"/>
        <v>27.475000000000001</v>
      </c>
      <c r="D271" s="37">
        <v>6.5830000000000002</v>
      </c>
      <c r="E271" s="33">
        <f t="shared" si="14"/>
        <v>-2.0582359707004261E-3</v>
      </c>
      <c r="W271" t="s">
        <v>309</v>
      </c>
      <c r="X271">
        <v>4.2969999999999997</v>
      </c>
      <c r="Y271">
        <f t="shared" si="13"/>
        <v>8.5939999999999994</v>
      </c>
      <c r="Z271">
        <v>8.5939999999999994</v>
      </c>
    </row>
    <row r="272" spans="1:26" x14ac:dyDescent="0.25">
      <c r="A272" s="41">
        <v>43477</v>
      </c>
      <c r="B272" s="29">
        <v>164.64</v>
      </c>
      <c r="C272" s="37">
        <f t="shared" si="12"/>
        <v>27.44</v>
      </c>
      <c r="D272" s="37">
        <v>6.5830000000000002</v>
      </c>
      <c r="E272" s="33">
        <f t="shared" si="14"/>
        <v>-1.2738853503185196E-3</v>
      </c>
      <c r="W272" t="s">
        <v>310</v>
      </c>
      <c r="X272">
        <v>4.0019999999999998</v>
      </c>
      <c r="Y272">
        <f t="shared" si="13"/>
        <v>8.0039999999999996</v>
      </c>
      <c r="Z272">
        <v>8.0039999999999996</v>
      </c>
    </row>
    <row r="273" spans="1:26" x14ac:dyDescent="0.25">
      <c r="A273" s="41">
        <v>43477</v>
      </c>
      <c r="B273" s="29">
        <v>165.45</v>
      </c>
      <c r="C273" s="37">
        <f t="shared" si="12"/>
        <v>27.574999999999999</v>
      </c>
      <c r="D273" s="37">
        <v>6.5830000000000002</v>
      </c>
      <c r="E273" s="33">
        <f t="shared" si="14"/>
        <v>4.9198250728863116E-3</v>
      </c>
      <c r="W273" t="s">
        <v>311</v>
      </c>
      <c r="X273">
        <v>3.7160000000000002</v>
      </c>
      <c r="Y273">
        <f t="shared" si="13"/>
        <v>7.4320000000000004</v>
      </c>
      <c r="Z273">
        <v>7.4320000000000004</v>
      </c>
    </row>
    <row r="274" spans="1:26" x14ac:dyDescent="0.25">
      <c r="A274" s="41">
        <v>43477</v>
      </c>
      <c r="B274" s="29">
        <v>167.25</v>
      </c>
      <c r="C274" s="37">
        <f t="shared" si="12"/>
        <v>27.875</v>
      </c>
      <c r="D274" s="37">
        <v>6.5830000000000002</v>
      </c>
      <c r="E274" s="33">
        <f t="shared" si="14"/>
        <v>1.0879419764279308E-2</v>
      </c>
      <c r="W274" t="s">
        <v>312</v>
      </c>
      <c r="X274">
        <v>3.4580000000000002</v>
      </c>
      <c r="Y274">
        <f t="shared" si="13"/>
        <v>6.9160000000000004</v>
      </c>
      <c r="Z274">
        <v>6.9160000000000004</v>
      </c>
    </row>
    <row r="275" spans="1:26" x14ac:dyDescent="0.25">
      <c r="A275" s="41">
        <v>43477</v>
      </c>
      <c r="B275" s="29">
        <v>167.63</v>
      </c>
      <c r="C275" s="37">
        <f t="shared" si="12"/>
        <v>27.938333333333333</v>
      </c>
      <c r="D275" s="37">
        <v>6.5830000000000002</v>
      </c>
      <c r="E275" s="33">
        <f t="shared" si="14"/>
        <v>2.2720478325859218E-3</v>
      </c>
      <c r="W275" t="s">
        <v>313</v>
      </c>
      <c r="X275">
        <v>3.274</v>
      </c>
      <c r="Y275">
        <f t="shared" si="13"/>
        <v>6.5479999999999992</v>
      </c>
      <c r="Z275">
        <v>6.5479999999999992</v>
      </c>
    </row>
    <row r="276" spans="1:26" x14ac:dyDescent="0.25">
      <c r="A276" s="41">
        <v>43477</v>
      </c>
      <c r="B276" s="29">
        <v>167.83</v>
      </c>
      <c r="C276" s="37">
        <f t="shared" si="12"/>
        <v>27.971666666666668</v>
      </c>
      <c r="D276" s="37">
        <v>6.5830000000000002</v>
      </c>
      <c r="E276" s="33">
        <f t="shared" si="14"/>
        <v>1.1931038596910879E-3</v>
      </c>
      <c r="W276" t="s">
        <v>314</v>
      </c>
      <c r="X276">
        <v>3.1629999999999998</v>
      </c>
      <c r="Y276">
        <f t="shared" si="13"/>
        <v>6.3259999999999987</v>
      </c>
      <c r="Z276">
        <v>6.3259999999999987</v>
      </c>
    </row>
    <row r="277" spans="1:26" x14ac:dyDescent="0.25">
      <c r="A277" s="41">
        <v>43477</v>
      </c>
      <c r="B277" s="29">
        <v>167.84</v>
      </c>
      <c r="C277" s="37">
        <f t="shared" si="12"/>
        <v>27.973333333333333</v>
      </c>
      <c r="D277" s="37">
        <v>6.5830000000000002</v>
      </c>
      <c r="E277" s="33">
        <f t="shared" si="14"/>
        <v>5.958410296127572E-5</v>
      </c>
      <c r="W277" t="s">
        <v>315</v>
      </c>
      <c r="X277">
        <v>3.2410000000000001</v>
      </c>
      <c r="Y277">
        <f t="shared" si="13"/>
        <v>6.4820000000000002</v>
      </c>
      <c r="Z277">
        <v>6.4820000000000002</v>
      </c>
    </row>
    <row r="278" spans="1:26" x14ac:dyDescent="0.25">
      <c r="A278" s="41">
        <v>43477</v>
      </c>
      <c r="B278" s="29">
        <v>167.84</v>
      </c>
      <c r="C278" s="37">
        <f t="shared" si="12"/>
        <v>27.973333333333333</v>
      </c>
      <c r="D278" s="37">
        <v>6.5830000000000002</v>
      </c>
      <c r="E278" s="33">
        <f t="shared" si="14"/>
        <v>0</v>
      </c>
      <c r="W278" t="s">
        <v>316</v>
      </c>
      <c r="X278">
        <v>4.9710000000000001</v>
      </c>
      <c r="Y278">
        <f t="shared" si="13"/>
        <v>9.9420000000000002</v>
      </c>
      <c r="Z278">
        <v>9.9420000000000002</v>
      </c>
    </row>
    <row r="279" spans="1:26" x14ac:dyDescent="0.25">
      <c r="A279" s="41">
        <v>43477</v>
      </c>
      <c r="B279" s="29">
        <v>167.85</v>
      </c>
      <c r="C279" s="37">
        <f t="shared" si="12"/>
        <v>27.975000000000001</v>
      </c>
      <c r="D279" s="37">
        <v>6.5830000000000002</v>
      </c>
      <c r="E279" s="33">
        <f t="shared" si="14"/>
        <v>5.958055290747679E-5</v>
      </c>
      <c r="W279" t="s">
        <v>317</v>
      </c>
      <c r="X279">
        <v>5.8289999999999997</v>
      </c>
      <c r="Y279">
        <f t="shared" si="13"/>
        <v>11.657999999999999</v>
      </c>
      <c r="Z279">
        <v>11.657999999999999</v>
      </c>
    </row>
    <row r="280" spans="1:26" x14ac:dyDescent="0.25">
      <c r="A280" s="41">
        <v>43477</v>
      </c>
      <c r="B280" s="29">
        <v>167.83</v>
      </c>
      <c r="C280" s="37">
        <f t="shared" si="12"/>
        <v>27.971666666666668</v>
      </c>
      <c r="D280" s="37">
        <v>6.5830000000000002</v>
      </c>
      <c r="E280" s="33">
        <f t="shared" si="14"/>
        <v>-1.19154006553362E-4</v>
      </c>
      <c r="W280" t="s">
        <v>318</v>
      </c>
      <c r="X280">
        <v>6.133</v>
      </c>
      <c r="Y280">
        <f t="shared" si="13"/>
        <v>12.265999999999998</v>
      </c>
      <c r="Z280">
        <v>12.265999999999998</v>
      </c>
    </row>
    <row r="281" spans="1:26" x14ac:dyDescent="0.25">
      <c r="A281" s="41">
        <v>43477</v>
      </c>
      <c r="B281" s="29">
        <v>167.84</v>
      </c>
      <c r="C281" s="37">
        <f t="shared" si="12"/>
        <v>27.973333333333333</v>
      </c>
      <c r="D281" s="37">
        <v>6.5830000000000002</v>
      </c>
      <c r="E281" s="33">
        <f t="shared" si="14"/>
        <v>5.958410296127572E-5</v>
      </c>
      <c r="W281" t="s">
        <v>319</v>
      </c>
      <c r="X281">
        <v>6.141</v>
      </c>
      <c r="Y281">
        <f t="shared" si="13"/>
        <v>12.282</v>
      </c>
      <c r="Z281">
        <v>12.282</v>
      </c>
    </row>
    <row r="282" spans="1:26" x14ac:dyDescent="0.25">
      <c r="A282" s="41">
        <v>43477</v>
      </c>
      <c r="B282" s="29">
        <v>167.85</v>
      </c>
      <c r="C282" s="37">
        <f t="shared" si="12"/>
        <v>27.975000000000001</v>
      </c>
      <c r="D282" s="37">
        <v>6.5830000000000002</v>
      </c>
      <c r="E282" s="33">
        <f t="shared" si="14"/>
        <v>5.958055290747679E-5</v>
      </c>
      <c r="W282" t="s">
        <v>320</v>
      </c>
      <c r="X282">
        <v>5.5170000000000003</v>
      </c>
      <c r="Y282">
        <f t="shared" si="13"/>
        <v>11.034000000000001</v>
      </c>
      <c r="Z282">
        <v>11.034000000000001</v>
      </c>
    </row>
    <row r="283" spans="1:26" x14ac:dyDescent="0.25">
      <c r="A283" s="41">
        <v>43477</v>
      </c>
      <c r="B283" s="29">
        <v>167.85</v>
      </c>
      <c r="C283" s="37">
        <f t="shared" si="12"/>
        <v>27.975000000000001</v>
      </c>
      <c r="D283" s="37">
        <v>6.5830000000000002</v>
      </c>
      <c r="E283" s="33">
        <f t="shared" si="14"/>
        <v>0</v>
      </c>
      <c r="W283" t="s">
        <v>321</v>
      </c>
      <c r="X283">
        <v>4.851</v>
      </c>
      <c r="Y283">
        <f t="shared" si="13"/>
        <v>9.702</v>
      </c>
      <c r="Z283">
        <v>9.702</v>
      </c>
    </row>
    <row r="284" spans="1:26" x14ac:dyDescent="0.25">
      <c r="A284" s="41">
        <v>43477</v>
      </c>
      <c r="B284" s="29">
        <v>167.85</v>
      </c>
      <c r="C284" s="37">
        <f t="shared" si="12"/>
        <v>27.975000000000001</v>
      </c>
      <c r="D284" s="37">
        <v>6.5830000000000002</v>
      </c>
      <c r="E284" s="33">
        <f t="shared" si="14"/>
        <v>0</v>
      </c>
      <c r="W284" t="s">
        <v>322</v>
      </c>
      <c r="X284">
        <v>4.2649999999999997</v>
      </c>
      <c r="Y284">
        <f t="shared" si="13"/>
        <v>8.5299999999999994</v>
      </c>
      <c r="Z284">
        <v>8.5299999999999994</v>
      </c>
    </row>
    <row r="285" spans="1:26" x14ac:dyDescent="0.25">
      <c r="A285" s="41">
        <v>43477</v>
      </c>
      <c r="B285" s="29">
        <v>167.91</v>
      </c>
      <c r="C285" s="37">
        <f t="shared" si="12"/>
        <v>27.984999999999999</v>
      </c>
      <c r="D285" s="37">
        <v>6.5830000000000002</v>
      </c>
      <c r="E285" s="33">
        <f t="shared" si="14"/>
        <v>3.5746201966042462E-4</v>
      </c>
      <c r="W285" t="s">
        <v>323</v>
      </c>
      <c r="X285">
        <v>3.8119999999999998</v>
      </c>
      <c r="Y285">
        <f t="shared" si="13"/>
        <v>7.6239999999999997</v>
      </c>
      <c r="Z285">
        <v>7.6239999999999997</v>
      </c>
    </row>
    <row r="286" spans="1:26" x14ac:dyDescent="0.25">
      <c r="A286" s="41">
        <v>43477</v>
      </c>
      <c r="B286" s="29">
        <v>169.13</v>
      </c>
      <c r="C286" s="37">
        <f t="shared" si="12"/>
        <v>28.188333333333333</v>
      </c>
      <c r="D286" s="37">
        <v>6.5830000000000002</v>
      </c>
      <c r="E286" s="33">
        <f t="shared" si="14"/>
        <v>7.2657971532368469E-3</v>
      </c>
      <c r="W286" t="s">
        <v>324</v>
      </c>
      <c r="X286">
        <v>3.5179999999999998</v>
      </c>
      <c r="Y286">
        <f t="shared" si="13"/>
        <v>7.0359999999999987</v>
      </c>
      <c r="Z286">
        <v>7.0359999999999987</v>
      </c>
    </row>
    <row r="287" spans="1:26" x14ac:dyDescent="0.25">
      <c r="A287" s="41">
        <v>43477</v>
      </c>
      <c r="B287" s="29">
        <v>169.08</v>
      </c>
      <c r="C287" s="37">
        <f t="shared" si="12"/>
        <v>28.18</v>
      </c>
      <c r="D287" s="37">
        <v>6.5830000000000002</v>
      </c>
      <c r="E287" s="33">
        <f t="shared" si="14"/>
        <v>-2.9563058002709717E-4</v>
      </c>
      <c r="W287" t="s">
        <v>325</v>
      </c>
      <c r="X287">
        <v>3.3820000000000001</v>
      </c>
      <c r="Y287">
        <f t="shared" si="13"/>
        <v>6.7639999999999993</v>
      </c>
      <c r="Z287">
        <v>6.7639999999999993</v>
      </c>
    </row>
    <row r="288" spans="1:26" x14ac:dyDescent="0.25">
      <c r="A288" s="41">
        <v>43477</v>
      </c>
      <c r="B288" s="29">
        <v>168.76</v>
      </c>
      <c r="C288" s="37">
        <f t="shared" si="12"/>
        <v>28.126666666666665</v>
      </c>
      <c r="D288" s="37">
        <v>6.5830000000000002</v>
      </c>
      <c r="E288" s="33">
        <f t="shared" si="14"/>
        <v>-1.8925952211971942E-3</v>
      </c>
      <c r="W288" t="s">
        <v>326</v>
      </c>
      <c r="X288">
        <v>3.3090000000000002</v>
      </c>
      <c r="Y288">
        <f t="shared" si="13"/>
        <v>6.6180000000000003</v>
      </c>
      <c r="Z288">
        <v>6.6180000000000003</v>
      </c>
    </row>
    <row r="289" spans="1:26" x14ac:dyDescent="0.25">
      <c r="A289" s="41">
        <v>43477</v>
      </c>
      <c r="B289" s="29">
        <v>167.54</v>
      </c>
      <c r="C289" s="37">
        <f t="shared" si="12"/>
        <v>27.923333333333332</v>
      </c>
      <c r="D289" s="37">
        <v>6.5830000000000002</v>
      </c>
      <c r="E289" s="33">
        <f t="shared" si="14"/>
        <v>-7.2292012325195481E-3</v>
      </c>
      <c r="W289" t="s">
        <v>327</v>
      </c>
      <c r="X289">
        <v>3.4609999999999999</v>
      </c>
      <c r="Y289">
        <f t="shared" si="13"/>
        <v>6.9219999999999997</v>
      </c>
      <c r="Z289">
        <v>6.9219999999999997</v>
      </c>
    </row>
    <row r="290" spans="1:26" x14ac:dyDescent="0.25">
      <c r="A290" s="41">
        <v>43478</v>
      </c>
      <c r="B290" s="29">
        <v>166.35</v>
      </c>
      <c r="C290" s="37">
        <f t="shared" si="12"/>
        <v>27.725000000000001</v>
      </c>
      <c r="D290" s="37">
        <v>7.1260000000000003</v>
      </c>
      <c r="E290" s="33">
        <f t="shared" si="14"/>
        <v>-7.102781425331251E-3</v>
      </c>
      <c r="W290" t="s">
        <v>328</v>
      </c>
      <c r="X290">
        <v>4.1639999999999997</v>
      </c>
      <c r="Y290">
        <f t="shared" si="13"/>
        <v>8.3279999999999994</v>
      </c>
      <c r="Z290">
        <v>8.3279999999999994</v>
      </c>
    </row>
    <row r="291" spans="1:26" x14ac:dyDescent="0.25">
      <c r="A291" s="41">
        <v>43478</v>
      </c>
      <c r="B291" s="29">
        <v>164.96</v>
      </c>
      <c r="C291" s="37">
        <f t="shared" si="12"/>
        <v>27.493333333333332</v>
      </c>
      <c r="D291" s="37">
        <v>7.1260000000000003</v>
      </c>
      <c r="E291" s="33">
        <f t="shared" si="14"/>
        <v>-8.3558761647128735E-3</v>
      </c>
      <c r="W291" t="s">
        <v>329</v>
      </c>
      <c r="X291">
        <v>5.09</v>
      </c>
      <c r="Y291">
        <f t="shared" si="13"/>
        <v>10.18</v>
      </c>
      <c r="Z291">
        <v>10.18</v>
      </c>
    </row>
    <row r="292" spans="1:26" x14ac:dyDescent="0.25">
      <c r="A292" s="41">
        <v>43478</v>
      </c>
      <c r="B292" s="29">
        <v>164.49</v>
      </c>
      <c r="C292" s="37">
        <f t="shared" si="12"/>
        <v>27.414999999999999</v>
      </c>
      <c r="D292" s="37">
        <v>7.1260000000000003</v>
      </c>
      <c r="E292" s="33">
        <f t="shared" si="14"/>
        <v>-2.8491755577109532E-3</v>
      </c>
      <c r="W292" t="s">
        <v>330</v>
      </c>
      <c r="X292">
        <v>6.3109999999999999</v>
      </c>
      <c r="Y292">
        <f t="shared" si="13"/>
        <v>12.622</v>
      </c>
      <c r="Z292">
        <v>12.622</v>
      </c>
    </row>
    <row r="293" spans="1:26" x14ac:dyDescent="0.25">
      <c r="A293" s="41">
        <v>43478</v>
      </c>
      <c r="B293" s="29">
        <v>164.46</v>
      </c>
      <c r="C293" s="37">
        <f t="shared" si="12"/>
        <v>27.41</v>
      </c>
      <c r="D293" s="37">
        <v>7.1260000000000003</v>
      </c>
      <c r="E293" s="33">
        <f t="shared" si="14"/>
        <v>-1.8238190771476161E-4</v>
      </c>
      <c r="W293" t="s">
        <v>331</v>
      </c>
      <c r="X293">
        <v>7.3719999999999999</v>
      </c>
      <c r="Y293">
        <f t="shared" si="13"/>
        <v>14.744000000000002</v>
      </c>
      <c r="Z293">
        <v>14.744000000000002</v>
      </c>
    </row>
    <row r="294" spans="1:26" x14ac:dyDescent="0.25">
      <c r="A294" s="41">
        <v>43478</v>
      </c>
      <c r="B294" s="29">
        <v>164.43</v>
      </c>
      <c r="C294" s="37">
        <f t="shared" si="12"/>
        <v>27.405000000000001</v>
      </c>
      <c r="D294" s="37">
        <v>7.1260000000000003</v>
      </c>
      <c r="E294" s="33">
        <f t="shared" si="14"/>
        <v>-1.8241517694272854E-4</v>
      </c>
      <c r="W294" t="s">
        <v>332</v>
      </c>
      <c r="X294">
        <v>7.2889999999999997</v>
      </c>
      <c r="Y294">
        <f t="shared" si="13"/>
        <v>14.577999999999999</v>
      </c>
      <c r="Z294">
        <v>14.577999999999999</v>
      </c>
    </row>
    <row r="295" spans="1:26" x14ac:dyDescent="0.25">
      <c r="A295" s="41">
        <v>43478</v>
      </c>
      <c r="B295" s="29">
        <v>164.4</v>
      </c>
      <c r="C295" s="37">
        <f t="shared" si="12"/>
        <v>27.4</v>
      </c>
      <c r="D295" s="37">
        <v>7.1260000000000003</v>
      </c>
      <c r="E295" s="33">
        <f t="shared" si="14"/>
        <v>-1.8244845831053418E-4</v>
      </c>
      <c r="W295" t="s">
        <v>333</v>
      </c>
      <c r="X295">
        <v>7.1829999999999998</v>
      </c>
      <c r="Y295">
        <f t="shared" si="13"/>
        <v>14.366</v>
      </c>
      <c r="Z295">
        <v>14.366</v>
      </c>
    </row>
    <row r="296" spans="1:26" x14ac:dyDescent="0.25">
      <c r="A296" s="41">
        <v>43478</v>
      </c>
      <c r="B296" s="29">
        <v>164.32</v>
      </c>
      <c r="C296" s="37">
        <f t="shared" si="12"/>
        <v>27.386666666666667</v>
      </c>
      <c r="D296" s="37">
        <v>7.1260000000000003</v>
      </c>
      <c r="E296" s="33">
        <f t="shared" si="14"/>
        <v>-4.8661800486625607E-4</v>
      </c>
      <c r="W296" t="s">
        <v>334</v>
      </c>
      <c r="X296">
        <v>6.9189999999999996</v>
      </c>
      <c r="Y296">
        <f t="shared" si="13"/>
        <v>13.837999999999999</v>
      </c>
      <c r="Z296">
        <v>13.837999999999999</v>
      </c>
    </row>
    <row r="297" spans="1:26" x14ac:dyDescent="0.25">
      <c r="A297" s="41">
        <v>43478</v>
      </c>
      <c r="B297" s="29">
        <v>163.26</v>
      </c>
      <c r="C297" s="37">
        <f t="shared" si="12"/>
        <v>27.21</v>
      </c>
      <c r="D297" s="37">
        <v>7.1260000000000003</v>
      </c>
      <c r="E297" s="33">
        <f t="shared" si="14"/>
        <v>-6.450827653359313E-3</v>
      </c>
      <c r="W297" t="s">
        <v>335</v>
      </c>
      <c r="X297">
        <v>6.4690000000000003</v>
      </c>
      <c r="Y297">
        <f t="shared" si="13"/>
        <v>12.937999999999999</v>
      </c>
      <c r="Z297">
        <v>12.937999999999999</v>
      </c>
    </row>
    <row r="298" spans="1:26" x14ac:dyDescent="0.25">
      <c r="A298" s="41">
        <v>43478</v>
      </c>
      <c r="B298" s="29">
        <v>164.04</v>
      </c>
      <c r="C298" s="37">
        <f t="shared" si="12"/>
        <v>27.34</v>
      </c>
      <c r="D298" s="37">
        <v>7.1260000000000003</v>
      </c>
      <c r="E298" s="33">
        <f t="shared" si="14"/>
        <v>4.7776552737964053E-3</v>
      </c>
      <c r="W298" t="s">
        <v>336</v>
      </c>
      <c r="X298">
        <v>5.8</v>
      </c>
      <c r="Y298">
        <f t="shared" si="13"/>
        <v>11.6</v>
      </c>
      <c r="Z298">
        <v>11.6</v>
      </c>
    </row>
    <row r="299" spans="1:26" x14ac:dyDescent="0.25">
      <c r="A299" s="41">
        <v>43478</v>
      </c>
      <c r="B299" s="29">
        <v>164.28</v>
      </c>
      <c r="C299" s="37">
        <f t="shared" si="12"/>
        <v>27.38</v>
      </c>
      <c r="D299" s="37">
        <v>7.1260000000000003</v>
      </c>
      <c r="E299" s="33">
        <f t="shared" si="14"/>
        <v>1.4630577907827915E-3</v>
      </c>
      <c r="W299" t="s">
        <v>337</v>
      </c>
      <c r="X299">
        <v>5.14</v>
      </c>
      <c r="Y299">
        <f t="shared" si="13"/>
        <v>10.28</v>
      </c>
      <c r="Z299">
        <v>10.28</v>
      </c>
    </row>
    <row r="300" spans="1:26" x14ac:dyDescent="0.25">
      <c r="A300" s="41">
        <v>43478</v>
      </c>
      <c r="B300" s="29">
        <v>164.25</v>
      </c>
      <c r="C300" s="37">
        <f t="shared" si="12"/>
        <v>27.375</v>
      </c>
      <c r="D300" s="37">
        <v>7.1260000000000003</v>
      </c>
      <c r="E300" s="33">
        <f t="shared" si="14"/>
        <v>-1.8261504747991926E-4</v>
      </c>
      <c r="W300" t="s">
        <v>338</v>
      </c>
      <c r="X300">
        <v>4.7050000000000001</v>
      </c>
      <c r="Y300">
        <f t="shared" si="13"/>
        <v>9.41</v>
      </c>
      <c r="Z300">
        <v>9.41</v>
      </c>
    </row>
    <row r="301" spans="1:26" x14ac:dyDescent="0.25">
      <c r="A301" s="41">
        <v>43478</v>
      </c>
      <c r="B301" s="29">
        <v>164.42</v>
      </c>
      <c r="C301" s="37">
        <f t="shared" si="12"/>
        <v>27.403333333333332</v>
      </c>
      <c r="D301" s="37">
        <v>7.1260000000000003</v>
      </c>
      <c r="E301" s="33">
        <f t="shared" si="14"/>
        <v>1.03500761035E-3</v>
      </c>
      <c r="W301" t="s">
        <v>339</v>
      </c>
      <c r="X301">
        <v>5.05</v>
      </c>
      <c r="Y301">
        <f t="shared" si="13"/>
        <v>10.1</v>
      </c>
      <c r="Z301">
        <v>10.1</v>
      </c>
    </row>
    <row r="302" spans="1:26" x14ac:dyDescent="0.25">
      <c r="A302" s="41">
        <v>43478</v>
      </c>
      <c r="B302" s="29">
        <v>164.42</v>
      </c>
      <c r="C302" s="37">
        <f t="shared" si="12"/>
        <v>27.403333333333332</v>
      </c>
      <c r="D302" s="37">
        <v>7.1260000000000003</v>
      </c>
      <c r="E302" s="33">
        <f t="shared" si="14"/>
        <v>0</v>
      </c>
      <c r="W302" t="s">
        <v>340</v>
      </c>
      <c r="X302">
        <v>6.01</v>
      </c>
      <c r="Y302">
        <f t="shared" si="13"/>
        <v>12.02</v>
      </c>
      <c r="Z302">
        <v>12.02</v>
      </c>
    </row>
    <row r="303" spans="1:26" x14ac:dyDescent="0.25">
      <c r="A303" s="41">
        <v>43478</v>
      </c>
      <c r="B303" s="29">
        <v>164.42</v>
      </c>
      <c r="C303" s="37">
        <f t="shared" si="12"/>
        <v>27.403333333333332</v>
      </c>
      <c r="D303" s="37">
        <v>7.1260000000000003</v>
      </c>
      <c r="E303" s="33">
        <f t="shared" si="14"/>
        <v>0</v>
      </c>
      <c r="W303" t="s">
        <v>341</v>
      </c>
      <c r="X303">
        <v>6.7990000000000004</v>
      </c>
      <c r="Y303">
        <f t="shared" si="13"/>
        <v>13.598000000000003</v>
      </c>
      <c r="Z303">
        <v>13.598000000000003</v>
      </c>
    </row>
    <row r="304" spans="1:26" x14ac:dyDescent="0.25">
      <c r="A304" s="41">
        <v>43478</v>
      </c>
      <c r="B304" s="29">
        <v>164.42</v>
      </c>
      <c r="C304" s="37">
        <f t="shared" si="12"/>
        <v>27.403333333333332</v>
      </c>
      <c r="D304" s="37">
        <v>7.1260000000000003</v>
      </c>
      <c r="E304" s="33">
        <f t="shared" si="14"/>
        <v>0</v>
      </c>
      <c r="W304" t="s">
        <v>342</v>
      </c>
      <c r="X304">
        <v>7.5490000000000004</v>
      </c>
      <c r="Y304">
        <f t="shared" si="13"/>
        <v>15.098000000000003</v>
      </c>
      <c r="Z304">
        <v>15.098000000000003</v>
      </c>
    </row>
    <row r="305" spans="1:26" x14ac:dyDescent="0.25">
      <c r="A305" s="41">
        <v>43478</v>
      </c>
      <c r="B305" s="29">
        <v>164.43</v>
      </c>
      <c r="C305" s="37">
        <f t="shared" si="12"/>
        <v>27.405000000000001</v>
      </c>
      <c r="D305" s="37">
        <v>7.1260000000000003</v>
      </c>
      <c r="E305" s="33">
        <f t="shared" si="14"/>
        <v>6.0819851599679645E-5</v>
      </c>
      <c r="W305" t="s">
        <v>343</v>
      </c>
      <c r="X305">
        <v>9.4979999999999993</v>
      </c>
      <c r="Y305">
        <f t="shared" si="13"/>
        <v>18.995999999999999</v>
      </c>
      <c r="Z305">
        <v>18.995999999999999</v>
      </c>
    </row>
    <row r="306" spans="1:26" x14ac:dyDescent="0.25">
      <c r="A306" s="41">
        <v>43478</v>
      </c>
      <c r="B306" s="29">
        <v>164.48</v>
      </c>
      <c r="C306" s="37">
        <f t="shared" si="12"/>
        <v>27.413333333333334</v>
      </c>
      <c r="D306" s="37">
        <v>7.1260000000000003</v>
      </c>
      <c r="E306" s="33">
        <f t="shared" si="14"/>
        <v>3.0408076385077509E-4</v>
      </c>
      <c r="W306" t="s">
        <v>344</v>
      </c>
      <c r="X306">
        <v>11.409000000000001</v>
      </c>
      <c r="Y306">
        <f t="shared" si="13"/>
        <v>22.818000000000001</v>
      </c>
      <c r="Z306">
        <v>22.818000000000001</v>
      </c>
    </row>
    <row r="307" spans="1:26" x14ac:dyDescent="0.25">
      <c r="A307" s="41">
        <v>43478</v>
      </c>
      <c r="B307" s="29">
        <v>164.72</v>
      </c>
      <c r="C307" s="37">
        <f t="shared" si="12"/>
        <v>27.453333333333333</v>
      </c>
      <c r="D307" s="37">
        <v>7.1260000000000003</v>
      </c>
      <c r="E307" s="33">
        <f t="shared" si="14"/>
        <v>1.4591439688716506E-3</v>
      </c>
      <c r="W307" t="s">
        <v>345</v>
      </c>
      <c r="X307">
        <v>10.282</v>
      </c>
      <c r="Y307">
        <f t="shared" si="13"/>
        <v>20.564</v>
      </c>
      <c r="Z307">
        <v>20.564</v>
      </c>
    </row>
    <row r="308" spans="1:26" x14ac:dyDescent="0.25">
      <c r="A308" s="41">
        <v>43478</v>
      </c>
      <c r="B308" s="29">
        <v>164.92</v>
      </c>
      <c r="C308" s="37">
        <f t="shared" si="12"/>
        <v>27.486666666666668</v>
      </c>
      <c r="D308" s="37">
        <v>7.1260000000000003</v>
      </c>
      <c r="E308" s="33">
        <f t="shared" si="14"/>
        <v>1.2141816415735104E-3</v>
      </c>
      <c r="W308" t="s">
        <v>346</v>
      </c>
      <c r="X308">
        <v>9.0850000000000009</v>
      </c>
      <c r="Y308">
        <f t="shared" si="13"/>
        <v>18.170000000000002</v>
      </c>
      <c r="Z308">
        <v>18.170000000000002</v>
      </c>
    </row>
    <row r="309" spans="1:26" x14ac:dyDescent="0.25">
      <c r="A309" s="41">
        <v>43478</v>
      </c>
      <c r="B309" s="29">
        <v>166.3</v>
      </c>
      <c r="C309" s="37">
        <f t="shared" si="12"/>
        <v>27.716666666666665</v>
      </c>
      <c r="D309" s="37">
        <v>7.1260000000000003</v>
      </c>
      <c r="E309" s="33">
        <f t="shared" si="14"/>
        <v>8.3676934271163222E-3</v>
      </c>
      <c r="W309" t="s">
        <v>347</v>
      </c>
      <c r="X309">
        <v>9.5150000000000006</v>
      </c>
      <c r="Y309">
        <f t="shared" si="13"/>
        <v>19.03</v>
      </c>
      <c r="Z309">
        <v>19.03</v>
      </c>
    </row>
    <row r="310" spans="1:26" x14ac:dyDescent="0.25">
      <c r="A310" s="41">
        <v>43478</v>
      </c>
      <c r="B310" s="29">
        <v>167.22</v>
      </c>
      <c r="C310" s="37">
        <f t="shared" si="12"/>
        <v>27.87</v>
      </c>
      <c r="D310" s="37">
        <v>7.1260000000000003</v>
      </c>
      <c r="E310" s="33">
        <f t="shared" si="14"/>
        <v>5.5321707757064785E-3</v>
      </c>
      <c r="W310" t="s">
        <v>348</v>
      </c>
      <c r="X310">
        <v>17.443000000000001</v>
      </c>
      <c r="Y310">
        <f t="shared" si="13"/>
        <v>34.886000000000003</v>
      </c>
      <c r="Z310">
        <v>34.886000000000003</v>
      </c>
    </row>
    <row r="311" spans="1:26" x14ac:dyDescent="0.25">
      <c r="A311" s="41">
        <v>43478</v>
      </c>
      <c r="B311" s="29">
        <v>168.97</v>
      </c>
      <c r="C311" s="37">
        <f t="shared" si="12"/>
        <v>28.161666666666665</v>
      </c>
      <c r="D311" s="37">
        <v>7.1260000000000003</v>
      </c>
      <c r="E311" s="33">
        <f t="shared" si="14"/>
        <v>1.0465255352230595E-2</v>
      </c>
      <c r="W311" t="s">
        <v>349</v>
      </c>
      <c r="X311">
        <v>21.716000000000001</v>
      </c>
      <c r="Y311">
        <f t="shared" si="13"/>
        <v>43.431999999999995</v>
      </c>
      <c r="Z311">
        <v>43.431999999999995</v>
      </c>
    </row>
    <row r="312" spans="1:26" x14ac:dyDescent="0.25">
      <c r="A312" s="41">
        <v>43478</v>
      </c>
      <c r="B312" s="29">
        <v>168.99</v>
      </c>
      <c r="C312" s="37">
        <f t="shared" si="12"/>
        <v>28.164999999999999</v>
      </c>
      <c r="D312" s="37">
        <v>7.1260000000000003</v>
      </c>
      <c r="E312" s="33">
        <f t="shared" si="14"/>
        <v>1.1836420666396539E-4</v>
      </c>
      <c r="W312" t="s">
        <v>350</v>
      </c>
      <c r="X312">
        <v>19.074000000000002</v>
      </c>
      <c r="Y312">
        <f t="shared" si="13"/>
        <v>38.148000000000003</v>
      </c>
      <c r="Z312">
        <v>38.148000000000003</v>
      </c>
    </row>
    <row r="313" spans="1:26" x14ac:dyDescent="0.25">
      <c r="A313" s="41">
        <v>43478</v>
      </c>
      <c r="B313" s="29">
        <v>167.71</v>
      </c>
      <c r="C313" s="37">
        <f t="shared" si="12"/>
        <v>27.951666666666668</v>
      </c>
      <c r="D313" s="37">
        <v>7.1260000000000003</v>
      </c>
      <c r="E313" s="33">
        <f t="shared" si="14"/>
        <v>-7.5744126871412571E-3</v>
      </c>
      <c r="W313" t="s">
        <v>351</v>
      </c>
      <c r="X313">
        <v>16.898</v>
      </c>
      <c r="Y313">
        <f t="shared" si="13"/>
        <v>33.795999999999999</v>
      </c>
      <c r="Z313">
        <v>33.795999999999999</v>
      </c>
    </row>
    <row r="314" spans="1:26" x14ac:dyDescent="0.25">
      <c r="A314" s="41">
        <v>43479</v>
      </c>
      <c r="B314" s="29">
        <v>166.53</v>
      </c>
      <c r="C314" s="37">
        <f t="shared" si="12"/>
        <v>27.754999999999999</v>
      </c>
      <c r="D314" s="37">
        <v>8.3940000000000001</v>
      </c>
      <c r="E314" s="33">
        <f t="shared" si="14"/>
        <v>-7.0359549221871492E-3</v>
      </c>
      <c r="W314" t="s">
        <v>352</v>
      </c>
      <c r="X314">
        <v>14.760999999999999</v>
      </c>
      <c r="Y314">
        <f t="shared" si="13"/>
        <v>29.521999999999998</v>
      </c>
      <c r="Z314">
        <v>29.521999999999998</v>
      </c>
    </row>
    <row r="315" spans="1:26" x14ac:dyDescent="0.25">
      <c r="A315" s="41">
        <v>43479</v>
      </c>
      <c r="B315" s="29">
        <v>166.2</v>
      </c>
      <c r="C315" s="37">
        <f t="shared" si="12"/>
        <v>27.7</v>
      </c>
      <c r="D315" s="37">
        <v>8.3940000000000001</v>
      </c>
      <c r="E315" s="33">
        <f t="shared" si="14"/>
        <v>-1.9816249324446796E-3</v>
      </c>
      <c r="W315" t="s">
        <v>353</v>
      </c>
      <c r="X315">
        <v>12.711</v>
      </c>
      <c r="Y315">
        <f t="shared" si="13"/>
        <v>25.422000000000004</v>
      </c>
      <c r="Z315">
        <v>25.422000000000004</v>
      </c>
    </row>
    <row r="316" spans="1:26" x14ac:dyDescent="0.25">
      <c r="A316" s="41">
        <v>43479</v>
      </c>
      <c r="B316" s="29">
        <v>166.17</v>
      </c>
      <c r="C316" s="37">
        <f t="shared" si="12"/>
        <v>27.695</v>
      </c>
      <c r="D316" s="37">
        <v>8.3940000000000001</v>
      </c>
      <c r="E316" s="33">
        <f t="shared" si="14"/>
        <v>-1.8050541516246172E-4</v>
      </c>
      <c r="W316" t="s">
        <v>354</v>
      </c>
      <c r="X316">
        <v>12.114000000000001</v>
      </c>
      <c r="Y316">
        <f t="shared" si="13"/>
        <v>24.228000000000002</v>
      </c>
      <c r="Z316">
        <v>24.228000000000002</v>
      </c>
    </row>
    <row r="317" spans="1:26" x14ac:dyDescent="0.25">
      <c r="A317" s="41">
        <v>43479</v>
      </c>
      <c r="B317" s="29">
        <v>166.14</v>
      </c>
      <c r="C317" s="37">
        <f t="shared" si="12"/>
        <v>27.69</v>
      </c>
      <c r="D317" s="37">
        <v>8.3940000000000001</v>
      </c>
      <c r="E317" s="33">
        <f t="shared" si="14"/>
        <v>-1.8053800324969091E-4</v>
      </c>
      <c r="W317" t="s">
        <v>355</v>
      </c>
      <c r="X317">
        <v>11.602</v>
      </c>
      <c r="Y317">
        <f t="shared" si="13"/>
        <v>23.204000000000001</v>
      </c>
      <c r="Z317">
        <v>23.204000000000001</v>
      </c>
    </row>
    <row r="318" spans="1:26" x14ac:dyDescent="0.25">
      <c r="A318" s="41">
        <v>43479</v>
      </c>
      <c r="B318" s="29">
        <v>166.11</v>
      </c>
      <c r="C318" s="37">
        <f t="shared" si="12"/>
        <v>27.684999999999999</v>
      </c>
      <c r="D318" s="37">
        <v>8.3940000000000001</v>
      </c>
      <c r="E318" s="33">
        <f t="shared" si="14"/>
        <v>-1.8057060310565015E-4</v>
      </c>
      <c r="W318" t="s">
        <v>356</v>
      </c>
      <c r="X318">
        <v>10.409000000000001</v>
      </c>
      <c r="Y318">
        <f t="shared" si="13"/>
        <v>20.818000000000001</v>
      </c>
      <c r="Z318">
        <v>20.818000000000001</v>
      </c>
    </row>
    <row r="319" spans="1:26" x14ac:dyDescent="0.25">
      <c r="A319" s="41">
        <v>43479</v>
      </c>
      <c r="B319" s="29">
        <v>166.08</v>
      </c>
      <c r="C319" s="37">
        <f t="shared" si="12"/>
        <v>27.68</v>
      </c>
      <c r="D319" s="37">
        <v>8.3940000000000001</v>
      </c>
      <c r="E319" s="33">
        <f t="shared" si="14"/>
        <v>-1.8060321473722916E-4</v>
      </c>
      <c r="W319" t="s">
        <v>357</v>
      </c>
      <c r="X319">
        <v>9.641</v>
      </c>
      <c r="Y319">
        <f t="shared" si="13"/>
        <v>19.282</v>
      </c>
      <c r="Z319">
        <v>19.282</v>
      </c>
    </row>
    <row r="320" spans="1:26" x14ac:dyDescent="0.25">
      <c r="A320" s="41">
        <v>43479</v>
      </c>
      <c r="B320" s="29">
        <v>166.46</v>
      </c>
      <c r="C320" s="37">
        <f t="shared" si="12"/>
        <v>27.743333333333332</v>
      </c>
      <c r="D320" s="37">
        <v>8.3940000000000001</v>
      </c>
      <c r="E320" s="33">
        <f t="shared" si="14"/>
        <v>2.2880539499036331E-3</v>
      </c>
      <c r="W320" t="s">
        <v>358</v>
      </c>
      <c r="X320">
        <v>9.0050000000000008</v>
      </c>
      <c r="Y320">
        <f t="shared" si="13"/>
        <v>18.010000000000002</v>
      </c>
      <c r="Z320">
        <v>18.010000000000002</v>
      </c>
    </row>
    <row r="321" spans="1:26" x14ac:dyDescent="0.25">
      <c r="A321" s="41">
        <v>43479</v>
      </c>
      <c r="B321" s="29">
        <v>166.94</v>
      </c>
      <c r="C321" s="37">
        <f t="shared" si="12"/>
        <v>27.823333333333334</v>
      </c>
      <c r="D321" s="37">
        <v>8.3940000000000001</v>
      </c>
      <c r="E321" s="33">
        <f t="shared" si="14"/>
        <v>2.883575633785833E-3</v>
      </c>
      <c r="W321" t="s">
        <v>359</v>
      </c>
      <c r="X321">
        <v>8.3450000000000006</v>
      </c>
      <c r="Y321">
        <f t="shared" si="13"/>
        <v>16.690000000000001</v>
      </c>
      <c r="Z321">
        <v>16.690000000000001</v>
      </c>
    </row>
    <row r="322" spans="1:26" x14ac:dyDescent="0.25">
      <c r="A322" s="41">
        <v>43479</v>
      </c>
      <c r="B322" s="29">
        <v>171.23</v>
      </c>
      <c r="C322" s="37">
        <f t="shared" si="12"/>
        <v>28.538333333333334</v>
      </c>
      <c r="D322" s="37">
        <v>8.3940000000000001</v>
      </c>
      <c r="E322" s="33">
        <f t="shared" si="14"/>
        <v>2.569785551695215E-2</v>
      </c>
      <c r="W322" t="s">
        <v>360</v>
      </c>
      <c r="X322">
        <v>7.7539999999999996</v>
      </c>
      <c r="Y322">
        <f t="shared" si="13"/>
        <v>15.507999999999999</v>
      </c>
      <c r="Z322">
        <v>15.507999999999999</v>
      </c>
    </row>
    <row r="323" spans="1:26" x14ac:dyDescent="0.25">
      <c r="A323" s="41">
        <v>43479</v>
      </c>
      <c r="B323" s="29">
        <v>173.59</v>
      </c>
      <c r="C323" s="37">
        <f t="shared" ref="C323:C386" si="15">(B323*100/600)</f>
        <v>28.931666666666668</v>
      </c>
      <c r="D323" s="37">
        <v>8.3940000000000001</v>
      </c>
      <c r="E323" s="33">
        <f t="shared" si="14"/>
        <v>1.378263154821009E-2</v>
      </c>
      <c r="W323" t="s">
        <v>361</v>
      </c>
      <c r="X323">
        <v>6.9420000000000002</v>
      </c>
      <c r="Y323">
        <f t="shared" ref="Y323:Y366" si="16">(X323*100/50)</f>
        <v>13.884</v>
      </c>
      <c r="Z323">
        <v>13.884</v>
      </c>
    </row>
    <row r="324" spans="1:26" x14ac:dyDescent="0.25">
      <c r="A324" s="41">
        <v>43479</v>
      </c>
      <c r="B324" s="29">
        <v>174.47</v>
      </c>
      <c r="C324" s="37">
        <f t="shared" si="15"/>
        <v>29.078333333333333</v>
      </c>
      <c r="D324" s="37">
        <v>8.3940000000000001</v>
      </c>
      <c r="E324" s="33">
        <f t="shared" ref="E324:E387" si="17">(B324-B323)/B323</f>
        <v>5.0694164410392045E-3</v>
      </c>
      <c r="W324" t="s">
        <v>362</v>
      </c>
      <c r="X324">
        <v>6.2709999999999999</v>
      </c>
      <c r="Y324">
        <f t="shared" si="16"/>
        <v>12.542</v>
      </c>
      <c r="Z324">
        <v>12.542</v>
      </c>
    </row>
    <row r="325" spans="1:26" x14ac:dyDescent="0.25">
      <c r="A325" s="41">
        <v>43479</v>
      </c>
      <c r="B325" s="29">
        <v>174.55</v>
      </c>
      <c r="C325" s="37">
        <f t="shared" si="15"/>
        <v>29.091666666666665</v>
      </c>
      <c r="D325" s="37">
        <v>8.3940000000000001</v>
      </c>
      <c r="E325" s="33">
        <f t="shared" si="17"/>
        <v>4.5853155270254202E-4</v>
      </c>
      <c r="W325" t="s">
        <v>363</v>
      </c>
      <c r="X325">
        <v>5.681</v>
      </c>
      <c r="Y325">
        <f t="shared" si="16"/>
        <v>11.362</v>
      </c>
      <c r="Z325">
        <v>11.362</v>
      </c>
    </row>
    <row r="326" spans="1:26" x14ac:dyDescent="0.25">
      <c r="A326" s="41">
        <v>43479</v>
      </c>
      <c r="B326" s="29">
        <v>173.96</v>
      </c>
      <c r="C326" s="37">
        <f t="shared" si="15"/>
        <v>28.993333333333332</v>
      </c>
      <c r="D326" s="37">
        <v>8.3940000000000001</v>
      </c>
      <c r="E326" s="33">
        <f t="shared" si="17"/>
        <v>-3.3801203093669629E-3</v>
      </c>
      <c r="W326" t="s">
        <v>364</v>
      </c>
      <c r="X326">
        <v>5.1749999999999998</v>
      </c>
      <c r="Y326">
        <f t="shared" si="16"/>
        <v>10.35</v>
      </c>
      <c r="Z326">
        <v>10.35</v>
      </c>
    </row>
    <row r="327" spans="1:26" x14ac:dyDescent="0.25">
      <c r="A327" s="41">
        <v>43479</v>
      </c>
      <c r="B327" s="29">
        <v>175.29</v>
      </c>
      <c r="C327" s="37">
        <f t="shared" si="15"/>
        <v>29.215</v>
      </c>
      <c r="D327" s="37">
        <v>8.3940000000000001</v>
      </c>
      <c r="E327" s="33">
        <f t="shared" si="17"/>
        <v>7.6454357323521727E-3</v>
      </c>
      <c r="W327" t="s">
        <v>365</v>
      </c>
      <c r="X327">
        <v>4.7679999999999998</v>
      </c>
      <c r="Y327">
        <f t="shared" si="16"/>
        <v>9.5359999999999996</v>
      </c>
      <c r="Z327">
        <v>9.5359999999999996</v>
      </c>
    </row>
    <row r="328" spans="1:26" x14ac:dyDescent="0.25">
      <c r="A328" s="41">
        <v>43479</v>
      </c>
      <c r="B328" s="29">
        <v>175.25</v>
      </c>
      <c r="C328" s="37">
        <f t="shared" si="15"/>
        <v>29.208333333333332</v>
      </c>
      <c r="D328" s="37">
        <v>8.3940000000000001</v>
      </c>
      <c r="E328" s="33">
        <f t="shared" si="17"/>
        <v>-2.2819327970786721E-4</v>
      </c>
      <c r="W328" t="s">
        <v>366</v>
      </c>
      <c r="X328">
        <v>4.3920000000000003</v>
      </c>
      <c r="Y328">
        <f t="shared" si="16"/>
        <v>8.7840000000000007</v>
      </c>
      <c r="Z328">
        <v>8.7840000000000007</v>
      </c>
    </row>
    <row r="329" spans="1:26" x14ac:dyDescent="0.25">
      <c r="A329" s="41">
        <v>43479</v>
      </c>
      <c r="B329" s="29">
        <v>175.2</v>
      </c>
      <c r="C329" s="37">
        <f t="shared" si="15"/>
        <v>29.2</v>
      </c>
      <c r="D329" s="37">
        <v>8.3940000000000001</v>
      </c>
      <c r="E329" s="33">
        <f t="shared" si="17"/>
        <v>-2.8530670470762551E-4</v>
      </c>
      <c r="W329" t="s">
        <v>367</v>
      </c>
      <c r="X329">
        <v>4.1020000000000003</v>
      </c>
      <c r="Y329">
        <f t="shared" si="16"/>
        <v>8.2040000000000006</v>
      </c>
      <c r="Z329">
        <v>8.2040000000000006</v>
      </c>
    </row>
    <row r="330" spans="1:26" x14ac:dyDescent="0.25">
      <c r="A330" s="41">
        <v>43479</v>
      </c>
      <c r="B330" s="29">
        <v>175.15</v>
      </c>
      <c r="C330" s="37">
        <f t="shared" si="15"/>
        <v>29.191666666666666</v>
      </c>
      <c r="D330" s="37">
        <v>8.3940000000000001</v>
      </c>
      <c r="E330" s="33">
        <f t="shared" si="17"/>
        <v>-2.8538812785378396E-4</v>
      </c>
      <c r="W330" t="s">
        <v>368</v>
      </c>
      <c r="X330">
        <v>3.9390000000000001</v>
      </c>
      <c r="Y330">
        <f t="shared" si="16"/>
        <v>7.8779999999999992</v>
      </c>
      <c r="Z330">
        <v>7.8779999999999992</v>
      </c>
    </row>
    <row r="331" spans="1:26" x14ac:dyDescent="0.25">
      <c r="A331" s="41">
        <v>43479</v>
      </c>
      <c r="B331" s="29">
        <v>174.05</v>
      </c>
      <c r="C331" s="37">
        <f t="shared" si="15"/>
        <v>29.008333333333333</v>
      </c>
      <c r="D331" s="37">
        <v>8.3940000000000001</v>
      </c>
      <c r="E331" s="33">
        <f t="shared" si="17"/>
        <v>-6.2803311447330529E-3</v>
      </c>
      <c r="W331" t="s">
        <v>369</v>
      </c>
      <c r="X331">
        <v>4.0179999999999998</v>
      </c>
      <c r="Y331">
        <f t="shared" si="16"/>
        <v>8.0359999999999996</v>
      </c>
      <c r="Z331">
        <v>8.0359999999999996</v>
      </c>
    </row>
    <row r="332" spans="1:26" x14ac:dyDescent="0.25">
      <c r="A332" s="41">
        <v>43479</v>
      </c>
      <c r="B332" s="29">
        <v>171.34</v>
      </c>
      <c r="C332" s="37">
        <f t="shared" si="15"/>
        <v>28.556666666666668</v>
      </c>
      <c r="D332" s="37">
        <v>8.3940000000000001</v>
      </c>
      <c r="E332" s="33">
        <f t="shared" si="17"/>
        <v>-1.5570238437230726E-2</v>
      </c>
      <c r="W332" t="s">
        <v>370</v>
      </c>
      <c r="X332">
        <v>4.524</v>
      </c>
      <c r="Y332">
        <f t="shared" si="16"/>
        <v>9.048</v>
      </c>
      <c r="Z332">
        <v>9.048</v>
      </c>
    </row>
    <row r="333" spans="1:26" x14ac:dyDescent="0.25">
      <c r="A333" s="41">
        <v>43479</v>
      </c>
      <c r="B333" s="29">
        <v>170.95</v>
      </c>
      <c r="C333" s="37">
        <f t="shared" si="15"/>
        <v>28.491666666666667</v>
      </c>
      <c r="D333" s="37">
        <v>8.3940000000000001</v>
      </c>
      <c r="E333" s="33">
        <f t="shared" si="17"/>
        <v>-2.2761760242792973E-3</v>
      </c>
      <c r="W333" t="s">
        <v>371</v>
      </c>
      <c r="X333">
        <v>5.2919999999999998</v>
      </c>
      <c r="Y333">
        <f t="shared" si="16"/>
        <v>10.583999999999998</v>
      </c>
      <c r="Z333">
        <v>10.583999999999998</v>
      </c>
    </row>
    <row r="334" spans="1:26" x14ac:dyDescent="0.25">
      <c r="A334" s="41">
        <v>43479</v>
      </c>
      <c r="B334" s="29">
        <v>172.69</v>
      </c>
      <c r="C334" s="37">
        <f t="shared" si="15"/>
        <v>28.781666666666666</v>
      </c>
      <c r="D334" s="37">
        <v>8.3940000000000001</v>
      </c>
      <c r="E334" s="33">
        <f t="shared" si="17"/>
        <v>1.0178414741152438E-2</v>
      </c>
      <c r="W334" t="s">
        <v>372</v>
      </c>
      <c r="X334">
        <v>5.5679999999999996</v>
      </c>
      <c r="Y334">
        <f t="shared" si="16"/>
        <v>11.135999999999999</v>
      </c>
      <c r="Z334">
        <v>11.135999999999999</v>
      </c>
    </row>
    <row r="335" spans="1:26" x14ac:dyDescent="0.25">
      <c r="A335" s="41">
        <v>43479</v>
      </c>
      <c r="B335" s="29">
        <v>173.29</v>
      </c>
      <c r="C335" s="37">
        <f t="shared" si="15"/>
        <v>28.881666666666668</v>
      </c>
      <c r="D335" s="37">
        <v>8.3940000000000001</v>
      </c>
      <c r="E335" s="33">
        <f t="shared" si="17"/>
        <v>3.4744339568011716E-3</v>
      </c>
      <c r="W335" t="s">
        <v>373</v>
      </c>
      <c r="X335">
        <v>5.3810000000000002</v>
      </c>
      <c r="Y335">
        <f t="shared" si="16"/>
        <v>10.762</v>
      </c>
      <c r="Z335">
        <v>10.762</v>
      </c>
    </row>
    <row r="336" spans="1:26" x14ac:dyDescent="0.25">
      <c r="A336" s="41">
        <v>43479</v>
      </c>
      <c r="B336" s="29">
        <v>173.21</v>
      </c>
      <c r="C336" s="37">
        <f t="shared" si="15"/>
        <v>28.868333333333332</v>
      </c>
      <c r="D336" s="37">
        <v>8.3940000000000001</v>
      </c>
      <c r="E336" s="33">
        <f t="shared" si="17"/>
        <v>-4.6165387500712152E-4</v>
      </c>
      <c r="W336" t="s">
        <v>374</v>
      </c>
      <c r="X336">
        <v>5.1230000000000002</v>
      </c>
      <c r="Y336">
        <f t="shared" si="16"/>
        <v>10.246000000000002</v>
      </c>
      <c r="Z336">
        <v>10.246000000000002</v>
      </c>
    </row>
    <row r="337" spans="1:26" x14ac:dyDescent="0.25">
      <c r="A337" s="41">
        <v>43479</v>
      </c>
      <c r="B337" s="29">
        <v>171.33</v>
      </c>
      <c r="C337" s="37">
        <f t="shared" si="15"/>
        <v>28.555</v>
      </c>
      <c r="D337" s="37">
        <v>8.3940000000000001</v>
      </c>
      <c r="E337" s="33">
        <f t="shared" si="17"/>
        <v>-1.0853876796951651E-2</v>
      </c>
      <c r="W337" t="s">
        <v>375</v>
      </c>
      <c r="X337">
        <v>4.9569999999999999</v>
      </c>
      <c r="Y337">
        <f t="shared" si="16"/>
        <v>9.9139999999999997</v>
      </c>
      <c r="Z337">
        <v>9.9139999999999997</v>
      </c>
    </row>
    <row r="338" spans="1:26" x14ac:dyDescent="0.25">
      <c r="A338" s="41">
        <v>43480</v>
      </c>
      <c r="B338" s="29">
        <v>172.87</v>
      </c>
      <c r="C338" s="37">
        <f t="shared" si="15"/>
        <v>28.811666666666667</v>
      </c>
      <c r="D338" s="37">
        <v>9.8179999999999996</v>
      </c>
      <c r="E338" s="33">
        <f t="shared" si="17"/>
        <v>8.9885017218233349E-3</v>
      </c>
      <c r="W338" t="s">
        <v>376</v>
      </c>
      <c r="X338">
        <v>4.8010000000000002</v>
      </c>
      <c r="Y338">
        <f t="shared" si="16"/>
        <v>9.6020000000000003</v>
      </c>
      <c r="Z338">
        <v>9.6020000000000003</v>
      </c>
    </row>
    <row r="339" spans="1:26" x14ac:dyDescent="0.25">
      <c r="A339" s="41">
        <v>43480</v>
      </c>
      <c r="B339" s="29">
        <v>171.68</v>
      </c>
      <c r="C339" s="37">
        <f t="shared" si="15"/>
        <v>28.613333333333333</v>
      </c>
      <c r="D339" s="37">
        <v>9.8179999999999996</v>
      </c>
      <c r="E339" s="33">
        <f t="shared" si="17"/>
        <v>-6.8837855035575731E-3</v>
      </c>
      <c r="W339" t="s">
        <v>377</v>
      </c>
      <c r="X339">
        <v>4.673</v>
      </c>
      <c r="Y339">
        <f t="shared" si="16"/>
        <v>9.3460000000000001</v>
      </c>
      <c r="Z339">
        <v>9.3460000000000001</v>
      </c>
    </row>
    <row r="340" spans="1:26" x14ac:dyDescent="0.25">
      <c r="A340" s="41">
        <v>43480</v>
      </c>
      <c r="B340" s="29">
        <v>170.81</v>
      </c>
      <c r="C340" s="37">
        <f t="shared" si="15"/>
        <v>28.468333333333334</v>
      </c>
      <c r="D340" s="37">
        <v>9.8179999999999996</v>
      </c>
      <c r="E340" s="33">
        <f t="shared" si="17"/>
        <v>-5.0675675675675939E-3</v>
      </c>
      <c r="W340" t="s">
        <v>378</v>
      </c>
      <c r="X340">
        <v>4.681</v>
      </c>
      <c r="Y340">
        <f t="shared" si="16"/>
        <v>9.3620000000000001</v>
      </c>
      <c r="Z340">
        <v>9.3620000000000001</v>
      </c>
    </row>
    <row r="341" spans="1:26" x14ac:dyDescent="0.25">
      <c r="A341" s="41">
        <v>43480</v>
      </c>
      <c r="B341" s="29">
        <v>170.25</v>
      </c>
      <c r="C341" s="37">
        <f t="shared" si="15"/>
        <v>28.375</v>
      </c>
      <c r="D341" s="37">
        <v>9.8179999999999996</v>
      </c>
      <c r="E341" s="33">
        <f t="shared" si="17"/>
        <v>-3.2784965751419841E-3</v>
      </c>
      <c r="W341" t="s">
        <v>379</v>
      </c>
      <c r="X341">
        <v>4.6619999999999999</v>
      </c>
      <c r="Y341">
        <f t="shared" si="16"/>
        <v>9.3239999999999998</v>
      </c>
      <c r="Z341">
        <v>9.3239999999999998</v>
      </c>
    </row>
    <row r="342" spans="1:26" x14ac:dyDescent="0.25">
      <c r="A342" s="41">
        <v>43480</v>
      </c>
      <c r="B342" s="29">
        <v>170.17</v>
      </c>
      <c r="C342" s="37">
        <f t="shared" si="15"/>
        <v>28.361666666666668</v>
      </c>
      <c r="D342" s="37">
        <v>9.8179999999999996</v>
      </c>
      <c r="E342" s="33">
        <f t="shared" si="17"/>
        <v>-4.6989720998538915E-4</v>
      </c>
      <c r="W342" t="s">
        <v>380</v>
      </c>
      <c r="X342">
        <v>4.5199999999999996</v>
      </c>
      <c r="Y342">
        <f t="shared" si="16"/>
        <v>9.0399999999999991</v>
      </c>
      <c r="Z342">
        <v>9.0399999999999991</v>
      </c>
    </row>
    <row r="343" spans="1:26" x14ac:dyDescent="0.25">
      <c r="A343" s="41">
        <v>43480</v>
      </c>
      <c r="B343" s="29">
        <v>170.73</v>
      </c>
      <c r="C343" s="37">
        <f t="shared" si="15"/>
        <v>28.454999999999998</v>
      </c>
      <c r="D343" s="37">
        <v>9.8179999999999996</v>
      </c>
      <c r="E343" s="33">
        <f t="shared" si="17"/>
        <v>3.2908268202385986E-3</v>
      </c>
      <c r="W343" t="s">
        <v>381</v>
      </c>
      <c r="X343">
        <v>4.282</v>
      </c>
      <c r="Y343">
        <f t="shared" si="16"/>
        <v>8.5640000000000001</v>
      </c>
      <c r="Z343">
        <v>8.5640000000000001</v>
      </c>
    </row>
    <row r="344" spans="1:26" x14ac:dyDescent="0.25">
      <c r="A344" s="41">
        <v>43480</v>
      </c>
      <c r="B344" s="29">
        <v>170.81</v>
      </c>
      <c r="C344" s="37">
        <f t="shared" si="15"/>
        <v>28.468333333333334</v>
      </c>
      <c r="D344" s="37">
        <v>9.8179999999999996</v>
      </c>
      <c r="E344" s="33">
        <f t="shared" si="17"/>
        <v>4.6857611433264519E-4</v>
      </c>
      <c r="W344" t="s">
        <v>382</v>
      </c>
      <c r="X344">
        <v>4.0860000000000003</v>
      </c>
      <c r="Y344">
        <f t="shared" si="16"/>
        <v>8.1720000000000006</v>
      </c>
      <c r="Z344">
        <v>8.1720000000000006</v>
      </c>
    </row>
    <row r="345" spans="1:26" x14ac:dyDescent="0.25">
      <c r="A345" s="41">
        <v>43480</v>
      </c>
      <c r="B345" s="29">
        <v>171.87</v>
      </c>
      <c r="C345" s="37">
        <f t="shared" si="15"/>
        <v>28.645</v>
      </c>
      <c r="D345" s="37">
        <v>9.8179999999999996</v>
      </c>
      <c r="E345" s="33">
        <f t="shared" si="17"/>
        <v>6.2057256600901722E-3</v>
      </c>
      <c r="W345" t="s">
        <v>383</v>
      </c>
      <c r="X345">
        <v>3.988</v>
      </c>
      <c r="Y345">
        <f t="shared" si="16"/>
        <v>7.976</v>
      </c>
      <c r="Z345">
        <v>7.976</v>
      </c>
    </row>
    <row r="346" spans="1:26" x14ac:dyDescent="0.25">
      <c r="A346" s="41">
        <v>43480</v>
      </c>
      <c r="B346" s="29">
        <v>175.46</v>
      </c>
      <c r="C346" s="37">
        <f t="shared" si="15"/>
        <v>29.243333333333332</v>
      </c>
      <c r="D346" s="37">
        <v>9.8179999999999996</v>
      </c>
      <c r="E346" s="33">
        <f t="shared" si="17"/>
        <v>2.088788037470183E-2</v>
      </c>
      <c r="W346" t="s">
        <v>384</v>
      </c>
      <c r="X346">
        <v>3.9319999999999999</v>
      </c>
      <c r="Y346">
        <f t="shared" si="16"/>
        <v>7.8639999999999999</v>
      </c>
      <c r="Z346">
        <v>7.8639999999999999</v>
      </c>
    </row>
    <row r="347" spans="1:26" x14ac:dyDescent="0.25">
      <c r="A347" s="41">
        <v>43480</v>
      </c>
      <c r="B347" s="29">
        <v>175.72</v>
      </c>
      <c r="C347" s="37">
        <f t="shared" si="15"/>
        <v>29.286666666666665</v>
      </c>
      <c r="D347" s="37">
        <v>9.8179999999999996</v>
      </c>
      <c r="E347" s="33">
        <f t="shared" si="17"/>
        <v>1.4818192180553454E-3</v>
      </c>
      <c r="W347" t="s">
        <v>385</v>
      </c>
      <c r="X347">
        <v>3.8330000000000002</v>
      </c>
      <c r="Y347">
        <f t="shared" si="16"/>
        <v>7.6660000000000004</v>
      </c>
      <c r="Z347">
        <v>7.6660000000000004</v>
      </c>
    </row>
    <row r="348" spans="1:26" x14ac:dyDescent="0.25">
      <c r="A348" s="41">
        <v>43480</v>
      </c>
      <c r="B348" s="29">
        <v>176.91</v>
      </c>
      <c r="C348" s="37">
        <f t="shared" si="15"/>
        <v>29.484999999999999</v>
      </c>
      <c r="D348" s="37">
        <v>9.8179999999999996</v>
      </c>
      <c r="E348" s="33">
        <f t="shared" si="17"/>
        <v>6.7721374914636798E-3</v>
      </c>
      <c r="W348" t="s">
        <v>386</v>
      </c>
      <c r="X348">
        <v>3.714</v>
      </c>
      <c r="Y348">
        <f t="shared" si="16"/>
        <v>7.4279999999999999</v>
      </c>
      <c r="Z348">
        <v>7.4279999999999999</v>
      </c>
    </row>
    <row r="349" spans="1:26" x14ac:dyDescent="0.25">
      <c r="A349" s="41">
        <v>43480</v>
      </c>
      <c r="B349" s="29">
        <v>177.01</v>
      </c>
      <c r="C349" s="37">
        <f t="shared" si="15"/>
        <v>29.501666666666665</v>
      </c>
      <c r="D349" s="37">
        <v>9.8179999999999996</v>
      </c>
      <c r="E349" s="33">
        <f t="shared" si="17"/>
        <v>5.6525917133002268E-4</v>
      </c>
      <c r="W349" t="s">
        <v>387</v>
      </c>
      <c r="X349">
        <v>3.7109999999999999</v>
      </c>
      <c r="Y349">
        <f t="shared" si="16"/>
        <v>7.4219999999999997</v>
      </c>
      <c r="Z349">
        <v>7.4219999999999997</v>
      </c>
    </row>
    <row r="350" spans="1:26" x14ac:dyDescent="0.25">
      <c r="A350" s="41">
        <v>43480</v>
      </c>
      <c r="B350" s="29">
        <v>177.09</v>
      </c>
      <c r="C350" s="37">
        <f t="shared" si="15"/>
        <v>29.515000000000001</v>
      </c>
      <c r="D350" s="37">
        <v>9.8179999999999996</v>
      </c>
      <c r="E350" s="33">
        <f t="shared" si="17"/>
        <v>4.5195186712622176E-4</v>
      </c>
      <c r="W350" t="s">
        <v>388</v>
      </c>
      <c r="X350">
        <v>3.9209999999999998</v>
      </c>
      <c r="Y350">
        <f t="shared" si="16"/>
        <v>7.8419999999999996</v>
      </c>
      <c r="Z350">
        <v>7.8419999999999996</v>
      </c>
    </row>
    <row r="351" spans="1:26" x14ac:dyDescent="0.25">
      <c r="A351" s="41">
        <v>43480</v>
      </c>
      <c r="B351" s="29">
        <v>180.38</v>
      </c>
      <c r="C351" s="37">
        <f t="shared" si="15"/>
        <v>30.063333333333333</v>
      </c>
      <c r="D351" s="37">
        <v>9.8179999999999996</v>
      </c>
      <c r="E351" s="33">
        <f t="shared" si="17"/>
        <v>1.8578124117680232E-2</v>
      </c>
      <c r="W351" t="s">
        <v>389</v>
      </c>
      <c r="X351">
        <v>4.3789999999999996</v>
      </c>
      <c r="Y351">
        <f t="shared" si="16"/>
        <v>8.7579999999999991</v>
      </c>
      <c r="Z351">
        <v>8.7579999999999991</v>
      </c>
    </row>
    <row r="352" spans="1:26" x14ac:dyDescent="0.25">
      <c r="A352" s="41">
        <v>43480</v>
      </c>
      <c r="B352" s="29">
        <v>183.03</v>
      </c>
      <c r="C352" s="37">
        <f t="shared" si="15"/>
        <v>30.504999999999999</v>
      </c>
      <c r="D352" s="37">
        <v>9.8179999999999996</v>
      </c>
      <c r="E352" s="33">
        <f t="shared" si="17"/>
        <v>1.4691207450936944E-2</v>
      </c>
      <c r="W352" t="s">
        <v>390</v>
      </c>
      <c r="X352">
        <v>5.19</v>
      </c>
      <c r="Y352">
        <f t="shared" si="16"/>
        <v>10.38</v>
      </c>
      <c r="Z352">
        <v>10.38</v>
      </c>
    </row>
    <row r="353" spans="1:26" x14ac:dyDescent="0.25">
      <c r="A353" s="41">
        <v>43480</v>
      </c>
      <c r="B353" s="29">
        <v>182.76</v>
      </c>
      <c r="C353" s="37">
        <f t="shared" si="15"/>
        <v>30.46</v>
      </c>
      <c r="D353" s="37">
        <v>9.8179999999999996</v>
      </c>
      <c r="E353" s="33">
        <f t="shared" si="17"/>
        <v>-1.4751680052450978E-3</v>
      </c>
      <c r="W353" t="s">
        <v>391</v>
      </c>
      <c r="X353">
        <v>5.7190000000000003</v>
      </c>
      <c r="Y353">
        <f t="shared" si="16"/>
        <v>11.437999999999999</v>
      </c>
      <c r="Z353">
        <v>11.437999999999999</v>
      </c>
    </row>
    <row r="354" spans="1:26" x14ac:dyDescent="0.25">
      <c r="A354" s="41">
        <v>43480</v>
      </c>
      <c r="B354" s="29">
        <v>178.43</v>
      </c>
      <c r="C354" s="37">
        <f t="shared" si="15"/>
        <v>29.738333333333333</v>
      </c>
      <c r="D354" s="37">
        <v>9.8179999999999996</v>
      </c>
      <c r="E354" s="33">
        <f t="shared" si="17"/>
        <v>-2.3692274020573344E-2</v>
      </c>
      <c r="W354" t="s">
        <v>392</v>
      </c>
      <c r="X354">
        <v>6.03</v>
      </c>
      <c r="Y354">
        <f t="shared" si="16"/>
        <v>12.06</v>
      </c>
      <c r="Z354">
        <v>12.06</v>
      </c>
    </row>
    <row r="355" spans="1:26" x14ac:dyDescent="0.25">
      <c r="A355" s="41">
        <v>43480</v>
      </c>
      <c r="B355" s="29">
        <v>175.25</v>
      </c>
      <c r="C355" s="37">
        <f t="shared" si="15"/>
        <v>29.208333333333332</v>
      </c>
      <c r="D355" s="37">
        <v>9.8179999999999996</v>
      </c>
      <c r="E355" s="33">
        <f t="shared" si="17"/>
        <v>-1.7822115115171254E-2</v>
      </c>
      <c r="W355" t="s">
        <v>393</v>
      </c>
      <c r="X355">
        <v>6.0940000000000003</v>
      </c>
      <c r="Y355">
        <f t="shared" si="16"/>
        <v>12.187999999999999</v>
      </c>
      <c r="Z355">
        <v>12.187999999999999</v>
      </c>
    </row>
    <row r="356" spans="1:26" x14ac:dyDescent="0.25">
      <c r="A356" s="41">
        <v>43480</v>
      </c>
      <c r="B356" s="29">
        <v>174.95</v>
      </c>
      <c r="C356" s="37">
        <f t="shared" si="15"/>
        <v>29.158333333333335</v>
      </c>
      <c r="D356" s="37">
        <v>9.8179999999999996</v>
      </c>
      <c r="E356" s="33">
        <f t="shared" si="17"/>
        <v>-1.7118402282454287E-3</v>
      </c>
      <c r="W356" t="s">
        <v>394</v>
      </c>
      <c r="X356">
        <v>6.0570000000000004</v>
      </c>
      <c r="Y356">
        <f t="shared" si="16"/>
        <v>12.114000000000001</v>
      </c>
      <c r="Z356">
        <v>12.114000000000001</v>
      </c>
    </row>
    <row r="357" spans="1:26" x14ac:dyDescent="0.25">
      <c r="A357" s="41">
        <v>43480</v>
      </c>
      <c r="B357" s="29">
        <v>174.03</v>
      </c>
      <c r="C357" s="37">
        <f t="shared" si="15"/>
        <v>29.004999999999999</v>
      </c>
      <c r="D357" s="37">
        <v>9.8179999999999996</v>
      </c>
      <c r="E357" s="33">
        <f t="shared" si="17"/>
        <v>-5.2586453272362825E-3</v>
      </c>
      <c r="W357" t="s">
        <v>395</v>
      </c>
      <c r="X357">
        <v>5.9119999999999999</v>
      </c>
      <c r="Y357">
        <f t="shared" si="16"/>
        <v>11.824000000000002</v>
      </c>
      <c r="Z357">
        <v>11.824000000000002</v>
      </c>
    </row>
    <row r="358" spans="1:26" x14ac:dyDescent="0.25">
      <c r="A358" s="41">
        <v>43480</v>
      </c>
      <c r="B358" s="29">
        <v>174.87</v>
      </c>
      <c r="C358" s="37">
        <f t="shared" si="15"/>
        <v>29.145</v>
      </c>
      <c r="D358" s="37">
        <v>9.8179999999999996</v>
      </c>
      <c r="E358" s="33">
        <f t="shared" si="17"/>
        <v>4.8267540079296872E-3</v>
      </c>
      <c r="W358" t="s">
        <v>396</v>
      </c>
      <c r="X358">
        <v>5.4939999999999998</v>
      </c>
      <c r="Y358">
        <f t="shared" si="16"/>
        <v>10.988</v>
      </c>
      <c r="Z358">
        <v>10.988</v>
      </c>
    </row>
    <row r="359" spans="1:26" x14ac:dyDescent="0.25">
      <c r="A359" s="41">
        <v>43480</v>
      </c>
      <c r="B359" s="29">
        <v>175.01</v>
      </c>
      <c r="C359" s="37">
        <f t="shared" si="15"/>
        <v>29.168333333333333</v>
      </c>
      <c r="D359" s="37">
        <v>9.8179999999999996</v>
      </c>
      <c r="E359" s="33">
        <f t="shared" si="17"/>
        <v>8.0059472751178797E-4</v>
      </c>
      <c r="W359" t="s">
        <v>397</v>
      </c>
      <c r="X359">
        <v>4.9820000000000002</v>
      </c>
      <c r="Y359">
        <f t="shared" si="16"/>
        <v>9.9640000000000004</v>
      </c>
      <c r="Z359">
        <v>9.9640000000000004</v>
      </c>
    </row>
    <row r="360" spans="1:26" x14ac:dyDescent="0.25">
      <c r="A360" s="41">
        <v>43480</v>
      </c>
      <c r="B360" s="29">
        <v>175.01</v>
      </c>
      <c r="C360" s="37">
        <f t="shared" si="15"/>
        <v>29.168333333333333</v>
      </c>
      <c r="D360" s="37">
        <v>9.8179999999999996</v>
      </c>
      <c r="E360" s="33">
        <f t="shared" si="17"/>
        <v>0</v>
      </c>
      <c r="W360" t="s">
        <v>398</v>
      </c>
      <c r="X360">
        <v>4.5330000000000004</v>
      </c>
      <c r="Y360">
        <f t="shared" si="16"/>
        <v>9.0660000000000007</v>
      </c>
      <c r="Z360">
        <v>9.0660000000000007</v>
      </c>
    </row>
    <row r="361" spans="1:26" x14ac:dyDescent="0.25">
      <c r="A361" s="41">
        <v>43480</v>
      </c>
      <c r="B361" s="29">
        <v>174.73</v>
      </c>
      <c r="C361" s="37">
        <f t="shared" si="15"/>
        <v>29.121666666666666</v>
      </c>
      <c r="D361" s="37">
        <v>9.8179999999999996</v>
      </c>
      <c r="E361" s="33">
        <f t="shared" si="17"/>
        <v>-1.5999085766527693E-3</v>
      </c>
      <c r="W361" t="s">
        <v>399</v>
      </c>
      <c r="X361">
        <v>4.1059999999999999</v>
      </c>
      <c r="Y361">
        <f t="shared" si="16"/>
        <v>8.2119999999999997</v>
      </c>
      <c r="Z361">
        <v>8.2119999999999997</v>
      </c>
    </row>
    <row r="362" spans="1:26" x14ac:dyDescent="0.25">
      <c r="A362" s="41">
        <v>43481</v>
      </c>
      <c r="B362" s="29">
        <v>172.7</v>
      </c>
      <c r="C362" s="37">
        <f t="shared" si="15"/>
        <v>28.783333333333335</v>
      </c>
      <c r="D362" s="37">
        <v>10.37</v>
      </c>
      <c r="E362" s="33">
        <f t="shared" si="17"/>
        <v>-1.161792479826018E-2</v>
      </c>
      <c r="W362" t="s">
        <v>400</v>
      </c>
      <c r="X362">
        <v>3.72</v>
      </c>
      <c r="Y362">
        <f t="shared" si="16"/>
        <v>7.44</v>
      </c>
      <c r="Z362">
        <v>7.44</v>
      </c>
    </row>
    <row r="363" spans="1:26" x14ac:dyDescent="0.25">
      <c r="A363" s="41">
        <v>43481</v>
      </c>
      <c r="B363" s="29">
        <v>171.02</v>
      </c>
      <c r="C363" s="37">
        <f t="shared" si="15"/>
        <v>28.503333333333334</v>
      </c>
      <c r="D363" s="37">
        <v>10.37</v>
      </c>
      <c r="E363" s="33">
        <f t="shared" si="17"/>
        <v>-9.7278517660682028E-3</v>
      </c>
      <c r="W363" t="s">
        <v>401</v>
      </c>
      <c r="X363">
        <v>3.3809999999999998</v>
      </c>
      <c r="Y363">
        <f t="shared" si="16"/>
        <v>6.7619999999999996</v>
      </c>
      <c r="Z363">
        <v>6.7619999999999996</v>
      </c>
    </row>
    <row r="364" spans="1:26" x14ac:dyDescent="0.25">
      <c r="A364" s="41">
        <v>43481</v>
      </c>
      <c r="B364" s="29">
        <v>169.65</v>
      </c>
      <c r="C364" s="37">
        <f t="shared" si="15"/>
        <v>28.274999999999999</v>
      </c>
      <c r="D364" s="37">
        <v>10.37</v>
      </c>
      <c r="E364" s="33">
        <f t="shared" si="17"/>
        <v>-8.0107589755584411E-3</v>
      </c>
      <c r="W364" t="s">
        <v>402</v>
      </c>
      <c r="X364">
        <v>3.12</v>
      </c>
      <c r="Y364">
        <f t="shared" si="16"/>
        <v>6.24</v>
      </c>
      <c r="Z364">
        <v>6.24</v>
      </c>
    </row>
    <row r="365" spans="1:26" x14ac:dyDescent="0.25">
      <c r="A365" s="41">
        <v>43481</v>
      </c>
      <c r="B365" s="29">
        <v>169.45</v>
      </c>
      <c r="C365" s="37">
        <f t="shared" si="15"/>
        <v>28.241666666666667</v>
      </c>
      <c r="D365" s="37">
        <v>10.37</v>
      </c>
      <c r="E365" s="33">
        <f t="shared" si="17"/>
        <v>-1.1788977306219691E-3</v>
      </c>
      <c r="W365" t="s">
        <v>403</v>
      </c>
      <c r="X365">
        <v>2.915</v>
      </c>
      <c r="Y365">
        <f t="shared" si="16"/>
        <v>5.83</v>
      </c>
      <c r="Z365">
        <v>5.83</v>
      </c>
    </row>
    <row r="366" spans="1:26" x14ac:dyDescent="0.25">
      <c r="A366" s="41">
        <v>43481</v>
      </c>
      <c r="B366" s="29">
        <v>169.39</v>
      </c>
      <c r="C366" s="37">
        <f t="shared" si="15"/>
        <v>28.231666666666666</v>
      </c>
      <c r="D366" s="37">
        <v>10.37</v>
      </c>
      <c r="E366" s="33">
        <f t="shared" si="17"/>
        <v>-3.5408675125407071E-4</v>
      </c>
      <c r="W366" t="s">
        <v>404</v>
      </c>
      <c r="X366">
        <v>2.742</v>
      </c>
      <c r="Y366">
        <f t="shared" si="16"/>
        <v>5.484</v>
      </c>
      <c r="Z366">
        <v>5.484</v>
      </c>
    </row>
    <row r="367" spans="1:26" x14ac:dyDescent="0.25">
      <c r="A367" s="41">
        <v>43481</v>
      </c>
      <c r="B367" s="29">
        <v>169.39</v>
      </c>
      <c r="C367" s="37">
        <f t="shared" si="15"/>
        <v>28.231666666666666</v>
      </c>
      <c r="D367" s="37">
        <v>10.37</v>
      </c>
      <c r="E367" s="33">
        <f t="shared" si="17"/>
        <v>0</v>
      </c>
    </row>
    <row r="368" spans="1:26" x14ac:dyDescent="0.25">
      <c r="A368" s="41">
        <v>43481</v>
      </c>
      <c r="B368" s="29">
        <v>169.4</v>
      </c>
      <c r="C368" s="37">
        <f t="shared" si="15"/>
        <v>28.233333333333334</v>
      </c>
      <c r="D368" s="37">
        <v>10.37</v>
      </c>
      <c r="E368" s="33">
        <f t="shared" si="17"/>
        <v>5.9035362182061089E-5</v>
      </c>
    </row>
    <row r="369" spans="1:5" x14ac:dyDescent="0.25">
      <c r="A369" s="41">
        <v>43481</v>
      </c>
      <c r="B369" s="29">
        <v>171.34</v>
      </c>
      <c r="C369" s="37">
        <f t="shared" si="15"/>
        <v>28.556666666666668</v>
      </c>
      <c r="D369" s="37">
        <v>10.37</v>
      </c>
      <c r="E369" s="33">
        <f t="shared" si="17"/>
        <v>1.1452184179456893E-2</v>
      </c>
    </row>
    <row r="370" spans="1:5" x14ac:dyDescent="0.25">
      <c r="A370" s="41">
        <v>43481</v>
      </c>
      <c r="B370" s="29">
        <v>174.9</v>
      </c>
      <c r="C370" s="37">
        <f t="shared" si="15"/>
        <v>29.15</v>
      </c>
      <c r="D370" s="37">
        <v>10.37</v>
      </c>
      <c r="E370" s="33">
        <f t="shared" si="17"/>
        <v>2.0777401657523068E-2</v>
      </c>
    </row>
    <row r="371" spans="1:5" x14ac:dyDescent="0.25">
      <c r="A371" s="41">
        <v>43481</v>
      </c>
      <c r="B371" s="29">
        <v>176.55</v>
      </c>
      <c r="C371" s="37">
        <f t="shared" si="15"/>
        <v>29.425000000000001</v>
      </c>
      <c r="D371" s="37">
        <v>10.37</v>
      </c>
      <c r="E371" s="33">
        <f t="shared" si="17"/>
        <v>9.433962264150976E-3</v>
      </c>
    </row>
    <row r="372" spans="1:5" x14ac:dyDescent="0.25">
      <c r="A372" s="41">
        <v>43481</v>
      </c>
      <c r="B372" s="29">
        <v>176.77</v>
      </c>
      <c r="C372" s="37">
        <f t="shared" si="15"/>
        <v>29.461666666666666</v>
      </c>
      <c r="D372" s="37">
        <v>10.37</v>
      </c>
      <c r="E372" s="33">
        <f t="shared" si="17"/>
        <v>1.2461059190031088E-3</v>
      </c>
    </row>
    <row r="373" spans="1:5" x14ac:dyDescent="0.25">
      <c r="A373" s="41">
        <v>43481</v>
      </c>
      <c r="B373" s="29">
        <v>176.97</v>
      </c>
      <c r="C373" s="37">
        <f t="shared" si="15"/>
        <v>29.495000000000001</v>
      </c>
      <c r="D373" s="37">
        <v>10.37</v>
      </c>
      <c r="E373" s="33">
        <f t="shared" si="17"/>
        <v>1.1314137014198599E-3</v>
      </c>
    </row>
    <row r="374" spans="1:5" x14ac:dyDescent="0.25">
      <c r="A374" s="41">
        <v>43481</v>
      </c>
      <c r="B374" s="29">
        <v>177.1</v>
      </c>
      <c r="C374" s="37">
        <f t="shared" si="15"/>
        <v>29.516666666666666</v>
      </c>
      <c r="D374" s="37">
        <v>10.37</v>
      </c>
      <c r="E374" s="33">
        <f t="shared" si="17"/>
        <v>7.3458778324007152E-4</v>
      </c>
    </row>
    <row r="375" spans="1:5" x14ac:dyDescent="0.25">
      <c r="A375" s="41">
        <v>43481</v>
      </c>
      <c r="B375" s="29">
        <v>179.27</v>
      </c>
      <c r="C375" s="37">
        <f t="shared" si="15"/>
        <v>29.878333333333334</v>
      </c>
      <c r="D375" s="37">
        <v>10.37</v>
      </c>
      <c r="E375" s="33">
        <f t="shared" si="17"/>
        <v>1.2252964426877561E-2</v>
      </c>
    </row>
    <row r="376" spans="1:5" x14ac:dyDescent="0.25">
      <c r="A376" s="41">
        <v>43481</v>
      </c>
      <c r="B376" s="29">
        <v>182.96</v>
      </c>
      <c r="C376" s="37">
        <f t="shared" si="15"/>
        <v>30.493333333333332</v>
      </c>
      <c r="D376" s="37">
        <v>10.37</v>
      </c>
      <c r="E376" s="33">
        <f t="shared" si="17"/>
        <v>2.0583477436269301E-2</v>
      </c>
    </row>
    <row r="377" spans="1:5" x14ac:dyDescent="0.25">
      <c r="A377" s="41">
        <v>43481</v>
      </c>
      <c r="B377" s="29">
        <v>182.83</v>
      </c>
      <c r="C377" s="37">
        <f t="shared" si="15"/>
        <v>30.471666666666668</v>
      </c>
      <c r="D377" s="37">
        <v>10.37</v>
      </c>
      <c r="E377" s="33">
        <f t="shared" si="17"/>
        <v>-7.1053782247483305E-4</v>
      </c>
    </row>
    <row r="378" spans="1:5" x14ac:dyDescent="0.25">
      <c r="A378" s="41">
        <v>43481</v>
      </c>
      <c r="B378" s="29">
        <v>180.38</v>
      </c>
      <c r="C378" s="37">
        <f t="shared" si="15"/>
        <v>30.063333333333333</v>
      </c>
      <c r="D378" s="37">
        <v>10.37</v>
      </c>
      <c r="E378" s="33">
        <f t="shared" si="17"/>
        <v>-1.3400426625827364E-2</v>
      </c>
    </row>
    <row r="379" spans="1:5" x14ac:dyDescent="0.25">
      <c r="A379" s="41">
        <v>43481</v>
      </c>
      <c r="B379" s="29">
        <v>176.5</v>
      </c>
      <c r="C379" s="37">
        <f t="shared" si="15"/>
        <v>29.416666666666668</v>
      </c>
      <c r="D379" s="37">
        <v>10.37</v>
      </c>
      <c r="E379" s="33">
        <f t="shared" si="17"/>
        <v>-2.1510145248918925E-2</v>
      </c>
    </row>
    <row r="380" spans="1:5" x14ac:dyDescent="0.25">
      <c r="A380" s="41">
        <v>43481</v>
      </c>
      <c r="B380" s="29">
        <v>175.38</v>
      </c>
      <c r="C380" s="37">
        <f t="shared" si="15"/>
        <v>29.23</v>
      </c>
      <c r="D380" s="37">
        <v>10.37</v>
      </c>
      <c r="E380" s="33">
        <f t="shared" si="17"/>
        <v>-6.3456090651558333E-3</v>
      </c>
    </row>
    <row r="381" spans="1:5" x14ac:dyDescent="0.25">
      <c r="A381" s="41">
        <v>43481</v>
      </c>
      <c r="B381" s="29">
        <v>174.65</v>
      </c>
      <c r="C381" s="37">
        <f t="shared" si="15"/>
        <v>29.108333333333334</v>
      </c>
      <c r="D381" s="37">
        <v>10.37</v>
      </c>
      <c r="E381" s="33">
        <f t="shared" si="17"/>
        <v>-4.1623902383395471E-3</v>
      </c>
    </row>
    <row r="382" spans="1:5" x14ac:dyDescent="0.25">
      <c r="A382" s="41">
        <v>43481</v>
      </c>
      <c r="B382" s="29">
        <v>176.01</v>
      </c>
      <c r="C382" s="37">
        <f t="shared" si="15"/>
        <v>29.335000000000001</v>
      </c>
      <c r="D382" s="37">
        <v>10.37</v>
      </c>
      <c r="E382" s="33">
        <f t="shared" si="17"/>
        <v>7.7870025765816499E-3</v>
      </c>
    </row>
    <row r="383" spans="1:5" x14ac:dyDescent="0.25">
      <c r="A383" s="41">
        <v>43481</v>
      </c>
      <c r="B383" s="29">
        <v>176.23</v>
      </c>
      <c r="C383" s="37">
        <f t="shared" si="15"/>
        <v>29.371666666666666</v>
      </c>
      <c r="D383" s="37">
        <v>10.37</v>
      </c>
      <c r="E383" s="33">
        <f t="shared" si="17"/>
        <v>1.2499289813078739E-3</v>
      </c>
    </row>
    <row r="384" spans="1:5" x14ac:dyDescent="0.25">
      <c r="A384" s="41">
        <v>43481</v>
      </c>
      <c r="B384" s="29">
        <v>176.19</v>
      </c>
      <c r="C384" s="37">
        <f t="shared" si="15"/>
        <v>29.364999999999998</v>
      </c>
      <c r="D384" s="37">
        <v>10.37</v>
      </c>
      <c r="E384" s="33">
        <f t="shared" si="17"/>
        <v>-2.2697611076429692E-4</v>
      </c>
    </row>
    <row r="385" spans="1:5" x14ac:dyDescent="0.25">
      <c r="A385" s="41">
        <v>43481</v>
      </c>
      <c r="B385" s="29">
        <v>175.86</v>
      </c>
      <c r="C385" s="37">
        <f t="shared" si="15"/>
        <v>29.31</v>
      </c>
      <c r="D385" s="37">
        <v>10.37</v>
      </c>
      <c r="E385" s="33">
        <f t="shared" si="17"/>
        <v>-1.8729780350756802E-3</v>
      </c>
    </row>
    <row r="386" spans="1:5" x14ac:dyDescent="0.25">
      <c r="A386" s="41">
        <v>43482</v>
      </c>
      <c r="B386" s="29">
        <v>172.2</v>
      </c>
      <c r="C386" s="37">
        <f t="shared" si="15"/>
        <v>28.7</v>
      </c>
      <c r="D386" s="37">
        <v>9.8940000000000001</v>
      </c>
      <c r="E386" s="33">
        <f t="shared" si="17"/>
        <v>-2.0812009553053706E-2</v>
      </c>
    </row>
    <row r="387" spans="1:5" x14ac:dyDescent="0.25">
      <c r="A387" s="41">
        <v>43482</v>
      </c>
      <c r="B387" s="29">
        <v>169.65</v>
      </c>
      <c r="C387" s="37">
        <f t="shared" ref="C387:C450" si="18">(B387*100/600)</f>
        <v>28.274999999999999</v>
      </c>
      <c r="D387" s="37">
        <v>9.8940000000000001</v>
      </c>
      <c r="E387" s="33">
        <f t="shared" si="17"/>
        <v>-1.4808362369337882E-2</v>
      </c>
    </row>
    <row r="388" spans="1:5" x14ac:dyDescent="0.25">
      <c r="A388" s="41">
        <v>43482</v>
      </c>
      <c r="B388" s="29">
        <v>169.17</v>
      </c>
      <c r="C388" s="37">
        <f t="shared" si="18"/>
        <v>28.195</v>
      </c>
      <c r="D388" s="37">
        <v>9.8940000000000001</v>
      </c>
      <c r="E388" s="33">
        <f t="shared" ref="E388:E451" si="19">(B388-B387)/B387</f>
        <v>-2.8293545534925917E-3</v>
      </c>
    </row>
    <row r="389" spans="1:5" x14ac:dyDescent="0.25">
      <c r="A389" s="41">
        <v>43482</v>
      </c>
      <c r="B389" s="29">
        <v>168.59</v>
      </c>
      <c r="C389" s="37">
        <f t="shared" si="18"/>
        <v>28.098333333333333</v>
      </c>
      <c r="D389" s="37">
        <v>9.8940000000000001</v>
      </c>
      <c r="E389" s="33">
        <f t="shared" si="19"/>
        <v>-3.4285038718447959E-3</v>
      </c>
    </row>
    <row r="390" spans="1:5" x14ac:dyDescent="0.25">
      <c r="A390" s="41">
        <v>43482</v>
      </c>
      <c r="B390" s="29">
        <v>168.54</v>
      </c>
      <c r="C390" s="37">
        <f t="shared" si="18"/>
        <v>28.09</v>
      </c>
      <c r="D390" s="37">
        <v>9.8940000000000001</v>
      </c>
      <c r="E390" s="33">
        <f t="shared" si="19"/>
        <v>-2.9657749569969377E-4</v>
      </c>
    </row>
    <row r="391" spans="1:5" x14ac:dyDescent="0.25">
      <c r="A391" s="41">
        <v>43482</v>
      </c>
      <c r="B391" s="29">
        <v>168.54</v>
      </c>
      <c r="C391" s="37">
        <f t="shared" si="18"/>
        <v>28.09</v>
      </c>
      <c r="D391" s="37">
        <v>9.8940000000000001</v>
      </c>
      <c r="E391" s="33">
        <f t="shared" si="19"/>
        <v>0</v>
      </c>
    </row>
    <row r="392" spans="1:5" x14ac:dyDescent="0.25">
      <c r="A392" s="41">
        <v>43482</v>
      </c>
      <c r="B392" s="29">
        <v>169.27</v>
      </c>
      <c r="C392" s="37">
        <f t="shared" si="18"/>
        <v>28.211666666666666</v>
      </c>
      <c r="D392" s="37">
        <v>9.8940000000000001</v>
      </c>
      <c r="E392" s="33">
        <f t="shared" si="19"/>
        <v>4.3313160080694088E-3</v>
      </c>
    </row>
    <row r="393" spans="1:5" x14ac:dyDescent="0.25">
      <c r="A393" s="41">
        <v>43482</v>
      </c>
      <c r="B393" s="29">
        <v>170.2</v>
      </c>
      <c r="C393" s="37">
        <f t="shared" si="18"/>
        <v>28.366666666666667</v>
      </c>
      <c r="D393" s="37">
        <v>9.8940000000000001</v>
      </c>
      <c r="E393" s="33">
        <f t="shared" si="19"/>
        <v>5.4941808944288907E-3</v>
      </c>
    </row>
    <row r="394" spans="1:5" x14ac:dyDescent="0.25">
      <c r="A394" s="41">
        <v>43482</v>
      </c>
      <c r="B394" s="29">
        <v>174.95</v>
      </c>
      <c r="C394" s="37">
        <f t="shared" si="18"/>
        <v>29.158333333333335</v>
      </c>
      <c r="D394" s="37">
        <v>9.8940000000000001</v>
      </c>
      <c r="E394" s="33">
        <f t="shared" si="19"/>
        <v>2.7908343125734432E-2</v>
      </c>
    </row>
    <row r="395" spans="1:5" x14ac:dyDescent="0.25">
      <c r="A395" s="41">
        <v>43482</v>
      </c>
      <c r="B395" s="29">
        <v>175.54</v>
      </c>
      <c r="C395" s="37">
        <f t="shared" si="18"/>
        <v>29.256666666666668</v>
      </c>
      <c r="D395" s="37">
        <v>9.8940000000000001</v>
      </c>
      <c r="E395" s="33">
        <f t="shared" si="19"/>
        <v>3.3723921120320287E-3</v>
      </c>
    </row>
    <row r="396" spans="1:5" x14ac:dyDescent="0.25">
      <c r="A396" s="41">
        <v>43482</v>
      </c>
      <c r="B396" s="29">
        <v>176.5</v>
      </c>
      <c r="C396" s="37">
        <f t="shared" si="18"/>
        <v>29.416666666666668</v>
      </c>
      <c r="D396" s="37">
        <v>9.8940000000000001</v>
      </c>
      <c r="E396" s="33">
        <f t="shared" si="19"/>
        <v>5.4688390110516575E-3</v>
      </c>
    </row>
    <row r="397" spans="1:5" x14ac:dyDescent="0.25">
      <c r="A397" s="41">
        <v>43482</v>
      </c>
      <c r="B397" s="29">
        <v>176.59</v>
      </c>
      <c r="C397" s="37">
        <f t="shared" si="18"/>
        <v>29.431666666666668</v>
      </c>
      <c r="D397" s="37">
        <v>9.8940000000000001</v>
      </c>
      <c r="E397" s="33">
        <f t="shared" si="19"/>
        <v>5.0991501416432531E-4</v>
      </c>
    </row>
    <row r="398" spans="1:5" x14ac:dyDescent="0.25">
      <c r="A398" s="41">
        <v>43482</v>
      </c>
      <c r="B398" s="29">
        <v>175.77</v>
      </c>
      <c r="C398" s="37">
        <f t="shared" si="18"/>
        <v>29.295000000000002</v>
      </c>
      <c r="D398" s="37">
        <v>9.8940000000000001</v>
      </c>
      <c r="E398" s="33">
        <f t="shared" si="19"/>
        <v>-4.6435245483888851E-3</v>
      </c>
    </row>
    <row r="399" spans="1:5" x14ac:dyDescent="0.25">
      <c r="A399" s="41">
        <v>43482</v>
      </c>
      <c r="B399" s="29">
        <v>178.26</v>
      </c>
      <c r="C399" s="37">
        <f t="shared" si="18"/>
        <v>29.71</v>
      </c>
      <c r="D399" s="37">
        <v>9.8940000000000001</v>
      </c>
      <c r="E399" s="33">
        <f t="shared" si="19"/>
        <v>1.4166239972691475E-2</v>
      </c>
    </row>
    <row r="400" spans="1:5" x14ac:dyDescent="0.25">
      <c r="A400" s="41">
        <v>43482</v>
      </c>
      <c r="B400" s="29">
        <v>182.41</v>
      </c>
      <c r="C400" s="37">
        <f t="shared" si="18"/>
        <v>30.401666666666667</v>
      </c>
      <c r="D400" s="37">
        <v>9.8940000000000001</v>
      </c>
      <c r="E400" s="33">
        <f t="shared" si="19"/>
        <v>2.3280601368787197E-2</v>
      </c>
    </row>
    <row r="401" spans="1:5" x14ac:dyDescent="0.25">
      <c r="A401" s="41">
        <v>43482</v>
      </c>
      <c r="B401" s="29">
        <v>182.39</v>
      </c>
      <c r="C401" s="37">
        <f t="shared" si="18"/>
        <v>30.398333333333333</v>
      </c>
      <c r="D401" s="37">
        <v>9.8940000000000001</v>
      </c>
      <c r="E401" s="33">
        <f t="shared" si="19"/>
        <v>-1.0964311167156533E-4</v>
      </c>
    </row>
    <row r="402" spans="1:5" x14ac:dyDescent="0.25">
      <c r="A402" s="41">
        <v>43482</v>
      </c>
      <c r="B402" s="29">
        <v>178.3</v>
      </c>
      <c r="C402" s="37">
        <f t="shared" si="18"/>
        <v>29.716666666666665</v>
      </c>
      <c r="D402" s="37">
        <v>9.8940000000000001</v>
      </c>
      <c r="E402" s="33">
        <f t="shared" si="19"/>
        <v>-2.2424475026042959E-2</v>
      </c>
    </row>
    <row r="403" spans="1:5" x14ac:dyDescent="0.25">
      <c r="A403" s="41">
        <v>43482</v>
      </c>
      <c r="B403" s="29">
        <v>175.13</v>
      </c>
      <c r="C403" s="37">
        <f t="shared" si="18"/>
        <v>29.188333333333333</v>
      </c>
      <c r="D403" s="37">
        <v>9.8940000000000001</v>
      </c>
      <c r="E403" s="33">
        <f t="shared" si="19"/>
        <v>-1.7779024116657407E-2</v>
      </c>
    </row>
    <row r="404" spans="1:5" x14ac:dyDescent="0.25">
      <c r="A404" s="41">
        <v>43482</v>
      </c>
      <c r="B404" s="29">
        <v>174.21</v>
      </c>
      <c r="C404" s="37">
        <f t="shared" si="18"/>
        <v>29.035</v>
      </c>
      <c r="D404" s="37">
        <v>9.8940000000000001</v>
      </c>
      <c r="E404" s="33">
        <f t="shared" si="19"/>
        <v>-5.2532404499513932E-3</v>
      </c>
    </row>
    <row r="405" spans="1:5" x14ac:dyDescent="0.25">
      <c r="A405" s="41">
        <v>43482</v>
      </c>
      <c r="B405" s="29">
        <v>173.01</v>
      </c>
      <c r="C405" s="37">
        <f t="shared" si="18"/>
        <v>28.835000000000001</v>
      </c>
      <c r="D405" s="37">
        <v>9.8940000000000001</v>
      </c>
      <c r="E405" s="33">
        <f t="shared" si="19"/>
        <v>-6.8882383330464208E-3</v>
      </c>
    </row>
    <row r="406" spans="1:5" x14ac:dyDescent="0.25">
      <c r="A406" s="41">
        <v>43482</v>
      </c>
      <c r="B406" s="29">
        <v>174.89</v>
      </c>
      <c r="C406" s="37">
        <f t="shared" si="18"/>
        <v>29.148333333333333</v>
      </c>
      <c r="D406" s="37">
        <v>9.8940000000000001</v>
      </c>
      <c r="E406" s="33">
        <f t="shared" si="19"/>
        <v>1.0866423906132568E-2</v>
      </c>
    </row>
    <row r="407" spans="1:5" x14ac:dyDescent="0.25">
      <c r="A407" s="41">
        <v>43482</v>
      </c>
      <c r="B407" s="29">
        <v>174.94</v>
      </c>
      <c r="C407" s="37">
        <f t="shared" si="18"/>
        <v>29.156666666666666</v>
      </c>
      <c r="D407" s="37">
        <v>9.8940000000000001</v>
      </c>
      <c r="E407" s="33">
        <f t="shared" si="19"/>
        <v>2.8589399050838452E-4</v>
      </c>
    </row>
    <row r="408" spans="1:5" x14ac:dyDescent="0.25">
      <c r="A408" s="41">
        <v>43482</v>
      </c>
      <c r="B408" s="29">
        <v>174.85</v>
      </c>
      <c r="C408" s="37">
        <f t="shared" si="18"/>
        <v>29.141666666666666</v>
      </c>
      <c r="D408" s="37">
        <v>9.8940000000000001</v>
      </c>
      <c r="E408" s="33">
        <f t="shared" si="19"/>
        <v>-5.1446210129189103E-4</v>
      </c>
    </row>
    <row r="409" spans="1:5" x14ac:dyDescent="0.25">
      <c r="A409" s="41">
        <v>43482</v>
      </c>
      <c r="B409" s="29">
        <v>174.37</v>
      </c>
      <c r="C409" s="37">
        <f t="shared" si="18"/>
        <v>29.061666666666667</v>
      </c>
      <c r="D409" s="37">
        <v>9.8940000000000001</v>
      </c>
      <c r="E409" s="33">
        <f t="shared" si="19"/>
        <v>-2.7452101801543598E-3</v>
      </c>
    </row>
    <row r="410" spans="1:5" x14ac:dyDescent="0.25">
      <c r="A410" s="41">
        <v>43483</v>
      </c>
      <c r="B410" s="29">
        <v>170.8</v>
      </c>
      <c r="C410" s="37">
        <f t="shared" si="18"/>
        <v>28.466666666666665</v>
      </c>
      <c r="D410" s="37">
        <v>10.286</v>
      </c>
      <c r="E410" s="33">
        <f t="shared" si="19"/>
        <v>-2.0473705339221156E-2</v>
      </c>
    </row>
    <row r="411" spans="1:5" x14ac:dyDescent="0.25">
      <c r="A411" s="41">
        <v>43483</v>
      </c>
      <c r="B411" s="29">
        <v>169.41</v>
      </c>
      <c r="C411" s="37">
        <f t="shared" si="18"/>
        <v>28.234999999999999</v>
      </c>
      <c r="D411" s="37">
        <v>10.286</v>
      </c>
      <c r="E411" s="33">
        <f t="shared" si="19"/>
        <v>-8.1381733021078147E-3</v>
      </c>
    </row>
    <row r="412" spans="1:5" x14ac:dyDescent="0.25">
      <c r="A412" s="41">
        <v>43483</v>
      </c>
      <c r="B412" s="29">
        <v>167.74</v>
      </c>
      <c r="C412" s="37">
        <f t="shared" si="18"/>
        <v>27.956666666666667</v>
      </c>
      <c r="D412" s="37">
        <v>10.286</v>
      </c>
      <c r="E412" s="33">
        <f t="shared" si="19"/>
        <v>-9.8577415736968745E-3</v>
      </c>
    </row>
    <row r="413" spans="1:5" x14ac:dyDescent="0.25">
      <c r="A413" s="41">
        <v>43483</v>
      </c>
      <c r="B413" s="29">
        <v>167.7</v>
      </c>
      <c r="C413" s="37">
        <f t="shared" si="18"/>
        <v>27.95</v>
      </c>
      <c r="D413" s="37">
        <v>10.286</v>
      </c>
      <c r="E413" s="33">
        <f t="shared" si="19"/>
        <v>-2.384642899726986E-4</v>
      </c>
    </row>
    <row r="414" spans="1:5" x14ac:dyDescent="0.25">
      <c r="A414" s="41">
        <v>43483</v>
      </c>
      <c r="B414" s="29">
        <v>167.7</v>
      </c>
      <c r="C414" s="37">
        <f t="shared" si="18"/>
        <v>27.95</v>
      </c>
      <c r="D414" s="37">
        <v>10.286</v>
      </c>
      <c r="E414" s="33">
        <f t="shared" si="19"/>
        <v>0</v>
      </c>
    </row>
    <row r="415" spans="1:5" x14ac:dyDescent="0.25">
      <c r="A415" s="41">
        <v>43483</v>
      </c>
      <c r="B415" s="29">
        <v>167.7</v>
      </c>
      <c r="C415" s="37">
        <f t="shared" si="18"/>
        <v>27.95</v>
      </c>
      <c r="D415" s="37">
        <v>10.286</v>
      </c>
      <c r="E415" s="33">
        <f t="shared" si="19"/>
        <v>0</v>
      </c>
    </row>
    <row r="416" spans="1:5" x14ac:dyDescent="0.25">
      <c r="A416" s="41">
        <v>43483</v>
      </c>
      <c r="B416" s="29">
        <v>167.91</v>
      </c>
      <c r="C416" s="37">
        <f t="shared" si="18"/>
        <v>27.984999999999999</v>
      </c>
      <c r="D416" s="37">
        <v>10.286</v>
      </c>
      <c r="E416" s="33">
        <f t="shared" si="19"/>
        <v>1.2522361359571137E-3</v>
      </c>
    </row>
    <row r="417" spans="1:5" x14ac:dyDescent="0.25">
      <c r="A417" s="41">
        <v>43483</v>
      </c>
      <c r="B417" s="29">
        <v>169.45</v>
      </c>
      <c r="C417" s="37">
        <f t="shared" si="18"/>
        <v>28.241666666666667</v>
      </c>
      <c r="D417" s="37">
        <v>10.286</v>
      </c>
      <c r="E417" s="33">
        <f t="shared" si="19"/>
        <v>9.1715800131022106E-3</v>
      </c>
    </row>
    <row r="418" spans="1:5" x14ac:dyDescent="0.25">
      <c r="A418" s="41">
        <v>43483</v>
      </c>
      <c r="B418" s="29">
        <v>174.59</v>
      </c>
      <c r="C418" s="37">
        <f t="shared" si="18"/>
        <v>29.098333333333333</v>
      </c>
      <c r="D418" s="37">
        <v>10.286</v>
      </c>
      <c r="E418" s="33">
        <f t="shared" si="19"/>
        <v>3.0333431690764325E-2</v>
      </c>
    </row>
    <row r="419" spans="1:5" x14ac:dyDescent="0.25">
      <c r="A419" s="41">
        <v>43483</v>
      </c>
      <c r="B419" s="29">
        <v>175.11</v>
      </c>
      <c r="C419" s="37">
        <f t="shared" si="18"/>
        <v>29.184999999999999</v>
      </c>
      <c r="D419" s="37">
        <v>10.286</v>
      </c>
      <c r="E419" s="33">
        <f t="shared" si="19"/>
        <v>2.9784065524944741E-3</v>
      </c>
    </row>
    <row r="420" spans="1:5" x14ac:dyDescent="0.25">
      <c r="A420" s="41">
        <v>43483</v>
      </c>
      <c r="B420" s="29">
        <v>175.41</v>
      </c>
      <c r="C420" s="37">
        <f t="shared" si="18"/>
        <v>29.234999999999999</v>
      </c>
      <c r="D420" s="37">
        <v>10.286</v>
      </c>
      <c r="E420" s="33">
        <f t="shared" si="19"/>
        <v>1.7132088401575177E-3</v>
      </c>
    </row>
    <row r="421" spans="1:5" x14ac:dyDescent="0.25">
      <c r="A421" s="41">
        <v>43483</v>
      </c>
      <c r="B421" s="29">
        <v>175.42</v>
      </c>
      <c r="C421" s="37">
        <f t="shared" si="18"/>
        <v>29.236666666666668</v>
      </c>
      <c r="D421" s="37">
        <v>10.286</v>
      </c>
      <c r="E421" s="33">
        <f t="shared" si="19"/>
        <v>5.7009292514628041E-5</v>
      </c>
    </row>
    <row r="422" spans="1:5" x14ac:dyDescent="0.25">
      <c r="A422" s="41">
        <v>43483</v>
      </c>
      <c r="B422" s="29">
        <v>175.01</v>
      </c>
      <c r="C422" s="37">
        <f t="shared" si="18"/>
        <v>29.168333333333333</v>
      </c>
      <c r="D422" s="37">
        <v>10.286</v>
      </c>
      <c r="E422" s="33">
        <f t="shared" si="19"/>
        <v>-2.3372477482612964E-3</v>
      </c>
    </row>
    <row r="423" spans="1:5" x14ac:dyDescent="0.25">
      <c r="A423" s="41">
        <v>43483</v>
      </c>
      <c r="B423" s="29">
        <v>177.43</v>
      </c>
      <c r="C423" s="37">
        <f t="shared" si="18"/>
        <v>29.571666666666665</v>
      </c>
      <c r="D423" s="37">
        <v>10.286</v>
      </c>
      <c r="E423" s="33">
        <f t="shared" si="19"/>
        <v>1.3827781269641827E-2</v>
      </c>
    </row>
    <row r="424" spans="1:5" x14ac:dyDescent="0.25">
      <c r="A424" s="41">
        <v>43483</v>
      </c>
      <c r="B424" s="29">
        <v>177.7</v>
      </c>
      <c r="C424" s="37">
        <f t="shared" si="18"/>
        <v>29.616666666666667</v>
      </c>
      <c r="D424" s="37">
        <v>10.286</v>
      </c>
      <c r="E424" s="33">
        <f t="shared" si="19"/>
        <v>1.5217268782053868E-3</v>
      </c>
    </row>
    <row r="425" spans="1:5" x14ac:dyDescent="0.25">
      <c r="A425" s="41">
        <v>43483</v>
      </c>
      <c r="B425" s="29">
        <v>177.46</v>
      </c>
      <c r="C425" s="37">
        <f t="shared" si="18"/>
        <v>29.576666666666668</v>
      </c>
      <c r="D425" s="37">
        <v>10.286</v>
      </c>
      <c r="E425" s="33">
        <f t="shared" si="19"/>
        <v>-1.3505908835114277E-3</v>
      </c>
    </row>
    <row r="426" spans="1:5" x14ac:dyDescent="0.25">
      <c r="A426" s="41">
        <v>43483</v>
      </c>
      <c r="B426" s="29">
        <v>176.89</v>
      </c>
      <c r="C426" s="37">
        <f t="shared" si="18"/>
        <v>29.481666666666666</v>
      </c>
      <c r="D426" s="37">
        <v>10.286</v>
      </c>
      <c r="E426" s="33">
        <f t="shared" si="19"/>
        <v>-3.2119914346896289E-3</v>
      </c>
    </row>
    <row r="427" spans="1:5" x14ac:dyDescent="0.25">
      <c r="A427" s="41">
        <v>43483</v>
      </c>
      <c r="B427" s="29">
        <v>174.72</v>
      </c>
      <c r="C427" s="37">
        <f t="shared" si="18"/>
        <v>29.12</v>
      </c>
      <c r="D427" s="37">
        <v>10.286</v>
      </c>
      <c r="E427" s="33">
        <f t="shared" si="19"/>
        <v>-1.2267510882469261E-2</v>
      </c>
    </row>
    <row r="428" spans="1:5" x14ac:dyDescent="0.25">
      <c r="A428" s="41">
        <v>43483</v>
      </c>
      <c r="B428" s="29">
        <v>172.87</v>
      </c>
      <c r="C428" s="37">
        <f t="shared" si="18"/>
        <v>28.811666666666667</v>
      </c>
      <c r="D428" s="37">
        <v>10.286</v>
      </c>
      <c r="E428" s="33">
        <f t="shared" si="19"/>
        <v>-1.0588369963369931E-2</v>
      </c>
    </row>
    <row r="429" spans="1:5" x14ac:dyDescent="0.25">
      <c r="A429" s="41">
        <v>43483</v>
      </c>
      <c r="B429" s="29">
        <v>171.66</v>
      </c>
      <c r="C429" s="37">
        <f t="shared" si="18"/>
        <v>28.61</v>
      </c>
      <c r="D429" s="37">
        <v>10.286</v>
      </c>
      <c r="E429" s="33">
        <f t="shared" si="19"/>
        <v>-6.999479377567004E-3</v>
      </c>
    </row>
    <row r="430" spans="1:5" x14ac:dyDescent="0.25">
      <c r="A430" s="41">
        <v>43483</v>
      </c>
      <c r="B430" s="29">
        <v>174.54</v>
      </c>
      <c r="C430" s="37">
        <f t="shared" si="18"/>
        <v>29.09</v>
      </c>
      <c r="D430" s="37">
        <v>10.286</v>
      </c>
      <c r="E430" s="33">
        <f t="shared" si="19"/>
        <v>1.67773505767214E-2</v>
      </c>
    </row>
    <row r="431" spans="1:5" x14ac:dyDescent="0.25">
      <c r="A431" s="41">
        <v>43483</v>
      </c>
      <c r="B431" s="29">
        <v>174.53</v>
      </c>
      <c r="C431" s="37">
        <f t="shared" si="18"/>
        <v>29.088333333333335</v>
      </c>
      <c r="D431" s="37">
        <v>10.286</v>
      </c>
      <c r="E431" s="33">
        <f t="shared" si="19"/>
        <v>-5.7293457087148535E-5</v>
      </c>
    </row>
    <row r="432" spans="1:5" x14ac:dyDescent="0.25">
      <c r="A432" s="41">
        <v>43483</v>
      </c>
      <c r="B432" s="29">
        <v>174.48</v>
      </c>
      <c r="C432" s="37">
        <f t="shared" si="18"/>
        <v>29.08</v>
      </c>
      <c r="D432" s="37">
        <v>10.286</v>
      </c>
      <c r="E432" s="33">
        <f t="shared" si="19"/>
        <v>-2.8648369907758762E-4</v>
      </c>
    </row>
    <row r="433" spans="1:5" x14ac:dyDescent="0.25">
      <c r="A433" s="41">
        <v>43483</v>
      </c>
      <c r="B433" s="29">
        <v>173.43</v>
      </c>
      <c r="C433" s="37">
        <f t="shared" si="18"/>
        <v>28.905000000000001</v>
      </c>
      <c r="D433" s="37">
        <v>10.286</v>
      </c>
      <c r="E433" s="33">
        <f t="shared" si="19"/>
        <v>-6.0178817056395174E-3</v>
      </c>
    </row>
    <row r="434" spans="1:5" x14ac:dyDescent="0.25">
      <c r="A434" s="41">
        <v>43484</v>
      </c>
      <c r="B434" s="29">
        <v>176.26</v>
      </c>
      <c r="C434" s="37">
        <f t="shared" si="18"/>
        <v>29.376666666666665</v>
      </c>
      <c r="D434" s="37">
        <v>10.932</v>
      </c>
      <c r="E434" s="33">
        <f t="shared" si="19"/>
        <v>1.631782275269552E-2</v>
      </c>
    </row>
    <row r="435" spans="1:5" x14ac:dyDescent="0.25">
      <c r="A435" s="41">
        <v>43484</v>
      </c>
      <c r="B435" s="29">
        <v>175.77</v>
      </c>
      <c r="C435" s="37">
        <f t="shared" si="18"/>
        <v>29.295000000000002</v>
      </c>
      <c r="D435" s="37">
        <v>10.932</v>
      </c>
      <c r="E435" s="33">
        <f t="shared" si="19"/>
        <v>-2.7799841143763796E-3</v>
      </c>
    </row>
    <row r="436" spans="1:5" x14ac:dyDescent="0.25">
      <c r="A436" s="41">
        <v>43484</v>
      </c>
      <c r="B436" s="29">
        <v>174.7</v>
      </c>
      <c r="C436" s="37">
        <f t="shared" si="18"/>
        <v>29.116666666666667</v>
      </c>
      <c r="D436" s="37">
        <v>10.932</v>
      </c>
      <c r="E436" s="33">
        <f t="shared" si="19"/>
        <v>-6.0875007111567481E-3</v>
      </c>
    </row>
    <row r="437" spans="1:5" x14ac:dyDescent="0.25">
      <c r="A437" s="41">
        <v>43484</v>
      </c>
      <c r="B437" s="29">
        <v>173.91</v>
      </c>
      <c r="C437" s="37">
        <f t="shared" si="18"/>
        <v>28.984999999999999</v>
      </c>
      <c r="D437" s="37">
        <v>10.932</v>
      </c>
      <c r="E437" s="33">
        <f t="shared" si="19"/>
        <v>-4.522037779049754E-3</v>
      </c>
    </row>
    <row r="438" spans="1:5" x14ac:dyDescent="0.25">
      <c r="A438" s="41">
        <v>43484</v>
      </c>
      <c r="B438" s="29">
        <v>173.55</v>
      </c>
      <c r="C438" s="37">
        <f t="shared" si="18"/>
        <v>28.925000000000001</v>
      </c>
      <c r="D438" s="37">
        <v>10.932</v>
      </c>
      <c r="E438" s="33">
        <f t="shared" si="19"/>
        <v>-2.0700362256338635E-3</v>
      </c>
    </row>
    <row r="439" spans="1:5" x14ac:dyDescent="0.25">
      <c r="A439" s="41">
        <v>43484</v>
      </c>
      <c r="B439" s="29">
        <v>173.55</v>
      </c>
      <c r="C439" s="37">
        <f t="shared" si="18"/>
        <v>28.925000000000001</v>
      </c>
      <c r="D439" s="37">
        <v>10.932</v>
      </c>
      <c r="E439" s="33">
        <f t="shared" si="19"/>
        <v>0</v>
      </c>
    </row>
    <row r="440" spans="1:5" x14ac:dyDescent="0.25">
      <c r="A440" s="41">
        <v>43484</v>
      </c>
      <c r="B440" s="29">
        <v>173.37</v>
      </c>
      <c r="C440" s="37">
        <f t="shared" si="18"/>
        <v>28.895</v>
      </c>
      <c r="D440" s="37">
        <v>10.932</v>
      </c>
      <c r="E440" s="33">
        <f t="shared" si="19"/>
        <v>-1.0371650821089417E-3</v>
      </c>
    </row>
    <row r="441" spans="1:5" x14ac:dyDescent="0.25">
      <c r="A441" s="41">
        <v>43484</v>
      </c>
      <c r="B441" s="29">
        <v>173.19</v>
      </c>
      <c r="C441" s="37">
        <f t="shared" si="18"/>
        <v>28.864999999999998</v>
      </c>
      <c r="D441" s="37">
        <v>10.932</v>
      </c>
      <c r="E441" s="33">
        <f t="shared" si="19"/>
        <v>-1.0382419103651544E-3</v>
      </c>
    </row>
    <row r="442" spans="1:5" x14ac:dyDescent="0.25">
      <c r="A442" s="41">
        <v>43484</v>
      </c>
      <c r="B442" s="29">
        <v>174.02</v>
      </c>
      <c r="C442" s="37">
        <f t="shared" si="18"/>
        <v>29.003333333333334</v>
      </c>
      <c r="D442" s="37">
        <v>10.932</v>
      </c>
      <c r="E442" s="33">
        <f t="shared" si="19"/>
        <v>4.7924245048791073E-3</v>
      </c>
    </row>
    <row r="443" spans="1:5" x14ac:dyDescent="0.25">
      <c r="A443" s="41">
        <v>43484</v>
      </c>
      <c r="B443" s="29">
        <v>175.39</v>
      </c>
      <c r="C443" s="37">
        <f t="shared" si="18"/>
        <v>29.231666666666666</v>
      </c>
      <c r="D443" s="37">
        <v>10.932</v>
      </c>
      <c r="E443" s="33">
        <f t="shared" si="19"/>
        <v>7.8726583151360538E-3</v>
      </c>
    </row>
    <row r="444" spans="1:5" x14ac:dyDescent="0.25">
      <c r="A444" s="41">
        <v>43484</v>
      </c>
      <c r="B444" s="29">
        <v>175.36</v>
      </c>
      <c r="C444" s="37">
        <f t="shared" si="18"/>
        <v>29.226666666666667</v>
      </c>
      <c r="D444" s="37">
        <v>10.932</v>
      </c>
      <c r="E444" s="33">
        <f t="shared" si="19"/>
        <v>-1.7104738012413889E-4</v>
      </c>
    </row>
    <row r="445" spans="1:5" x14ac:dyDescent="0.25">
      <c r="A445" s="41">
        <v>43484</v>
      </c>
      <c r="B445" s="29">
        <v>175.36</v>
      </c>
      <c r="C445" s="37">
        <f t="shared" si="18"/>
        <v>29.226666666666667</v>
      </c>
      <c r="D445" s="37">
        <v>10.932</v>
      </c>
      <c r="E445" s="33">
        <f t="shared" si="19"/>
        <v>0</v>
      </c>
    </row>
    <row r="446" spans="1:5" x14ac:dyDescent="0.25">
      <c r="A446" s="41">
        <v>43484</v>
      </c>
      <c r="B446" s="29">
        <v>175.26</v>
      </c>
      <c r="C446" s="37">
        <f t="shared" si="18"/>
        <v>29.21</v>
      </c>
      <c r="D446" s="37">
        <v>10.932</v>
      </c>
      <c r="E446" s="33">
        <f t="shared" si="19"/>
        <v>-5.7025547445268437E-4</v>
      </c>
    </row>
    <row r="447" spans="1:5" x14ac:dyDescent="0.25">
      <c r="A447" s="41">
        <v>43484</v>
      </c>
      <c r="B447" s="29">
        <v>175.21</v>
      </c>
      <c r="C447" s="37">
        <f t="shared" si="18"/>
        <v>29.201666666666668</v>
      </c>
      <c r="D447" s="37">
        <v>10.932</v>
      </c>
      <c r="E447" s="33">
        <f t="shared" si="19"/>
        <v>-2.8529042565321781E-4</v>
      </c>
    </row>
    <row r="448" spans="1:5" x14ac:dyDescent="0.25">
      <c r="A448" s="41">
        <v>43484</v>
      </c>
      <c r="B448" s="29">
        <v>175.16</v>
      </c>
      <c r="C448" s="37">
        <f t="shared" si="18"/>
        <v>29.193333333333332</v>
      </c>
      <c r="D448" s="37">
        <v>10.932</v>
      </c>
      <c r="E448" s="33">
        <f t="shared" si="19"/>
        <v>-2.8537183950694235E-4</v>
      </c>
    </row>
    <row r="449" spans="1:5" x14ac:dyDescent="0.25">
      <c r="A449" s="41">
        <v>43484</v>
      </c>
      <c r="B449" s="29">
        <v>175.11</v>
      </c>
      <c r="C449" s="37">
        <f t="shared" si="18"/>
        <v>29.184999999999999</v>
      </c>
      <c r="D449" s="37">
        <v>10.932</v>
      </c>
      <c r="E449" s="33">
        <f t="shared" si="19"/>
        <v>-2.8545329984004881E-4</v>
      </c>
    </row>
    <row r="450" spans="1:5" x14ac:dyDescent="0.25">
      <c r="A450" s="41">
        <v>43484</v>
      </c>
      <c r="B450" s="29">
        <v>175.06</v>
      </c>
      <c r="C450" s="37">
        <f t="shared" si="18"/>
        <v>29.176666666666666</v>
      </c>
      <c r="D450" s="37">
        <v>10.932</v>
      </c>
      <c r="E450" s="33">
        <f t="shared" si="19"/>
        <v>-2.8553480669300075E-4</v>
      </c>
    </row>
    <row r="451" spans="1:5" x14ac:dyDescent="0.25">
      <c r="A451" s="41">
        <v>43484</v>
      </c>
      <c r="B451" s="29">
        <v>175.01</v>
      </c>
      <c r="C451" s="37">
        <f t="shared" ref="C451:C514" si="20">(B451*100/600)</f>
        <v>29.168333333333333</v>
      </c>
      <c r="D451" s="37">
        <v>10.932</v>
      </c>
      <c r="E451" s="33">
        <f t="shared" si="19"/>
        <v>-2.8561636010517174E-4</v>
      </c>
    </row>
    <row r="452" spans="1:5" x14ac:dyDescent="0.25">
      <c r="A452" s="41">
        <v>43484</v>
      </c>
      <c r="B452" s="29">
        <v>174.97</v>
      </c>
      <c r="C452" s="37">
        <f t="shared" si="20"/>
        <v>29.161666666666665</v>
      </c>
      <c r="D452" s="37">
        <v>10.932</v>
      </c>
      <c r="E452" s="33">
        <f t="shared" ref="E452:E515" si="21">(B452-B451)/B451</f>
        <v>-2.2855836809320635E-4</v>
      </c>
    </row>
    <row r="453" spans="1:5" x14ac:dyDescent="0.25">
      <c r="A453" s="41">
        <v>43484</v>
      </c>
      <c r="B453" s="29">
        <v>174.92</v>
      </c>
      <c r="C453" s="37">
        <f t="shared" si="20"/>
        <v>29.153333333333332</v>
      </c>
      <c r="D453" s="37">
        <v>10.932</v>
      </c>
      <c r="E453" s="33">
        <f t="shared" si="21"/>
        <v>-2.8576327370412856E-4</v>
      </c>
    </row>
    <row r="454" spans="1:5" x14ac:dyDescent="0.25">
      <c r="A454" s="41">
        <v>43484</v>
      </c>
      <c r="B454" s="29">
        <v>176.67</v>
      </c>
      <c r="C454" s="37">
        <f t="shared" si="20"/>
        <v>29.445</v>
      </c>
      <c r="D454" s="37">
        <v>10.932</v>
      </c>
      <c r="E454" s="33">
        <f t="shared" si="21"/>
        <v>1.000457351932312E-2</v>
      </c>
    </row>
    <row r="455" spans="1:5" x14ac:dyDescent="0.25">
      <c r="A455" s="41">
        <v>43484</v>
      </c>
      <c r="B455" s="29">
        <v>177.09</v>
      </c>
      <c r="C455" s="37">
        <f t="shared" si="20"/>
        <v>29.515000000000001</v>
      </c>
      <c r="D455" s="37">
        <v>10.932</v>
      </c>
      <c r="E455" s="33">
        <f t="shared" si="21"/>
        <v>2.3773136355918715E-3</v>
      </c>
    </row>
    <row r="456" spans="1:5" x14ac:dyDescent="0.25">
      <c r="A456" s="41">
        <v>43484</v>
      </c>
      <c r="B456" s="29">
        <v>175.6</v>
      </c>
      <c r="C456" s="37">
        <f t="shared" si="20"/>
        <v>29.266666666666666</v>
      </c>
      <c r="D456" s="37">
        <v>10.932</v>
      </c>
      <c r="E456" s="33">
        <f t="shared" si="21"/>
        <v>-8.413800892201756E-3</v>
      </c>
    </row>
    <row r="457" spans="1:5" x14ac:dyDescent="0.25">
      <c r="A457" s="41">
        <v>43484</v>
      </c>
      <c r="B457" s="29">
        <v>175.28</v>
      </c>
      <c r="C457" s="37">
        <f t="shared" si="20"/>
        <v>29.213333333333335</v>
      </c>
      <c r="D457" s="37">
        <v>10.932</v>
      </c>
      <c r="E457" s="33">
        <f t="shared" si="21"/>
        <v>-1.8223234624145399E-3</v>
      </c>
    </row>
    <row r="458" spans="1:5" x14ac:dyDescent="0.25">
      <c r="A458" s="41">
        <v>43485</v>
      </c>
      <c r="B458" s="29">
        <v>178.92</v>
      </c>
      <c r="C458" s="37">
        <f t="shared" si="20"/>
        <v>29.82</v>
      </c>
      <c r="D458" s="37">
        <v>11.109</v>
      </c>
      <c r="E458" s="33">
        <f t="shared" si="21"/>
        <v>2.076677316293922E-2</v>
      </c>
    </row>
    <row r="459" spans="1:5" x14ac:dyDescent="0.25">
      <c r="A459" s="41">
        <v>43485</v>
      </c>
      <c r="B459" s="29">
        <v>177.64</v>
      </c>
      <c r="C459" s="37">
        <f t="shared" si="20"/>
        <v>29.606666666666666</v>
      </c>
      <c r="D459" s="37">
        <v>11.109</v>
      </c>
      <c r="E459" s="33">
        <f t="shared" si="21"/>
        <v>-7.154035323049414E-3</v>
      </c>
    </row>
    <row r="460" spans="1:5" x14ac:dyDescent="0.25">
      <c r="A460" s="41">
        <v>43485</v>
      </c>
      <c r="B460" s="29">
        <v>176.67</v>
      </c>
      <c r="C460" s="37">
        <f t="shared" si="20"/>
        <v>29.445</v>
      </c>
      <c r="D460" s="37">
        <v>11.109</v>
      </c>
      <c r="E460" s="33">
        <f t="shared" si="21"/>
        <v>-5.460481873451919E-3</v>
      </c>
    </row>
    <row r="461" spans="1:5" x14ac:dyDescent="0.25">
      <c r="A461" s="41">
        <v>43485</v>
      </c>
      <c r="B461" s="29">
        <v>175.43</v>
      </c>
      <c r="C461" s="37">
        <f t="shared" si="20"/>
        <v>29.238333333333333</v>
      </c>
      <c r="D461" s="37">
        <v>11.109</v>
      </c>
      <c r="E461" s="33">
        <f t="shared" si="21"/>
        <v>-7.0187354955565783E-3</v>
      </c>
    </row>
    <row r="462" spans="1:5" x14ac:dyDescent="0.25">
      <c r="A462" s="41">
        <v>43485</v>
      </c>
      <c r="B462" s="29">
        <v>174.4</v>
      </c>
      <c r="C462" s="37">
        <f t="shared" si="20"/>
        <v>29.066666666666666</v>
      </c>
      <c r="D462" s="37">
        <v>11.109</v>
      </c>
      <c r="E462" s="33">
        <f t="shared" si="21"/>
        <v>-5.871287693096968E-3</v>
      </c>
    </row>
    <row r="463" spans="1:5" x14ac:dyDescent="0.25">
      <c r="A463" s="41">
        <v>43485</v>
      </c>
      <c r="B463" s="29">
        <v>174.25</v>
      </c>
      <c r="C463" s="37">
        <f t="shared" si="20"/>
        <v>29.041666666666668</v>
      </c>
      <c r="D463" s="37">
        <v>11.109</v>
      </c>
      <c r="E463" s="33">
        <f t="shared" si="21"/>
        <v>-8.6009174311929863E-4</v>
      </c>
    </row>
    <row r="464" spans="1:5" x14ac:dyDescent="0.25">
      <c r="A464" s="41">
        <v>43485</v>
      </c>
      <c r="B464" s="29">
        <v>174.14</v>
      </c>
      <c r="C464" s="37">
        <f t="shared" si="20"/>
        <v>29.023333333333333</v>
      </c>
      <c r="D464" s="37">
        <v>11.109</v>
      </c>
      <c r="E464" s="33">
        <f t="shared" si="21"/>
        <v>-6.3127690100438249E-4</v>
      </c>
    </row>
    <row r="465" spans="1:5" x14ac:dyDescent="0.25">
      <c r="A465" s="41">
        <v>43485</v>
      </c>
      <c r="B465" s="29">
        <v>174.11</v>
      </c>
      <c r="C465" s="37">
        <f t="shared" si="20"/>
        <v>29.018333333333334</v>
      </c>
      <c r="D465" s="37">
        <v>11.109</v>
      </c>
      <c r="E465" s="33">
        <f t="shared" si="21"/>
        <v>-1.7227518088878325E-4</v>
      </c>
    </row>
    <row r="466" spans="1:5" x14ac:dyDescent="0.25">
      <c r="A466" s="41">
        <v>43485</v>
      </c>
      <c r="B466" s="29">
        <v>174.08</v>
      </c>
      <c r="C466" s="37">
        <f t="shared" si="20"/>
        <v>29.013333333333332</v>
      </c>
      <c r="D466" s="37">
        <v>11.109</v>
      </c>
      <c r="E466" s="33">
        <f t="shared" si="21"/>
        <v>-1.7230486474068769E-4</v>
      </c>
    </row>
    <row r="467" spans="1:5" x14ac:dyDescent="0.25">
      <c r="A467" s="41">
        <v>43485</v>
      </c>
      <c r="B467" s="29">
        <v>174.05</v>
      </c>
      <c r="C467" s="37">
        <f t="shared" si="20"/>
        <v>29.008333333333333</v>
      </c>
      <c r="D467" s="37">
        <v>11.109</v>
      </c>
      <c r="E467" s="33">
        <f t="shared" si="21"/>
        <v>-1.7233455882353593E-4</v>
      </c>
    </row>
    <row r="468" spans="1:5" x14ac:dyDescent="0.25">
      <c r="A468" s="41">
        <v>43485</v>
      </c>
      <c r="B468" s="29">
        <v>174.25</v>
      </c>
      <c r="C468" s="37">
        <f t="shared" si="20"/>
        <v>29.041666666666668</v>
      </c>
      <c r="D468" s="37">
        <v>11.109</v>
      </c>
      <c r="E468" s="33">
        <f t="shared" si="21"/>
        <v>1.149095087618435E-3</v>
      </c>
    </row>
    <row r="469" spans="1:5" x14ac:dyDescent="0.25">
      <c r="A469" s="41">
        <v>43485</v>
      </c>
      <c r="B469" s="29">
        <v>174.72</v>
      </c>
      <c r="C469" s="37">
        <f t="shared" si="20"/>
        <v>29.12</v>
      </c>
      <c r="D469" s="37">
        <v>11.109</v>
      </c>
      <c r="E469" s="33">
        <f t="shared" si="21"/>
        <v>2.6972740315638387E-3</v>
      </c>
    </row>
    <row r="470" spans="1:5" x14ac:dyDescent="0.25">
      <c r="A470" s="41">
        <v>43485</v>
      </c>
      <c r="B470" s="29">
        <v>174.77</v>
      </c>
      <c r="C470" s="37">
        <f t="shared" si="20"/>
        <v>29.128333333333334</v>
      </c>
      <c r="D470" s="37">
        <v>11.109</v>
      </c>
      <c r="E470" s="33">
        <f t="shared" si="21"/>
        <v>2.8617216117222624E-4</v>
      </c>
    </row>
    <row r="471" spans="1:5" x14ac:dyDescent="0.25">
      <c r="A471" s="41">
        <v>43485</v>
      </c>
      <c r="B471" s="29">
        <v>174.82</v>
      </c>
      <c r="C471" s="37">
        <f t="shared" si="20"/>
        <v>29.136666666666667</v>
      </c>
      <c r="D471" s="37">
        <v>11.109</v>
      </c>
      <c r="E471" s="33">
        <f t="shared" si="21"/>
        <v>2.8609029009545657E-4</v>
      </c>
    </row>
    <row r="472" spans="1:5" x14ac:dyDescent="0.25">
      <c r="A472" s="41">
        <v>43485</v>
      </c>
      <c r="B472" s="29">
        <v>175</v>
      </c>
      <c r="C472" s="37">
        <f t="shared" si="20"/>
        <v>29.166666666666668</v>
      </c>
      <c r="D472" s="37">
        <v>11.109</v>
      </c>
      <c r="E472" s="33">
        <f t="shared" si="21"/>
        <v>1.0296304770621601E-3</v>
      </c>
    </row>
    <row r="473" spans="1:5" x14ac:dyDescent="0.25">
      <c r="A473" s="41">
        <v>43485</v>
      </c>
      <c r="B473" s="29">
        <v>175.21</v>
      </c>
      <c r="C473" s="37">
        <f t="shared" si="20"/>
        <v>29.201666666666668</v>
      </c>
      <c r="D473" s="37">
        <v>11.109</v>
      </c>
      <c r="E473" s="33">
        <f t="shared" si="21"/>
        <v>1.2000000000000454E-3</v>
      </c>
    </row>
    <row r="474" spans="1:5" x14ac:dyDescent="0.25">
      <c r="A474" s="41">
        <v>43485</v>
      </c>
      <c r="B474" s="29">
        <v>175.65</v>
      </c>
      <c r="C474" s="37">
        <f t="shared" si="20"/>
        <v>29.274999999999999</v>
      </c>
      <c r="D474" s="37">
        <v>11.109</v>
      </c>
      <c r="E474" s="33">
        <f t="shared" si="21"/>
        <v>2.5112721876605084E-3</v>
      </c>
    </row>
    <row r="475" spans="1:5" x14ac:dyDescent="0.25">
      <c r="A475" s="41">
        <v>43485</v>
      </c>
      <c r="B475" s="29">
        <v>176.02</v>
      </c>
      <c r="C475" s="37">
        <f t="shared" si="20"/>
        <v>29.336666666666666</v>
      </c>
      <c r="D475" s="37">
        <v>11.109</v>
      </c>
      <c r="E475" s="33">
        <f t="shared" si="21"/>
        <v>2.1064617136350955E-3</v>
      </c>
    </row>
    <row r="476" spans="1:5" x14ac:dyDescent="0.25">
      <c r="A476" s="41">
        <v>43485</v>
      </c>
      <c r="B476" s="29">
        <v>177.2</v>
      </c>
      <c r="C476" s="37">
        <f t="shared" si="20"/>
        <v>29.533333333333335</v>
      </c>
      <c r="D476" s="37">
        <v>11.109</v>
      </c>
      <c r="E476" s="33">
        <f t="shared" si="21"/>
        <v>6.7037836609474969E-3</v>
      </c>
    </row>
    <row r="477" spans="1:5" x14ac:dyDescent="0.25">
      <c r="A477" s="41">
        <v>43485</v>
      </c>
      <c r="B477" s="29">
        <v>177.27</v>
      </c>
      <c r="C477" s="37">
        <f t="shared" si="20"/>
        <v>29.545000000000002</v>
      </c>
      <c r="D477" s="37">
        <v>11.109</v>
      </c>
      <c r="E477" s="33">
        <f t="shared" si="21"/>
        <v>3.9503386004526866E-4</v>
      </c>
    </row>
    <row r="478" spans="1:5" x14ac:dyDescent="0.25">
      <c r="A478" s="41">
        <v>43485</v>
      </c>
      <c r="B478" s="29">
        <v>180.04</v>
      </c>
      <c r="C478" s="37">
        <f t="shared" si="20"/>
        <v>30.006666666666668</v>
      </c>
      <c r="D478" s="37">
        <v>11.109</v>
      </c>
      <c r="E478" s="33">
        <f t="shared" si="21"/>
        <v>1.5625881423816674E-2</v>
      </c>
    </row>
    <row r="479" spans="1:5" x14ac:dyDescent="0.25">
      <c r="A479" s="41">
        <v>43485</v>
      </c>
      <c r="B479" s="29">
        <v>180.17</v>
      </c>
      <c r="C479" s="37">
        <f t="shared" si="20"/>
        <v>30.028333333333332</v>
      </c>
      <c r="D479" s="37">
        <v>11.109</v>
      </c>
      <c r="E479" s="33">
        <f t="shared" si="21"/>
        <v>7.2206176405240758E-4</v>
      </c>
    </row>
    <row r="480" spans="1:5" x14ac:dyDescent="0.25">
      <c r="A480" s="41">
        <v>43485</v>
      </c>
      <c r="B480" s="29">
        <v>180.17</v>
      </c>
      <c r="C480" s="37">
        <f t="shared" si="20"/>
        <v>30.028333333333332</v>
      </c>
      <c r="D480" s="37">
        <v>11.109</v>
      </c>
      <c r="E480" s="33">
        <f t="shared" si="21"/>
        <v>0</v>
      </c>
    </row>
    <row r="481" spans="1:5" x14ac:dyDescent="0.25">
      <c r="A481" s="41">
        <v>43485</v>
      </c>
      <c r="B481" s="29">
        <v>180.04</v>
      </c>
      <c r="C481" s="37">
        <f t="shared" si="20"/>
        <v>30.006666666666668</v>
      </c>
      <c r="D481" s="37">
        <v>11.109</v>
      </c>
      <c r="E481" s="33">
        <f t="shared" si="21"/>
        <v>-7.2154076705331334E-4</v>
      </c>
    </row>
    <row r="482" spans="1:5" x14ac:dyDescent="0.25">
      <c r="A482" s="41">
        <v>43486</v>
      </c>
      <c r="B482" s="29">
        <v>166.53</v>
      </c>
      <c r="C482" s="37">
        <f t="shared" si="20"/>
        <v>27.754999999999999</v>
      </c>
      <c r="D482" s="37">
        <v>10.856999999999999</v>
      </c>
      <c r="E482" s="33">
        <f t="shared" si="21"/>
        <v>-7.5038880248833539E-2</v>
      </c>
    </row>
    <row r="483" spans="1:5" x14ac:dyDescent="0.25">
      <c r="A483" s="41">
        <v>43486</v>
      </c>
      <c r="B483" s="29">
        <v>166.2</v>
      </c>
      <c r="C483" s="37">
        <f t="shared" si="20"/>
        <v>27.7</v>
      </c>
      <c r="D483" s="37">
        <v>10.856999999999999</v>
      </c>
      <c r="E483" s="33">
        <f t="shared" si="21"/>
        <v>-1.9816249324446796E-3</v>
      </c>
    </row>
    <row r="484" spans="1:5" x14ac:dyDescent="0.25">
      <c r="A484" s="41">
        <v>43486</v>
      </c>
      <c r="B484" s="29">
        <v>166.17</v>
      </c>
      <c r="C484" s="37">
        <f t="shared" si="20"/>
        <v>27.695</v>
      </c>
      <c r="D484" s="37">
        <v>10.856999999999999</v>
      </c>
      <c r="E484" s="33">
        <f t="shared" si="21"/>
        <v>-1.8050541516246172E-4</v>
      </c>
    </row>
    <row r="485" spans="1:5" x14ac:dyDescent="0.25">
      <c r="A485" s="41">
        <v>43486</v>
      </c>
      <c r="B485" s="29">
        <v>166.14</v>
      </c>
      <c r="C485" s="37">
        <f t="shared" si="20"/>
        <v>27.69</v>
      </c>
      <c r="D485" s="37">
        <v>10.856999999999999</v>
      </c>
      <c r="E485" s="33">
        <f t="shared" si="21"/>
        <v>-1.8053800324969091E-4</v>
      </c>
    </row>
    <row r="486" spans="1:5" x14ac:dyDescent="0.25">
      <c r="A486" s="41">
        <v>43486</v>
      </c>
      <c r="B486" s="29">
        <v>166.11</v>
      </c>
      <c r="C486" s="37">
        <f t="shared" si="20"/>
        <v>27.684999999999999</v>
      </c>
      <c r="D486" s="37">
        <v>10.856999999999999</v>
      </c>
      <c r="E486" s="33">
        <f t="shared" si="21"/>
        <v>-1.8057060310565015E-4</v>
      </c>
    </row>
    <row r="487" spans="1:5" x14ac:dyDescent="0.25">
      <c r="A487" s="41">
        <v>43486</v>
      </c>
      <c r="B487" s="29">
        <v>166.08</v>
      </c>
      <c r="C487" s="37">
        <f t="shared" si="20"/>
        <v>27.68</v>
      </c>
      <c r="D487" s="37">
        <v>10.856999999999999</v>
      </c>
      <c r="E487" s="33">
        <f t="shared" si="21"/>
        <v>-1.8060321473722916E-4</v>
      </c>
    </row>
    <row r="488" spans="1:5" x14ac:dyDescent="0.25">
      <c r="A488" s="41">
        <v>43486</v>
      </c>
      <c r="B488" s="29">
        <v>166.46</v>
      </c>
      <c r="C488" s="37">
        <f t="shared" si="20"/>
        <v>27.743333333333332</v>
      </c>
      <c r="D488" s="37">
        <v>10.856999999999999</v>
      </c>
      <c r="E488" s="33">
        <f t="shared" si="21"/>
        <v>2.2880539499036331E-3</v>
      </c>
    </row>
    <row r="489" spans="1:5" x14ac:dyDescent="0.25">
      <c r="A489" s="41">
        <v>43486</v>
      </c>
      <c r="B489" s="29">
        <v>166.94</v>
      </c>
      <c r="C489" s="37">
        <f t="shared" si="20"/>
        <v>27.823333333333334</v>
      </c>
      <c r="D489" s="37">
        <v>10.856999999999999</v>
      </c>
      <c r="E489" s="33">
        <f t="shared" si="21"/>
        <v>2.883575633785833E-3</v>
      </c>
    </row>
    <row r="490" spans="1:5" x14ac:dyDescent="0.25">
      <c r="A490" s="41">
        <v>43486</v>
      </c>
      <c r="B490" s="29">
        <v>171.23</v>
      </c>
      <c r="C490" s="37">
        <f t="shared" si="20"/>
        <v>28.538333333333334</v>
      </c>
      <c r="D490" s="37">
        <v>10.856999999999999</v>
      </c>
      <c r="E490" s="33">
        <f t="shared" si="21"/>
        <v>2.569785551695215E-2</v>
      </c>
    </row>
    <row r="491" spans="1:5" x14ac:dyDescent="0.25">
      <c r="A491" s="41">
        <v>43486</v>
      </c>
      <c r="B491" s="29">
        <v>173.59</v>
      </c>
      <c r="C491" s="37">
        <f t="shared" si="20"/>
        <v>28.931666666666668</v>
      </c>
      <c r="D491" s="37">
        <v>10.856999999999999</v>
      </c>
      <c r="E491" s="33">
        <f t="shared" si="21"/>
        <v>1.378263154821009E-2</v>
      </c>
    </row>
    <row r="492" spans="1:5" x14ac:dyDescent="0.25">
      <c r="A492" s="41">
        <v>43486</v>
      </c>
      <c r="B492" s="29">
        <v>174.47</v>
      </c>
      <c r="C492" s="37">
        <f t="shared" si="20"/>
        <v>29.078333333333333</v>
      </c>
      <c r="D492" s="37">
        <v>10.856999999999999</v>
      </c>
      <c r="E492" s="33">
        <f t="shared" si="21"/>
        <v>5.0694164410392045E-3</v>
      </c>
    </row>
    <row r="493" spans="1:5" x14ac:dyDescent="0.25">
      <c r="A493" s="41">
        <v>43486</v>
      </c>
      <c r="B493" s="29">
        <v>174.55</v>
      </c>
      <c r="C493" s="37">
        <f t="shared" si="20"/>
        <v>29.091666666666665</v>
      </c>
      <c r="D493" s="37">
        <v>10.856999999999999</v>
      </c>
      <c r="E493" s="33">
        <f t="shared" si="21"/>
        <v>4.5853155270254202E-4</v>
      </c>
    </row>
    <row r="494" spans="1:5" x14ac:dyDescent="0.25">
      <c r="A494" s="41">
        <v>43486</v>
      </c>
      <c r="B494" s="29">
        <v>173.96</v>
      </c>
      <c r="C494" s="37">
        <f t="shared" si="20"/>
        <v>28.993333333333332</v>
      </c>
      <c r="D494" s="37">
        <v>10.856999999999999</v>
      </c>
      <c r="E494" s="33">
        <f t="shared" si="21"/>
        <v>-3.3801203093669629E-3</v>
      </c>
    </row>
    <row r="495" spans="1:5" x14ac:dyDescent="0.25">
      <c r="A495" s="41">
        <v>43486</v>
      </c>
      <c r="B495" s="29">
        <v>175.29</v>
      </c>
      <c r="C495" s="37">
        <f t="shared" si="20"/>
        <v>29.215</v>
      </c>
      <c r="D495" s="37">
        <v>10.856999999999999</v>
      </c>
      <c r="E495" s="33">
        <f t="shared" si="21"/>
        <v>7.6454357323521727E-3</v>
      </c>
    </row>
    <row r="496" spans="1:5" x14ac:dyDescent="0.25">
      <c r="A496" s="41">
        <v>43486</v>
      </c>
      <c r="B496" s="29">
        <v>175.25</v>
      </c>
      <c r="C496" s="37">
        <f t="shared" si="20"/>
        <v>29.208333333333332</v>
      </c>
      <c r="D496" s="37">
        <v>10.856999999999999</v>
      </c>
      <c r="E496" s="33">
        <f t="shared" si="21"/>
        <v>-2.2819327970786721E-4</v>
      </c>
    </row>
    <row r="497" spans="1:5" x14ac:dyDescent="0.25">
      <c r="A497" s="41">
        <v>43486</v>
      </c>
      <c r="B497" s="29">
        <v>175.2</v>
      </c>
      <c r="C497" s="37">
        <f t="shared" si="20"/>
        <v>29.2</v>
      </c>
      <c r="D497" s="37">
        <v>10.856999999999999</v>
      </c>
      <c r="E497" s="33">
        <f t="shared" si="21"/>
        <v>-2.8530670470762551E-4</v>
      </c>
    </row>
    <row r="498" spans="1:5" x14ac:dyDescent="0.25">
      <c r="A498" s="41">
        <v>43486</v>
      </c>
      <c r="B498" s="29">
        <v>175.15</v>
      </c>
      <c r="C498" s="37">
        <f t="shared" si="20"/>
        <v>29.191666666666666</v>
      </c>
      <c r="D498" s="37">
        <v>10.856999999999999</v>
      </c>
      <c r="E498" s="33">
        <f t="shared" si="21"/>
        <v>-2.8538812785378396E-4</v>
      </c>
    </row>
    <row r="499" spans="1:5" x14ac:dyDescent="0.25">
      <c r="A499" s="41">
        <v>43486</v>
      </c>
      <c r="B499" s="29">
        <v>174.05</v>
      </c>
      <c r="C499" s="37">
        <f t="shared" si="20"/>
        <v>29.008333333333333</v>
      </c>
      <c r="D499" s="37">
        <v>10.856999999999999</v>
      </c>
      <c r="E499" s="33">
        <f t="shared" si="21"/>
        <v>-6.2803311447330529E-3</v>
      </c>
    </row>
    <row r="500" spans="1:5" x14ac:dyDescent="0.25">
      <c r="A500" s="41">
        <v>43486</v>
      </c>
      <c r="B500" s="29">
        <v>171.34</v>
      </c>
      <c r="C500" s="37">
        <f t="shared" si="20"/>
        <v>28.556666666666668</v>
      </c>
      <c r="D500" s="37">
        <v>10.856999999999999</v>
      </c>
      <c r="E500" s="33">
        <f t="shared" si="21"/>
        <v>-1.5570238437230726E-2</v>
      </c>
    </row>
    <row r="501" spans="1:5" x14ac:dyDescent="0.25">
      <c r="A501" s="41">
        <v>43486</v>
      </c>
      <c r="B501" s="29">
        <v>170.95</v>
      </c>
      <c r="C501" s="37">
        <f t="shared" si="20"/>
        <v>28.491666666666667</v>
      </c>
      <c r="D501" s="37">
        <v>10.856999999999999</v>
      </c>
      <c r="E501" s="33">
        <f t="shared" si="21"/>
        <v>-2.2761760242792973E-3</v>
      </c>
    </row>
    <row r="502" spans="1:5" x14ac:dyDescent="0.25">
      <c r="A502" s="41">
        <v>43486</v>
      </c>
      <c r="B502" s="29">
        <v>172.69</v>
      </c>
      <c r="C502" s="37">
        <f t="shared" si="20"/>
        <v>28.781666666666666</v>
      </c>
      <c r="D502" s="37">
        <v>10.856999999999999</v>
      </c>
      <c r="E502" s="33">
        <f t="shared" si="21"/>
        <v>1.0178414741152438E-2</v>
      </c>
    </row>
    <row r="503" spans="1:5" x14ac:dyDescent="0.25">
      <c r="A503" s="41">
        <v>43486</v>
      </c>
      <c r="B503" s="29">
        <v>173.29</v>
      </c>
      <c r="C503" s="37">
        <f t="shared" si="20"/>
        <v>28.881666666666668</v>
      </c>
      <c r="D503" s="37">
        <v>10.856999999999999</v>
      </c>
      <c r="E503" s="33">
        <f t="shared" si="21"/>
        <v>3.4744339568011716E-3</v>
      </c>
    </row>
    <row r="504" spans="1:5" x14ac:dyDescent="0.25">
      <c r="A504" s="41">
        <v>43486</v>
      </c>
      <c r="B504" s="29">
        <v>173.21</v>
      </c>
      <c r="C504" s="37">
        <f t="shared" si="20"/>
        <v>28.868333333333332</v>
      </c>
      <c r="D504" s="37">
        <v>10.856999999999999</v>
      </c>
      <c r="E504" s="33">
        <f t="shared" si="21"/>
        <v>-4.6165387500712152E-4</v>
      </c>
    </row>
    <row r="505" spans="1:5" x14ac:dyDescent="0.25">
      <c r="A505" s="41">
        <v>43486</v>
      </c>
      <c r="B505" s="29">
        <v>171.33</v>
      </c>
      <c r="C505" s="37">
        <f t="shared" si="20"/>
        <v>28.555</v>
      </c>
      <c r="D505" s="37">
        <v>10.856999999999999</v>
      </c>
      <c r="E505" s="33">
        <f t="shared" si="21"/>
        <v>-1.0853876796951651E-2</v>
      </c>
    </row>
    <row r="506" spans="1:5" x14ac:dyDescent="0.25">
      <c r="A506" s="41">
        <v>43487</v>
      </c>
      <c r="B506" s="29">
        <v>180.49</v>
      </c>
      <c r="C506" s="37">
        <f t="shared" si="20"/>
        <v>30.081666666666667</v>
      </c>
      <c r="D506" s="37">
        <v>10.156000000000001</v>
      </c>
      <c r="E506" s="33">
        <f t="shared" si="21"/>
        <v>5.3464075176559829E-2</v>
      </c>
    </row>
    <row r="507" spans="1:5" x14ac:dyDescent="0.25">
      <c r="A507" s="41">
        <v>43487</v>
      </c>
      <c r="B507" s="29">
        <v>179.72</v>
      </c>
      <c r="C507" s="37">
        <f t="shared" si="20"/>
        <v>29.953333333333333</v>
      </c>
      <c r="D507" s="37">
        <v>10.156000000000001</v>
      </c>
      <c r="E507" s="33">
        <f t="shared" si="21"/>
        <v>-4.2661643304338758E-3</v>
      </c>
    </row>
    <row r="508" spans="1:5" x14ac:dyDescent="0.25">
      <c r="A508" s="41">
        <v>43487</v>
      </c>
      <c r="B508" s="29">
        <v>178.81</v>
      </c>
      <c r="C508" s="37">
        <f t="shared" si="20"/>
        <v>29.801666666666666</v>
      </c>
      <c r="D508" s="37">
        <v>10.156000000000001</v>
      </c>
      <c r="E508" s="33">
        <f t="shared" si="21"/>
        <v>-5.0634320053416235E-3</v>
      </c>
    </row>
    <row r="509" spans="1:5" x14ac:dyDescent="0.25">
      <c r="A509" s="41">
        <v>43487</v>
      </c>
      <c r="B509" s="29">
        <v>178.78</v>
      </c>
      <c r="C509" s="37">
        <f t="shared" si="20"/>
        <v>29.796666666666667</v>
      </c>
      <c r="D509" s="37">
        <v>10.156000000000001</v>
      </c>
      <c r="E509" s="33">
        <f t="shared" si="21"/>
        <v>-1.6777585146245252E-4</v>
      </c>
    </row>
    <row r="510" spans="1:5" x14ac:dyDescent="0.25">
      <c r="A510" s="41">
        <v>43487</v>
      </c>
      <c r="B510" s="29">
        <v>178.75</v>
      </c>
      <c r="C510" s="37">
        <f t="shared" si="20"/>
        <v>29.791666666666668</v>
      </c>
      <c r="D510" s="37">
        <v>10.156000000000001</v>
      </c>
      <c r="E510" s="33">
        <f t="shared" si="21"/>
        <v>-1.6780400492225718E-4</v>
      </c>
    </row>
    <row r="511" spans="1:5" x14ac:dyDescent="0.25">
      <c r="A511" s="41">
        <v>43487</v>
      </c>
      <c r="B511" s="29">
        <v>178.72</v>
      </c>
      <c r="C511" s="37">
        <f t="shared" si="20"/>
        <v>29.786666666666665</v>
      </c>
      <c r="D511" s="37">
        <v>10.156000000000001</v>
      </c>
      <c r="E511" s="33">
        <f t="shared" si="21"/>
        <v>-1.6783216783217419E-4</v>
      </c>
    </row>
    <row r="512" spans="1:5" x14ac:dyDescent="0.25">
      <c r="A512" s="41">
        <v>43487</v>
      </c>
      <c r="B512" s="29">
        <v>178.73</v>
      </c>
      <c r="C512" s="37">
        <f t="shared" si="20"/>
        <v>29.788333333333334</v>
      </c>
      <c r="D512" s="37">
        <v>10.156000000000001</v>
      </c>
      <c r="E512" s="33">
        <f t="shared" si="21"/>
        <v>5.5953446732267821E-5</v>
      </c>
    </row>
    <row r="513" spans="1:5" x14ac:dyDescent="0.25">
      <c r="A513" s="41">
        <v>43487</v>
      </c>
      <c r="B513" s="29">
        <v>180.16</v>
      </c>
      <c r="C513" s="37">
        <f t="shared" si="20"/>
        <v>30.026666666666667</v>
      </c>
      <c r="D513" s="37">
        <v>10.156000000000001</v>
      </c>
      <c r="E513" s="33">
        <f t="shared" si="21"/>
        <v>8.0008952050579472E-3</v>
      </c>
    </row>
    <row r="514" spans="1:5" x14ac:dyDescent="0.25">
      <c r="A514" s="41">
        <v>43487</v>
      </c>
      <c r="B514" s="29">
        <v>181.71</v>
      </c>
      <c r="C514" s="37">
        <f t="shared" si="20"/>
        <v>30.285</v>
      </c>
      <c r="D514" s="37">
        <v>10.156000000000001</v>
      </c>
      <c r="E514" s="33">
        <f t="shared" si="21"/>
        <v>8.6034635879219112E-3</v>
      </c>
    </row>
    <row r="515" spans="1:5" x14ac:dyDescent="0.25">
      <c r="A515" s="41">
        <v>43487</v>
      </c>
      <c r="B515" s="29">
        <v>182.4</v>
      </c>
      <c r="C515" s="37">
        <f t="shared" ref="C515:C578" si="22">(B515*100/600)</f>
        <v>30.4</v>
      </c>
      <c r="D515" s="37">
        <v>10.156000000000001</v>
      </c>
      <c r="E515" s="33">
        <f t="shared" si="21"/>
        <v>3.7972593693247356E-3</v>
      </c>
    </row>
    <row r="516" spans="1:5" x14ac:dyDescent="0.25">
      <c r="A516" s="41">
        <v>43487</v>
      </c>
      <c r="B516" s="29">
        <v>184.14</v>
      </c>
      <c r="C516" s="37">
        <f t="shared" si="22"/>
        <v>30.69</v>
      </c>
      <c r="D516" s="37">
        <v>10.156000000000001</v>
      </c>
      <c r="E516" s="33">
        <f t="shared" ref="E516:E579" si="23">(B516-B515)/B515</f>
        <v>9.5394736842104207E-3</v>
      </c>
    </row>
    <row r="517" spans="1:5" x14ac:dyDescent="0.25">
      <c r="A517" s="41">
        <v>43487</v>
      </c>
      <c r="B517" s="29">
        <v>184.25</v>
      </c>
      <c r="C517" s="37">
        <f t="shared" si="22"/>
        <v>30.708333333333332</v>
      </c>
      <c r="D517" s="37">
        <v>10.156000000000001</v>
      </c>
      <c r="E517" s="33">
        <f t="shared" si="23"/>
        <v>5.9737156511357472E-4</v>
      </c>
    </row>
    <row r="518" spans="1:5" x14ac:dyDescent="0.25">
      <c r="A518" s="41">
        <v>43487</v>
      </c>
      <c r="B518" s="29">
        <v>184.14</v>
      </c>
      <c r="C518" s="37">
        <f t="shared" si="22"/>
        <v>30.69</v>
      </c>
      <c r="D518" s="37">
        <v>10.156000000000001</v>
      </c>
      <c r="E518" s="33">
        <f t="shared" si="23"/>
        <v>-5.9701492537320839E-4</v>
      </c>
    </row>
    <row r="519" spans="1:5" x14ac:dyDescent="0.25">
      <c r="A519" s="41">
        <v>43487</v>
      </c>
      <c r="B519" s="29">
        <v>188.67</v>
      </c>
      <c r="C519" s="37">
        <f t="shared" si="22"/>
        <v>31.445</v>
      </c>
      <c r="D519" s="37">
        <v>10.156000000000001</v>
      </c>
      <c r="E519" s="33">
        <f t="shared" si="23"/>
        <v>2.4600847181492351E-2</v>
      </c>
    </row>
    <row r="520" spans="1:5" x14ac:dyDescent="0.25">
      <c r="A520" s="41">
        <v>43487</v>
      </c>
      <c r="B520" s="29">
        <v>188.62</v>
      </c>
      <c r="C520" s="37">
        <f t="shared" si="22"/>
        <v>31.436666666666667</v>
      </c>
      <c r="D520" s="37">
        <v>10.156000000000001</v>
      </c>
      <c r="E520" s="33">
        <f t="shared" si="23"/>
        <v>-2.6501298563620581E-4</v>
      </c>
    </row>
    <row r="521" spans="1:5" x14ac:dyDescent="0.25">
      <c r="A521" s="41">
        <v>43487</v>
      </c>
      <c r="B521" s="29">
        <v>188.56</v>
      </c>
      <c r="C521" s="37">
        <f t="shared" si="22"/>
        <v>31.426666666666666</v>
      </c>
      <c r="D521" s="37">
        <v>10.156000000000001</v>
      </c>
      <c r="E521" s="33">
        <f t="shared" si="23"/>
        <v>-3.1809988336338815E-4</v>
      </c>
    </row>
    <row r="522" spans="1:5" x14ac:dyDescent="0.25">
      <c r="A522" s="41">
        <v>43487</v>
      </c>
      <c r="B522" s="29">
        <v>188.51</v>
      </c>
      <c r="C522" s="37">
        <f t="shared" si="22"/>
        <v>31.418333333333333</v>
      </c>
      <c r="D522" s="37">
        <v>10.156000000000001</v>
      </c>
      <c r="E522" s="33">
        <f t="shared" si="23"/>
        <v>-2.6516758591435812E-4</v>
      </c>
    </row>
    <row r="523" spans="1:5" x14ac:dyDescent="0.25">
      <c r="A523" s="41">
        <v>43487</v>
      </c>
      <c r="B523" s="29">
        <v>183.48</v>
      </c>
      <c r="C523" s="37">
        <f t="shared" si="22"/>
        <v>30.58</v>
      </c>
      <c r="D523" s="37">
        <v>10.156000000000001</v>
      </c>
      <c r="E523" s="33">
        <f t="shared" si="23"/>
        <v>-2.6682934592329326E-2</v>
      </c>
    </row>
    <row r="524" spans="1:5" x14ac:dyDescent="0.25">
      <c r="A524" s="41">
        <v>43487</v>
      </c>
      <c r="B524" s="29">
        <v>181.82</v>
      </c>
      <c r="C524" s="37">
        <f t="shared" si="22"/>
        <v>30.303333333333335</v>
      </c>
      <c r="D524" s="37">
        <v>10.156000000000001</v>
      </c>
      <c r="E524" s="33">
        <f t="shared" si="23"/>
        <v>-9.0473076084586698E-3</v>
      </c>
    </row>
    <row r="525" spans="1:5" x14ac:dyDescent="0.25">
      <c r="A525" s="41">
        <v>43487</v>
      </c>
      <c r="B525" s="29">
        <v>180.86</v>
      </c>
      <c r="C525" s="37">
        <f t="shared" si="22"/>
        <v>30.143333333333334</v>
      </c>
      <c r="D525" s="37">
        <v>10.156000000000001</v>
      </c>
      <c r="E525" s="33">
        <f t="shared" si="23"/>
        <v>-5.2799472005278826E-3</v>
      </c>
    </row>
    <row r="526" spans="1:5" x14ac:dyDescent="0.25">
      <c r="A526" s="41">
        <v>43487</v>
      </c>
      <c r="B526" s="29">
        <v>181.72</v>
      </c>
      <c r="C526" s="37">
        <f t="shared" si="22"/>
        <v>30.286666666666665</v>
      </c>
      <c r="D526" s="37">
        <v>10.156000000000001</v>
      </c>
      <c r="E526" s="33">
        <f t="shared" si="23"/>
        <v>4.7550591617825126E-3</v>
      </c>
    </row>
    <row r="527" spans="1:5" x14ac:dyDescent="0.25">
      <c r="A527" s="41">
        <v>43487</v>
      </c>
      <c r="B527" s="29">
        <v>181.96</v>
      </c>
      <c r="C527" s="37">
        <f t="shared" si="22"/>
        <v>30.326666666666668</v>
      </c>
      <c r="D527" s="37">
        <v>10.156000000000001</v>
      </c>
      <c r="E527" s="33">
        <f t="shared" si="23"/>
        <v>1.3207131851200149E-3</v>
      </c>
    </row>
    <row r="528" spans="1:5" x14ac:dyDescent="0.25">
      <c r="A528" s="41">
        <v>43487</v>
      </c>
      <c r="B528" s="29">
        <v>182.13</v>
      </c>
      <c r="C528" s="37">
        <f t="shared" si="22"/>
        <v>30.355</v>
      </c>
      <c r="D528" s="37">
        <v>10.156000000000001</v>
      </c>
      <c r="E528" s="33">
        <f t="shared" si="23"/>
        <v>9.3427126841057098E-4</v>
      </c>
    </row>
    <row r="529" spans="1:5" x14ac:dyDescent="0.25">
      <c r="A529" s="41">
        <v>43487</v>
      </c>
      <c r="B529" s="29">
        <v>181.52</v>
      </c>
      <c r="C529" s="37">
        <f t="shared" si="22"/>
        <v>30.253333333333334</v>
      </c>
      <c r="D529" s="37">
        <v>10.156000000000001</v>
      </c>
      <c r="E529" s="33">
        <f t="shared" si="23"/>
        <v>-3.3492560259154739E-3</v>
      </c>
    </row>
    <row r="530" spans="1:5" x14ac:dyDescent="0.25">
      <c r="A530" s="41">
        <v>43488</v>
      </c>
      <c r="B530" s="29">
        <v>172.7</v>
      </c>
      <c r="C530" s="37">
        <f t="shared" si="22"/>
        <v>28.783333333333335</v>
      </c>
      <c r="D530" s="37">
        <v>9.4380000000000006</v>
      </c>
      <c r="E530" s="33">
        <f t="shared" si="23"/>
        <v>-4.8589687086822507E-2</v>
      </c>
    </row>
    <row r="531" spans="1:5" x14ac:dyDescent="0.25">
      <c r="A531" s="41">
        <v>43488</v>
      </c>
      <c r="B531" s="29">
        <v>171.02</v>
      </c>
      <c r="C531" s="37">
        <f t="shared" si="22"/>
        <v>28.503333333333334</v>
      </c>
      <c r="D531" s="37">
        <v>9.4380000000000006</v>
      </c>
      <c r="E531" s="33">
        <f t="shared" si="23"/>
        <v>-9.7278517660682028E-3</v>
      </c>
    </row>
    <row r="532" spans="1:5" x14ac:dyDescent="0.25">
      <c r="A532" s="41">
        <v>43488</v>
      </c>
      <c r="B532" s="29">
        <v>169.65</v>
      </c>
      <c r="C532" s="37">
        <f t="shared" si="22"/>
        <v>28.274999999999999</v>
      </c>
      <c r="D532" s="37">
        <v>9.4380000000000006</v>
      </c>
      <c r="E532" s="33">
        <f t="shared" si="23"/>
        <v>-8.0107589755584411E-3</v>
      </c>
    </row>
    <row r="533" spans="1:5" x14ac:dyDescent="0.25">
      <c r="A533" s="41">
        <v>43488</v>
      </c>
      <c r="B533" s="29">
        <v>169.45</v>
      </c>
      <c r="C533" s="37">
        <f t="shared" si="22"/>
        <v>28.241666666666667</v>
      </c>
      <c r="D533" s="37">
        <v>9.4380000000000006</v>
      </c>
      <c r="E533" s="33">
        <f t="shared" si="23"/>
        <v>-1.1788977306219691E-3</v>
      </c>
    </row>
    <row r="534" spans="1:5" x14ac:dyDescent="0.25">
      <c r="A534" s="41">
        <v>43488</v>
      </c>
      <c r="B534" s="29">
        <v>169.39</v>
      </c>
      <c r="C534" s="37">
        <f t="shared" si="22"/>
        <v>28.231666666666666</v>
      </c>
      <c r="D534" s="37">
        <v>9.4380000000000006</v>
      </c>
      <c r="E534" s="33">
        <f t="shared" si="23"/>
        <v>-3.5408675125407071E-4</v>
      </c>
    </row>
    <row r="535" spans="1:5" x14ac:dyDescent="0.25">
      <c r="A535" s="41">
        <v>43488</v>
      </c>
      <c r="B535" s="29">
        <v>169.39</v>
      </c>
      <c r="C535" s="37">
        <f t="shared" si="22"/>
        <v>28.231666666666666</v>
      </c>
      <c r="D535" s="37">
        <v>9.4380000000000006</v>
      </c>
      <c r="E535" s="33">
        <f t="shared" si="23"/>
        <v>0</v>
      </c>
    </row>
    <row r="536" spans="1:5" x14ac:dyDescent="0.25">
      <c r="A536" s="41">
        <v>43488</v>
      </c>
      <c r="B536" s="29">
        <v>169.4</v>
      </c>
      <c r="C536" s="37">
        <f t="shared" si="22"/>
        <v>28.233333333333334</v>
      </c>
      <c r="D536" s="37">
        <v>9.4380000000000006</v>
      </c>
      <c r="E536" s="33">
        <f t="shared" si="23"/>
        <v>5.9035362182061089E-5</v>
      </c>
    </row>
    <row r="537" spans="1:5" x14ac:dyDescent="0.25">
      <c r="A537" s="41">
        <v>43488</v>
      </c>
      <c r="B537" s="29">
        <v>171.34</v>
      </c>
      <c r="C537" s="37">
        <f t="shared" si="22"/>
        <v>28.556666666666668</v>
      </c>
      <c r="D537" s="37">
        <v>9.4380000000000006</v>
      </c>
      <c r="E537" s="33">
        <f t="shared" si="23"/>
        <v>1.1452184179456893E-2</v>
      </c>
    </row>
    <row r="538" spans="1:5" x14ac:dyDescent="0.25">
      <c r="A538" s="41">
        <v>43488</v>
      </c>
      <c r="B538" s="29">
        <v>174.9</v>
      </c>
      <c r="C538" s="37">
        <f t="shared" si="22"/>
        <v>29.15</v>
      </c>
      <c r="D538" s="37">
        <v>9.4380000000000006</v>
      </c>
      <c r="E538" s="33">
        <f t="shared" si="23"/>
        <v>2.0777401657523068E-2</v>
      </c>
    </row>
    <row r="539" spans="1:5" x14ac:dyDescent="0.25">
      <c r="A539" s="41">
        <v>43488</v>
      </c>
      <c r="B539" s="29">
        <v>176.55</v>
      </c>
      <c r="C539" s="37">
        <f t="shared" si="22"/>
        <v>29.425000000000001</v>
      </c>
      <c r="D539" s="37">
        <v>9.4380000000000006</v>
      </c>
      <c r="E539" s="33">
        <f t="shared" si="23"/>
        <v>9.433962264150976E-3</v>
      </c>
    </row>
    <row r="540" spans="1:5" x14ac:dyDescent="0.25">
      <c r="A540" s="41">
        <v>43488</v>
      </c>
      <c r="B540" s="29">
        <v>176.77</v>
      </c>
      <c r="C540" s="37">
        <f t="shared" si="22"/>
        <v>29.461666666666666</v>
      </c>
      <c r="D540" s="37">
        <v>9.4380000000000006</v>
      </c>
      <c r="E540" s="33">
        <f t="shared" si="23"/>
        <v>1.2461059190031088E-3</v>
      </c>
    </row>
    <row r="541" spans="1:5" x14ac:dyDescent="0.25">
      <c r="A541" s="41">
        <v>43488</v>
      </c>
      <c r="B541" s="29">
        <v>176.97</v>
      </c>
      <c r="C541" s="37">
        <f t="shared" si="22"/>
        <v>29.495000000000001</v>
      </c>
      <c r="D541" s="37">
        <v>9.4380000000000006</v>
      </c>
      <c r="E541" s="33">
        <f t="shared" si="23"/>
        <v>1.1314137014198599E-3</v>
      </c>
    </row>
    <row r="542" spans="1:5" x14ac:dyDescent="0.25">
      <c r="A542" s="41">
        <v>43488</v>
      </c>
      <c r="B542" s="29">
        <v>177.1</v>
      </c>
      <c r="C542" s="37">
        <f t="shared" si="22"/>
        <v>29.516666666666666</v>
      </c>
      <c r="D542" s="37">
        <v>9.4380000000000006</v>
      </c>
      <c r="E542" s="33">
        <f t="shared" si="23"/>
        <v>7.3458778324007152E-4</v>
      </c>
    </row>
    <row r="543" spans="1:5" x14ac:dyDescent="0.25">
      <c r="A543" s="41">
        <v>43488</v>
      </c>
      <c r="B543" s="29">
        <v>179.27</v>
      </c>
      <c r="C543" s="37">
        <f t="shared" si="22"/>
        <v>29.878333333333334</v>
      </c>
      <c r="D543" s="37">
        <v>9.4380000000000006</v>
      </c>
      <c r="E543" s="33">
        <f t="shared" si="23"/>
        <v>1.2252964426877561E-2</v>
      </c>
    </row>
    <row r="544" spans="1:5" x14ac:dyDescent="0.25">
      <c r="A544" s="41">
        <v>43488</v>
      </c>
      <c r="B544" s="29">
        <v>182.96</v>
      </c>
      <c r="C544" s="37">
        <f t="shared" si="22"/>
        <v>30.493333333333332</v>
      </c>
      <c r="D544" s="37">
        <v>9.4380000000000006</v>
      </c>
      <c r="E544" s="33">
        <f t="shared" si="23"/>
        <v>2.0583477436269301E-2</v>
      </c>
    </row>
    <row r="545" spans="1:5" x14ac:dyDescent="0.25">
      <c r="A545" s="41">
        <v>43488</v>
      </c>
      <c r="B545" s="29">
        <v>182.83</v>
      </c>
      <c r="C545" s="37">
        <f t="shared" si="22"/>
        <v>30.471666666666668</v>
      </c>
      <c r="D545" s="37">
        <v>9.4380000000000006</v>
      </c>
      <c r="E545" s="33">
        <f t="shared" si="23"/>
        <v>-7.1053782247483305E-4</v>
      </c>
    </row>
    <row r="546" spans="1:5" x14ac:dyDescent="0.25">
      <c r="A546" s="41">
        <v>43488</v>
      </c>
      <c r="B546" s="29">
        <v>180.38</v>
      </c>
      <c r="C546" s="37">
        <f t="shared" si="22"/>
        <v>30.063333333333333</v>
      </c>
      <c r="D546" s="37">
        <v>9.4380000000000006</v>
      </c>
      <c r="E546" s="33">
        <f t="shared" si="23"/>
        <v>-1.3400426625827364E-2</v>
      </c>
    </row>
    <row r="547" spans="1:5" x14ac:dyDescent="0.25">
      <c r="A547" s="41">
        <v>43488</v>
      </c>
      <c r="B547" s="29">
        <v>176.5</v>
      </c>
      <c r="C547" s="37">
        <f t="shared" si="22"/>
        <v>29.416666666666668</v>
      </c>
      <c r="D547" s="37">
        <v>9.4380000000000006</v>
      </c>
      <c r="E547" s="33">
        <f t="shared" si="23"/>
        <v>-2.1510145248918925E-2</v>
      </c>
    </row>
    <row r="548" spans="1:5" x14ac:dyDescent="0.25">
      <c r="A548" s="41">
        <v>43488</v>
      </c>
      <c r="B548" s="29">
        <v>175.38</v>
      </c>
      <c r="C548" s="37">
        <f t="shared" si="22"/>
        <v>29.23</v>
      </c>
      <c r="D548" s="37">
        <v>9.4380000000000006</v>
      </c>
      <c r="E548" s="33">
        <f t="shared" si="23"/>
        <v>-6.3456090651558333E-3</v>
      </c>
    </row>
    <row r="549" spans="1:5" x14ac:dyDescent="0.25">
      <c r="A549" s="41">
        <v>43488</v>
      </c>
      <c r="B549" s="29">
        <v>174.65</v>
      </c>
      <c r="C549" s="37">
        <f t="shared" si="22"/>
        <v>29.108333333333334</v>
      </c>
      <c r="D549" s="37">
        <v>9.4380000000000006</v>
      </c>
      <c r="E549" s="33">
        <f t="shared" si="23"/>
        <v>-4.1623902383395471E-3</v>
      </c>
    </row>
    <row r="550" spans="1:5" x14ac:dyDescent="0.25">
      <c r="A550" s="41">
        <v>43488</v>
      </c>
      <c r="B550" s="29">
        <v>176.01</v>
      </c>
      <c r="C550" s="37">
        <f t="shared" si="22"/>
        <v>29.335000000000001</v>
      </c>
      <c r="D550" s="37">
        <v>9.4380000000000006</v>
      </c>
      <c r="E550" s="33">
        <f t="shared" si="23"/>
        <v>7.7870025765816499E-3</v>
      </c>
    </row>
    <row r="551" spans="1:5" x14ac:dyDescent="0.25">
      <c r="A551" s="41">
        <v>43488</v>
      </c>
      <c r="B551" s="29">
        <v>176.23</v>
      </c>
      <c r="C551" s="37">
        <f t="shared" si="22"/>
        <v>29.371666666666666</v>
      </c>
      <c r="D551" s="37">
        <v>9.4380000000000006</v>
      </c>
      <c r="E551" s="33">
        <f t="shared" si="23"/>
        <v>1.2499289813078739E-3</v>
      </c>
    </row>
    <row r="552" spans="1:5" x14ac:dyDescent="0.25">
      <c r="A552" s="41">
        <v>43488</v>
      </c>
      <c r="B552" s="29">
        <v>176.19</v>
      </c>
      <c r="C552" s="37">
        <f t="shared" si="22"/>
        <v>29.364999999999998</v>
      </c>
      <c r="D552" s="37">
        <v>9.4380000000000006</v>
      </c>
      <c r="E552" s="33">
        <f t="shared" si="23"/>
        <v>-2.2697611076429692E-4</v>
      </c>
    </row>
    <row r="553" spans="1:5" x14ac:dyDescent="0.25">
      <c r="A553" s="41">
        <v>43488</v>
      </c>
      <c r="B553" s="29">
        <v>175.86</v>
      </c>
      <c r="C553" s="37">
        <f t="shared" si="22"/>
        <v>29.31</v>
      </c>
      <c r="D553" s="37">
        <v>9.4380000000000006</v>
      </c>
      <c r="E553" s="33">
        <f t="shared" si="23"/>
        <v>-1.8729780350756802E-3</v>
      </c>
    </row>
    <row r="554" spans="1:5" x14ac:dyDescent="0.25">
      <c r="A554" s="41">
        <v>43489</v>
      </c>
      <c r="B554" s="29">
        <v>182.29</v>
      </c>
      <c r="C554" s="37">
        <f t="shared" si="22"/>
        <v>30.381666666666668</v>
      </c>
      <c r="D554" s="37">
        <v>9.1989999999999998</v>
      </c>
      <c r="E554" s="33">
        <f t="shared" si="23"/>
        <v>3.656317525304207E-2</v>
      </c>
    </row>
    <row r="555" spans="1:5" x14ac:dyDescent="0.25">
      <c r="A555" s="41">
        <v>43489</v>
      </c>
      <c r="B555" s="29">
        <v>180.47</v>
      </c>
      <c r="C555" s="37">
        <f t="shared" si="22"/>
        <v>30.078333333333333</v>
      </c>
      <c r="D555" s="37">
        <v>9.1989999999999998</v>
      </c>
      <c r="E555" s="33">
        <f t="shared" si="23"/>
        <v>-9.9840912831202656E-3</v>
      </c>
    </row>
    <row r="556" spans="1:5" x14ac:dyDescent="0.25">
      <c r="A556" s="41">
        <v>43489</v>
      </c>
      <c r="B556" s="29">
        <v>180.12</v>
      </c>
      <c r="C556" s="37">
        <f t="shared" si="22"/>
        <v>30.02</v>
      </c>
      <c r="D556" s="37">
        <v>9.1989999999999998</v>
      </c>
      <c r="E556" s="33">
        <f t="shared" si="23"/>
        <v>-1.939380506455335E-3</v>
      </c>
    </row>
    <row r="557" spans="1:5" x14ac:dyDescent="0.25">
      <c r="A557" s="41">
        <v>43489</v>
      </c>
      <c r="B557" s="29">
        <v>179.64</v>
      </c>
      <c r="C557" s="37">
        <f t="shared" si="22"/>
        <v>29.94</v>
      </c>
      <c r="D557" s="37">
        <v>9.1989999999999998</v>
      </c>
      <c r="E557" s="33">
        <f t="shared" si="23"/>
        <v>-2.6648900732845781E-3</v>
      </c>
    </row>
    <row r="558" spans="1:5" x14ac:dyDescent="0.25">
      <c r="A558" s="41">
        <v>43489</v>
      </c>
      <c r="B558" s="29">
        <v>179.64</v>
      </c>
      <c r="C558" s="37">
        <f t="shared" si="22"/>
        <v>29.94</v>
      </c>
      <c r="D558" s="37">
        <v>9.1989999999999998</v>
      </c>
      <c r="E558" s="33">
        <f t="shared" si="23"/>
        <v>0</v>
      </c>
    </row>
    <row r="559" spans="1:5" x14ac:dyDescent="0.25">
      <c r="A559" s="41">
        <v>43489</v>
      </c>
      <c r="B559" s="29">
        <v>179.64</v>
      </c>
      <c r="C559" s="37">
        <f t="shared" si="22"/>
        <v>29.94</v>
      </c>
      <c r="D559" s="37">
        <v>9.1989999999999998</v>
      </c>
      <c r="E559" s="33">
        <f t="shared" si="23"/>
        <v>0</v>
      </c>
    </row>
    <row r="560" spans="1:5" x14ac:dyDescent="0.25">
      <c r="A560" s="41">
        <v>43489</v>
      </c>
      <c r="B560" s="29">
        <v>180.47</v>
      </c>
      <c r="C560" s="37">
        <f t="shared" si="22"/>
        <v>30.078333333333333</v>
      </c>
      <c r="D560" s="37">
        <v>9.1989999999999998</v>
      </c>
      <c r="E560" s="33">
        <f t="shared" si="23"/>
        <v>4.6203518147406621E-3</v>
      </c>
    </row>
    <row r="561" spans="1:5" x14ac:dyDescent="0.25">
      <c r="A561" s="41">
        <v>43489</v>
      </c>
      <c r="B561" s="29">
        <v>180.51</v>
      </c>
      <c r="C561" s="37">
        <f t="shared" si="22"/>
        <v>30.085000000000001</v>
      </c>
      <c r="D561" s="37">
        <v>9.1989999999999998</v>
      </c>
      <c r="E561" s="33">
        <f t="shared" si="23"/>
        <v>2.2164348645199779E-4</v>
      </c>
    </row>
    <row r="562" spans="1:5" x14ac:dyDescent="0.25">
      <c r="A562" s="41">
        <v>43489</v>
      </c>
      <c r="B562" s="29">
        <v>185.39</v>
      </c>
      <c r="C562" s="37">
        <f t="shared" si="22"/>
        <v>30.898333333333333</v>
      </c>
      <c r="D562" s="37">
        <v>9.1989999999999998</v>
      </c>
      <c r="E562" s="33">
        <f t="shared" si="23"/>
        <v>2.7034513323361563E-2</v>
      </c>
    </row>
    <row r="563" spans="1:5" x14ac:dyDescent="0.25">
      <c r="A563" s="41">
        <v>43489</v>
      </c>
      <c r="B563" s="29">
        <v>187.48</v>
      </c>
      <c r="C563" s="37">
        <f t="shared" si="22"/>
        <v>31.246666666666666</v>
      </c>
      <c r="D563" s="37">
        <v>9.1989999999999998</v>
      </c>
      <c r="E563" s="33">
        <f t="shared" si="23"/>
        <v>1.1273531474189566E-2</v>
      </c>
    </row>
    <row r="564" spans="1:5" x14ac:dyDescent="0.25">
      <c r="A564" s="41">
        <v>43489</v>
      </c>
      <c r="B564" s="29">
        <v>188.34</v>
      </c>
      <c r="C564" s="37">
        <f t="shared" si="22"/>
        <v>31.39</v>
      </c>
      <c r="D564" s="37">
        <v>9.1989999999999998</v>
      </c>
      <c r="E564" s="33">
        <f t="shared" si="23"/>
        <v>4.5871559633028254E-3</v>
      </c>
    </row>
    <row r="565" spans="1:5" x14ac:dyDescent="0.25">
      <c r="A565" s="41">
        <v>43489</v>
      </c>
      <c r="B565" s="29">
        <v>188.34</v>
      </c>
      <c r="C565" s="37">
        <f t="shared" si="22"/>
        <v>31.39</v>
      </c>
      <c r="D565" s="37">
        <v>9.1989999999999998</v>
      </c>
      <c r="E565" s="33">
        <f t="shared" si="23"/>
        <v>0</v>
      </c>
    </row>
    <row r="566" spans="1:5" x14ac:dyDescent="0.25">
      <c r="A566" s="41">
        <v>43489</v>
      </c>
      <c r="B566" s="29">
        <v>187.33</v>
      </c>
      <c r="C566" s="37">
        <f t="shared" si="22"/>
        <v>31.221666666666668</v>
      </c>
      <c r="D566" s="37">
        <v>9.1989999999999998</v>
      </c>
      <c r="E566" s="33">
        <f t="shared" si="23"/>
        <v>-5.3626420303705576E-3</v>
      </c>
    </row>
    <row r="567" spans="1:5" x14ac:dyDescent="0.25">
      <c r="A567" s="41">
        <v>43489</v>
      </c>
      <c r="B567" s="29">
        <v>192.73</v>
      </c>
      <c r="C567" s="37">
        <f t="shared" si="22"/>
        <v>32.12166666666667</v>
      </c>
      <c r="D567" s="37">
        <v>9.1989999999999998</v>
      </c>
      <c r="E567" s="33">
        <f t="shared" si="23"/>
        <v>2.882613569636458E-2</v>
      </c>
    </row>
    <row r="568" spans="1:5" x14ac:dyDescent="0.25">
      <c r="A568" s="41">
        <v>43489</v>
      </c>
      <c r="B568" s="29">
        <v>200.78</v>
      </c>
      <c r="C568" s="37">
        <f t="shared" si="22"/>
        <v>33.463333333333331</v>
      </c>
      <c r="D568" s="37">
        <v>9.1989999999999998</v>
      </c>
      <c r="E568" s="33">
        <f t="shared" si="23"/>
        <v>4.17682768640067E-2</v>
      </c>
    </row>
    <row r="569" spans="1:5" x14ac:dyDescent="0.25">
      <c r="A569" s="41">
        <v>43489</v>
      </c>
      <c r="B569" s="29">
        <v>200.78</v>
      </c>
      <c r="C569" s="37">
        <f t="shared" si="22"/>
        <v>33.463333333333331</v>
      </c>
      <c r="D569" s="37">
        <v>9.1989999999999998</v>
      </c>
      <c r="E569" s="33">
        <f t="shared" si="23"/>
        <v>0</v>
      </c>
    </row>
    <row r="570" spans="1:5" x14ac:dyDescent="0.25">
      <c r="A570" s="41">
        <v>43489</v>
      </c>
      <c r="B570" s="29">
        <v>192.9</v>
      </c>
      <c r="C570" s="37">
        <f t="shared" si="22"/>
        <v>32.15</v>
      </c>
      <c r="D570" s="37">
        <v>9.1989999999999998</v>
      </c>
      <c r="E570" s="33">
        <f t="shared" si="23"/>
        <v>-3.9246936945910922E-2</v>
      </c>
    </row>
    <row r="571" spans="1:5" x14ac:dyDescent="0.25">
      <c r="A571" s="41">
        <v>43489</v>
      </c>
      <c r="B571" s="29">
        <v>187.06</v>
      </c>
      <c r="C571" s="37">
        <f t="shared" si="22"/>
        <v>31.176666666666666</v>
      </c>
      <c r="D571" s="37">
        <v>9.1989999999999998</v>
      </c>
      <c r="E571" s="33">
        <f t="shared" si="23"/>
        <v>-3.0274753758424072E-2</v>
      </c>
    </row>
    <row r="572" spans="1:5" x14ac:dyDescent="0.25">
      <c r="A572" s="41">
        <v>43489</v>
      </c>
      <c r="B572" s="29">
        <v>183.43</v>
      </c>
      <c r="C572" s="37">
        <f t="shared" si="22"/>
        <v>30.571666666666665</v>
      </c>
      <c r="D572" s="37">
        <v>9.1989999999999998</v>
      </c>
      <c r="E572" s="33">
        <f t="shared" si="23"/>
        <v>-1.9405538329947587E-2</v>
      </c>
    </row>
    <row r="573" spans="1:5" x14ac:dyDescent="0.25">
      <c r="A573" s="41">
        <v>43489</v>
      </c>
      <c r="B573" s="29">
        <v>182.65</v>
      </c>
      <c r="C573" s="37">
        <f t="shared" si="22"/>
        <v>30.441666666666666</v>
      </c>
      <c r="D573" s="37">
        <v>9.1989999999999998</v>
      </c>
      <c r="E573" s="33">
        <f t="shared" si="23"/>
        <v>-4.2523033309709484E-3</v>
      </c>
    </row>
    <row r="574" spans="1:5" x14ac:dyDescent="0.25">
      <c r="A574" s="41">
        <v>43489</v>
      </c>
      <c r="B574" s="29">
        <v>183.44</v>
      </c>
      <c r="C574" s="37">
        <f t="shared" si="22"/>
        <v>30.573333333333334</v>
      </c>
      <c r="D574" s="37">
        <v>9.1989999999999998</v>
      </c>
      <c r="E574" s="33">
        <f t="shared" si="23"/>
        <v>4.3252121543936057E-3</v>
      </c>
    </row>
    <row r="575" spans="1:5" x14ac:dyDescent="0.25">
      <c r="A575" s="41">
        <v>43489</v>
      </c>
      <c r="B575" s="29">
        <v>185.56</v>
      </c>
      <c r="C575" s="37">
        <f t="shared" si="22"/>
        <v>30.926666666666666</v>
      </c>
      <c r="D575" s="37">
        <v>9.1989999999999998</v>
      </c>
      <c r="E575" s="33">
        <f t="shared" si="23"/>
        <v>1.1556912341910187E-2</v>
      </c>
    </row>
    <row r="576" spans="1:5" x14ac:dyDescent="0.25">
      <c r="A576" s="41">
        <v>43489</v>
      </c>
      <c r="B576" s="29">
        <v>186.74</v>
      </c>
      <c r="C576" s="37">
        <f t="shared" si="22"/>
        <v>31.123333333333335</v>
      </c>
      <c r="D576" s="37">
        <v>9.1989999999999998</v>
      </c>
      <c r="E576" s="33">
        <f t="shared" si="23"/>
        <v>6.3591291226557812E-3</v>
      </c>
    </row>
    <row r="577" spans="1:5" x14ac:dyDescent="0.25">
      <c r="A577" s="41">
        <v>43489</v>
      </c>
      <c r="B577" s="29">
        <v>183.41</v>
      </c>
      <c r="C577" s="37">
        <f t="shared" si="22"/>
        <v>30.568333333333332</v>
      </c>
      <c r="D577" s="37">
        <v>9.1989999999999998</v>
      </c>
      <c r="E577" s="33">
        <f t="shared" si="23"/>
        <v>-1.7832280175645348E-2</v>
      </c>
    </row>
    <row r="578" spans="1:5" x14ac:dyDescent="0.25">
      <c r="A578" s="41">
        <v>43490</v>
      </c>
      <c r="B578" s="29">
        <v>179.64</v>
      </c>
      <c r="C578" s="37">
        <f t="shared" si="22"/>
        <v>29.94</v>
      </c>
      <c r="D578" s="37">
        <v>8.5749999999999993</v>
      </c>
      <c r="E578" s="33">
        <f t="shared" si="23"/>
        <v>-2.0555040619377407E-2</v>
      </c>
    </row>
    <row r="579" spans="1:5" x14ac:dyDescent="0.25">
      <c r="A579" s="41">
        <v>43490</v>
      </c>
      <c r="B579" s="29">
        <v>179.1</v>
      </c>
      <c r="C579" s="37">
        <f t="shared" ref="C579:C642" si="24">(B579*100/600)</f>
        <v>29.85</v>
      </c>
      <c r="D579" s="37">
        <v>8.5749999999999993</v>
      </c>
      <c r="E579" s="33">
        <f t="shared" si="23"/>
        <v>-3.0060120240480519E-3</v>
      </c>
    </row>
    <row r="580" spans="1:5" x14ac:dyDescent="0.25">
      <c r="A580" s="41">
        <v>43490</v>
      </c>
      <c r="B580" s="29">
        <v>178.9</v>
      </c>
      <c r="C580" s="37">
        <f t="shared" si="24"/>
        <v>29.816666666666666</v>
      </c>
      <c r="D580" s="37">
        <v>8.5749999999999993</v>
      </c>
      <c r="E580" s="33">
        <f t="shared" ref="E580:E643" si="25">(B580-B579)/B579</f>
        <v>-1.1166945840312039E-3</v>
      </c>
    </row>
    <row r="581" spans="1:5" x14ac:dyDescent="0.25">
      <c r="A581" s="41">
        <v>43490</v>
      </c>
      <c r="B581" s="29">
        <v>178.46</v>
      </c>
      <c r="C581" s="37">
        <f t="shared" si="24"/>
        <v>29.743333333333332</v>
      </c>
      <c r="D581" s="37">
        <v>8.5749999999999993</v>
      </c>
      <c r="E581" s="33">
        <f t="shared" si="25"/>
        <v>-2.4594745667970807E-3</v>
      </c>
    </row>
    <row r="582" spans="1:5" x14ac:dyDescent="0.25">
      <c r="A582" s="41">
        <v>43490</v>
      </c>
      <c r="B582" s="29">
        <v>178.41</v>
      </c>
      <c r="C582" s="37">
        <f t="shared" si="24"/>
        <v>29.734999999999999</v>
      </c>
      <c r="D582" s="37">
        <v>8.5749999999999993</v>
      </c>
      <c r="E582" s="33">
        <f t="shared" si="25"/>
        <v>-2.8017482909341795E-4</v>
      </c>
    </row>
    <row r="583" spans="1:5" x14ac:dyDescent="0.25">
      <c r="A583" s="41">
        <v>43490</v>
      </c>
      <c r="B583" s="29">
        <v>178.45</v>
      </c>
      <c r="C583" s="37">
        <f t="shared" si="24"/>
        <v>29.741666666666667</v>
      </c>
      <c r="D583" s="37">
        <v>8.5749999999999993</v>
      </c>
      <c r="E583" s="33">
        <f t="shared" si="25"/>
        <v>2.242026792219721E-4</v>
      </c>
    </row>
    <row r="584" spans="1:5" x14ac:dyDescent="0.25">
      <c r="A584" s="41">
        <v>43490</v>
      </c>
      <c r="B584" s="29">
        <v>178.9</v>
      </c>
      <c r="C584" s="37">
        <f t="shared" si="24"/>
        <v>29.816666666666666</v>
      </c>
      <c r="D584" s="37">
        <v>8.5749999999999993</v>
      </c>
      <c r="E584" s="33">
        <f t="shared" si="25"/>
        <v>2.5217147660410036E-3</v>
      </c>
    </row>
    <row r="585" spans="1:5" x14ac:dyDescent="0.25">
      <c r="A585" s="41">
        <v>43490</v>
      </c>
      <c r="B585" s="29">
        <v>179.28</v>
      </c>
      <c r="C585" s="37">
        <f t="shared" si="24"/>
        <v>29.88</v>
      </c>
      <c r="D585" s="37">
        <v>8.5749999999999993</v>
      </c>
      <c r="E585" s="33">
        <f t="shared" si="25"/>
        <v>2.1240916713247369E-3</v>
      </c>
    </row>
    <row r="586" spans="1:5" x14ac:dyDescent="0.25">
      <c r="A586" s="41">
        <v>43490</v>
      </c>
      <c r="B586" s="29">
        <v>182.23</v>
      </c>
      <c r="C586" s="37">
        <f t="shared" si="24"/>
        <v>30.371666666666666</v>
      </c>
      <c r="D586" s="37">
        <v>8.5749999999999993</v>
      </c>
      <c r="E586" s="33">
        <f t="shared" si="25"/>
        <v>1.6454707719767897E-2</v>
      </c>
    </row>
    <row r="587" spans="1:5" x14ac:dyDescent="0.25">
      <c r="A587" s="41">
        <v>43490</v>
      </c>
      <c r="B587" s="29">
        <v>183.43</v>
      </c>
      <c r="C587" s="37">
        <f t="shared" si="24"/>
        <v>30.571666666666665</v>
      </c>
      <c r="D587" s="37">
        <v>8.5749999999999993</v>
      </c>
      <c r="E587" s="33">
        <f t="shared" si="25"/>
        <v>6.5850847829666747E-3</v>
      </c>
    </row>
    <row r="588" spans="1:5" x14ac:dyDescent="0.25">
      <c r="A588" s="41">
        <v>43490</v>
      </c>
      <c r="B588" s="29">
        <v>186.36</v>
      </c>
      <c r="C588" s="37">
        <f t="shared" si="24"/>
        <v>31.06</v>
      </c>
      <c r="D588" s="37">
        <v>8.5749999999999993</v>
      </c>
      <c r="E588" s="33">
        <f t="shared" si="25"/>
        <v>1.5973395845826781E-2</v>
      </c>
    </row>
    <row r="589" spans="1:5" x14ac:dyDescent="0.25">
      <c r="A589" s="41">
        <v>43490</v>
      </c>
      <c r="B589" s="29">
        <v>186.31</v>
      </c>
      <c r="C589" s="37">
        <f t="shared" si="24"/>
        <v>31.051666666666666</v>
      </c>
      <c r="D589" s="37">
        <v>8.5749999999999993</v>
      </c>
      <c r="E589" s="33">
        <f t="shared" si="25"/>
        <v>-2.6829791800821726E-4</v>
      </c>
    </row>
    <row r="590" spans="1:5" x14ac:dyDescent="0.25">
      <c r="A590" s="41">
        <v>43490</v>
      </c>
      <c r="B590" s="29">
        <v>185.94</v>
      </c>
      <c r="C590" s="37">
        <f t="shared" si="24"/>
        <v>30.99</v>
      </c>
      <c r="D590" s="37">
        <v>8.5749999999999993</v>
      </c>
      <c r="E590" s="33">
        <f t="shared" si="25"/>
        <v>-1.9859374161344239E-3</v>
      </c>
    </row>
    <row r="591" spans="1:5" x14ac:dyDescent="0.25">
      <c r="A591" s="41">
        <v>43490</v>
      </c>
      <c r="B591" s="29">
        <v>186.22</v>
      </c>
      <c r="C591" s="37">
        <f t="shared" si="24"/>
        <v>31.036666666666665</v>
      </c>
      <c r="D591" s="37">
        <v>8.5749999999999993</v>
      </c>
      <c r="E591" s="33">
        <f t="shared" si="25"/>
        <v>1.505862106055723E-3</v>
      </c>
    </row>
    <row r="592" spans="1:5" x14ac:dyDescent="0.25">
      <c r="A592" s="41">
        <v>43490</v>
      </c>
      <c r="B592" s="29">
        <v>186.17</v>
      </c>
      <c r="C592" s="37">
        <f t="shared" si="24"/>
        <v>31.028333333333332</v>
      </c>
      <c r="D592" s="37">
        <v>8.5749999999999993</v>
      </c>
      <c r="E592" s="33">
        <f t="shared" si="25"/>
        <v>-2.684996241005873E-4</v>
      </c>
    </row>
    <row r="593" spans="1:5" x14ac:dyDescent="0.25">
      <c r="A593" s="41">
        <v>43490</v>
      </c>
      <c r="B593" s="29">
        <v>186.12</v>
      </c>
      <c r="C593" s="37">
        <f t="shared" si="24"/>
        <v>31.02</v>
      </c>
      <c r="D593" s="37">
        <v>8.5749999999999993</v>
      </c>
      <c r="E593" s="33">
        <f t="shared" si="25"/>
        <v>-2.685717355104633E-4</v>
      </c>
    </row>
    <row r="594" spans="1:5" x14ac:dyDescent="0.25">
      <c r="A594" s="41">
        <v>43490</v>
      </c>
      <c r="B594" s="29">
        <v>186.07</v>
      </c>
      <c r="C594" s="37">
        <f t="shared" si="24"/>
        <v>31.011666666666667</v>
      </c>
      <c r="D594" s="37">
        <v>8.5749999999999993</v>
      </c>
      <c r="E594" s="33">
        <f t="shared" si="25"/>
        <v>-2.6864388566522334E-4</v>
      </c>
    </row>
    <row r="595" spans="1:5" x14ac:dyDescent="0.25">
      <c r="A595" s="41">
        <v>43490</v>
      </c>
      <c r="B595" s="29">
        <v>182.32</v>
      </c>
      <c r="C595" s="37">
        <f t="shared" si="24"/>
        <v>30.386666666666667</v>
      </c>
      <c r="D595" s="37">
        <v>8.5749999999999993</v>
      </c>
      <c r="E595" s="33">
        <f t="shared" si="25"/>
        <v>-2.0153705594668673E-2</v>
      </c>
    </row>
    <row r="596" spans="1:5" x14ac:dyDescent="0.25">
      <c r="A596" s="41">
        <v>43490</v>
      </c>
      <c r="B596" s="29">
        <v>179.35</v>
      </c>
      <c r="C596" s="37">
        <f t="shared" si="24"/>
        <v>29.891666666666666</v>
      </c>
      <c r="D596" s="37">
        <v>8.5749999999999993</v>
      </c>
      <c r="E596" s="33">
        <f t="shared" si="25"/>
        <v>-1.6290039491004819E-2</v>
      </c>
    </row>
    <row r="597" spans="1:5" x14ac:dyDescent="0.25">
      <c r="A597" s="41">
        <v>43490</v>
      </c>
      <c r="B597" s="29">
        <v>179.3</v>
      </c>
      <c r="C597" s="37">
        <f t="shared" si="24"/>
        <v>29.883333333333333</v>
      </c>
      <c r="D597" s="37">
        <v>8.5749999999999993</v>
      </c>
      <c r="E597" s="33">
        <f t="shared" si="25"/>
        <v>-2.7878449958172817E-4</v>
      </c>
    </row>
    <row r="598" spans="1:5" x14ac:dyDescent="0.25">
      <c r="A598" s="41">
        <v>43490</v>
      </c>
      <c r="B598" s="29">
        <v>180.67</v>
      </c>
      <c r="C598" s="37">
        <f t="shared" si="24"/>
        <v>30.111666666666668</v>
      </c>
      <c r="D598" s="37">
        <v>8.5749999999999993</v>
      </c>
      <c r="E598" s="33">
        <f t="shared" si="25"/>
        <v>7.6408254322363417E-3</v>
      </c>
    </row>
    <row r="599" spans="1:5" x14ac:dyDescent="0.25">
      <c r="A599" s="41">
        <v>43490</v>
      </c>
      <c r="B599" s="29">
        <v>181.18</v>
      </c>
      <c r="C599" s="37">
        <f t="shared" si="24"/>
        <v>30.196666666666665</v>
      </c>
      <c r="D599" s="37">
        <v>8.5749999999999993</v>
      </c>
      <c r="E599" s="33">
        <f t="shared" si="25"/>
        <v>2.8228261471191641E-3</v>
      </c>
    </row>
    <row r="600" spans="1:5" x14ac:dyDescent="0.25">
      <c r="A600" s="41">
        <v>43490</v>
      </c>
      <c r="B600" s="29">
        <v>181.18</v>
      </c>
      <c r="C600" s="37">
        <f t="shared" si="24"/>
        <v>30.196666666666665</v>
      </c>
      <c r="D600" s="37">
        <v>8.5749999999999993</v>
      </c>
      <c r="E600" s="33">
        <f t="shared" si="25"/>
        <v>0</v>
      </c>
    </row>
    <row r="601" spans="1:5" x14ac:dyDescent="0.25">
      <c r="A601" s="41">
        <v>43490</v>
      </c>
      <c r="B601" s="29">
        <v>180.94</v>
      </c>
      <c r="C601" s="37">
        <f t="shared" si="24"/>
        <v>30.156666666666666</v>
      </c>
      <c r="D601" s="37">
        <v>8.5749999999999993</v>
      </c>
      <c r="E601" s="33">
        <f t="shared" si="25"/>
        <v>-1.3246495198145991E-3</v>
      </c>
    </row>
    <row r="602" spans="1:5" x14ac:dyDescent="0.25">
      <c r="A602" s="41">
        <v>43491</v>
      </c>
      <c r="B602" s="29">
        <v>337.4</v>
      </c>
      <c r="C602" s="37">
        <f t="shared" si="24"/>
        <v>56.233333333333334</v>
      </c>
      <c r="D602" s="37">
        <v>7.726</v>
      </c>
      <c r="E602" s="33">
        <f t="shared" si="25"/>
        <v>0.86470653255222718</v>
      </c>
    </row>
    <row r="603" spans="1:5" x14ac:dyDescent="0.25">
      <c r="A603" s="41">
        <v>43491</v>
      </c>
      <c r="B603" s="29">
        <v>337.08</v>
      </c>
      <c r="C603" s="37">
        <f t="shared" si="24"/>
        <v>56.18</v>
      </c>
      <c r="D603" s="37">
        <v>7.726</v>
      </c>
      <c r="E603" s="33">
        <f t="shared" si="25"/>
        <v>-9.4842916419677888E-4</v>
      </c>
    </row>
    <row r="604" spans="1:5" x14ac:dyDescent="0.25">
      <c r="A604" s="41">
        <v>43491</v>
      </c>
      <c r="B604" s="29">
        <v>336.95</v>
      </c>
      <c r="C604" s="37">
        <f t="shared" si="24"/>
        <v>56.158333333333331</v>
      </c>
      <c r="D604" s="37">
        <v>7.726</v>
      </c>
      <c r="E604" s="33">
        <f t="shared" si="25"/>
        <v>-3.8566512400615716E-4</v>
      </c>
    </row>
    <row r="605" spans="1:5" x14ac:dyDescent="0.25">
      <c r="A605" s="41">
        <v>43491</v>
      </c>
      <c r="B605" s="29">
        <v>336.78</v>
      </c>
      <c r="C605" s="37">
        <f t="shared" si="24"/>
        <v>56.13</v>
      </c>
      <c r="D605" s="37">
        <v>7.726</v>
      </c>
      <c r="E605" s="33">
        <f t="shared" si="25"/>
        <v>-5.0452589404960954E-4</v>
      </c>
    </row>
    <row r="606" spans="1:5" x14ac:dyDescent="0.25">
      <c r="A606" s="41">
        <v>43491</v>
      </c>
      <c r="B606" s="29">
        <v>336.73</v>
      </c>
      <c r="C606" s="37">
        <f t="shared" si="24"/>
        <v>56.12166666666667</v>
      </c>
      <c r="D606" s="37">
        <v>7.726</v>
      </c>
      <c r="E606" s="33">
        <f t="shared" si="25"/>
        <v>-1.4846487321086327E-4</v>
      </c>
    </row>
    <row r="607" spans="1:5" x14ac:dyDescent="0.25">
      <c r="A607" s="41">
        <v>43491</v>
      </c>
      <c r="B607" s="29">
        <v>336.67</v>
      </c>
      <c r="C607" s="37">
        <f t="shared" si="24"/>
        <v>56.111666666666665</v>
      </c>
      <c r="D607" s="37">
        <v>7.726</v>
      </c>
      <c r="E607" s="33">
        <f t="shared" si="25"/>
        <v>-1.781843019630038E-4</v>
      </c>
    </row>
    <row r="608" spans="1:5" x14ac:dyDescent="0.25">
      <c r="A608" s="41">
        <v>43491</v>
      </c>
      <c r="B608" s="29">
        <v>336.61</v>
      </c>
      <c r="C608" s="37">
        <f t="shared" si="24"/>
        <v>56.101666666666667</v>
      </c>
      <c r="D608" s="37">
        <v>7.726</v>
      </c>
      <c r="E608" s="33">
        <f t="shared" si="25"/>
        <v>-1.7821605726676647E-4</v>
      </c>
    </row>
    <row r="609" spans="1:5" x14ac:dyDescent="0.25">
      <c r="A609" s="41">
        <v>43491</v>
      </c>
      <c r="B609" s="29">
        <v>336.55</v>
      </c>
      <c r="C609" s="37">
        <f t="shared" si="24"/>
        <v>56.091666666666669</v>
      </c>
      <c r="D609" s="37">
        <v>7.726</v>
      </c>
      <c r="E609" s="33">
        <f t="shared" si="25"/>
        <v>-1.7824782389115674E-4</v>
      </c>
    </row>
    <row r="610" spans="1:5" x14ac:dyDescent="0.25">
      <c r="A610" s="41">
        <v>43491</v>
      </c>
      <c r="B610" s="29">
        <v>336.86</v>
      </c>
      <c r="C610" s="37">
        <f t="shared" si="24"/>
        <v>56.143333333333331</v>
      </c>
      <c r="D610" s="37">
        <v>7.726</v>
      </c>
      <c r="E610" s="33">
        <f t="shared" si="25"/>
        <v>9.2111127618482323E-4</v>
      </c>
    </row>
    <row r="611" spans="1:5" x14ac:dyDescent="0.25">
      <c r="A611" s="41">
        <v>43491</v>
      </c>
      <c r="B611" s="29">
        <v>337.19</v>
      </c>
      <c r="C611" s="37">
        <f t="shared" si="24"/>
        <v>56.198333333333331</v>
      </c>
      <c r="D611" s="37">
        <v>7.726</v>
      </c>
      <c r="E611" s="33">
        <f t="shared" si="25"/>
        <v>9.7963545686630669E-4</v>
      </c>
    </row>
    <row r="612" spans="1:5" x14ac:dyDescent="0.25">
      <c r="A612" s="41">
        <v>43491</v>
      </c>
      <c r="B612" s="29">
        <v>337.25</v>
      </c>
      <c r="C612" s="37">
        <f t="shared" si="24"/>
        <v>56.208333333333336</v>
      </c>
      <c r="D612" s="37">
        <v>7.726</v>
      </c>
      <c r="E612" s="33">
        <f t="shared" si="25"/>
        <v>1.7794122008363912E-4</v>
      </c>
    </row>
    <row r="613" spans="1:5" x14ac:dyDescent="0.25">
      <c r="A613" s="41">
        <v>43491</v>
      </c>
      <c r="B613" s="29">
        <v>337.32</v>
      </c>
      <c r="C613" s="37">
        <f t="shared" si="24"/>
        <v>56.22</v>
      </c>
      <c r="D613" s="37">
        <v>7.726</v>
      </c>
      <c r="E613" s="33">
        <f t="shared" si="25"/>
        <v>2.0756115641213692E-4</v>
      </c>
    </row>
    <row r="614" spans="1:5" x14ac:dyDescent="0.25">
      <c r="A614" s="41">
        <v>43491</v>
      </c>
      <c r="B614" s="29">
        <v>337.36</v>
      </c>
      <c r="C614" s="37">
        <f t="shared" si="24"/>
        <v>56.226666666666667</v>
      </c>
      <c r="D614" s="37">
        <v>7.726</v>
      </c>
      <c r="E614" s="33">
        <f t="shared" si="25"/>
        <v>1.1858176212504585E-4</v>
      </c>
    </row>
    <row r="615" spans="1:5" x14ac:dyDescent="0.25">
      <c r="A615" s="41">
        <v>43491</v>
      </c>
      <c r="B615" s="29">
        <v>337.39</v>
      </c>
      <c r="C615" s="37">
        <f t="shared" si="24"/>
        <v>56.231666666666669</v>
      </c>
      <c r="D615" s="37">
        <v>7.726</v>
      </c>
      <c r="E615" s="33">
        <f t="shared" si="25"/>
        <v>8.8925776618368254E-5</v>
      </c>
    </row>
    <row r="616" spans="1:5" x14ac:dyDescent="0.25">
      <c r="A616" s="41">
        <v>43491</v>
      </c>
      <c r="B616" s="29">
        <v>337.4</v>
      </c>
      <c r="C616" s="37">
        <f t="shared" si="24"/>
        <v>56.233333333333334</v>
      </c>
      <c r="D616" s="37">
        <v>7.726</v>
      </c>
      <c r="E616" s="33">
        <f t="shared" si="25"/>
        <v>2.9639289842588415E-5</v>
      </c>
    </row>
    <row r="617" spans="1:5" x14ac:dyDescent="0.25">
      <c r="A617" s="41">
        <v>43491</v>
      </c>
      <c r="B617" s="29">
        <v>337.39</v>
      </c>
      <c r="C617" s="37">
        <f t="shared" si="24"/>
        <v>56.231666666666669</v>
      </c>
      <c r="D617" s="37">
        <v>7.726</v>
      </c>
      <c r="E617" s="33">
        <f t="shared" si="25"/>
        <v>-2.9638411381123018E-5</v>
      </c>
    </row>
    <row r="618" spans="1:5" x14ac:dyDescent="0.25">
      <c r="A618" s="41">
        <v>43491</v>
      </c>
      <c r="B618" s="29">
        <v>337.4</v>
      </c>
      <c r="C618" s="37">
        <f t="shared" si="24"/>
        <v>56.233333333333334</v>
      </c>
      <c r="D618" s="37">
        <v>7.726</v>
      </c>
      <c r="E618" s="33">
        <f t="shared" si="25"/>
        <v>2.9639289842588415E-5</v>
      </c>
    </row>
    <row r="619" spans="1:5" x14ac:dyDescent="0.25">
      <c r="A619" s="41">
        <v>43491</v>
      </c>
      <c r="B619" s="29">
        <v>337.4</v>
      </c>
      <c r="C619" s="37">
        <f t="shared" si="24"/>
        <v>56.233333333333334</v>
      </c>
      <c r="D619" s="37">
        <v>7.726</v>
      </c>
      <c r="E619" s="33">
        <f t="shared" si="25"/>
        <v>0</v>
      </c>
    </row>
    <row r="620" spans="1:5" x14ac:dyDescent="0.25">
      <c r="A620" s="41">
        <v>43491</v>
      </c>
      <c r="B620" s="29">
        <v>337.4</v>
      </c>
      <c r="C620" s="37">
        <f t="shared" si="24"/>
        <v>56.233333333333334</v>
      </c>
      <c r="D620" s="37">
        <v>7.726</v>
      </c>
      <c r="E620" s="33">
        <f t="shared" si="25"/>
        <v>0</v>
      </c>
    </row>
    <row r="621" spans="1:5" x14ac:dyDescent="0.25">
      <c r="A621" s="41">
        <v>43491</v>
      </c>
      <c r="B621" s="29">
        <v>337.4</v>
      </c>
      <c r="C621" s="37">
        <f t="shared" si="24"/>
        <v>56.233333333333334</v>
      </c>
      <c r="D621" s="37">
        <v>7.726</v>
      </c>
      <c r="E621" s="33">
        <f t="shared" si="25"/>
        <v>0</v>
      </c>
    </row>
    <row r="622" spans="1:5" x14ac:dyDescent="0.25">
      <c r="A622" s="41">
        <v>43491</v>
      </c>
      <c r="B622" s="29">
        <v>337.99</v>
      </c>
      <c r="C622" s="37">
        <f t="shared" si="24"/>
        <v>56.331666666666663</v>
      </c>
      <c r="D622" s="37">
        <v>7.726</v>
      </c>
      <c r="E622" s="33">
        <f t="shared" si="25"/>
        <v>1.7486662714879427E-3</v>
      </c>
    </row>
    <row r="623" spans="1:5" x14ac:dyDescent="0.25">
      <c r="A623" s="41">
        <v>43491</v>
      </c>
      <c r="B623" s="29">
        <v>337.99</v>
      </c>
      <c r="C623" s="37">
        <f t="shared" si="24"/>
        <v>56.331666666666663</v>
      </c>
      <c r="D623" s="37">
        <v>7.726</v>
      </c>
      <c r="E623" s="33">
        <f t="shared" si="25"/>
        <v>0</v>
      </c>
    </row>
    <row r="624" spans="1:5" x14ac:dyDescent="0.25">
      <c r="A624" s="41">
        <v>43491</v>
      </c>
      <c r="B624" s="29">
        <v>337.84</v>
      </c>
      <c r="C624" s="37">
        <f t="shared" si="24"/>
        <v>56.306666666666665</v>
      </c>
      <c r="D624" s="37">
        <v>7.726</v>
      </c>
      <c r="E624" s="33">
        <f t="shared" si="25"/>
        <v>-4.4380011242946271E-4</v>
      </c>
    </row>
    <row r="625" spans="1:5" x14ac:dyDescent="0.25">
      <c r="A625" s="41">
        <v>43491</v>
      </c>
      <c r="B625" s="29">
        <v>337.4</v>
      </c>
      <c r="C625" s="37">
        <f t="shared" si="24"/>
        <v>56.233333333333334</v>
      </c>
      <c r="D625" s="37">
        <v>7.726</v>
      </c>
      <c r="E625" s="33">
        <f t="shared" si="25"/>
        <v>-1.3023916646933394E-3</v>
      </c>
    </row>
    <row r="626" spans="1:5" x14ac:dyDescent="0.25">
      <c r="A626" s="41">
        <v>43492</v>
      </c>
      <c r="B626" s="29">
        <v>336.72</v>
      </c>
      <c r="C626" s="37">
        <f t="shared" si="24"/>
        <v>56.12</v>
      </c>
      <c r="D626" s="37">
        <v>6.83</v>
      </c>
      <c r="E626" s="33">
        <f t="shared" si="25"/>
        <v>-2.0154119739180499E-3</v>
      </c>
    </row>
    <row r="627" spans="1:5" x14ac:dyDescent="0.25">
      <c r="A627" s="41">
        <v>43492</v>
      </c>
      <c r="B627" s="29">
        <v>334.52</v>
      </c>
      <c r="C627" s="37">
        <f t="shared" si="24"/>
        <v>55.75333333333333</v>
      </c>
      <c r="D627" s="37">
        <v>6.83</v>
      </c>
      <c r="E627" s="33">
        <f t="shared" si="25"/>
        <v>-6.5336184366834322E-3</v>
      </c>
    </row>
    <row r="628" spans="1:5" x14ac:dyDescent="0.25">
      <c r="A628" s="41">
        <v>43492</v>
      </c>
      <c r="B628" s="29">
        <v>334.46</v>
      </c>
      <c r="C628" s="37">
        <f t="shared" si="24"/>
        <v>55.743333333333332</v>
      </c>
      <c r="D628" s="37">
        <v>6.83</v>
      </c>
      <c r="E628" s="33">
        <f t="shared" si="25"/>
        <v>-1.79361473155573E-4</v>
      </c>
    </row>
    <row r="629" spans="1:5" x14ac:dyDescent="0.25">
      <c r="A629" s="41">
        <v>43492</v>
      </c>
      <c r="B629" s="29">
        <v>334.4</v>
      </c>
      <c r="C629" s="37">
        <f t="shared" si="24"/>
        <v>55.733333333333334</v>
      </c>
      <c r="D629" s="37">
        <v>6.83</v>
      </c>
      <c r="E629" s="33">
        <f t="shared" si="25"/>
        <v>-1.7939364946481574E-4</v>
      </c>
    </row>
    <row r="630" spans="1:5" x14ac:dyDescent="0.25">
      <c r="A630" s="41">
        <v>43492</v>
      </c>
      <c r="B630" s="29">
        <v>334.07</v>
      </c>
      <c r="C630" s="37">
        <f t="shared" si="24"/>
        <v>55.678333333333335</v>
      </c>
      <c r="D630" s="37">
        <v>6.83</v>
      </c>
      <c r="E630" s="33">
        <f t="shared" si="25"/>
        <v>-9.8684210526311044E-4</v>
      </c>
    </row>
    <row r="631" spans="1:5" x14ac:dyDescent="0.25">
      <c r="A631" s="41">
        <v>43492</v>
      </c>
      <c r="B631" s="29">
        <v>333.43</v>
      </c>
      <c r="C631" s="37">
        <f t="shared" si="24"/>
        <v>55.571666666666665</v>
      </c>
      <c r="D631" s="37">
        <v>6.83</v>
      </c>
      <c r="E631" s="33">
        <f t="shared" si="25"/>
        <v>-1.9157661567934456E-3</v>
      </c>
    </row>
    <row r="632" spans="1:5" x14ac:dyDescent="0.25">
      <c r="A632" s="41">
        <v>43492</v>
      </c>
      <c r="B632" s="29">
        <v>331.64</v>
      </c>
      <c r="C632" s="37">
        <f t="shared" si="24"/>
        <v>55.273333333333333</v>
      </c>
      <c r="D632" s="37">
        <v>6.83</v>
      </c>
      <c r="E632" s="33">
        <f t="shared" si="25"/>
        <v>-5.3684431514861306E-3</v>
      </c>
    </row>
    <row r="633" spans="1:5" x14ac:dyDescent="0.25">
      <c r="A633" s="41">
        <v>43492</v>
      </c>
      <c r="B633" s="29">
        <v>330.11</v>
      </c>
      <c r="C633" s="37">
        <f t="shared" si="24"/>
        <v>55.018333333333331</v>
      </c>
      <c r="D633" s="37">
        <v>6.83</v>
      </c>
      <c r="E633" s="33">
        <f t="shared" si="25"/>
        <v>-4.6134362561813195E-3</v>
      </c>
    </row>
    <row r="634" spans="1:5" x14ac:dyDescent="0.25">
      <c r="A634" s="41">
        <v>43492</v>
      </c>
      <c r="B634" s="29">
        <v>330.82</v>
      </c>
      <c r="C634" s="37">
        <f t="shared" si="24"/>
        <v>55.136666666666663</v>
      </c>
      <c r="D634" s="37">
        <v>6.83</v>
      </c>
      <c r="E634" s="33">
        <f t="shared" si="25"/>
        <v>2.1507982187754975E-3</v>
      </c>
    </row>
    <row r="635" spans="1:5" x14ac:dyDescent="0.25">
      <c r="A635" s="41">
        <v>43492</v>
      </c>
      <c r="B635" s="29">
        <v>331.85</v>
      </c>
      <c r="C635" s="37">
        <f t="shared" si="24"/>
        <v>55.30833333333333</v>
      </c>
      <c r="D635" s="37">
        <v>6.83</v>
      </c>
      <c r="E635" s="33">
        <f t="shared" si="25"/>
        <v>3.1134756060698554E-3</v>
      </c>
    </row>
    <row r="636" spans="1:5" x14ac:dyDescent="0.25">
      <c r="A636" s="41">
        <v>43492</v>
      </c>
      <c r="B636" s="29">
        <v>333.65</v>
      </c>
      <c r="C636" s="37">
        <f t="shared" si="24"/>
        <v>55.608333333333334</v>
      </c>
      <c r="D636" s="37">
        <v>6.83</v>
      </c>
      <c r="E636" s="33">
        <f t="shared" si="25"/>
        <v>5.4241374114809534E-3</v>
      </c>
    </row>
    <row r="637" spans="1:5" x14ac:dyDescent="0.25">
      <c r="A637" s="41">
        <v>43492</v>
      </c>
      <c r="B637" s="29">
        <v>333.93</v>
      </c>
      <c r="C637" s="37">
        <f t="shared" si="24"/>
        <v>55.655000000000001</v>
      </c>
      <c r="D637" s="37">
        <v>6.83</v>
      </c>
      <c r="E637" s="33">
        <f t="shared" si="25"/>
        <v>8.3920275738057714E-4</v>
      </c>
    </row>
    <row r="638" spans="1:5" x14ac:dyDescent="0.25">
      <c r="A638" s="41">
        <v>43492</v>
      </c>
      <c r="B638" s="29">
        <v>333.87</v>
      </c>
      <c r="C638" s="37">
        <f t="shared" si="24"/>
        <v>55.645000000000003</v>
      </c>
      <c r="D638" s="37">
        <v>6.83</v>
      </c>
      <c r="E638" s="33">
        <f t="shared" si="25"/>
        <v>-1.7967837570749041E-4</v>
      </c>
    </row>
    <row r="639" spans="1:5" x14ac:dyDescent="0.25">
      <c r="A639" s="41">
        <v>43492</v>
      </c>
      <c r="B639" s="29">
        <v>333.81</v>
      </c>
      <c r="C639" s="37">
        <f t="shared" si="24"/>
        <v>55.634999999999998</v>
      </c>
      <c r="D639" s="37">
        <v>6.83</v>
      </c>
      <c r="E639" s="33">
        <f t="shared" si="25"/>
        <v>-1.7971066582802371E-4</v>
      </c>
    </row>
    <row r="640" spans="1:5" x14ac:dyDescent="0.25">
      <c r="A640" s="41">
        <v>43492</v>
      </c>
      <c r="B640" s="29">
        <v>333.75</v>
      </c>
      <c r="C640" s="37">
        <f t="shared" si="24"/>
        <v>55.625</v>
      </c>
      <c r="D640" s="37">
        <v>6.83</v>
      </c>
      <c r="E640" s="33">
        <f t="shared" si="25"/>
        <v>-1.7974296755640117E-4</v>
      </c>
    </row>
    <row r="641" spans="1:5" x14ac:dyDescent="0.25">
      <c r="A641" s="41">
        <v>43492</v>
      </c>
      <c r="B641" s="29">
        <v>333.69</v>
      </c>
      <c r="C641" s="37">
        <f t="shared" si="24"/>
        <v>55.615000000000002</v>
      </c>
      <c r="D641" s="37">
        <v>6.83</v>
      </c>
      <c r="E641" s="33">
        <f t="shared" si="25"/>
        <v>-1.7977528089888322E-4</v>
      </c>
    </row>
    <row r="642" spans="1:5" x14ac:dyDescent="0.25">
      <c r="A642" s="41">
        <v>43492</v>
      </c>
      <c r="B642" s="29">
        <v>333.63</v>
      </c>
      <c r="C642" s="37">
        <f t="shared" si="24"/>
        <v>55.604999999999997</v>
      </c>
      <c r="D642" s="37">
        <v>6.83</v>
      </c>
      <c r="E642" s="33">
        <f t="shared" si="25"/>
        <v>-1.7980760586173476E-4</v>
      </c>
    </row>
    <row r="643" spans="1:5" x14ac:dyDescent="0.25">
      <c r="A643" s="41">
        <v>43492</v>
      </c>
      <c r="B643" s="29">
        <v>333.57</v>
      </c>
      <c r="C643" s="37">
        <f t="shared" ref="C643:C706" si="26">(B643*100/600)</f>
        <v>55.594999999999999</v>
      </c>
      <c r="D643" s="37">
        <v>6.83</v>
      </c>
      <c r="E643" s="33">
        <f t="shared" si="25"/>
        <v>-1.7983994245122524E-4</v>
      </c>
    </row>
    <row r="644" spans="1:5" x14ac:dyDescent="0.25">
      <c r="A644" s="41">
        <v>43492</v>
      </c>
      <c r="B644" s="29">
        <v>334.13</v>
      </c>
      <c r="C644" s="37">
        <f t="shared" si="26"/>
        <v>55.688333333333333</v>
      </c>
      <c r="D644" s="37">
        <v>6.83</v>
      </c>
      <c r="E644" s="33">
        <f t="shared" ref="E644:E707" si="27">(B644-B643)/B643</f>
        <v>1.6788080462871429E-3</v>
      </c>
    </row>
    <row r="645" spans="1:5" x14ac:dyDescent="0.25">
      <c r="A645" s="41">
        <v>43492</v>
      </c>
      <c r="B645" s="29">
        <v>334.78</v>
      </c>
      <c r="C645" s="37">
        <f t="shared" si="26"/>
        <v>55.796666666666667</v>
      </c>
      <c r="D645" s="37">
        <v>6.83</v>
      </c>
      <c r="E645" s="33">
        <f t="shared" si="27"/>
        <v>1.9453506120371629E-3</v>
      </c>
    </row>
    <row r="646" spans="1:5" x14ac:dyDescent="0.25">
      <c r="A646" s="41">
        <v>43492</v>
      </c>
      <c r="B646" s="29">
        <v>338.61</v>
      </c>
      <c r="C646" s="37">
        <f t="shared" si="26"/>
        <v>56.435000000000002</v>
      </c>
      <c r="D646" s="37">
        <v>6.83</v>
      </c>
      <c r="E646" s="33">
        <f t="shared" si="27"/>
        <v>1.1440348885835597E-2</v>
      </c>
    </row>
    <row r="647" spans="1:5" x14ac:dyDescent="0.25">
      <c r="A647" s="41">
        <v>43492</v>
      </c>
      <c r="B647" s="29">
        <v>339.79</v>
      </c>
      <c r="C647" s="37">
        <f t="shared" si="26"/>
        <v>56.631666666666668</v>
      </c>
      <c r="D647" s="37">
        <v>6.83</v>
      </c>
      <c r="E647" s="33">
        <f t="shared" si="27"/>
        <v>3.4848350609846335E-3</v>
      </c>
    </row>
    <row r="648" spans="1:5" x14ac:dyDescent="0.25">
      <c r="A648" s="41">
        <v>43492</v>
      </c>
      <c r="B648" s="29">
        <v>339.88</v>
      </c>
      <c r="C648" s="37">
        <f t="shared" si="26"/>
        <v>56.646666666666668</v>
      </c>
      <c r="D648" s="37">
        <v>6.83</v>
      </c>
      <c r="E648" s="33">
        <f t="shared" si="27"/>
        <v>2.6486947820705429E-4</v>
      </c>
    </row>
    <row r="649" spans="1:5" x14ac:dyDescent="0.25">
      <c r="A649" s="41">
        <v>43492</v>
      </c>
      <c r="B649" s="29">
        <v>338.12</v>
      </c>
      <c r="C649" s="37">
        <f t="shared" si="26"/>
        <v>56.353333333333332</v>
      </c>
      <c r="D649" s="37">
        <v>6.83</v>
      </c>
      <c r="E649" s="33">
        <f t="shared" si="27"/>
        <v>-5.1782982229021737E-3</v>
      </c>
    </row>
    <row r="650" spans="1:5" x14ac:dyDescent="0.25">
      <c r="A650" s="41">
        <v>43493</v>
      </c>
      <c r="B650" s="29">
        <v>340.25</v>
      </c>
      <c r="C650" s="37">
        <f t="shared" si="26"/>
        <v>56.708333333333336</v>
      </c>
      <c r="D650" s="37">
        <v>6.0119999999999996</v>
      </c>
      <c r="E650" s="33">
        <f t="shared" si="27"/>
        <v>6.2995386253401021E-3</v>
      </c>
    </row>
    <row r="651" spans="1:5" x14ac:dyDescent="0.25">
      <c r="A651" s="41">
        <v>43493</v>
      </c>
      <c r="B651" s="29">
        <v>339.96</v>
      </c>
      <c r="C651" s="37">
        <f t="shared" si="26"/>
        <v>56.66</v>
      </c>
      <c r="D651" s="37">
        <v>6.0119999999999996</v>
      </c>
      <c r="E651" s="33">
        <f t="shared" si="27"/>
        <v>-8.5231447465105204E-4</v>
      </c>
    </row>
    <row r="652" spans="1:5" x14ac:dyDescent="0.25">
      <c r="A652" s="41">
        <v>43493</v>
      </c>
      <c r="B652" s="29">
        <v>339.67</v>
      </c>
      <c r="C652" s="37">
        <f t="shared" si="26"/>
        <v>56.611666666666665</v>
      </c>
      <c r="D652" s="37">
        <v>6.0119999999999996</v>
      </c>
      <c r="E652" s="33">
        <f t="shared" si="27"/>
        <v>-8.5304153429804571E-4</v>
      </c>
    </row>
    <row r="653" spans="1:5" x14ac:dyDescent="0.25">
      <c r="A653" s="41">
        <v>43493</v>
      </c>
      <c r="B653" s="29">
        <v>339.4</v>
      </c>
      <c r="C653" s="37">
        <f t="shared" si="26"/>
        <v>56.56666666666667</v>
      </c>
      <c r="D653" s="37">
        <v>6.0119999999999996</v>
      </c>
      <c r="E653" s="33">
        <f t="shared" si="27"/>
        <v>-7.9488915712320378E-4</v>
      </c>
    </row>
    <row r="654" spans="1:5" x14ac:dyDescent="0.25">
      <c r="A654" s="41">
        <v>43493</v>
      </c>
      <c r="B654" s="29">
        <v>339.54</v>
      </c>
      <c r="C654" s="37">
        <f t="shared" si="26"/>
        <v>56.59</v>
      </c>
      <c r="D654" s="37">
        <v>6.0119999999999996</v>
      </c>
      <c r="E654" s="33">
        <f t="shared" si="27"/>
        <v>4.1249263406023339E-4</v>
      </c>
    </row>
    <row r="655" spans="1:5" x14ac:dyDescent="0.25">
      <c r="A655" s="41">
        <v>43493</v>
      </c>
      <c r="B655" s="29">
        <v>339.52</v>
      </c>
      <c r="C655" s="37">
        <f t="shared" si="26"/>
        <v>56.586666666666666</v>
      </c>
      <c r="D655" s="37">
        <v>6.0119999999999996</v>
      </c>
      <c r="E655" s="33">
        <f t="shared" si="27"/>
        <v>-5.8903222006357581E-5</v>
      </c>
    </row>
    <row r="656" spans="1:5" x14ac:dyDescent="0.25">
      <c r="A656" s="41">
        <v>43493</v>
      </c>
      <c r="B656" s="29">
        <v>340.12</v>
      </c>
      <c r="C656" s="37">
        <f t="shared" si="26"/>
        <v>56.686666666666667</v>
      </c>
      <c r="D656" s="37">
        <v>6.0119999999999996</v>
      </c>
      <c r="E656" s="33">
        <f t="shared" si="27"/>
        <v>1.767200754005722E-3</v>
      </c>
    </row>
    <row r="657" spans="1:5" x14ac:dyDescent="0.25">
      <c r="A657" s="41">
        <v>43493</v>
      </c>
      <c r="B657" s="29">
        <v>341.4</v>
      </c>
      <c r="C657" s="37">
        <f t="shared" si="26"/>
        <v>56.9</v>
      </c>
      <c r="D657" s="37">
        <v>6.0119999999999996</v>
      </c>
      <c r="E657" s="33">
        <f t="shared" si="27"/>
        <v>3.7633776314241231E-3</v>
      </c>
    </row>
    <row r="658" spans="1:5" x14ac:dyDescent="0.25">
      <c r="A658" s="41">
        <v>43493</v>
      </c>
      <c r="B658" s="29">
        <v>342.96</v>
      </c>
      <c r="C658" s="37">
        <f t="shared" si="26"/>
        <v>57.16</v>
      </c>
      <c r="D658" s="37">
        <v>6.0119999999999996</v>
      </c>
      <c r="E658" s="33">
        <f t="shared" si="27"/>
        <v>4.5694200351493915E-3</v>
      </c>
    </row>
    <row r="659" spans="1:5" x14ac:dyDescent="0.25">
      <c r="A659" s="41">
        <v>43493</v>
      </c>
      <c r="B659" s="29">
        <v>344.36</v>
      </c>
      <c r="C659" s="37">
        <f t="shared" si="26"/>
        <v>57.393333333333331</v>
      </c>
      <c r="D659" s="37">
        <v>6.0119999999999996</v>
      </c>
      <c r="E659" s="33">
        <f t="shared" si="27"/>
        <v>4.0821087007232165E-3</v>
      </c>
    </row>
    <row r="660" spans="1:5" x14ac:dyDescent="0.25">
      <c r="A660" s="41">
        <v>43493</v>
      </c>
      <c r="B660" s="29">
        <v>350.4</v>
      </c>
      <c r="C660" s="37">
        <f t="shared" si="26"/>
        <v>58.4</v>
      </c>
      <c r="D660" s="37">
        <v>6.0119999999999996</v>
      </c>
      <c r="E660" s="33">
        <f t="shared" si="27"/>
        <v>1.7539783947032071E-2</v>
      </c>
    </row>
    <row r="661" spans="1:5" x14ac:dyDescent="0.25">
      <c r="A661" s="41">
        <v>43493</v>
      </c>
      <c r="B661" s="29">
        <v>351.64</v>
      </c>
      <c r="C661" s="37">
        <f t="shared" si="26"/>
        <v>58.606666666666669</v>
      </c>
      <c r="D661" s="37">
        <v>6.0119999999999996</v>
      </c>
      <c r="E661" s="33">
        <f t="shared" si="27"/>
        <v>3.5388127853881539E-3</v>
      </c>
    </row>
    <row r="662" spans="1:5" x14ac:dyDescent="0.25">
      <c r="A662" s="41">
        <v>43493</v>
      </c>
      <c r="B662" s="29">
        <v>350.57</v>
      </c>
      <c r="C662" s="37">
        <f t="shared" si="26"/>
        <v>58.428333333333335</v>
      </c>
      <c r="D662" s="37">
        <v>6.0119999999999996</v>
      </c>
      <c r="E662" s="33">
        <f t="shared" si="27"/>
        <v>-3.0428847685132331E-3</v>
      </c>
    </row>
    <row r="663" spans="1:5" x14ac:dyDescent="0.25">
      <c r="A663" s="41">
        <v>43493</v>
      </c>
      <c r="B663" s="29">
        <v>355.43</v>
      </c>
      <c r="C663" s="37">
        <f t="shared" si="26"/>
        <v>59.238333333333337</v>
      </c>
      <c r="D663" s="37">
        <v>6.0119999999999996</v>
      </c>
      <c r="E663" s="33">
        <f t="shared" si="27"/>
        <v>1.386313717659815E-2</v>
      </c>
    </row>
    <row r="664" spans="1:5" x14ac:dyDescent="0.25">
      <c r="A664" s="41">
        <v>43493</v>
      </c>
      <c r="B664" s="29">
        <v>359.6</v>
      </c>
      <c r="C664" s="37">
        <f t="shared" si="26"/>
        <v>59.93333333333333</v>
      </c>
      <c r="D664" s="37">
        <v>6.0119999999999996</v>
      </c>
      <c r="E664" s="33">
        <f t="shared" si="27"/>
        <v>1.1732267957122403E-2</v>
      </c>
    </row>
    <row r="665" spans="1:5" x14ac:dyDescent="0.25">
      <c r="A665" s="41">
        <v>43493</v>
      </c>
      <c r="B665" s="29">
        <v>359.88</v>
      </c>
      <c r="C665" s="37">
        <f t="shared" si="26"/>
        <v>59.98</v>
      </c>
      <c r="D665" s="37">
        <v>6.0119999999999996</v>
      </c>
      <c r="E665" s="33">
        <f t="shared" si="27"/>
        <v>7.7864293659614208E-4</v>
      </c>
    </row>
    <row r="666" spans="1:5" x14ac:dyDescent="0.25">
      <c r="A666" s="41">
        <v>43493</v>
      </c>
      <c r="B666" s="29">
        <v>357.07</v>
      </c>
      <c r="C666" s="37">
        <f t="shared" si="26"/>
        <v>59.511666666666663</v>
      </c>
      <c r="D666" s="37">
        <v>6.0119999999999996</v>
      </c>
      <c r="E666" s="33">
        <f t="shared" si="27"/>
        <v>-7.8081582749805556E-3</v>
      </c>
    </row>
    <row r="667" spans="1:5" x14ac:dyDescent="0.25">
      <c r="A667" s="41">
        <v>43493</v>
      </c>
      <c r="B667" s="29">
        <v>347.44</v>
      </c>
      <c r="C667" s="37">
        <f t="shared" si="26"/>
        <v>57.906666666666666</v>
      </c>
      <c r="D667" s="37">
        <v>6.0119999999999996</v>
      </c>
      <c r="E667" s="33">
        <f t="shared" si="27"/>
        <v>-2.6969501778362773E-2</v>
      </c>
    </row>
    <row r="668" spans="1:5" x14ac:dyDescent="0.25">
      <c r="A668" s="41">
        <v>43493</v>
      </c>
      <c r="B668" s="29">
        <v>342.84</v>
      </c>
      <c r="C668" s="37">
        <f t="shared" si="26"/>
        <v>57.14</v>
      </c>
      <c r="D668" s="37">
        <v>6.0119999999999996</v>
      </c>
      <c r="E668" s="33">
        <f t="shared" si="27"/>
        <v>-1.3239696062629584E-2</v>
      </c>
    </row>
    <row r="669" spans="1:5" x14ac:dyDescent="0.25">
      <c r="A669" s="41">
        <v>43493</v>
      </c>
      <c r="B669" s="29">
        <v>342.48</v>
      </c>
      <c r="C669" s="37">
        <f t="shared" si="26"/>
        <v>57.08</v>
      </c>
      <c r="D669" s="37">
        <v>6.0119999999999996</v>
      </c>
      <c r="E669" s="33">
        <f t="shared" si="27"/>
        <v>-1.0500525026250053E-3</v>
      </c>
    </row>
    <row r="670" spans="1:5" x14ac:dyDescent="0.25">
      <c r="A670" s="41">
        <v>43493</v>
      </c>
      <c r="B670" s="29">
        <v>343.3</v>
      </c>
      <c r="C670" s="37">
        <f t="shared" si="26"/>
        <v>57.216666666666669</v>
      </c>
      <c r="D670" s="37">
        <v>6.0119999999999996</v>
      </c>
      <c r="E670" s="33">
        <f t="shared" si="27"/>
        <v>2.3943003971034606E-3</v>
      </c>
    </row>
    <row r="671" spans="1:5" x14ac:dyDescent="0.25">
      <c r="A671" s="41">
        <v>43493</v>
      </c>
      <c r="B671" s="29">
        <v>345.96</v>
      </c>
      <c r="C671" s="37">
        <f t="shared" si="26"/>
        <v>57.66</v>
      </c>
      <c r="D671" s="37">
        <v>6.0119999999999996</v>
      </c>
      <c r="E671" s="33">
        <f t="shared" si="27"/>
        <v>7.7483250801047713E-3</v>
      </c>
    </row>
    <row r="672" spans="1:5" x14ac:dyDescent="0.25">
      <c r="A672" s="41">
        <v>43493</v>
      </c>
      <c r="B672" s="29">
        <v>346.23</v>
      </c>
      <c r="C672" s="37">
        <f t="shared" si="26"/>
        <v>57.704999999999998</v>
      </c>
      <c r="D672" s="37">
        <v>6.0119999999999996</v>
      </c>
      <c r="E672" s="33">
        <f t="shared" si="27"/>
        <v>7.8043704474516898E-4</v>
      </c>
    </row>
    <row r="673" spans="1:5" x14ac:dyDescent="0.25">
      <c r="A673" s="41">
        <v>43493</v>
      </c>
      <c r="B673" s="29">
        <v>343.38</v>
      </c>
      <c r="C673" s="37">
        <f t="shared" si="26"/>
        <v>57.23</v>
      </c>
      <c r="D673" s="37">
        <v>6.0119999999999996</v>
      </c>
      <c r="E673" s="33">
        <f t="shared" si="27"/>
        <v>-8.2315223984057492E-3</v>
      </c>
    </row>
    <row r="674" spans="1:5" x14ac:dyDescent="0.25">
      <c r="A674" s="41">
        <v>43494</v>
      </c>
      <c r="B674" s="29">
        <v>144.72999999999999</v>
      </c>
      <c r="C674" s="37">
        <f t="shared" si="26"/>
        <v>24.121666666666663</v>
      </c>
      <c r="D674" s="37">
        <v>5.4169999999999998</v>
      </c>
      <c r="E674" s="33">
        <f t="shared" si="27"/>
        <v>-0.57851360009319119</v>
      </c>
    </row>
    <row r="675" spans="1:5" x14ac:dyDescent="0.25">
      <c r="A675" s="41">
        <v>43494</v>
      </c>
      <c r="B675" s="29">
        <v>142.97</v>
      </c>
      <c r="C675" s="37">
        <f t="shared" si="26"/>
        <v>23.828333333333333</v>
      </c>
      <c r="D675" s="37">
        <v>5.4169999999999998</v>
      </c>
      <c r="E675" s="33">
        <f t="shared" si="27"/>
        <v>-1.2160574863538942E-2</v>
      </c>
    </row>
    <row r="676" spans="1:5" x14ac:dyDescent="0.25">
      <c r="A676" s="41">
        <v>43494</v>
      </c>
      <c r="B676" s="29">
        <v>142.87</v>
      </c>
      <c r="C676" s="37">
        <f t="shared" si="26"/>
        <v>23.811666666666667</v>
      </c>
      <c r="D676" s="37">
        <v>5.4169999999999998</v>
      </c>
      <c r="E676" s="33">
        <f t="shared" si="27"/>
        <v>-6.9944743652510541E-4</v>
      </c>
    </row>
    <row r="677" spans="1:5" x14ac:dyDescent="0.25">
      <c r="A677" s="41">
        <v>43494</v>
      </c>
      <c r="B677" s="29">
        <v>142.84</v>
      </c>
      <c r="C677" s="37">
        <f t="shared" si="26"/>
        <v>23.806666666666668</v>
      </c>
      <c r="D677" s="37">
        <v>5.4169999999999998</v>
      </c>
      <c r="E677" s="33">
        <f t="shared" si="27"/>
        <v>-2.0998110170085489E-4</v>
      </c>
    </row>
    <row r="678" spans="1:5" x14ac:dyDescent="0.25">
      <c r="A678" s="41">
        <v>43494</v>
      </c>
      <c r="B678" s="29">
        <v>142.79</v>
      </c>
      <c r="C678" s="37">
        <f t="shared" si="26"/>
        <v>23.798333333333332</v>
      </c>
      <c r="D678" s="37">
        <v>5.4169999999999998</v>
      </c>
      <c r="E678" s="33">
        <f t="shared" si="27"/>
        <v>-3.5004200504068446E-4</v>
      </c>
    </row>
    <row r="679" spans="1:5" x14ac:dyDescent="0.25">
      <c r="A679" s="41">
        <v>43494</v>
      </c>
      <c r="B679" s="29">
        <v>142.79</v>
      </c>
      <c r="C679" s="37">
        <f t="shared" si="26"/>
        <v>23.798333333333332</v>
      </c>
      <c r="D679" s="37">
        <v>5.4169999999999998</v>
      </c>
      <c r="E679" s="33">
        <f t="shared" si="27"/>
        <v>0</v>
      </c>
    </row>
    <row r="680" spans="1:5" x14ac:dyDescent="0.25">
      <c r="A680" s="41">
        <v>43494</v>
      </c>
      <c r="B680" s="29">
        <v>142.77000000000001</v>
      </c>
      <c r="C680" s="37">
        <f t="shared" si="26"/>
        <v>23.795000000000002</v>
      </c>
      <c r="D680" s="37">
        <v>5.4169999999999998</v>
      </c>
      <c r="E680" s="33">
        <f t="shared" si="27"/>
        <v>-1.4006583094041468E-4</v>
      </c>
    </row>
    <row r="681" spans="1:5" x14ac:dyDescent="0.25">
      <c r="A681" s="41">
        <v>43494</v>
      </c>
      <c r="B681" s="29">
        <v>143.65</v>
      </c>
      <c r="C681" s="37">
        <f t="shared" si="26"/>
        <v>23.941666666666666</v>
      </c>
      <c r="D681" s="37">
        <v>5.4169999999999998</v>
      </c>
      <c r="E681" s="33">
        <f t="shared" si="27"/>
        <v>6.1637598935350242E-3</v>
      </c>
    </row>
    <row r="682" spans="1:5" x14ac:dyDescent="0.25">
      <c r="A682" s="41">
        <v>43494</v>
      </c>
      <c r="B682" s="29">
        <v>146.82</v>
      </c>
      <c r="C682" s="37">
        <f t="shared" si="26"/>
        <v>24.47</v>
      </c>
      <c r="D682" s="37">
        <v>5.4169999999999998</v>
      </c>
      <c r="E682" s="33">
        <f t="shared" si="27"/>
        <v>2.2067525234945963E-2</v>
      </c>
    </row>
    <row r="683" spans="1:5" x14ac:dyDescent="0.25">
      <c r="A683" s="41">
        <v>43494</v>
      </c>
      <c r="B683" s="29">
        <v>150.79</v>
      </c>
      <c r="C683" s="37">
        <f t="shared" si="26"/>
        <v>25.131666666666668</v>
      </c>
      <c r="D683" s="37">
        <v>5.4169999999999998</v>
      </c>
      <c r="E683" s="33">
        <f t="shared" si="27"/>
        <v>2.7039912818417104E-2</v>
      </c>
    </row>
    <row r="684" spans="1:5" x14ac:dyDescent="0.25">
      <c r="A684" s="41">
        <v>43494</v>
      </c>
      <c r="B684" s="29">
        <v>150.84</v>
      </c>
      <c r="C684" s="37">
        <f t="shared" si="26"/>
        <v>25.14</v>
      </c>
      <c r="D684" s="37">
        <v>5.4169999999999998</v>
      </c>
      <c r="E684" s="33">
        <f t="shared" si="27"/>
        <v>3.3158697526368706E-4</v>
      </c>
    </row>
    <row r="685" spans="1:5" x14ac:dyDescent="0.25">
      <c r="A685" s="41">
        <v>43494</v>
      </c>
      <c r="B685" s="29">
        <v>150.79</v>
      </c>
      <c r="C685" s="37">
        <f t="shared" si="26"/>
        <v>25.131666666666668</v>
      </c>
      <c r="D685" s="37">
        <v>5.4169999999999998</v>
      </c>
      <c r="E685" s="33">
        <f t="shared" si="27"/>
        <v>-3.3147706178739968E-4</v>
      </c>
    </row>
    <row r="686" spans="1:5" x14ac:dyDescent="0.25">
      <c r="A686" s="41">
        <v>43494</v>
      </c>
      <c r="B686" s="29">
        <v>150.75</v>
      </c>
      <c r="C686" s="37">
        <f t="shared" si="26"/>
        <v>25.125</v>
      </c>
      <c r="D686" s="37">
        <v>5.4169999999999998</v>
      </c>
      <c r="E686" s="33">
        <f t="shared" si="27"/>
        <v>-2.6526958021083657E-4</v>
      </c>
    </row>
    <row r="687" spans="1:5" x14ac:dyDescent="0.25">
      <c r="A687" s="41">
        <v>43494</v>
      </c>
      <c r="B687" s="29">
        <v>151.25</v>
      </c>
      <c r="C687" s="37">
        <f t="shared" si="26"/>
        <v>25.208333333333332</v>
      </c>
      <c r="D687" s="37">
        <v>5.4169999999999998</v>
      </c>
      <c r="E687" s="33">
        <f t="shared" si="27"/>
        <v>3.3167495854063019E-3</v>
      </c>
    </row>
    <row r="688" spans="1:5" x14ac:dyDescent="0.25">
      <c r="A688" s="41">
        <v>43494</v>
      </c>
      <c r="B688" s="29">
        <v>152.34</v>
      </c>
      <c r="C688" s="37">
        <f t="shared" si="26"/>
        <v>25.39</v>
      </c>
      <c r="D688" s="37">
        <v>5.4169999999999998</v>
      </c>
      <c r="E688" s="33">
        <f t="shared" si="27"/>
        <v>7.2066115702479564E-3</v>
      </c>
    </row>
    <row r="689" spans="1:5" x14ac:dyDescent="0.25">
      <c r="A689" s="41">
        <v>43494</v>
      </c>
      <c r="B689" s="29">
        <v>151.62</v>
      </c>
      <c r="C689" s="37">
        <f t="shared" si="26"/>
        <v>25.27</v>
      </c>
      <c r="D689" s="37">
        <v>5.4169999999999998</v>
      </c>
      <c r="E689" s="33">
        <f t="shared" si="27"/>
        <v>-4.7262701851122409E-3</v>
      </c>
    </row>
    <row r="690" spans="1:5" x14ac:dyDescent="0.25">
      <c r="A690" s="41">
        <v>43494</v>
      </c>
      <c r="B690" s="29">
        <v>150.94999999999999</v>
      </c>
      <c r="C690" s="37">
        <f t="shared" si="26"/>
        <v>25.158333333333331</v>
      </c>
      <c r="D690" s="37">
        <v>5.4169999999999998</v>
      </c>
      <c r="E690" s="33">
        <f t="shared" si="27"/>
        <v>-4.4189420920723909E-3</v>
      </c>
    </row>
    <row r="691" spans="1:5" x14ac:dyDescent="0.25">
      <c r="A691" s="41">
        <v>43494</v>
      </c>
      <c r="B691" s="29">
        <v>150.51</v>
      </c>
      <c r="C691" s="37">
        <f t="shared" si="26"/>
        <v>25.085000000000001</v>
      </c>
      <c r="D691" s="37">
        <v>5.4169999999999998</v>
      </c>
      <c r="E691" s="33">
        <f t="shared" si="27"/>
        <v>-2.9148724743292332E-3</v>
      </c>
    </row>
    <row r="692" spans="1:5" x14ac:dyDescent="0.25">
      <c r="A692" s="41">
        <v>43494</v>
      </c>
      <c r="B692" s="29">
        <v>146.66</v>
      </c>
      <c r="C692" s="37">
        <f t="shared" si="26"/>
        <v>24.443333333333332</v>
      </c>
      <c r="D692" s="37">
        <v>5.4169999999999998</v>
      </c>
      <c r="E692" s="33">
        <f t="shared" si="27"/>
        <v>-2.5579695701282271E-2</v>
      </c>
    </row>
    <row r="693" spans="1:5" x14ac:dyDescent="0.25">
      <c r="A693" s="41">
        <v>43494</v>
      </c>
      <c r="B693" s="29">
        <v>146.62</v>
      </c>
      <c r="C693" s="37">
        <f t="shared" si="26"/>
        <v>24.436666666666667</v>
      </c>
      <c r="D693" s="37">
        <v>5.4169999999999998</v>
      </c>
      <c r="E693" s="33">
        <f t="shared" si="27"/>
        <v>-2.7273966998494505E-4</v>
      </c>
    </row>
    <row r="694" spans="1:5" x14ac:dyDescent="0.25">
      <c r="A694" s="41">
        <v>43494</v>
      </c>
      <c r="B694" s="29">
        <v>147.05000000000001</v>
      </c>
      <c r="C694" s="37">
        <f t="shared" si="26"/>
        <v>24.508333333333336</v>
      </c>
      <c r="D694" s="37">
        <v>5.4169999999999998</v>
      </c>
      <c r="E694" s="33">
        <f t="shared" si="27"/>
        <v>2.932751329968673E-3</v>
      </c>
    </row>
    <row r="695" spans="1:5" x14ac:dyDescent="0.25">
      <c r="A695" s="41">
        <v>43494</v>
      </c>
      <c r="B695" s="29">
        <v>150.04</v>
      </c>
      <c r="C695" s="37">
        <f t="shared" si="26"/>
        <v>25.006666666666668</v>
      </c>
      <c r="D695" s="37">
        <v>5.4169999999999998</v>
      </c>
      <c r="E695" s="33">
        <f t="shared" si="27"/>
        <v>2.033321999319946E-2</v>
      </c>
    </row>
    <row r="696" spans="1:5" x14ac:dyDescent="0.25">
      <c r="A696" s="41">
        <v>43494</v>
      </c>
      <c r="B696" s="29">
        <v>150.08000000000001</v>
      </c>
      <c r="C696" s="37">
        <f t="shared" si="26"/>
        <v>25.013333333333335</v>
      </c>
      <c r="D696" s="37">
        <v>5.4169999999999998</v>
      </c>
      <c r="E696" s="33">
        <f t="shared" si="27"/>
        <v>2.6659557451359946E-4</v>
      </c>
    </row>
    <row r="697" spans="1:5" x14ac:dyDescent="0.25">
      <c r="A697" s="41">
        <v>43494</v>
      </c>
      <c r="B697" s="29">
        <v>147.5</v>
      </c>
      <c r="C697" s="37">
        <f t="shared" si="26"/>
        <v>24.583333333333332</v>
      </c>
      <c r="D697" s="37">
        <v>5.4169999999999998</v>
      </c>
      <c r="E697" s="33">
        <f t="shared" si="27"/>
        <v>-1.7190831556503281E-2</v>
      </c>
    </row>
    <row r="698" spans="1:5" x14ac:dyDescent="0.25">
      <c r="A698" s="41">
        <v>43495</v>
      </c>
      <c r="B698" s="29">
        <v>145.47</v>
      </c>
      <c r="C698" s="37">
        <f t="shared" si="26"/>
        <v>24.245000000000001</v>
      </c>
      <c r="D698" s="37">
        <v>4.9539999999999997</v>
      </c>
      <c r="E698" s="33">
        <f t="shared" si="27"/>
        <v>-1.3762711864406788E-2</v>
      </c>
    </row>
    <row r="699" spans="1:5" x14ac:dyDescent="0.25">
      <c r="A699" s="41">
        <v>43495</v>
      </c>
      <c r="B699" s="29">
        <v>144.52000000000001</v>
      </c>
      <c r="C699" s="37">
        <f t="shared" si="26"/>
        <v>24.08666666666667</v>
      </c>
      <c r="D699" s="37">
        <v>4.9539999999999997</v>
      </c>
      <c r="E699" s="33">
        <f t="shared" si="27"/>
        <v>-6.530556128411278E-3</v>
      </c>
    </row>
    <row r="700" spans="1:5" x14ac:dyDescent="0.25">
      <c r="A700" s="41">
        <v>43495</v>
      </c>
      <c r="B700" s="29">
        <v>143.43</v>
      </c>
      <c r="C700" s="37">
        <f t="shared" si="26"/>
        <v>23.905000000000001</v>
      </c>
      <c r="D700" s="37">
        <v>4.9539999999999997</v>
      </c>
      <c r="E700" s="33">
        <f t="shared" si="27"/>
        <v>-7.5422086908386613E-3</v>
      </c>
    </row>
    <row r="701" spans="1:5" x14ac:dyDescent="0.25">
      <c r="A701" s="41">
        <v>43495</v>
      </c>
      <c r="B701" s="29">
        <v>142.58000000000001</v>
      </c>
      <c r="C701" s="37">
        <f t="shared" si="26"/>
        <v>23.763333333333335</v>
      </c>
      <c r="D701" s="37">
        <v>4.9539999999999997</v>
      </c>
      <c r="E701" s="33">
        <f t="shared" si="27"/>
        <v>-5.9262357944641587E-3</v>
      </c>
    </row>
    <row r="702" spans="1:5" x14ac:dyDescent="0.25">
      <c r="A702" s="41">
        <v>43495</v>
      </c>
      <c r="B702" s="29">
        <v>142.44999999999999</v>
      </c>
      <c r="C702" s="37">
        <f t="shared" si="26"/>
        <v>23.741666666666664</v>
      </c>
      <c r="D702" s="37">
        <v>4.9539999999999997</v>
      </c>
      <c r="E702" s="33">
        <f t="shared" si="27"/>
        <v>-9.1176883153334172E-4</v>
      </c>
    </row>
    <row r="703" spans="1:5" x14ac:dyDescent="0.25">
      <c r="A703" s="41">
        <v>43495</v>
      </c>
      <c r="B703" s="29">
        <v>142.59</v>
      </c>
      <c r="C703" s="37">
        <f t="shared" si="26"/>
        <v>23.765000000000001</v>
      </c>
      <c r="D703" s="37">
        <v>4.9539999999999997</v>
      </c>
      <c r="E703" s="33">
        <f t="shared" si="27"/>
        <v>9.8280098280108664E-4</v>
      </c>
    </row>
    <row r="704" spans="1:5" x14ac:dyDescent="0.25">
      <c r="A704" s="41">
        <v>43495</v>
      </c>
      <c r="B704" s="29">
        <v>143.53</v>
      </c>
      <c r="C704" s="37">
        <f t="shared" si="26"/>
        <v>23.921666666666667</v>
      </c>
      <c r="D704" s="37">
        <v>4.9539999999999997</v>
      </c>
      <c r="E704" s="33">
        <f t="shared" si="27"/>
        <v>6.5923276527105525E-3</v>
      </c>
    </row>
    <row r="705" spans="1:5" x14ac:dyDescent="0.25">
      <c r="A705" s="41">
        <v>43495</v>
      </c>
      <c r="B705" s="29">
        <v>144.53</v>
      </c>
      <c r="C705" s="37">
        <f t="shared" si="26"/>
        <v>24.088333333333335</v>
      </c>
      <c r="D705" s="37">
        <v>4.9539999999999997</v>
      </c>
      <c r="E705" s="33">
        <f t="shared" si="27"/>
        <v>6.9671845607190133E-3</v>
      </c>
    </row>
    <row r="706" spans="1:5" x14ac:dyDescent="0.25">
      <c r="A706" s="41">
        <v>43495</v>
      </c>
      <c r="B706" s="29">
        <v>147.96</v>
      </c>
      <c r="C706" s="37">
        <f t="shared" si="26"/>
        <v>24.66</v>
      </c>
      <c r="D706" s="37">
        <v>4.9539999999999997</v>
      </c>
      <c r="E706" s="33">
        <f t="shared" si="27"/>
        <v>2.3732097142461821E-2</v>
      </c>
    </row>
    <row r="707" spans="1:5" x14ac:dyDescent="0.25">
      <c r="A707" s="41">
        <v>43495</v>
      </c>
      <c r="B707" s="29">
        <v>150.19</v>
      </c>
      <c r="C707" s="37">
        <f t="shared" ref="C707:C770" si="28">(B707*100/600)</f>
        <v>25.031666666666666</v>
      </c>
      <c r="D707" s="37">
        <v>4.9539999999999997</v>
      </c>
      <c r="E707" s="33">
        <f t="shared" si="27"/>
        <v>1.5071640984049674E-2</v>
      </c>
    </row>
    <row r="708" spans="1:5" x14ac:dyDescent="0.25">
      <c r="A708" s="41">
        <v>43495</v>
      </c>
      <c r="B708" s="29">
        <v>150.19</v>
      </c>
      <c r="C708" s="37">
        <f t="shared" si="28"/>
        <v>25.031666666666666</v>
      </c>
      <c r="D708" s="37">
        <v>4.9539999999999997</v>
      </c>
      <c r="E708" s="33">
        <f t="shared" ref="E708:E771" si="29">(B708-B707)/B707</f>
        <v>0</v>
      </c>
    </row>
    <row r="709" spans="1:5" x14ac:dyDescent="0.25">
      <c r="A709" s="41">
        <v>43495</v>
      </c>
      <c r="B709" s="29">
        <v>150.25</v>
      </c>
      <c r="C709" s="37">
        <f t="shared" si="28"/>
        <v>25.041666666666668</v>
      </c>
      <c r="D709" s="37">
        <v>4.9539999999999997</v>
      </c>
      <c r="E709" s="33">
        <f t="shared" si="29"/>
        <v>3.9949397429923613E-4</v>
      </c>
    </row>
    <row r="710" spans="1:5" x14ac:dyDescent="0.25">
      <c r="A710" s="41">
        <v>43495</v>
      </c>
      <c r="B710" s="29">
        <v>150.16999999999999</v>
      </c>
      <c r="C710" s="37">
        <f t="shared" si="28"/>
        <v>25.028333333333329</v>
      </c>
      <c r="D710" s="37">
        <v>4.9539999999999997</v>
      </c>
      <c r="E710" s="33">
        <f t="shared" si="29"/>
        <v>-5.3244592346098172E-4</v>
      </c>
    </row>
    <row r="711" spans="1:5" x14ac:dyDescent="0.25">
      <c r="A711" s="41">
        <v>43495</v>
      </c>
      <c r="B711" s="29">
        <v>152.80000000000001</v>
      </c>
      <c r="C711" s="37">
        <f t="shared" si="28"/>
        <v>25.466666666666669</v>
      </c>
      <c r="D711" s="37">
        <v>4.9539999999999997</v>
      </c>
      <c r="E711" s="33">
        <f t="shared" si="29"/>
        <v>1.7513484717320532E-2</v>
      </c>
    </row>
    <row r="712" spans="1:5" x14ac:dyDescent="0.25">
      <c r="A712" s="41">
        <v>43495</v>
      </c>
      <c r="B712" s="29">
        <v>157.29</v>
      </c>
      <c r="C712" s="37">
        <f t="shared" si="28"/>
        <v>26.215</v>
      </c>
      <c r="D712" s="37">
        <v>4.9539999999999997</v>
      </c>
      <c r="E712" s="33">
        <f t="shared" si="29"/>
        <v>2.9384816753926572E-2</v>
      </c>
    </row>
    <row r="713" spans="1:5" x14ac:dyDescent="0.25">
      <c r="A713" s="41">
        <v>43495</v>
      </c>
      <c r="B713" s="29">
        <v>157.29</v>
      </c>
      <c r="C713" s="37">
        <f t="shared" si="28"/>
        <v>26.215</v>
      </c>
      <c r="D713" s="37">
        <v>4.9539999999999997</v>
      </c>
      <c r="E713" s="33">
        <f t="shared" si="29"/>
        <v>0</v>
      </c>
    </row>
    <row r="714" spans="1:5" x14ac:dyDescent="0.25">
      <c r="A714" s="41">
        <v>43495</v>
      </c>
      <c r="B714" s="29">
        <v>154.1</v>
      </c>
      <c r="C714" s="37">
        <f t="shared" si="28"/>
        <v>25.683333333333334</v>
      </c>
      <c r="D714" s="37">
        <v>4.9539999999999997</v>
      </c>
      <c r="E714" s="33">
        <f t="shared" si="29"/>
        <v>-2.0281009600101711E-2</v>
      </c>
    </row>
    <row r="715" spans="1:5" x14ac:dyDescent="0.25">
      <c r="A715" s="41">
        <v>43495</v>
      </c>
      <c r="B715" s="29">
        <v>149.85</v>
      </c>
      <c r="C715" s="37">
        <f t="shared" si="28"/>
        <v>24.975000000000001</v>
      </c>
      <c r="D715" s="37">
        <v>4.9539999999999997</v>
      </c>
      <c r="E715" s="33">
        <f t="shared" si="29"/>
        <v>-2.7579493835171966E-2</v>
      </c>
    </row>
    <row r="716" spans="1:5" x14ac:dyDescent="0.25">
      <c r="A716" s="41">
        <v>43495</v>
      </c>
      <c r="B716" s="29">
        <v>148.19</v>
      </c>
      <c r="C716" s="37">
        <f t="shared" si="28"/>
        <v>24.698333333333334</v>
      </c>
      <c r="D716" s="37">
        <v>4.9539999999999997</v>
      </c>
      <c r="E716" s="33">
        <f t="shared" si="29"/>
        <v>-1.1077744411077723E-2</v>
      </c>
    </row>
    <row r="717" spans="1:5" x14ac:dyDescent="0.25">
      <c r="A717" s="41">
        <v>43495</v>
      </c>
      <c r="B717" s="29">
        <v>146.01</v>
      </c>
      <c r="C717" s="37">
        <f t="shared" si="28"/>
        <v>24.335000000000001</v>
      </c>
      <c r="D717" s="37">
        <v>4.9539999999999997</v>
      </c>
      <c r="E717" s="33">
        <f t="shared" si="29"/>
        <v>-1.4710844186517354E-2</v>
      </c>
    </row>
    <row r="718" spans="1:5" x14ac:dyDescent="0.25">
      <c r="A718" s="41">
        <v>43495</v>
      </c>
      <c r="B718" s="29">
        <v>148.78</v>
      </c>
      <c r="C718" s="37">
        <f t="shared" si="28"/>
        <v>24.796666666666667</v>
      </c>
      <c r="D718" s="37">
        <v>4.9539999999999997</v>
      </c>
      <c r="E718" s="33">
        <f t="shared" si="29"/>
        <v>1.8971303335388059E-2</v>
      </c>
    </row>
    <row r="719" spans="1:5" x14ac:dyDescent="0.25">
      <c r="A719" s="41">
        <v>43495</v>
      </c>
      <c r="B719" s="29">
        <v>149.69</v>
      </c>
      <c r="C719" s="37">
        <f t="shared" si="28"/>
        <v>24.948333333333334</v>
      </c>
      <c r="D719" s="37">
        <v>4.9539999999999997</v>
      </c>
      <c r="E719" s="33">
        <f t="shared" si="29"/>
        <v>6.1164134964376699E-3</v>
      </c>
    </row>
    <row r="720" spans="1:5" x14ac:dyDescent="0.25">
      <c r="A720" s="41">
        <v>43495</v>
      </c>
      <c r="B720" s="29">
        <v>149.65</v>
      </c>
      <c r="C720" s="37">
        <f t="shared" si="28"/>
        <v>24.941666666666666</v>
      </c>
      <c r="D720" s="37">
        <v>4.9539999999999997</v>
      </c>
      <c r="E720" s="33">
        <f t="shared" si="29"/>
        <v>-2.6721891909941908E-4</v>
      </c>
    </row>
    <row r="721" spans="1:5" x14ac:dyDescent="0.25">
      <c r="A721" s="41">
        <v>43495</v>
      </c>
      <c r="B721" s="29">
        <v>149.61000000000001</v>
      </c>
      <c r="C721" s="37">
        <f t="shared" si="28"/>
        <v>24.935000000000002</v>
      </c>
      <c r="D721" s="37">
        <v>4.9539999999999997</v>
      </c>
      <c r="E721" s="33">
        <f t="shared" si="29"/>
        <v>-2.6729034413626489E-4</v>
      </c>
    </row>
    <row r="722" spans="1:5" x14ac:dyDescent="0.25">
      <c r="A722" s="41">
        <v>43496</v>
      </c>
      <c r="B722" s="29">
        <v>172.2</v>
      </c>
      <c r="C722" s="37">
        <f t="shared" si="28"/>
        <v>28.7</v>
      </c>
      <c r="D722" s="37">
        <v>4.6260000000000003</v>
      </c>
      <c r="E722" s="33">
        <f t="shared" si="29"/>
        <v>0.15099258070984542</v>
      </c>
    </row>
    <row r="723" spans="1:5" x14ac:dyDescent="0.25">
      <c r="A723" s="41">
        <v>43496</v>
      </c>
      <c r="B723" s="29">
        <v>169.65</v>
      </c>
      <c r="C723" s="37">
        <f t="shared" si="28"/>
        <v>28.274999999999999</v>
      </c>
      <c r="D723" s="37">
        <v>4.6260000000000003</v>
      </c>
      <c r="E723" s="33">
        <f t="shared" si="29"/>
        <v>-1.4808362369337882E-2</v>
      </c>
    </row>
    <row r="724" spans="1:5" x14ac:dyDescent="0.25">
      <c r="A724" s="41">
        <v>43496</v>
      </c>
      <c r="B724" s="29">
        <v>169.17</v>
      </c>
      <c r="C724" s="37">
        <f t="shared" si="28"/>
        <v>28.195</v>
      </c>
      <c r="D724" s="37">
        <v>4.6260000000000003</v>
      </c>
      <c r="E724" s="33">
        <f t="shared" si="29"/>
        <v>-2.8293545534925917E-3</v>
      </c>
    </row>
    <row r="725" spans="1:5" x14ac:dyDescent="0.25">
      <c r="A725" s="41">
        <v>43496</v>
      </c>
      <c r="B725" s="29">
        <v>168.59</v>
      </c>
      <c r="C725" s="37">
        <f t="shared" si="28"/>
        <v>28.098333333333333</v>
      </c>
      <c r="D725" s="37">
        <v>4.6260000000000003</v>
      </c>
      <c r="E725" s="33">
        <f t="shared" si="29"/>
        <v>-3.4285038718447959E-3</v>
      </c>
    </row>
    <row r="726" spans="1:5" x14ac:dyDescent="0.25">
      <c r="A726" s="41">
        <v>43496</v>
      </c>
      <c r="B726" s="29">
        <v>168.54</v>
      </c>
      <c r="C726" s="37">
        <f t="shared" si="28"/>
        <v>28.09</v>
      </c>
      <c r="D726" s="37">
        <v>4.6260000000000003</v>
      </c>
      <c r="E726" s="33">
        <f t="shared" si="29"/>
        <v>-2.9657749569969377E-4</v>
      </c>
    </row>
    <row r="727" spans="1:5" x14ac:dyDescent="0.25">
      <c r="A727" s="41">
        <v>43496</v>
      </c>
      <c r="B727" s="29">
        <v>168.54</v>
      </c>
      <c r="C727" s="37">
        <f t="shared" si="28"/>
        <v>28.09</v>
      </c>
      <c r="D727" s="37">
        <v>4.6260000000000003</v>
      </c>
      <c r="E727" s="33">
        <f t="shared" si="29"/>
        <v>0</v>
      </c>
    </row>
    <row r="728" spans="1:5" x14ac:dyDescent="0.25">
      <c r="A728" s="41">
        <v>43496</v>
      </c>
      <c r="B728" s="29">
        <v>169.27</v>
      </c>
      <c r="C728" s="37">
        <f t="shared" si="28"/>
        <v>28.211666666666666</v>
      </c>
      <c r="D728" s="37">
        <v>4.6260000000000003</v>
      </c>
      <c r="E728" s="33">
        <f t="shared" si="29"/>
        <v>4.3313160080694088E-3</v>
      </c>
    </row>
    <row r="729" spans="1:5" x14ac:dyDescent="0.25">
      <c r="A729" s="41">
        <v>43496</v>
      </c>
      <c r="B729" s="29">
        <v>170.2</v>
      </c>
      <c r="C729" s="37">
        <f t="shared" si="28"/>
        <v>28.366666666666667</v>
      </c>
      <c r="D729" s="37">
        <v>4.6260000000000003</v>
      </c>
      <c r="E729" s="33">
        <f t="shared" si="29"/>
        <v>5.4941808944288907E-3</v>
      </c>
    </row>
    <row r="730" spans="1:5" x14ac:dyDescent="0.25">
      <c r="A730" s="41">
        <v>43496</v>
      </c>
      <c r="B730" s="29">
        <v>174.95</v>
      </c>
      <c r="C730" s="37">
        <f t="shared" si="28"/>
        <v>29.158333333333335</v>
      </c>
      <c r="D730" s="37">
        <v>4.6260000000000003</v>
      </c>
      <c r="E730" s="33">
        <f t="shared" si="29"/>
        <v>2.7908343125734432E-2</v>
      </c>
    </row>
    <row r="731" spans="1:5" x14ac:dyDescent="0.25">
      <c r="A731" s="41">
        <v>43496</v>
      </c>
      <c r="B731" s="29">
        <v>175.54</v>
      </c>
      <c r="C731" s="37">
        <f t="shared" si="28"/>
        <v>29.256666666666668</v>
      </c>
      <c r="D731" s="37">
        <v>4.6260000000000003</v>
      </c>
      <c r="E731" s="33">
        <f t="shared" si="29"/>
        <v>3.3723921120320287E-3</v>
      </c>
    </row>
    <row r="732" spans="1:5" x14ac:dyDescent="0.25">
      <c r="A732" s="41">
        <v>43496</v>
      </c>
      <c r="B732" s="29">
        <v>176.5</v>
      </c>
      <c r="C732" s="37">
        <f t="shared" si="28"/>
        <v>29.416666666666668</v>
      </c>
      <c r="D732" s="37">
        <v>4.6260000000000003</v>
      </c>
      <c r="E732" s="33">
        <f t="shared" si="29"/>
        <v>5.4688390110516575E-3</v>
      </c>
    </row>
    <row r="733" spans="1:5" x14ac:dyDescent="0.25">
      <c r="A733" s="41">
        <v>43496</v>
      </c>
      <c r="B733" s="29">
        <v>176.59</v>
      </c>
      <c r="C733" s="37">
        <f t="shared" si="28"/>
        <v>29.431666666666668</v>
      </c>
      <c r="D733" s="37">
        <v>4.6260000000000003</v>
      </c>
      <c r="E733" s="33">
        <f t="shared" si="29"/>
        <v>5.0991501416432531E-4</v>
      </c>
    </row>
    <row r="734" spans="1:5" x14ac:dyDescent="0.25">
      <c r="A734" s="41">
        <v>43496</v>
      </c>
      <c r="B734" s="29">
        <v>175.77</v>
      </c>
      <c r="C734" s="37">
        <f t="shared" si="28"/>
        <v>29.295000000000002</v>
      </c>
      <c r="D734" s="37">
        <v>4.6260000000000003</v>
      </c>
      <c r="E734" s="33">
        <f t="shared" si="29"/>
        <v>-4.6435245483888851E-3</v>
      </c>
    </row>
    <row r="735" spans="1:5" x14ac:dyDescent="0.25">
      <c r="A735" s="41">
        <v>43496</v>
      </c>
      <c r="B735" s="29">
        <v>178.26</v>
      </c>
      <c r="C735" s="37">
        <f t="shared" si="28"/>
        <v>29.71</v>
      </c>
      <c r="D735" s="37">
        <v>4.6260000000000003</v>
      </c>
      <c r="E735" s="33">
        <f t="shared" si="29"/>
        <v>1.4166239972691475E-2</v>
      </c>
    </row>
    <row r="736" spans="1:5" x14ac:dyDescent="0.25">
      <c r="A736" s="41">
        <v>43496</v>
      </c>
      <c r="B736" s="29">
        <v>182.41</v>
      </c>
      <c r="C736" s="37">
        <f t="shared" si="28"/>
        <v>30.401666666666667</v>
      </c>
      <c r="D736" s="37">
        <v>4.6260000000000003</v>
      </c>
      <c r="E736" s="33">
        <f t="shared" si="29"/>
        <v>2.3280601368787197E-2</v>
      </c>
    </row>
    <row r="737" spans="1:5" x14ac:dyDescent="0.25">
      <c r="A737" s="41">
        <v>43496</v>
      </c>
      <c r="B737" s="29">
        <v>182.39</v>
      </c>
      <c r="C737" s="37">
        <f t="shared" si="28"/>
        <v>30.398333333333333</v>
      </c>
      <c r="D737" s="37">
        <v>4.6260000000000003</v>
      </c>
      <c r="E737" s="33">
        <f t="shared" si="29"/>
        <v>-1.0964311167156533E-4</v>
      </c>
    </row>
    <row r="738" spans="1:5" x14ac:dyDescent="0.25">
      <c r="A738" s="41">
        <v>43496</v>
      </c>
      <c r="B738" s="29">
        <v>178.3</v>
      </c>
      <c r="C738" s="37">
        <f t="shared" si="28"/>
        <v>29.716666666666665</v>
      </c>
      <c r="D738" s="37">
        <v>4.6260000000000003</v>
      </c>
      <c r="E738" s="33">
        <f t="shared" si="29"/>
        <v>-2.2424475026042959E-2</v>
      </c>
    </row>
    <row r="739" spans="1:5" x14ac:dyDescent="0.25">
      <c r="A739" s="41">
        <v>43496</v>
      </c>
      <c r="B739" s="29">
        <v>175.13</v>
      </c>
      <c r="C739" s="37">
        <f t="shared" si="28"/>
        <v>29.188333333333333</v>
      </c>
      <c r="D739" s="37">
        <v>4.6260000000000003</v>
      </c>
      <c r="E739" s="33">
        <f t="shared" si="29"/>
        <v>-1.7779024116657407E-2</v>
      </c>
    </row>
    <row r="740" spans="1:5" x14ac:dyDescent="0.25">
      <c r="A740" s="41">
        <v>43496</v>
      </c>
      <c r="B740" s="29">
        <v>174.21</v>
      </c>
      <c r="C740" s="37">
        <f t="shared" si="28"/>
        <v>29.035</v>
      </c>
      <c r="D740" s="37">
        <v>4.6260000000000003</v>
      </c>
      <c r="E740" s="33">
        <f t="shared" si="29"/>
        <v>-5.2532404499513932E-3</v>
      </c>
    </row>
    <row r="741" spans="1:5" x14ac:dyDescent="0.25">
      <c r="A741" s="41">
        <v>43496</v>
      </c>
      <c r="B741" s="29">
        <v>173.01</v>
      </c>
      <c r="C741" s="37">
        <f t="shared" si="28"/>
        <v>28.835000000000001</v>
      </c>
      <c r="D741" s="37">
        <v>4.6260000000000003</v>
      </c>
      <c r="E741" s="33">
        <f t="shared" si="29"/>
        <v>-6.8882383330464208E-3</v>
      </c>
    </row>
    <row r="742" spans="1:5" x14ac:dyDescent="0.25">
      <c r="A742" s="41">
        <v>43496</v>
      </c>
      <c r="B742" s="29">
        <v>174.89</v>
      </c>
      <c r="C742" s="37">
        <f t="shared" si="28"/>
        <v>29.148333333333333</v>
      </c>
      <c r="D742" s="37">
        <v>4.6260000000000003</v>
      </c>
      <c r="E742" s="33">
        <f t="shared" si="29"/>
        <v>1.0866423906132568E-2</v>
      </c>
    </row>
    <row r="743" spans="1:5" x14ac:dyDescent="0.25">
      <c r="A743" s="41">
        <v>43496</v>
      </c>
      <c r="B743" s="29">
        <v>174.94</v>
      </c>
      <c r="C743" s="37">
        <f t="shared" si="28"/>
        <v>29.156666666666666</v>
      </c>
      <c r="D743" s="37">
        <v>4.6260000000000003</v>
      </c>
      <c r="E743" s="33">
        <f t="shared" si="29"/>
        <v>2.8589399050838452E-4</v>
      </c>
    </row>
    <row r="744" spans="1:5" x14ac:dyDescent="0.25">
      <c r="A744" s="41">
        <v>43496</v>
      </c>
      <c r="B744" s="29">
        <v>174.85</v>
      </c>
      <c r="C744" s="37">
        <f t="shared" si="28"/>
        <v>29.141666666666666</v>
      </c>
      <c r="D744" s="37">
        <v>4.6260000000000003</v>
      </c>
      <c r="E744" s="33">
        <f t="shared" si="29"/>
        <v>-5.1446210129189103E-4</v>
      </c>
    </row>
    <row r="745" spans="1:5" x14ac:dyDescent="0.25">
      <c r="A745" s="41">
        <v>43496</v>
      </c>
      <c r="B745" s="29">
        <v>174.37</v>
      </c>
      <c r="C745" s="37">
        <f t="shared" si="28"/>
        <v>29.061666666666667</v>
      </c>
      <c r="D745" s="37">
        <v>4.6260000000000003</v>
      </c>
      <c r="E745" s="33">
        <f t="shared" si="29"/>
        <v>-2.7452101801543598E-3</v>
      </c>
    </row>
    <row r="746" spans="1:5" x14ac:dyDescent="0.25">
      <c r="A746" s="41">
        <v>43497</v>
      </c>
      <c r="B746" s="29">
        <v>343.75</v>
      </c>
      <c r="C746" s="37">
        <f t="shared" si="28"/>
        <v>57.291666666666664</v>
      </c>
      <c r="D746" s="37">
        <v>4.4909999999999997</v>
      </c>
      <c r="E746" s="33">
        <f t="shared" si="29"/>
        <v>0.9713826919768308</v>
      </c>
    </row>
    <row r="747" spans="1:5" x14ac:dyDescent="0.25">
      <c r="A747" s="41">
        <v>43497</v>
      </c>
      <c r="B747" s="29">
        <v>338.9</v>
      </c>
      <c r="C747" s="37">
        <f t="shared" si="28"/>
        <v>56.483333333333334</v>
      </c>
      <c r="D747" s="37">
        <v>4.4909999999999997</v>
      </c>
      <c r="E747" s="33">
        <f t="shared" si="29"/>
        <v>-1.4109090909090976E-2</v>
      </c>
    </row>
    <row r="748" spans="1:5" x14ac:dyDescent="0.25">
      <c r="A748" s="41">
        <v>43497</v>
      </c>
      <c r="B748" s="29">
        <v>338.02</v>
      </c>
      <c r="C748" s="37">
        <f t="shared" si="28"/>
        <v>56.336666666666666</v>
      </c>
      <c r="D748" s="37">
        <v>4.4909999999999997</v>
      </c>
      <c r="E748" s="33">
        <f t="shared" si="29"/>
        <v>-2.5966361758630731E-3</v>
      </c>
    </row>
    <row r="749" spans="1:5" x14ac:dyDescent="0.25">
      <c r="A749" s="41">
        <v>43497</v>
      </c>
      <c r="B749" s="29">
        <v>337.96</v>
      </c>
      <c r="C749" s="37">
        <f t="shared" si="28"/>
        <v>56.326666666666668</v>
      </c>
      <c r="D749" s="37">
        <v>4.4909999999999997</v>
      </c>
      <c r="E749" s="33">
        <f t="shared" si="29"/>
        <v>-1.775042896870075E-4</v>
      </c>
    </row>
    <row r="750" spans="1:5" x14ac:dyDescent="0.25">
      <c r="A750" s="41">
        <v>43497</v>
      </c>
      <c r="B750" s="29">
        <v>337.9</v>
      </c>
      <c r="C750" s="37">
        <f t="shared" si="28"/>
        <v>56.31666666666667</v>
      </c>
      <c r="D750" s="37">
        <v>4.4909999999999997</v>
      </c>
      <c r="E750" s="33">
        <f t="shared" si="29"/>
        <v>-1.7753580305362256E-4</v>
      </c>
    </row>
    <row r="751" spans="1:5" x14ac:dyDescent="0.25">
      <c r="A751" s="41">
        <v>43497</v>
      </c>
      <c r="B751" s="29">
        <v>337.84</v>
      </c>
      <c r="C751" s="37">
        <f t="shared" si="28"/>
        <v>56.306666666666665</v>
      </c>
      <c r="D751" s="37">
        <v>4.4909999999999997</v>
      </c>
      <c r="E751" s="33">
        <f t="shared" si="29"/>
        <v>-1.7756732761172619E-4</v>
      </c>
    </row>
    <row r="752" spans="1:5" x14ac:dyDescent="0.25">
      <c r="A752" s="41">
        <v>43497</v>
      </c>
      <c r="B752" s="29">
        <v>337.9</v>
      </c>
      <c r="C752" s="37">
        <f t="shared" si="28"/>
        <v>56.31666666666667</v>
      </c>
      <c r="D752" s="37">
        <v>4.4909999999999997</v>
      </c>
      <c r="E752" s="33">
        <f t="shared" si="29"/>
        <v>1.7759886336728118E-4</v>
      </c>
    </row>
    <row r="753" spans="1:5" x14ac:dyDescent="0.25">
      <c r="A753" s="41">
        <v>43497</v>
      </c>
      <c r="B753" s="29">
        <v>338.98</v>
      </c>
      <c r="C753" s="37">
        <f t="shared" si="28"/>
        <v>56.49666666666667</v>
      </c>
      <c r="D753" s="37">
        <v>4.4909999999999997</v>
      </c>
      <c r="E753" s="33">
        <f t="shared" si="29"/>
        <v>3.1962118970110713E-3</v>
      </c>
    </row>
    <row r="754" spans="1:5" x14ac:dyDescent="0.25">
      <c r="A754" s="41">
        <v>43497</v>
      </c>
      <c r="B754" s="29">
        <v>345.86</v>
      </c>
      <c r="C754" s="37">
        <f t="shared" si="28"/>
        <v>57.643333333333331</v>
      </c>
      <c r="D754" s="37">
        <v>4.4909999999999997</v>
      </c>
      <c r="E754" s="33">
        <f t="shared" si="29"/>
        <v>2.0296182665643977E-2</v>
      </c>
    </row>
    <row r="755" spans="1:5" x14ac:dyDescent="0.25">
      <c r="A755" s="41">
        <v>43497</v>
      </c>
      <c r="B755" s="29">
        <v>348.64</v>
      </c>
      <c r="C755" s="37">
        <f t="shared" si="28"/>
        <v>58.106666666666669</v>
      </c>
      <c r="D755" s="37">
        <v>4.4909999999999997</v>
      </c>
      <c r="E755" s="33">
        <f t="shared" si="29"/>
        <v>8.037934424333466E-3</v>
      </c>
    </row>
    <row r="756" spans="1:5" x14ac:dyDescent="0.25">
      <c r="A756" s="41">
        <v>43497</v>
      </c>
      <c r="B756" s="29">
        <v>354.69</v>
      </c>
      <c r="C756" s="37">
        <f t="shared" si="28"/>
        <v>59.115000000000002</v>
      </c>
      <c r="D756" s="37">
        <v>4.4909999999999997</v>
      </c>
      <c r="E756" s="33">
        <f t="shared" si="29"/>
        <v>1.7353143643873369E-2</v>
      </c>
    </row>
    <row r="757" spans="1:5" x14ac:dyDescent="0.25">
      <c r="A757" s="41">
        <v>43497</v>
      </c>
      <c r="B757" s="29">
        <v>355.15</v>
      </c>
      <c r="C757" s="37">
        <f t="shared" si="28"/>
        <v>59.19166666666667</v>
      </c>
      <c r="D757" s="37">
        <v>4.4909999999999997</v>
      </c>
      <c r="E757" s="33">
        <f t="shared" si="29"/>
        <v>1.2969071583635839E-3</v>
      </c>
    </row>
    <row r="758" spans="1:5" x14ac:dyDescent="0.25">
      <c r="A758" s="41">
        <v>43497</v>
      </c>
      <c r="B758" s="29">
        <v>353.22</v>
      </c>
      <c r="C758" s="37">
        <f t="shared" si="28"/>
        <v>58.87</v>
      </c>
      <c r="D758" s="37">
        <v>4.4909999999999997</v>
      </c>
      <c r="E758" s="33">
        <f t="shared" si="29"/>
        <v>-5.4343235252708715E-3</v>
      </c>
    </row>
    <row r="759" spans="1:5" x14ac:dyDescent="0.25">
      <c r="A759" s="41">
        <v>43497</v>
      </c>
      <c r="B759" s="29">
        <v>356.62</v>
      </c>
      <c r="C759" s="37">
        <f t="shared" si="28"/>
        <v>59.436666666666667</v>
      </c>
      <c r="D759" s="37">
        <v>4.4909999999999997</v>
      </c>
      <c r="E759" s="33">
        <f t="shared" si="29"/>
        <v>9.6257290074174082E-3</v>
      </c>
    </row>
    <row r="760" spans="1:5" x14ac:dyDescent="0.25">
      <c r="A760" s="41">
        <v>43497</v>
      </c>
      <c r="B760" s="29">
        <v>356.52</v>
      </c>
      <c r="C760" s="37">
        <f t="shared" si="28"/>
        <v>59.42</v>
      </c>
      <c r="D760" s="37">
        <v>4.4909999999999997</v>
      </c>
      <c r="E760" s="33">
        <f t="shared" si="29"/>
        <v>-2.8041052100281178E-4</v>
      </c>
    </row>
    <row r="761" spans="1:5" x14ac:dyDescent="0.25">
      <c r="A761" s="41">
        <v>43497</v>
      </c>
      <c r="B761" s="29">
        <v>356.42</v>
      </c>
      <c r="C761" s="37">
        <f t="shared" si="28"/>
        <v>59.403333333333336</v>
      </c>
      <c r="D761" s="37">
        <v>4.4909999999999997</v>
      </c>
      <c r="E761" s="33">
        <f t="shared" si="29"/>
        <v>-2.8048917311782198E-4</v>
      </c>
    </row>
    <row r="762" spans="1:5" x14ac:dyDescent="0.25">
      <c r="A762" s="41">
        <v>43497</v>
      </c>
      <c r="B762" s="29">
        <v>356.32</v>
      </c>
      <c r="C762" s="37">
        <f t="shared" si="28"/>
        <v>59.386666666666663</v>
      </c>
      <c r="D762" s="37">
        <v>4.4909999999999997</v>
      </c>
      <c r="E762" s="33">
        <f t="shared" si="29"/>
        <v>-2.8056786936766381E-4</v>
      </c>
    </row>
    <row r="763" spans="1:5" x14ac:dyDescent="0.25">
      <c r="A763" s="41">
        <v>43497</v>
      </c>
      <c r="B763" s="29">
        <v>348.57</v>
      </c>
      <c r="C763" s="37">
        <f t="shared" si="28"/>
        <v>58.094999999999999</v>
      </c>
      <c r="D763" s="37">
        <v>4.4909999999999997</v>
      </c>
      <c r="E763" s="33">
        <f t="shared" si="29"/>
        <v>-2.1750112258643917E-2</v>
      </c>
    </row>
    <row r="764" spans="1:5" x14ac:dyDescent="0.25">
      <c r="A764" s="41">
        <v>43497</v>
      </c>
      <c r="B764" s="29">
        <v>343.13</v>
      </c>
      <c r="C764" s="37">
        <f t="shared" si="28"/>
        <v>57.188333333333333</v>
      </c>
      <c r="D764" s="37">
        <v>4.4909999999999997</v>
      </c>
      <c r="E764" s="33">
        <f t="shared" si="29"/>
        <v>-1.5606621338612037E-2</v>
      </c>
    </row>
    <row r="765" spans="1:5" x14ac:dyDescent="0.25">
      <c r="A765" s="41">
        <v>43497</v>
      </c>
      <c r="B765" s="29">
        <v>340.7</v>
      </c>
      <c r="C765" s="37">
        <f t="shared" si="28"/>
        <v>56.783333333333331</v>
      </c>
      <c r="D765" s="37">
        <v>4.4909999999999997</v>
      </c>
      <c r="E765" s="33">
        <f t="shared" si="29"/>
        <v>-7.0818640165535131E-3</v>
      </c>
    </row>
    <row r="766" spans="1:5" x14ac:dyDescent="0.25">
      <c r="A766" s="41">
        <v>43497</v>
      </c>
      <c r="B766" s="29">
        <v>344.37</v>
      </c>
      <c r="C766" s="37">
        <f t="shared" si="28"/>
        <v>57.395000000000003</v>
      </c>
      <c r="D766" s="37">
        <v>4.4909999999999997</v>
      </c>
      <c r="E766" s="33">
        <f t="shared" si="29"/>
        <v>1.0771940123275656E-2</v>
      </c>
    </row>
    <row r="767" spans="1:5" x14ac:dyDescent="0.25">
      <c r="A767" s="41">
        <v>43497</v>
      </c>
      <c r="B767" s="29">
        <v>346.37</v>
      </c>
      <c r="C767" s="37">
        <f t="shared" si="28"/>
        <v>57.728333333333332</v>
      </c>
      <c r="D767" s="37">
        <v>4.4909999999999997</v>
      </c>
      <c r="E767" s="33">
        <f t="shared" si="29"/>
        <v>5.8077068269593753E-3</v>
      </c>
    </row>
    <row r="768" spans="1:5" x14ac:dyDescent="0.25">
      <c r="A768" s="41">
        <v>43497</v>
      </c>
      <c r="B768" s="29">
        <v>346.37</v>
      </c>
      <c r="C768" s="37">
        <f t="shared" si="28"/>
        <v>57.728333333333332</v>
      </c>
      <c r="D768" s="37">
        <v>4.4909999999999997</v>
      </c>
      <c r="E768" s="33">
        <f t="shared" si="29"/>
        <v>0</v>
      </c>
    </row>
    <row r="769" spans="1:5" x14ac:dyDescent="0.25">
      <c r="A769" s="41">
        <v>43497</v>
      </c>
      <c r="B769" s="29">
        <v>343.42</v>
      </c>
      <c r="C769" s="37">
        <f t="shared" si="28"/>
        <v>57.236666666666665</v>
      </c>
      <c r="D769" s="37">
        <v>4.4909999999999997</v>
      </c>
      <c r="E769" s="33">
        <f t="shared" si="29"/>
        <v>-8.5169038889048952E-3</v>
      </c>
    </row>
    <row r="770" spans="1:5" x14ac:dyDescent="0.25">
      <c r="A770" s="41">
        <v>43498</v>
      </c>
      <c r="B770" s="29">
        <v>447.22</v>
      </c>
      <c r="C770" s="37">
        <f t="shared" si="28"/>
        <v>74.536666666666662</v>
      </c>
      <c r="D770" s="37">
        <v>4.5659999999999998</v>
      </c>
      <c r="E770" s="33">
        <f t="shared" si="29"/>
        <v>0.30225380001164759</v>
      </c>
    </row>
    <row r="771" spans="1:5" x14ac:dyDescent="0.25">
      <c r="A771" s="41">
        <v>43498</v>
      </c>
      <c r="B771" s="29">
        <v>445.81</v>
      </c>
      <c r="C771" s="37">
        <f t="shared" ref="C771:C834" si="30">(B771*100/600)</f>
        <v>74.301666666666662</v>
      </c>
      <c r="D771" s="37">
        <v>4.5659999999999998</v>
      </c>
      <c r="E771" s="33">
        <f t="shared" si="29"/>
        <v>-3.1528106971960668E-3</v>
      </c>
    </row>
    <row r="772" spans="1:5" x14ac:dyDescent="0.25">
      <c r="A772" s="41">
        <v>43498</v>
      </c>
      <c r="B772" s="29">
        <v>436.03</v>
      </c>
      <c r="C772" s="37">
        <f t="shared" si="30"/>
        <v>72.671666666666667</v>
      </c>
      <c r="D772" s="37">
        <v>4.5659999999999998</v>
      </c>
      <c r="E772" s="33">
        <f t="shared" ref="E772:E835" si="31">(B772-B771)/B771</f>
        <v>-2.1937596734034746E-2</v>
      </c>
    </row>
    <row r="773" spans="1:5" x14ac:dyDescent="0.25">
      <c r="A773" s="41">
        <v>43498</v>
      </c>
      <c r="B773" s="29">
        <v>434.96</v>
      </c>
      <c r="C773" s="37">
        <f t="shared" si="30"/>
        <v>72.493333333333339</v>
      </c>
      <c r="D773" s="37">
        <v>4.5659999999999998</v>
      </c>
      <c r="E773" s="33">
        <f t="shared" si="31"/>
        <v>-2.4539595899364568E-3</v>
      </c>
    </row>
    <row r="774" spans="1:5" x14ac:dyDescent="0.25">
      <c r="A774" s="41">
        <v>43498</v>
      </c>
      <c r="B774" s="29">
        <v>434.88</v>
      </c>
      <c r="C774" s="37">
        <f t="shared" si="30"/>
        <v>72.48</v>
      </c>
      <c r="D774" s="37">
        <v>4.5659999999999998</v>
      </c>
      <c r="E774" s="33">
        <f t="shared" si="31"/>
        <v>-1.8392495861684774E-4</v>
      </c>
    </row>
    <row r="775" spans="1:5" x14ac:dyDescent="0.25">
      <c r="A775" s="41">
        <v>43498</v>
      </c>
      <c r="B775" s="29">
        <v>434.81</v>
      </c>
      <c r="C775" s="37">
        <f t="shared" si="30"/>
        <v>72.468333333333334</v>
      </c>
      <c r="D775" s="37">
        <v>4.5659999999999998</v>
      </c>
      <c r="E775" s="33">
        <f t="shared" si="31"/>
        <v>-1.6096394407651116E-4</v>
      </c>
    </row>
    <row r="776" spans="1:5" x14ac:dyDescent="0.25">
      <c r="A776" s="41">
        <v>43498</v>
      </c>
      <c r="B776" s="29">
        <v>434.46</v>
      </c>
      <c r="C776" s="37">
        <f t="shared" si="30"/>
        <v>72.41</v>
      </c>
      <c r="D776" s="37">
        <v>4.5659999999999998</v>
      </c>
      <c r="E776" s="33">
        <f t="shared" si="31"/>
        <v>-8.0494928819489601E-4</v>
      </c>
    </row>
    <row r="777" spans="1:5" x14ac:dyDescent="0.25">
      <c r="A777" s="41">
        <v>43498</v>
      </c>
      <c r="B777" s="29">
        <v>434.66</v>
      </c>
      <c r="C777" s="37">
        <f t="shared" si="30"/>
        <v>72.443333333333328</v>
      </c>
      <c r="D777" s="37">
        <v>4.5659999999999998</v>
      </c>
      <c r="E777" s="33">
        <f t="shared" si="31"/>
        <v>4.6034157344760273E-4</v>
      </c>
    </row>
    <row r="778" spans="1:5" x14ac:dyDescent="0.25">
      <c r="A778" s="41">
        <v>43498</v>
      </c>
      <c r="B778" s="29">
        <v>434.58</v>
      </c>
      <c r="C778" s="37">
        <f t="shared" si="30"/>
        <v>72.430000000000007</v>
      </c>
      <c r="D778" s="37">
        <v>4.5659999999999998</v>
      </c>
      <c r="E778" s="33">
        <f t="shared" si="31"/>
        <v>-1.8405190263663765E-4</v>
      </c>
    </row>
    <row r="779" spans="1:5" x14ac:dyDescent="0.25">
      <c r="A779" s="41">
        <v>43498</v>
      </c>
      <c r="B779" s="29">
        <v>435.12</v>
      </c>
      <c r="C779" s="37">
        <f t="shared" si="30"/>
        <v>72.52</v>
      </c>
      <c r="D779" s="37">
        <v>4.5659999999999998</v>
      </c>
      <c r="E779" s="33">
        <f t="shared" si="31"/>
        <v>1.2425790418335416E-3</v>
      </c>
    </row>
    <row r="780" spans="1:5" x14ac:dyDescent="0.25">
      <c r="A780" s="41">
        <v>43498</v>
      </c>
      <c r="B780" s="29">
        <v>435.51</v>
      </c>
      <c r="C780" s="37">
        <f t="shared" si="30"/>
        <v>72.584999999999994</v>
      </c>
      <c r="D780" s="37">
        <v>4.5659999999999998</v>
      </c>
      <c r="E780" s="33">
        <f t="shared" si="31"/>
        <v>8.9630446773300782E-4</v>
      </c>
    </row>
    <row r="781" spans="1:5" x14ac:dyDescent="0.25">
      <c r="A781" s="41">
        <v>43498</v>
      </c>
      <c r="B781" s="29">
        <v>435.56</v>
      </c>
      <c r="C781" s="37">
        <f t="shared" si="30"/>
        <v>72.593333333333334</v>
      </c>
      <c r="D781" s="37">
        <v>4.5659999999999998</v>
      </c>
      <c r="E781" s="33">
        <f t="shared" si="31"/>
        <v>1.1480792633926056E-4</v>
      </c>
    </row>
    <row r="782" spans="1:5" x14ac:dyDescent="0.25">
      <c r="A782" s="41">
        <v>43498</v>
      </c>
      <c r="B782" s="29">
        <v>435.67</v>
      </c>
      <c r="C782" s="37">
        <f t="shared" si="30"/>
        <v>72.611666666666665</v>
      </c>
      <c r="D782" s="37">
        <v>4.5659999999999998</v>
      </c>
      <c r="E782" s="33">
        <f t="shared" si="31"/>
        <v>2.5254844338326208E-4</v>
      </c>
    </row>
    <row r="783" spans="1:5" x14ac:dyDescent="0.25">
      <c r="A783" s="41">
        <v>43498</v>
      </c>
      <c r="B783" s="29">
        <v>435.65</v>
      </c>
      <c r="C783" s="37">
        <f t="shared" si="30"/>
        <v>72.608333333333334</v>
      </c>
      <c r="D783" s="37">
        <v>4.5659999999999998</v>
      </c>
      <c r="E783" s="33">
        <f t="shared" si="31"/>
        <v>-4.5906305231112199E-5</v>
      </c>
    </row>
    <row r="784" spans="1:5" x14ac:dyDescent="0.25">
      <c r="A784" s="41">
        <v>43498</v>
      </c>
      <c r="B784" s="29">
        <v>435.61</v>
      </c>
      <c r="C784" s="37">
        <f t="shared" si="30"/>
        <v>72.601666666666674</v>
      </c>
      <c r="D784" s="37">
        <v>4.5659999999999998</v>
      </c>
      <c r="E784" s="33">
        <f t="shared" si="31"/>
        <v>-9.1816825433177149E-5</v>
      </c>
    </row>
    <row r="785" spans="1:5" x14ac:dyDescent="0.25">
      <c r="A785" s="41">
        <v>43498</v>
      </c>
      <c r="B785" s="29">
        <v>435.46</v>
      </c>
      <c r="C785" s="37">
        <f t="shared" si="30"/>
        <v>72.576666666666668</v>
      </c>
      <c r="D785" s="37">
        <v>4.5659999999999998</v>
      </c>
      <c r="E785" s="33">
        <f t="shared" si="31"/>
        <v>-3.4434471201311747E-4</v>
      </c>
    </row>
    <row r="786" spans="1:5" x14ac:dyDescent="0.25">
      <c r="A786" s="41">
        <v>43498</v>
      </c>
      <c r="B786" s="29">
        <v>435.31</v>
      </c>
      <c r="C786" s="37">
        <f t="shared" si="30"/>
        <v>72.551666666666662</v>
      </c>
      <c r="D786" s="37">
        <v>4.5659999999999998</v>
      </c>
      <c r="E786" s="33">
        <f t="shared" si="31"/>
        <v>-3.4446332613782501E-4</v>
      </c>
    </row>
    <row r="787" spans="1:5" x14ac:dyDescent="0.25">
      <c r="A787" s="41">
        <v>43498</v>
      </c>
      <c r="B787" s="29">
        <v>434.85</v>
      </c>
      <c r="C787" s="37">
        <f t="shared" si="30"/>
        <v>72.474999999999994</v>
      </c>
      <c r="D787" s="37">
        <v>4.5659999999999998</v>
      </c>
      <c r="E787" s="33">
        <f t="shared" si="31"/>
        <v>-1.0567182008223554E-3</v>
      </c>
    </row>
    <row r="788" spans="1:5" x14ac:dyDescent="0.25">
      <c r="A788" s="41">
        <v>43498</v>
      </c>
      <c r="B788" s="29">
        <v>435.1</v>
      </c>
      <c r="C788" s="37">
        <f t="shared" si="30"/>
        <v>72.516666666666666</v>
      </c>
      <c r="D788" s="37">
        <v>4.5659999999999998</v>
      </c>
      <c r="E788" s="33">
        <f t="shared" si="31"/>
        <v>5.7491088881223408E-4</v>
      </c>
    </row>
    <row r="789" spans="1:5" x14ac:dyDescent="0.25">
      <c r="A789" s="41">
        <v>43498</v>
      </c>
      <c r="B789" s="29">
        <v>435.87</v>
      </c>
      <c r="C789" s="37">
        <f t="shared" si="30"/>
        <v>72.644999999999996</v>
      </c>
      <c r="D789" s="37">
        <v>4.5659999999999998</v>
      </c>
      <c r="E789" s="33">
        <f t="shared" si="31"/>
        <v>1.7697081130774116E-3</v>
      </c>
    </row>
    <row r="790" spans="1:5" x14ac:dyDescent="0.25">
      <c r="A790" s="41">
        <v>43498</v>
      </c>
      <c r="B790" s="29">
        <v>441.93</v>
      </c>
      <c r="C790" s="37">
        <f t="shared" si="30"/>
        <v>73.655000000000001</v>
      </c>
      <c r="D790" s="37">
        <v>4.5659999999999998</v>
      </c>
      <c r="E790" s="33">
        <f t="shared" si="31"/>
        <v>1.3903228026705215E-2</v>
      </c>
    </row>
    <row r="791" spans="1:5" x14ac:dyDescent="0.25">
      <c r="A791" s="41">
        <v>43498</v>
      </c>
      <c r="B791" s="29">
        <v>439.96</v>
      </c>
      <c r="C791" s="37">
        <f t="shared" si="30"/>
        <v>73.326666666666668</v>
      </c>
      <c r="D791" s="37">
        <v>4.5659999999999998</v>
      </c>
      <c r="E791" s="33">
        <f t="shared" si="31"/>
        <v>-4.4577195483448224E-3</v>
      </c>
    </row>
    <row r="792" spans="1:5" x14ac:dyDescent="0.25">
      <c r="A792" s="41">
        <v>43498</v>
      </c>
      <c r="B792" s="29">
        <v>436.99</v>
      </c>
      <c r="C792" s="37">
        <f t="shared" si="30"/>
        <v>72.831666666666663</v>
      </c>
      <c r="D792" s="37">
        <v>4.5659999999999998</v>
      </c>
      <c r="E792" s="33">
        <f t="shared" si="31"/>
        <v>-6.7506136921537657E-3</v>
      </c>
    </row>
    <row r="793" spans="1:5" x14ac:dyDescent="0.25">
      <c r="A793" s="41">
        <v>43498</v>
      </c>
      <c r="B793" s="29">
        <v>433.38</v>
      </c>
      <c r="C793" s="37">
        <f t="shared" si="30"/>
        <v>72.23</v>
      </c>
      <c r="D793" s="37">
        <v>4.5659999999999998</v>
      </c>
      <c r="E793" s="33">
        <f t="shared" si="31"/>
        <v>-8.2610586054601108E-3</v>
      </c>
    </row>
    <row r="794" spans="1:5" x14ac:dyDescent="0.25">
      <c r="A794" s="41">
        <v>43499</v>
      </c>
      <c r="B794" s="29">
        <v>429.82</v>
      </c>
      <c r="C794" s="37">
        <f t="shared" si="30"/>
        <v>71.63666666666667</v>
      </c>
      <c r="D794" s="37">
        <v>4.9340000000000002</v>
      </c>
      <c r="E794" s="33">
        <f t="shared" si="31"/>
        <v>-8.2144999769255666E-3</v>
      </c>
    </row>
    <row r="795" spans="1:5" x14ac:dyDescent="0.25">
      <c r="A795" s="41">
        <v>43499</v>
      </c>
      <c r="B795" s="29">
        <v>427.17</v>
      </c>
      <c r="C795" s="37">
        <f t="shared" si="30"/>
        <v>71.194999999999993</v>
      </c>
      <c r="D795" s="37">
        <v>4.9340000000000002</v>
      </c>
      <c r="E795" s="33">
        <f t="shared" si="31"/>
        <v>-6.165371550881712E-3</v>
      </c>
    </row>
    <row r="796" spans="1:5" x14ac:dyDescent="0.25">
      <c r="A796" s="41">
        <v>43499</v>
      </c>
      <c r="B796" s="29">
        <v>427.09</v>
      </c>
      <c r="C796" s="37">
        <f t="shared" si="30"/>
        <v>71.181666666666672</v>
      </c>
      <c r="D796" s="37">
        <v>4.9340000000000002</v>
      </c>
      <c r="E796" s="33">
        <f t="shared" si="31"/>
        <v>-1.8727906922312178E-4</v>
      </c>
    </row>
    <row r="797" spans="1:5" x14ac:dyDescent="0.25">
      <c r="A797" s="41">
        <v>43499</v>
      </c>
      <c r="B797" s="29">
        <v>427.02</v>
      </c>
      <c r="C797" s="37">
        <f t="shared" si="30"/>
        <v>71.17</v>
      </c>
      <c r="D797" s="37">
        <v>4.9340000000000002</v>
      </c>
      <c r="E797" s="33">
        <f t="shared" si="31"/>
        <v>-1.6389988058721389E-4</v>
      </c>
    </row>
    <row r="798" spans="1:5" x14ac:dyDescent="0.25">
      <c r="A798" s="41">
        <v>43499</v>
      </c>
      <c r="B798" s="29">
        <v>426.9</v>
      </c>
      <c r="C798" s="37">
        <f t="shared" si="30"/>
        <v>71.150000000000006</v>
      </c>
      <c r="D798" s="37">
        <v>4.9340000000000002</v>
      </c>
      <c r="E798" s="33">
        <f t="shared" si="31"/>
        <v>-2.8101728256288829E-4</v>
      </c>
    </row>
    <row r="799" spans="1:5" x14ac:dyDescent="0.25">
      <c r="A799" s="41">
        <v>43499</v>
      </c>
      <c r="B799" s="29">
        <v>426.14</v>
      </c>
      <c r="C799" s="37">
        <f t="shared" si="30"/>
        <v>71.023333333333326</v>
      </c>
      <c r="D799" s="37">
        <v>4.9340000000000002</v>
      </c>
      <c r="E799" s="33">
        <f t="shared" si="31"/>
        <v>-1.7802764113375286E-3</v>
      </c>
    </row>
    <row r="800" spans="1:5" x14ac:dyDescent="0.25">
      <c r="A800" s="41">
        <v>43499</v>
      </c>
      <c r="B800" s="29">
        <v>425.06</v>
      </c>
      <c r="C800" s="37">
        <f t="shared" si="30"/>
        <v>70.843333333333334</v>
      </c>
      <c r="D800" s="37">
        <v>4.9340000000000002</v>
      </c>
      <c r="E800" s="33">
        <f t="shared" si="31"/>
        <v>-2.5343783733045105E-3</v>
      </c>
    </row>
    <row r="801" spans="1:5" x14ac:dyDescent="0.25">
      <c r="A801" s="41">
        <v>43499</v>
      </c>
      <c r="B801" s="29">
        <v>418.51</v>
      </c>
      <c r="C801" s="37">
        <f t="shared" si="30"/>
        <v>69.751666666666665</v>
      </c>
      <c r="D801" s="37">
        <v>4.9340000000000002</v>
      </c>
      <c r="E801" s="33">
        <f t="shared" si="31"/>
        <v>-1.5409589234461044E-2</v>
      </c>
    </row>
    <row r="802" spans="1:5" x14ac:dyDescent="0.25">
      <c r="A802" s="41">
        <v>43499</v>
      </c>
      <c r="B802" s="29">
        <v>423.85</v>
      </c>
      <c r="C802" s="37">
        <f t="shared" si="30"/>
        <v>70.641666666666666</v>
      </c>
      <c r="D802" s="37">
        <v>4.9340000000000002</v>
      </c>
      <c r="E802" s="33">
        <f t="shared" si="31"/>
        <v>1.2759551743088652E-2</v>
      </c>
    </row>
    <row r="803" spans="1:5" x14ac:dyDescent="0.25">
      <c r="A803" s="41">
        <v>43499</v>
      </c>
      <c r="B803" s="29">
        <v>426.03</v>
      </c>
      <c r="C803" s="37">
        <f t="shared" si="30"/>
        <v>71.004999999999995</v>
      </c>
      <c r="D803" s="37">
        <v>4.9340000000000002</v>
      </c>
      <c r="E803" s="33">
        <f t="shared" si="31"/>
        <v>5.1433290079036216E-3</v>
      </c>
    </row>
    <row r="804" spans="1:5" x14ac:dyDescent="0.25">
      <c r="A804" s="41">
        <v>43499</v>
      </c>
      <c r="B804" s="29">
        <v>426.5</v>
      </c>
      <c r="C804" s="37">
        <f t="shared" si="30"/>
        <v>71.083333333333329</v>
      </c>
      <c r="D804" s="37">
        <v>4.9340000000000002</v>
      </c>
      <c r="E804" s="33">
        <f t="shared" si="31"/>
        <v>1.1032086942234756E-3</v>
      </c>
    </row>
    <row r="805" spans="1:5" x14ac:dyDescent="0.25">
      <c r="A805" s="41">
        <v>43499</v>
      </c>
      <c r="B805" s="29">
        <v>426.42</v>
      </c>
      <c r="C805" s="37">
        <f t="shared" si="30"/>
        <v>71.069999999999993</v>
      </c>
      <c r="D805" s="37">
        <v>4.9340000000000002</v>
      </c>
      <c r="E805" s="33">
        <f t="shared" si="31"/>
        <v>-1.8757327080887241E-4</v>
      </c>
    </row>
    <row r="806" spans="1:5" x14ac:dyDescent="0.25">
      <c r="A806" s="41">
        <v>43499</v>
      </c>
      <c r="B806" s="29">
        <v>426.35</v>
      </c>
      <c r="C806" s="37">
        <f t="shared" si="30"/>
        <v>71.058333333333337</v>
      </c>
      <c r="D806" s="37">
        <v>4.9340000000000002</v>
      </c>
      <c r="E806" s="33">
        <f t="shared" si="31"/>
        <v>-1.641574034988818E-4</v>
      </c>
    </row>
    <row r="807" spans="1:5" x14ac:dyDescent="0.25">
      <c r="A807" s="41">
        <v>43499</v>
      </c>
      <c r="B807" s="29">
        <v>426.27</v>
      </c>
      <c r="C807" s="37">
        <f t="shared" si="30"/>
        <v>71.045000000000002</v>
      </c>
      <c r="D807" s="37">
        <v>4.9340000000000002</v>
      </c>
      <c r="E807" s="33">
        <f t="shared" si="31"/>
        <v>-1.876392635159867E-4</v>
      </c>
    </row>
    <row r="808" spans="1:5" x14ac:dyDescent="0.25">
      <c r="A808" s="41">
        <v>43499</v>
      </c>
      <c r="B808" s="29">
        <v>426.2</v>
      </c>
      <c r="C808" s="37">
        <f t="shared" si="30"/>
        <v>71.033333333333331</v>
      </c>
      <c r="D808" s="37">
        <v>4.9340000000000002</v>
      </c>
      <c r="E808" s="33">
        <f t="shared" si="31"/>
        <v>-1.642151687897182E-4</v>
      </c>
    </row>
    <row r="809" spans="1:5" x14ac:dyDescent="0.25">
      <c r="A809" s="41">
        <v>43499</v>
      </c>
      <c r="B809" s="29">
        <v>426.12</v>
      </c>
      <c r="C809" s="37">
        <f t="shared" si="30"/>
        <v>71.02</v>
      </c>
      <c r="D809" s="37">
        <v>4.9340000000000002</v>
      </c>
      <c r="E809" s="33">
        <f t="shared" si="31"/>
        <v>-1.8770530267476322E-4</v>
      </c>
    </row>
    <row r="810" spans="1:5" x14ac:dyDescent="0.25">
      <c r="A810" s="41">
        <v>43499</v>
      </c>
      <c r="B810" s="29">
        <v>426.13</v>
      </c>
      <c r="C810" s="37">
        <f t="shared" si="30"/>
        <v>71.021666666666661</v>
      </c>
      <c r="D810" s="37">
        <v>4.9340000000000002</v>
      </c>
      <c r="E810" s="33">
        <f t="shared" si="31"/>
        <v>2.3467567821249659E-5</v>
      </c>
    </row>
    <row r="811" spans="1:5" x14ac:dyDescent="0.25">
      <c r="A811" s="41">
        <v>43499</v>
      </c>
      <c r="B811" s="29">
        <v>426.58</v>
      </c>
      <c r="C811" s="37">
        <f t="shared" si="30"/>
        <v>71.096666666666664</v>
      </c>
      <c r="D811" s="37">
        <v>4.9340000000000002</v>
      </c>
      <c r="E811" s="33">
        <f t="shared" si="31"/>
        <v>1.0560157698354695E-3</v>
      </c>
    </row>
    <row r="812" spans="1:5" x14ac:dyDescent="0.25">
      <c r="A812" s="41">
        <v>43499</v>
      </c>
      <c r="B812" s="29">
        <v>427.07</v>
      </c>
      <c r="C812" s="37">
        <f t="shared" si="30"/>
        <v>71.178333333333327</v>
      </c>
      <c r="D812" s="37">
        <v>4.9340000000000002</v>
      </c>
      <c r="E812" s="33">
        <f t="shared" si="31"/>
        <v>1.1486708237610978E-3</v>
      </c>
    </row>
    <row r="813" spans="1:5" x14ac:dyDescent="0.25">
      <c r="A813" s="41">
        <v>43499</v>
      </c>
      <c r="B813" s="29">
        <v>427.08</v>
      </c>
      <c r="C813" s="37">
        <f t="shared" si="30"/>
        <v>71.180000000000007</v>
      </c>
      <c r="D813" s="37">
        <v>4.9340000000000002</v>
      </c>
      <c r="E813" s="33">
        <f t="shared" si="31"/>
        <v>2.3415365162598417E-5</v>
      </c>
    </row>
    <row r="814" spans="1:5" x14ac:dyDescent="0.25">
      <c r="A814" s="41">
        <v>43499</v>
      </c>
      <c r="B814" s="29">
        <v>442.63</v>
      </c>
      <c r="C814" s="37">
        <f t="shared" si="30"/>
        <v>73.771666666666661</v>
      </c>
      <c r="D814" s="37">
        <v>4.9340000000000002</v>
      </c>
      <c r="E814" s="33">
        <f t="shared" si="31"/>
        <v>3.6410040273485086E-2</v>
      </c>
    </row>
    <row r="815" spans="1:5" x14ac:dyDescent="0.25">
      <c r="A815" s="41">
        <v>43499</v>
      </c>
      <c r="B815" s="29">
        <v>443.98</v>
      </c>
      <c r="C815" s="37">
        <f t="shared" si="30"/>
        <v>73.99666666666667</v>
      </c>
      <c r="D815" s="37">
        <v>4.9340000000000002</v>
      </c>
      <c r="E815" s="33">
        <f t="shared" si="31"/>
        <v>3.049951426699552E-3</v>
      </c>
    </row>
    <row r="816" spans="1:5" x14ac:dyDescent="0.25">
      <c r="A816" s="41">
        <v>43499</v>
      </c>
      <c r="B816" s="29">
        <v>443.95</v>
      </c>
      <c r="C816" s="37">
        <f t="shared" si="30"/>
        <v>73.99166666666666</v>
      </c>
      <c r="D816" s="37">
        <v>4.9340000000000002</v>
      </c>
      <c r="E816" s="33">
        <f t="shared" si="31"/>
        <v>-6.7570611288863365E-5</v>
      </c>
    </row>
    <row r="817" spans="1:5" x14ac:dyDescent="0.25">
      <c r="A817" s="41">
        <v>43499</v>
      </c>
      <c r="B817" s="29">
        <v>442.27</v>
      </c>
      <c r="C817" s="37">
        <f t="shared" si="30"/>
        <v>73.711666666666673</v>
      </c>
      <c r="D817" s="37">
        <v>4.9340000000000002</v>
      </c>
      <c r="E817" s="33">
        <f t="shared" si="31"/>
        <v>-3.7842099335510912E-3</v>
      </c>
    </row>
    <row r="818" spans="1:5" x14ac:dyDescent="0.25">
      <c r="A818" s="41">
        <v>43500</v>
      </c>
      <c r="B818" s="29">
        <v>448.3</v>
      </c>
      <c r="C818" s="37">
        <f t="shared" si="30"/>
        <v>74.716666666666669</v>
      </c>
      <c r="D818" s="37">
        <v>5.431</v>
      </c>
      <c r="E818" s="33">
        <f t="shared" si="31"/>
        <v>1.3634205349673344E-2</v>
      </c>
    </row>
    <row r="819" spans="1:5" x14ac:dyDescent="0.25">
      <c r="A819" s="41">
        <v>43500</v>
      </c>
      <c r="B819" s="29">
        <v>447.69</v>
      </c>
      <c r="C819" s="37">
        <f t="shared" si="30"/>
        <v>74.614999999999995</v>
      </c>
      <c r="D819" s="37">
        <v>5.431</v>
      </c>
      <c r="E819" s="33">
        <f t="shared" si="31"/>
        <v>-1.3606959625251252E-3</v>
      </c>
    </row>
    <row r="820" spans="1:5" x14ac:dyDescent="0.25">
      <c r="A820" s="41">
        <v>43500</v>
      </c>
      <c r="B820" s="29">
        <v>446.19</v>
      </c>
      <c r="C820" s="37">
        <f t="shared" si="30"/>
        <v>74.364999999999995</v>
      </c>
      <c r="D820" s="37">
        <v>5.431</v>
      </c>
      <c r="E820" s="33">
        <f t="shared" si="31"/>
        <v>-3.3505327347048181E-3</v>
      </c>
    </row>
    <row r="821" spans="1:5" x14ac:dyDescent="0.25">
      <c r="A821" s="41">
        <v>43500</v>
      </c>
      <c r="B821" s="29">
        <v>446.2</v>
      </c>
      <c r="C821" s="37">
        <f t="shared" si="30"/>
        <v>74.36666666666666</v>
      </c>
      <c r="D821" s="37">
        <v>5.431</v>
      </c>
      <c r="E821" s="33">
        <f t="shared" si="31"/>
        <v>2.2411976960467301E-5</v>
      </c>
    </row>
    <row r="822" spans="1:5" x14ac:dyDescent="0.25">
      <c r="A822" s="41">
        <v>43500</v>
      </c>
      <c r="B822" s="29">
        <v>446.06</v>
      </c>
      <c r="C822" s="37">
        <f t="shared" si="30"/>
        <v>74.343333333333334</v>
      </c>
      <c r="D822" s="37">
        <v>5.431</v>
      </c>
      <c r="E822" s="33">
        <f t="shared" si="31"/>
        <v>-3.1376064545044006E-4</v>
      </c>
    </row>
    <row r="823" spans="1:5" x14ac:dyDescent="0.25">
      <c r="A823" s="41">
        <v>43500</v>
      </c>
      <c r="B823" s="29">
        <v>446.72</v>
      </c>
      <c r="C823" s="37">
        <f t="shared" si="30"/>
        <v>74.453333333333333</v>
      </c>
      <c r="D823" s="37">
        <v>5.431</v>
      </c>
      <c r="E823" s="33">
        <f t="shared" si="31"/>
        <v>1.4796215755728489E-3</v>
      </c>
    </row>
    <row r="824" spans="1:5" x14ac:dyDescent="0.25">
      <c r="A824" s="41">
        <v>43500</v>
      </c>
      <c r="B824" s="29">
        <v>448.3</v>
      </c>
      <c r="C824" s="37">
        <f t="shared" si="30"/>
        <v>74.716666666666669</v>
      </c>
      <c r="D824" s="37">
        <v>5.431</v>
      </c>
      <c r="E824" s="33">
        <f t="shared" si="31"/>
        <v>3.5368911174784743E-3</v>
      </c>
    </row>
    <row r="825" spans="1:5" x14ac:dyDescent="0.25">
      <c r="A825" s="41">
        <v>43500</v>
      </c>
      <c r="B825" s="29">
        <v>449.84</v>
      </c>
      <c r="C825" s="37">
        <f t="shared" si="30"/>
        <v>74.973333333333329</v>
      </c>
      <c r="D825" s="37">
        <v>5.431</v>
      </c>
      <c r="E825" s="33">
        <f t="shared" si="31"/>
        <v>3.4351996430960598E-3</v>
      </c>
    </row>
    <row r="826" spans="1:5" x14ac:dyDescent="0.25">
      <c r="A826" s="41">
        <v>43500</v>
      </c>
      <c r="B826" s="29">
        <v>452.87</v>
      </c>
      <c r="C826" s="37">
        <f t="shared" si="30"/>
        <v>75.478333333333339</v>
      </c>
      <c r="D826" s="37">
        <v>5.431</v>
      </c>
      <c r="E826" s="33">
        <f t="shared" si="31"/>
        <v>6.7357282589365769E-3</v>
      </c>
    </row>
    <row r="827" spans="1:5" x14ac:dyDescent="0.25">
      <c r="A827" s="41">
        <v>43500</v>
      </c>
      <c r="B827" s="29">
        <v>455.36</v>
      </c>
      <c r="C827" s="37">
        <f t="shared" si="30"/>
        <v>75.893333333333331</v>
      </c>
      <c r="D827" s="37">
        <v>5.431</v>
      </c>
      <c r="E827" s="33">
        <f t="shared" si="31"/>
        <v>5.4982666107271606E-3</v>
      </c>
    </row>
    <row r="828" spans="1:5" x14ac:dyDescent="0.25">
      <c r="A828" s="41">
        <v>43500</v>
      </c>
      <c r="B828" s="29">
        <v>458.06</v>
      </c>
      <c r="C828" s="37">
        <f t="shared" si="30"/>
        <v>76.343333333333334</v>
      </c>
      <c r="D828" s="37">
        <v>5.431</v>
      </c>
      <c r="E828" s="33">
        <f t="shared" si="31"/>
        <v>5.9293745607870447E-3</v>
      </c>
    </row>
    <row r="829" spans="1:5" x14ac:dyDescent="0.25">
      <c r="A829" s="41">
        <v>43500</v>
      </c>
      <c r="B829" s="29">
        <v>457.97</v>
      </c>
      <c r="C829" s="37">
        <f t="shared" si="30"/>
        <v>76.328333333333333</v>
      </c>
      <c r="D829" s="37">
        <v>5.431</v>
      </c>
      <c r="E829" s="33">
        <f t="shared" si="31"/>
        <v>-1.9648081037413218E-4</v>
      </c>
    </row>
    <row r="830" spans="1:5" x14ac:dyDescent="0.25">
      <c r="A830" s="41">
        <v>43500</v>
      </c>
      <c r="B830" s="29">
        <v>457.96</v>
      </c>
      <c r="C830" s="37">
        <f t="shared" si="30"/>
        <v>76.326666666666668</v>
      </c>
      <c r="D830" s="37">
        <v>5.431</v>
      </c>
      <c r="E830" s="33">
        <f t="shared" si="31"/>
        <v>-2.1835491407838392E-5</v>
      </c>
    </row>
    <row r="831" spans="1:5" x14ac:dyDescent="0.25">
      <c r="A831" s="41">
        <v>43500</v>
      </c>
      <c r="B831" s="29">
        <v>460.24</v>
      </c>
      <c r="C831" s="37">
        <f t="shared" si="30"/>
        <v>76.706666666666663</v>
      </c>
      <c r="D831" s="37">
        <v>5.431</v>
      </c>
      <c r="E831" s="33">
        <f t="shared" si="31"/>
        <v>4.9786007511573712E-3</v>
      </c>
    </row>
    <row r="832" spans="1:5" x14ac:dyDescent="0.25">
      <c r="A832" s="41">
        <v>43500</v>
      </c>
      <c r="B832" s="29">
        <v>464.74</v>
      </c>
      <c r="C832" s="37">
        <f t="shared" si="30"/>
        <v>77.456666666666663</v>
      </c>
      <c r="D832" s="37">
        <v>5.431</v>
      </c>
      <c r="E832" s="33">
        <f t="shared" si="31"/>
        <v>9.7775073874500264E-3</v>
      </c>
    </row>
    <row r="833" spans="1:5" x14ac:dyDescent="0.25">
      <c r="A833" s="41">
        <v>43500</v>
      </c>
      <c r="B833" s="29">
        <v>464.75</v>
      </c>
      <c r="C833" s="37">
        <f t="shared" si="30"/>
        <v>77.458333333333329</v>
      </c>
      <c r="D833" s="37">
        <v>5.431</v>
      </c>
      <c r="E833" s="33">
        <f t="shared" si="31"/>
        <v>2.1517407582714863E-5</v>
      </c>
    </row>
    <row r="834" spans="1:5" x14ac:dyDescent="0.25">
      <c r="A834" s="41">
        <v>43500</v>
      </c>
      <c r="B834" s="29">
        <v>463.77</v>
      </c>
      <c r="C834" s="37">
        <f t="shared" si="30"/>
        <v>77.295000000000002</v>
      </c>
      <c r="D834" s="37">
        <v>5.431</v>
      </c>
      <c r="E834" s="33">
        <f t="shared" si="31"/>
        <v>-2.1086605701990707E-3</v>
      </c>
    </row>
    <row r="835" spans="1:5" x14ac:dyDescent="0.25">
      <c r="A835" s="41">
        <v>43500</v>
      </c>
      <c r="B835" s="29">
        <v>456.72</v>
      </c>
      <c r="C835" s="37">
        <f t="shared" ref="C835:C898" si="32">(B835*100/600)</f>
        <v>76.12</v>
      </c>
      <c r="D835" s="37">
        <v>5.431</v>
      </c>
      <c r="E835" s="33">
        <f t="shared" si="31"/>
        <v>-1.520150074390313E-2</v>
      </c>
    </row>
    <row r="836" spans="1:5" x14ac:dyDescent="0.25">
      <c r="A836" s="41">
        <v>43500</v>
      </c>
      <c r="B836" s="29">
        <v>453.81</v>
      </c>
      <c r="C836" s="37">
        <f t="shared" si="32"/>
        <v>75.635000000000005</v>
      </c>
      <c r="D836" s="37">
        <v>5.431</v>
      </c>
      <c r="E836" s="33">
        <f t="shared" ref="E836:E899" si="33">(B836-B835)/B835</f>
        <v>-6.3715186547557033E-3</v>
      </c>
    </row>
    <row r="837" spans="1:5" x14ac:dyDescent="0.25">
      <c r="A837" s="41">
        <v>43500</v>
      </c>
      <c r="B837" s="29">
        <v>451.87</v>
      </c>
      <c r="C837" s="37">
        <f t="shared" si="32"/>
        <v>75.311666666666667</v>
      </c>
      <c r="D837" s="37">
        <v>5.431</v>
      </c>
      <c r="E837" s="33">
        <f t="shared" si="33"/>
        <v>-4.2749168154073243E-3</v>
      </c>
    </row>
    <row r="838" spans="1:5" x14ac:dyDescent="0.25">
      <c r="A838" s="41">
        <v>43500</v>
      </c>
      <c r="B838" s="29">
        <v>454.4</v>
      </c>
      <c r="C838" s="37">
        <f t="shared" si="32"/>
        <v>75.733333333333334</v>
      </c>
      <c r="D838" s="37">
        <v>5.431</v>
      </c>
      <c r="E838" s="33">
        <f t="shared" si="33"/>
        <v>5.5989554517891713E-3</v>
      </c>
    </row>
    <row r="839" spans="1:5" x14ac:dyDescent="0.25">
      <c r="A839" s="41">
        <v>43500</v>
      </c>
      <c r="B839" s="29">
        <v>456.31</v>
      </c>
      <c r="C839" s="37">
        <f t="shared" si="32"/>
        <v>76.051666666666662</v>
      </c>
      <c r="D839" s="37">
        <v>5.431</v>
      </c>
      <c r="E839" s="33">
        <f t="shared" si="33"/>
        <v>4.2033450704225903E-3</v>
      </c>
    </row>
    <row r="840" spans="1:5" x14ac:dyDescent="0.25">
      <c r="A840" s="41">
        <v>43500</v>
      </c>
      <c r="B840" s="29">
        <v>455.51</v>
      </c>
      <c r="C840" s="37">
        <f t="shared" si="32"/>
        <v>75.918333333333337</v>
      </c>
      <c r="D840" s="37">
        <v>5.431</v>
      </c>
      <c r="E840" s="33">
        <f t="shared" si="33"/>
        <v>-1.7531941005018768E-3</v>
      </c>
    </row>
    <row r="841" spans="1:5" x14ac:dyDescent="0.25">
      <c r="A841" s="41">
        <v>43500</v>
      </c>
      <c r="B841" s="29">
        <v>454.16</v>
      </c>
      <c r="C841" s="37">
        <f t="shared" si="32"/>
        <v>75.693333333333328</v>
      </c>
      <c r="D841" s="37">
        <v>5.431</v>
      </c>
      <c r="E841" s="33">
        <f t="shared" si="33"/>
        <v>-2.9637110052467912E-3</v>
      </c>
    </row>
    <row r="842" spans="1:5" x14ac:dyDescent="0.25">
      <c r="A842" s="41">
        <v>43501</v>
      </c>
      <c r="B842" s="29">
        <v>450.67</v>
      </c>
      <c r="C842" s="37">
        <f t="shared" si="32"/>
        <v>75.111666666666665</v>
      </c>
      <c r="D842" s="37">
        <v>5.7140000000000004</v>
      </c>
      <c r="E842" s="33">
        <f t="shared" si="33"/>
        <v>-7.6845164699665515E-3</v>
      </c>
    </row>
    <row r="843" spans="1:5" x14ac:dyDescent="0.25">
      <c r="A843" s="41">
        <v>43501</v>
      </c>
      <c r="B843" s="29">
        <v>447.96</v>
      </c>
      <c r="C843" s="37">
        <f t="shared" si="32"/>
        <v>74.66</v>
      </c>
      <c r="D843" s="37">
        <v>5.7140000000000004</v>
      </c>
      <c r="E843" s="33">
        <f t="shared" si="33"/>
        <v>-6.013269132624839E-3</v>
      </c>
    </row>
    <row r="844" spans="1:5" x14ac:dyDescent="0.25">
      <c r="A844" s="41">
        <v>43501</v>
      </c>
      <c r="B844" s="29">
        <v>447.89</v>
      </c>
      <c r="C844" s="37">
        <f t="shared" si="32"/>
        <v>74.648333333333326</v>
      </c>
      <c r="D844" s="37">
        <v>5.7140000000000004</v>
      </c>
      <c r="E844" s="33">
        <f t="shared" si="33"/>
        <v>-1.5626395213856858E-4</v>
      </c>
    </row>
    <row r="845" spans="1:5" x14ac:dyDescent="0.25">
      <c r="A845" s="41">
        <v>43501</v>
      </c>
      <c r="B845" s="29">
        <v>446.55</v>
      </c>
      <c r="C845" s="37">
        <f t="shared" si="32"/>
        <v>74.424999999999997</v>
      </c>
      <c r="D845" s="37">
        <v>5.7140000000000004</v>
      </c>
      <c r="E845" s="33">
        <f t="shared" si="33"/>
        <v>-2.9918060238004309E-3</v>
      </c>
    </row>
    <row r="846" spans="1:5" x14ac:dyDescent="0.25">
      <c r="A846" s="41">
        <v>43501</v>
      </c>
      <c r="B846" s="29">
        <v>446.78</v>
      </c>
      <c r="C846" s="37">
        <f t="shared" si="32"/>
        <v>74.463333333333338</v>
      </c>
      <c r="D846" s="37">
        <v>5.7140000000000004</v>
      </c>
      <c r="E846" s="33">
        <f t="shared" si="33"/>
        <v>5.1505990370610539E-4</v>
      </c>
    </row>
    <row r="847" spans="1:5" x14ac:dyDescent="0.25">
      <c r="A847" s="41">
        <v>43501</v>
      </c>
      <c r="B847" s="29">
        <v>447.21</v>
      </c>
      <c r="C847" s="37">
        <f t="shared" si="32"/>
        <v>74.534999999999997</v>
      </c>
      <c r="D847" s="37">
        <v>5.7140000000000004</v>
      </c>
      <c r="E847" s="33">
        <f t="shared" si="33"/>
        <v>9.6244236536999607E-4</v>
      </c>
    </row>
    <row r="848" spans="1:5" x14ac:dyDescent="0.25">
      <c r="A848" s="41">
        <v>43501</v>
      </c>
      <c r="B848" s="29">
        <v>447.96</v>
      </c>
      <c r="C848" s="37">
        <f t="shared" si="32"/>
        <v>74.66</v>
      </c>
      <c r="D848" s="37">
        <v>5.7140000000000004</v>
      </c>
      <c r="E848" s="33">
        <f t="shared" si="33"/>
        <v>1.6770644663580869E-3</v>
      </c>
    </row>
    <row r="849" spans="1:5" x14ac:dyDescent="0.25">
      <c r="A849" s="41">
        <v>43501</v>
      </c>
      <c r="B849" s="29">
        <v>449.91</v>
      </c>
      <c r="C849" s="37">
        <f t="shared" si="32"/>
        <v>74.984999999999999</v>
      </c>
      <c r="D849" s="37">
        <v>5.7140000000000004</v>
      </c>
      <c r="E849" s="33">
        <f t="shared" si="33"/>
        <v>4.353067238146365E-3</v>
      </c>
    </row>
    <row r="850" spans="1:5" x14ac:dyDescent="0.25">
      <c r="A850" s="41">
        <v>43501</v>
      </c>
      <c r="B850" s="29">
        <v>454.28</v>
      </c>
      <c r="C850" s="37">
        <f t="shared" si="32"/>
        <v>75.713333333333338</v>
      </c>
      <c r="D850" s="37">
        <v>5.7140000000000004</v>
      </c>
      <c r="E850" s="33">
        <f t="shared" si="33"/>
        <v>9.7130537218553647E-3</v>
      </c>
    </row>
    <row r="851" spans="1:5" x14ac:dyDescent="0.25">
      <c r="A851" s="41">
        <v>43501</v>
      </c>
      <c r="B851" s="29">
        <v>456.81</v>
      </c>
      <c r="C851" s="37">
        <f t="shared" si="32"/>
        <v>76.135000000000005</v>
      </c>
      <c r="D851" s="37">
        <v>5.7140000000000004</v>
      </c>
      <c r="E851" s="33">
        <f t="shared" si="33"/>
        <v>5.5692524434270271E-3</v>
      </c>
    </row>
    <row r="852" spans="1:5" x14ac:dyDescent="0.25">
      <c r="A852" s="41">
        <v>43501</v>
      </c>
      <c r="B852" s="29">
        <v>457.34</v>
      </c>
      <c r="C852" s="37">
        <f t="shared" si="32"/>
        <v>76.223333333333329</v>
      </c>
      <c r="D852" s="37">
        <v>5.7140000000000004</v>
      </c>
      <c r="E852" s="33">
        <f t="shared" si="33"/>
        <v>1.160219785030916E-3</v>
      </c>
    </row>
    <row r="853" spans="1:5" x14ac:dyDescent="0.25">
      <c r="A853" s="41">
        <v>43501</v>
      </c>
      <c r="B853" s="29">
        <v>457.18</v>
      </c>
      <c r="C853" s="37">
        <f t="shared" si="32"/>
        <v>76.196666666666673</v>
      </c>
      <c r="D853" s="37">
        <v>5.7140000000000004</v>
      </c>
      <c r="E853" s="33">
        <f t="shared" si="33"/>
        <v>-3.4984912756366856E-4</v>
      </c>
    </row>
    <row r="854" spans="1:5" x14ac:dyDescent="0.25">
      <c r="A854" s="41">
        <v>43501</v>
      </c>
      <c r="B854" s="29">
        <v>456.61</v>
      </c>
      <c r="C854" s="37">
        <f t="shared" si="32"/>
        <v>76.101666666666674</v>
      </c>
      <c r="D854" s="37">
        <v>5.7140000000000004</v>
      </c>
      <c r="E854" s="33">
        <f t="shared" si="33"/>
        <v>-1.2467736996368895E-3</v>
      </c>
    </row>
    <row r="855" spans="1:5" x14ac:dyDescent="0.25">
      <c r="A855" s="41">
        <v>43501</v>
      </c>
      <c r="B855" s="29">
        <v>458.51</v>
      </c>
      <c r="C855" s="37">
        <f t="shared" si="32"/>
        <v>76.418333333333337</v>
      </c>
      <c r="D855" s="37">
        <v>5.7140000000000004</v>
      </c>
      <c r="E855" s="33">
        <f t="shared" si="33"/>
        <v>4.1611002825167592E-3</v>
      </c>
    </row>
    <row r="856" spans="1:5" x14ac:dyDescent="0.25">
      <c r="A856" s="41">
        <v>43501</v>
      </c>
      <c r="B856" s="29">
        <v>459.78</v>
      </c>
      <c r="C856" s="37">
        <f t="shared" si="32"/>
        <v>76.63</v>
      </c>
      <c r="D856" s="37">
        <v>5.7140000000000004</v>
      </c>
      <c r="E856" s="33">
        <f t="shared" si="33"/>
        <v>2.7698414429346836E-3</v>
      </c>
    </row>
    <row r="857" spans="1:5" x14ac:dyDescent="0.25">
      <c r="A857" s="41">
        <v>43501</v>
      </c>
      <c r="B857" s="29">
        <v>459.71</v>
      </c>
      <c r="C857" s="37">
        <f t="shared" si="32"/>
        <v>76.618333333333339</v>
      </c>
      <c r="D857" s="37">
        <v>5.7140000000000004</v>
      </c>
      <c r="E857" s="33">
        <f t="shared" si="33"/>
        <v>-1.5224672669536123E-4</v>
      </c>
    </row>
    <row r="858" spans="1:5" x14ac:dyDescent="0.25">
      <c r="A858" s="41">
        <v>43501</v>
      </c>
      <c r="B858" s="29">
        <v>458.36</v>
      </c>
      <c r="C858" s="37">
        <f t="shared" si="32"/>
        <v>76.393333333333331</v>
      </c>
      <c r="D858" s="37">
        <v>5.7140000000000004</v>
      </c>
      <c r="E858" s="33">
        <f t="shared" si="33"/>
        <v>-2.9366339648908353E-3</v>
      </c>
    </row>
    <row r="859" spans="1:5" x14ac:dyDescent="0.25">
      <c r="A859" s="41">
        <v>43501</v>
      </c>
      <c r="B859" s="29">
        <v>456.15</v>
      </c>
      <c r="C859" s="37">
        <f t="shared" si="32"/>
        <v>76.025000000000006</v>
      </c>
      <c r="D859" s="37">
        <v>5.7140000000000004</v>
      </c>
      <c r="E859" s="33">
        <f t="shared" si="33"/>
        <v>-4.8215376559910036E-3</v>
      </c>
    </row>
    <row r="860" spans="1:5" x14ac:dyDescent="0.25">
      <c r="A860" s="41">
        <v>43501</v>
      </c>
      <c r="B860" s="29">
        <v>452.52</v>
      </c>
      <c r="C860" s="37">
        <f t="shared" si="32"/>
        <v>75.42</v>
      </c>
      <c r="D860" s="37">
        <v>5.7140000000000004</v>
      </c>
      <c r="E860" s="33">
        <f t="shared" si="33"/>
        <v>-7.9579085827030487E-3</v>
      </c>
    </row>
    <row r="861" spans="1:5" x14ac:dyDescent="0.25">
      <c r="A861" s="41">
        <v>43501</v>
      </c>
      <c r="B861" s="29">
        <v>451.97</v>
      </c>
      <c r="C861" s="37">
        <f t="shared" si="32"/>
        <v>75.328333333333333</v>
      </c>
      <c r="D861" s="37">
        <v>5.7140000000000004</v>
      </c>
      <c r="E861" s="33">
        <f t="shared" si="33"/>
        <v>-1.2154158932200887E-3</v>
      </c>
    </row>
    <row r="862" spans="1:5" x14ac:dyDescent="0.25">
      <c r="A862" s="41">
        <v>43501</v>
      </c>
      <c r="B862" s="29">
        <v>455.26</v>
      </c>
      <c r="C862" s="37">
        <f t="shared" si="32"/>
        <v>75.876666666666665</v>
      </c>
      <c r="D862" s="37">
        <v>5.7140000000000004</v>
      </c>
      <c r="E862" s="33">
        <f t="shared" si="33"/>
        <v>7.2792441976236551E-3</v>
      </c>
    </row>
    <row r="863" spans="1:5" x14ac:dyDescent="0.25">
      <c r="A863" s="41">
        <v>43501</v>
      </c>
      <c r="B863" s="29">
        <v>455.81</v>
      </c>
      <c r="C863" s="37">
        <f t="shared" si="32"/>
        <v>75.968333333333334</v>
      </c>
      <c r="D863" s="37">
        <v>5.7140000000000004</v>
      </c>
      <c r="E863" s="33">
        <f t="shared" si="33"/>
        <v>1.2081008654395542E-3</v>
      </c>
    </row>
    <row r="864" spans="1:5" x14ac:dyDescent="0.25">
      <c r="A864" s="41">
        <v>43501</v>
      </c>
      <c r="B864" s="29">
        <v>455.72</v>
      </c>
      <c r="C864" s="37">
        <f t="shared" si="32"/>
        <v>75.953333333333333</v>
      </c>
      <c r="D864" s="37">
        <v>5.7140000000000004</v>
      </c>
      <c r="E864" s="33">
        <f t="shared" si="33"/>
        <v>-1.9745069217431602E-4</v>
      </c>
    </row>
    <row r="865" spans="1:5" x14ac:dyDescent="0.25">
      <c r="A865" s="41">
        <v>43501</v>
      </c>
      <c r="B865" s="29">
        <v>452.75</v>
      </c>
      <c r="C865" s="37">
        <f t="shared" si="32"/>
        <v>75.458333333333329</v>
      </c>
      <c r="D865" s="37">
        <v>5.7140000000000004</v>
      </c>
      <c r="E865" s="33">
        <f t="shared" si="33"/>
        <v>-6.5171596594400666E-3</v>
      </c>
    </row>
    <row r="866" spans="1:5" x14ac:dyDescent="0.25">
      <c r="A866" s="41">
        <v>43502</v>
      </c>
      <c r="B866" s="29">
        <v>444.44</v>
      </c>
      <c r="C866" s="37">
        <f t="shared" si="32"/>
        <v>74.073333333333338</v>
      </c>
      <c r="D866" s="37">
        <v>5.4960000000000004</v>
      </c>
      <c r="E866" s="33">
        <f t="shared" si="33"/>
        <v>-1.8354500276090563E-2</v>
      </c>
    </row>
    <row r="867" spans="1:5" x14ac:dyDescent="0.25">
      <c r="A867" s="41">
        <v>43502</v>
      </c>
      <c r="B867" s="29">
        <v>443.81</v>
      </c>
      <c r="C867" s="37">
        <f t="shared" si="32"/>
        <v>73.968333333333334</v>
      </c>
      <c r="D867" s="37">
        <v>5.4960000000000004</v>
      </c>
      <c r="E867" s="33">
        <f t="shared" si="33"/>
        <v>-1.4175141751417411E-3</v>
      </c>
    </row>
    <row r="868" spans="1:5" x14ac:dyDescent="0.25">
      <c r="A868" s="41">
        <v>43502</v>
      </c>
      <c r="B868" s="29">
        <v>442.25</v>
      </c>
      <c r="C868" s="37">
        <f t="shared" si="32"/>
        <v>73.708333333333329</v>
      </c>
      <c r="D868" s="37">
        <v>5.4960000000000004</v>
      </c>
      <c r="E868" s="33">
        <f t="shared" si="33"/>
        <v>-3.5150176877492673E-3</v>
      </c>
    </row>
    <row r="869" spans="1:5" x14ac:dyDescent="0.25">
      <c r="A869" s="41">
        <v>43502</v>
      </c>
      <c r="B869" s="29">
        <v>442.12</v>
      </c>
      <c r="C869" s="37">
        <f t="shared" si="32"/>
        <v>73.686666666666667</v>
      </c>
      <c r="D869" s="37">
        <v>5.4960000000000004</v>
      </c>
      <c r="E869" s="33">
        <f t="shared" si="33"/>
        <v>-2.9395138496324577E-4</v>
      </c>
    </row>
    <row r="870" spans="1:5" x14ac:dyDescent="0.25">
      <c r="A870" s="41">
        <v>43502</v>
      </c>
      <c r="B870" s="29">
        <v>442.07</v>
      </c>
      <c r="C870" s="37">
        <f t="shared" si="32"/>
        <v>73.678333333333327</v>
      </c>
      <c r="D870" s="37">
        <v>5.4960000000000004</v>
      </c>
      <c r="E870" s="33">
        <f t="shared" si="33"/>
        <v>-1.1309146837965115E-4</v>
      </c>
    </row>
    <row r="871" spans="1:5" x14ac:dyDescent="0.25">
      <c r="A871" s="41">
        <v>43502</v>
      </c>
      <c r="B871" s="29">
        <v>443.38</v>
      </c>
      <c r="C871" s="37">
        <f t="shared" si="32"/>
        <v>73.896666666666661</v>
      </c>
      <c r="D871" s="37">
        <v>5.4960000000000004</v>
      </c>
      <c r="E871" s="33">
        <f t="shared" si="33"/>
        <v>2.9633315990680261E-3</v>
      </c>
    </row>
    <row r="872" spans="1:5" x14ac:dyDescent="0.25">
      <c r="A872" s="41">
        <v>43502</v>
      </c>
      <c r="B872" s="29">
        <v>444.09</v>
      </c>
      <c r="C872" s="37">
        <f t="shared" si="32"/>
        <v>74.015000000000001</v>
      </c>
      <c r="D872" s="37">
        <v>5.4960000000000004</v>
      </c>
      <c r="E872" s="33">
        <f t="shared" si="33"/>
        <v>1.6013351977986819E-3</v>
      </c>
    </row>
    <row r="873" spans="1:5" x14ac:dyDescent="0.25">
      <c r="A873" s="41">
        <v>43502</v>
      </c>
      <c r="B873" s="29">
        <v>446.33</v>
      </c>
      <c r="C873" s="37">
        <f t="shared" si="32"/>
        <v>74.388333333333335</v>
      </c>
      <c r="D873" s="37">
        <v>5.4960000000000004</v>
      </c>
      <c r="E873" s="33">
        <f t="shared" si="33"/>
        <v>5.0440226080299246E-3</v>
      </c>
    </row>
    <row r="874" spans="1:5" x14ac:dyDescent="0.25">
      <c r="A874" s="41">
        <v>43502</v>
      </c>
      <c r="B874" s="29">
        <v>449.67</v>
      </c>
      <c r="C874" s="37">
        <f t="shared" si="32"/>
        <v>74.944999999999993</v>
      </c>
      <c r="D874" s="37">
        <v>5.4960000000000004</v>
      </c>
      <c r="E874" s="33">
        <f t="shared" si="33"/>
        <v>7.4832523021083775E-3</v>
      </c>
    </row>
    <row r="875" spans="1:5" x14ac:dyDescent="0.25">
      <c r="A875" s="41">
        <v>43502</v>
      </c>
      <c r="B875" s="29">
        <v>450.51</v>
      </c>
      <c r="C875" s="37">
        <f t="shared" si="32"/>
        <v>75.084999999999994</v>
      </c>
      <c r="D875" s="37">
        <v>5.4960000000000004</v>
      </c>
      <c r="E875" s="33">
        <f t="shared" si="33"/>
        <v>1.8680365601440501E-3</v>
      </c>
    </row>
    <row r="876" spans="1:5" x14ac:dyDescent="0.25">
      <c r="A876" s="41">
        <v>43502</v>
      </c>
      <c r="B876" s="29">
        <v>452.58</v>
      </c>
      <c r="C876" s="37">
        <f t="shared" si="32"/>
        <v>75.430000000000007</v>
      </c>
      <c r="D876" s="37">
        <v>5.4960000000000004</v>
      </c>
      <c r="E876" s="33">
        <f t="shared" si="33"/>
        <v>4.5947925684224396E-3</v>
      </c>
    </row>
    <row r="877" spans="1:5" x14ac:dyDescent="0.25">
      <c r="A877" s="41">
        <v>43502</v>
      </c>
      <c r="B877" s="29">
        <v>452.59</v>
      </c>
      <c r="C877" s="37">
        <f t="shared" si="32"/>
        <v>75.431666666666672</v>
      </c>
      <c r="D877" s="37">
        <v>5.4960000000000004</v>
      </c>
      <c r="E877" s="33">
        <f t="shared" si="33"/>
        <v>2.2095541119781929E-5</v>
      </c>
    </row>
    <row r="878" spans="1:5" x14ac:dyDescent="0.25">
      <c r="A878" s="41">
        <v>43502</v>
      </c>
      <c r="B878" s="29">
        <v>450.8</v>
      </c>
      <c r="C878" s="37">
        <f t="shared" si="32"/>
        <v>75.13333333333334</v>
      </c>
      <c r="D878" s="37">
        <v>5.4960000000000004</v>
      </c>
      <c r="E878" s="33">
        <f t="shared" si="33"/>
        <v>-3.955014472259581E-3</v>
      </c>
    </row>
    <row r="879" spans="1:5" x14ac:dyDescent="0.25">
      <c r="A879" s="41">
        <v>43502</v>
      </c>
      <c r="B879" s="29">
        <v>452.83</v>
      </c>
      <c r="C879" s="37">
        <f t="shared" si="32"/>
        <v>75.471666666666664</v>
      </c>
      <c r="D879" s="37">
        <v>5.4960000000000004</v>
      </c>
      <c r="E879" s="33">
        <f t="shared" si="33"/>
        <v>4.5031055900620507E-3</v>
      </c>
    </row>
    <row r="880" spans="1:5" x14ac:dyDescent="0.25">
      <c r="A880" s="41">
        <v>43502</v>
      </c>
      <c r="B880" s="29">
        <v>452.68</v>
      </c>
      <c r="C880" s="37">
        <f t="shared" si="32"/>
        <v>75.446666666666673</v>
      </c>
      <c r="D880" s="37">
        <v>5.4960000000000004</v>
      </c>
      <c r="E880" s="33">
        <f t="shared" si="33"/>
        <v>-3.3125013802084063E-4</v>
      </c>
    </row>
    <row r="881" spans="1:5" x14ac:dyDescent="0.25">
      <c r="A881" s="41">
        <v>43502</v>
      </c>
      <c r="B881" s="29">
        <v>452.63</v>
      </c>
      <c r="C881" s="37">
        <f t="shared" si="32"/>
        <v>75.438333333333333</v>
      </c>
      <c r="D881" s="37">
        <v>5.4960000000000004</v>
      </c>
      <c r="E881" s="33">
        <f t="shared" si="33"/>
        <v>-1.1045330034463941E-4</v>
      </c>
    </row>
    <row r="882" spans="1:5" x14ac:dyDescent="0.25">
      <c r="A882" s="41">
        <v>43502</v>
      </c>
      <c r="B882" s="29">
        <v>452.16</v>
      </c>
      <c r="C882" s="37">
        <f t="shared" si="32"/>
        <v>75.36</v>
      </c>
      <c r="D882" s="37">
        <v>5.4960000000000004</v>
      </c>
      <c r="E882" s="33">
        <f t="shared" si="33"/>
        <v>-1.0383757152640576E-3</v>
      </c>
    </row>
    <row r="883" spans="1:5" x14ac:dyDescent="0.25">
      <c r="A883" s="41">
        <v>43502</v>
      </c>
      <c r="B883" s="29">
        <v>449.74</v>
      </c>
      <c r="C883" s="37">
        <f t="shared" si="32"/>
        <v>74.956666666666663</v>
      </c>
      <c r="D883" s="37">
        <v>5.4960000000000004</v>
      </c>
      <c r="E883" s="33">
        <f t="shared" si="33"/>
        <v>-5.3520877565463899E-3</v>
      </c>
    </row>
    <row r="884" spans="1:5" x14ac:dyDescent="0.25">
      <c r="A884" s="41">
        <v>43502</v>
      </c>
      <c r="B884" s="29">
        <v>448.72</v>
      </c>
      <c r="C884" s="37">
        <f t="shared" si="32"/>
        <v>74.786666666666662</v>
      </c>
      <c r="D884" s="37">
        <v>5.4960000000000004</v>
      </c>
      <c r="E884" s="33">
        <f t="shared" si="33"/>
        <v>-2.2679770534085957E-3</v>
      </c>
    </row>
    <row r="885" spans="1:5" x14ac:dyDescent="0.25">
      <c r="A885" s="41">
        <v>43502</v>
      </c>
      <c r="B885" s="29">
        <v>447.47</v>
      </c>
      <c r="C885" s="37">
        <f t="shared" si="32"/>
        <v>74.578333333333333</v>
      </c>
      <c r="D885" s="37">
        <v>5.4960000000000004</v>
      </c>
      <c r="E885" s="33">
        <f t="shared" si="33"/>
        <v>-2.7857015510786235E-3</v>
      </c>
    </row>
    <row r="886" spans="1:5" x14ac:dyDescent="0.25">
      <c r="A886" s="41">
        <v>43502</v>
      </c>
      <c r="B886" s="29">
        <v>448.67</v>
      </c>
      <c r="C886" s="37">
        <f t="shared" si="32"/>
        <v>74.778333333333336</v>
      </c>
      <c r="D886" s="37">
        <v>5.4960000000000004</v>
      </c>
      <c r="E886" s="33">
        <f t="shared" si="33"/>
        <v>2.6817440275325463E-3</v>
      </c>
    </row>
    <row r="887" spans="1:5" x14ac:dyDescent="0.25">
      <c r="A887" s="41">
        <v>43502</v>
      </c>
      <c r="B887" s="29">
        <v>449.21</v>
      </c>
      <c r="C887" s="37">
        <f t="shared" si="32"/>
        <v>74.868333333333339</v>
      </c>
      <c r="D887" s="37">
        <v>5.4960000000000004</v>
      </c>
      <c r="E887" s="33">
        <f t="shared" si="33"/>
        <v>1.203557180110022E-3</v>
      </c>
    </row>
    <row r="888" spans="1:5" x14ac:dyDescent="0.25">
      <c r="A888" s="41">
        <v>43502</v>
      </c>
      <c r="B888" s="29">
        <v>449.02</v>
      </c>
      <c r="C888" s="37">
        <f t="shared" si="32"/>
        <v>74.836666666666673</v>
      </c>
      <c r="D888" s="37">
        <v>5.4960000000000004</v>
      </c>
      <c r="E888" s="33">
        <f t="shared" si="33"/>
        <v>-4.2296476035706627E-4</v>
      </c>
    </row>
    <row r="889" spans="1:5" x14ac:dyDescent="0.25">
      <c r="A889" s="41">
        <v>43502</v>
      </c>
      <c r="B889" s="29">
        <v>448.43</v>
      </c>
      <c r="C889" s="37">
        <f t="shared" si="32"/>
        <v>74.73833333333333</v>
      </c>
      <c r="D889" s="37">
        <v>5.4960000000000004</v>
      </c>
      <c r="E889" s="33">
        <f t="shared" si="33"/>
        <v>-1.3139726515522137E-3</v>
      </c>
    </row>
    <row r="890" spans="1:5" x14ac:dyDescent="0.25">
      <c r="A890" s="41">
        <v>43503</v>
      </c>
      <c r="B890" s="29">
        <v>443.37</v>
      </c>
      <c r="C890" s="37">
        <f t="shared" si="32"/>
        <v>73.894999999999996</v>
      </c>
      <c r="D890" s="37">
        <v>5.0060000000000002</v>
      </c>
      <c r="E890" s="33">
        <f t="shared" si="33"/>
        <v>-1.1283812412193658E-2</v>
      </c>
    </row>
    <row r="891" spans="1:5" x14ac:dyDescent="0.25">
      <c r="A891" s="41">
        <v>43503</v>
      </c>
      <c r="B891" s="29">
        <v>441.03</v>
      </c>
      <c r="C891" s="37">
        <f t="shared" si="32"/>
        <v>73.504999999999995</v>
      </c>
      <c r="D891" s="37">
        <v>5.0060000000000002</v>
      </c>
      <c r="E891" s="33">
        <f t="shared" si="33"/>
        <v>-5.2777589823398783E-3</v>
      </c>
    </row>
    <row r="892" spans="1:5" x14ac:dyDescent="0.25">
      <c r="A892" s="41">
        <v>43503</v>
      </c>
      <c r="B892" s="29">
        <v>440.2</v>
      </c>
      <c r="C892" s="37">
        <f t="shared" si="32"/>
        <v>73.36666666666666</v>
      </c>
      <c r="D892" s="37">
        <v>5.0060000000000002</v>
      </c>
      <c r="E892" s="33">
        <f t="shared" si="33"/>
        <v>-1.8819581434369184E-3</v>
      </c>
    </row>
    <row r="893" spans="1:5" x14ac:dyDescent="0.25">
      <c r="A893" s="41">
        <v>43503</v>
      </c>
      <c r="B893" s="29">
        <v>440.2</v>
      </c>
      <c r="C893" s="37">
        <f t="shared" si="32"/>
        <v>73.36666666666666</v>
      </c>
      <c r="D893" s="37">
        <v>5.0060000000000002</v>
      </c>
      <c r="E893" s="33">
        <f t="shared" si="33"/>
        <v>0</v>
      </c>
    </row>
    <row r="894" spans="1:5" x14ac:dyDescent="0.25">
      <c r="A894" s="41">
        <v>43503</v>
      </c>
      <c r="B894" s="29">
        <v>440.2</v>
      </c>
      <c r="C894" s="37">
        <f t="shared" si="32"/>
        <v>73.36666666666666</v>
      </c>
      <c r="D894" s="37">
        <v>5.0060000000000002</v>
      </c>
      <c r="E894" s="33">
        <f t="shared" si="33"/>
        <v>0</v>
      </c>
    </row>
    <row r="895" spans="1:5" x14ac:dyDescent="0.25">
      <c r="A895" s="41">
        <v>43503</v>
      </c>
      <c r="B895" s="29">
        <v>440.93</v>
      </c>
      <c r="C895" s="37">
        <f t="shared" si="32"/>
        <v>73.48833333333333</v>
      </c>
      <c r="D895" s="37">
        <v>5.0060000000000002</v>
      </c>
      <c r="E895" s="33">
        <f t="shared" si="33"/>
        <v>1.6583371194911817E-3</v>
      </c>
    </row>
    <row r="896" spans="1:5" x14ac:dyDescent="0.25">
      <c r="A896" s="41">
        <v>43503</v>
      </c>
      <c r="B896" s="29">
        <v>442.34</v>
      </c>
      <c r="C896" s="37">
        <f t="shared" si="32"/>
        <v>73.723333333333329</v>
      </c>
      <c r="D896" s="37">
        <v>5.0060000000000002</v>
      </c>
      <c r="E896" s="33">
        <f t="shared" si="33"/>
        <v>3.1977864967227634E-3</v>
      </c>
    </row>
    <row r="897" spans="1:5" x14ac:dyDescent="0.25">
      <c r="A897" s="41">
        <v>43503</v>
      </c>
      <c r="B897" s="29">
        <v>445.99</v>
      </c>
      <c r="C897" s="37">
        <f t="shared" si="32"/>
        <v>74.331666666666663</v>
      </c>
      <c r="D897" s="37">
        <v>5.0060000000000002</v>
      </c>
      <c r="E897" s="33">
        <f t="shared" si="33"/>
        <v>8.2515711895827515E-3</v>
      </c>
    </row>
    <row r="898" spans="1:5" x14ac:dyDescent="0.25">
      <c r="A898" s="41">
        <v>43503</v>
      </c>
      <c r="B898" s="29">
        <v>448.47</v>
      </c>
      <c r="C898" s="37">
        <f t="shared" si="32"/>
        <v>74.745000000000005</v>
      </c>
      <c r="D898" s="37">
        <v>5.0060000000000002</v>
      </c>
      <c r="E898" s="33">
        <f t="shared" si="33"/>
        <v>5.5606627951299767E-3</v>
      </c>
    </row>
    <row r="899" spans="1:5" x14ac:dyDescent="0.25">
      <c r="A899" s="41">
        <v>43503</v>
      </c>
      <c r="B899" s="29">
        <v>450.12</v>
      </c>
      <c r="C899" s="37">
        <f t="shared" ref="C899:C962" si="34">(B899*100/600)</f>
        <v>75.02</v>
      </c>
      <c r="D899" s="37">
        <v>5.0060000000000002</v>
      </c>
      <c r="E899" s="33">
        <f t="shared" si="33"/>
        <v>3.6791758646062774E-3</v>
      </c>
    </row>
    <row r="900" spans="1:5" x14ac:dyDescent="0.25">
      <c r="A900" s="41">
        <v>43503</v>
      </c>
      <c r="B900" s="29">
        <v>450.66</v>
      </c>
      <c r="C900" s="37">
        <f t="shared" si="34"/>
        <v>75.11</v>
      </c>
      <c r="D900" s="37">
        <v>5.0060000000000002</v>
      </c>
      <c r="E900" s="33">
        <f t="shared" ref="E900:E963" si="35">(B900-B899)/B899</f>
        <v>1.1996800853106293E-3</v>
      </c>
    </row>
    <row r="901" spans="1:5" x14ac:dyDescent="0.25">
      <c r="A901" s="41">
        <v>43503</v>
      </c>
      <c r="B901" s="29">
        <v>450.6</v>
      </c>
      <c r="C901" s="37">
        <f t="shared" si="34"/>
        <v>75.099999999999994</v>
      </c>
      <c r="D901" s="37">
        <v>5.0060000000000002</v>
      </c>
      <c r="E901" s="33">
        <f t="shared" si="35"/>
        <v>-1.3313806417255197E-4</v>
      </c>
    </row>
    <row r="902" spans="1:5" x14ac:dyDescent="0.25">
      <c r="A902" s="41">
        <v>43503</v>
      </c>
      <c r="B902" s="29">
        <v>449.89</v>
      </c>
      <c r="C902" s="37">
        <f t="shared" si="34"/>
        <v>74.981666666666669</v>
      </c>
      <c r="D902" s="37">
        <v>5.0060000000000002</v>
      </c>
      <c r="E902" s="33">
        <f t="shared" si="35"/>
        <v>-1.5756768752774885E-3</v>
      </c>
    </row>
    <row r="903" spans="1:5" x14ac:dyDescent="0.25">
      <c r="A903" s="41">
        <v>43503</v>
      </c>
      <c r="B903" s="29">
        <v>450.68</v>
      </c>
      <c r="C903" s="37">
        <f t="shared" si="34"/>
        <v>75.11333333333333</v>
      </c>
      <c r="D903" s="37">
        <v>5.0060000000000002</v>
      </c>
      <c r="E903" s="33">
        <f t="shared" si="35"/>
        <v>1.7559847962835815E-3</v>
      </c>
    </row>
    <row r="904" spans="1:5" x14ac:dyDescent="0.25">
      <c r="A904" s="41">
        <v>43503</v>
      </c>
      <c r="B904" s="29">
        <v>450.87</v>
      </c>
      <c r="C904" s="37">
        <f t="shared" si="34"/>
        <v>75.144999999999996</v>
      </c>
      <c r="D904" s="37">
        <v>5.0060000000000002</v>
      </c>
      <c r="E904" s="33">
        <f t="shared" si="35"/>
        <v>4.2158516020235581E-4</v>
      </c>
    </row>
    <row r="905" spans="1:5" x14ac:dyDescent="0.25">
      <c r="A905" s="41">
        <v>43503</v>
      </c>
      <c r="B905" s="29">
        <v>450.88</v>
      </c>
      <c r="C905" s="37">
        <f t="shared" si="34"/>
        <v>75.146666666666661</v>
      </c>
      <c r="D905" s="37">
        <v>5.0060000000000002</v>
      </c>
      <c r="E905" s="33">
        <f t="shared" si="35"/>
        <v>2.217934216069134E-5</v>
      </c>
    </row>
    <row r="906" spans="1:5" x14ac:dyDescent="0.25">
      <c r="A906" s="41">
        <v>43503</v>
      </c>
      <c r="B906" s="29">
        <v>450.02</v>
      </c>
      <c r="C906" s="37">
        <f t="shared" si="34"/>
        <v>75.00333333333333</v>
      </c>
      <c r="D906" s="37">
        <v>5.0060000000000002</v>
      </c>
      <c r="E906" s="33">
        <f t="shared" si="35"/>
        <v>-1.9073811213626988E-3</v>
      </c>
    </row>
    <row r="907" spans="1:5" x14ac:dyDescent="0.25">
      <c r="A907" s="41">
        <v>43503</v>
      </c>
      <c r="B907" s="29">
        <v>449.49</v>
      </c>
      <c r="C907" s="37">
        <f t="shared" si="34"/>
        <v>74.915000000000006</v>
      </c>
      <c r="D907" s="37">
        <v>5.0060000000000002</v>
      </c>
      <c r="E907" s="33">
        <f t="shared" si="35"/>
        <v>-1.1777254344250761E-3</v>
      </c>
    </row>
    <row r="908" spans="1:5" x14ac:dyDescent="0.25">
      <c r="A908" s="41">
        <v>43503</v>
      </c>
      <c r="B908" s="29">
        <v>445.98</v>
      </c>
      <c r="C908" s="37">
        <f t="shared" si="34"/>
        <v>74.33</v>
      </c>
      <c r="D908" s="37">
        <v>5.0060000000000002</v>
      </c>
      <c r="E908" s="33">
        <f t="shared" si="35"/>
        <v>-7.8088500300340178E-3</v>
      </c>
    </row>
    <row r="909" spans="1:5" x14ac:dyDescent="0.25">
      <c r="A909" s="41">
        <v>43503</v>
      </c>
      <c r="B909" s="29">
        <v>445.76</v>
      </c>
      <c r="C909" s="37">
        <f t="shared" si="34"/>
        <v>74.293333333333337</v>
      </c>
      <c r="D909" s="37">
        <v>5.0060000000000002</v>
      </c>
      <c r="E909" s="33">
        <f t="shared" si="35"/>
        <v>-4.9329566348272854E-4</v>
      </c>
    </row>
    <row r="910" spans="1:5" x14ac:dyDescent="0.25">
      <c r="A910" s="41">
        <v>43503</v>
      </c>
      <c r="B910" s="29">
        <v>448.96</v>
      </c>
      <c r="C910" s="37">
        <f t="shared" si="34"/>
        <v>74.826666666666668</v>
      </c>
      <c r="D910" s="37">
        <v>5.0060000000000002</v>
      </c>
      <c r="E910" s="33">
        <f t="shared" si="35"/>
        <v>7.1787508973438366E-3</v>
      </c>
    </row>
    <row r="911" spans="1:5" x14ac:dyDescent="0.25">
      <c r="A911" s="41">
        <v>43503</v>
      </c>
      <c r="B911" s="29">
        <v>449.02</v>
      </c>
      <c r="C911" s="37">
        <f t="shared" si="34"/>
        <v>74.836666666666673</v>
      </c>
      <c r="D911" s="37">
        <v>5.0060000000000002</v>
      </c>
      <c r="E911" s="33">
        <f t="shared" si="35"/>
        <v>1.336421952957998E-4</v>
      </c>
    </row>
    <row r="912" spans="1:5" x14ac:dyDescent="0.25">
      <c r="A912" s="41">
        <v>43503</v>
      </c>
      <c r="B912" s="29">
        <v>448.8</v>
      </c>
      <c r="C912" s="37">
        <f t="shared" si="34"/>
        <v>74.8</v>
      </c>
      <c r="D912" s="37">
        <v>5.0060000000000002</v>
      </c>
      <c r="E912" s="33">
        <f t="shared" si="35"/>
        <v>-4.89955903968577E-4</v>
      </c>
    </row>
    <row r="913" spans="1:5" x14ac:dyDescent="0.25">
      <c r="A913" s="41">
        <v>43503</v>
      </c>
      <c r="B913" s="29">
        <v>447.04</v>
      </c>
      <c r="C913" s="37">
        <f t="shared" si="34"/>
        <v>74.506666666666661</v>
      </c>
      <c r="D913" s="37">
        <v>5.0060000000000002</v>
      </c>
      <c r="E913" s="33">
        <f t="shared" si="35"/>
        <v>-3.9215686274509604E-3</v>
      </c>
    </row>
    <row r="914" spans="1:5" x14ac:dyDescent="0.25">
      <c r="A914" s="41">
        <v>43504</v>
      </c>
      <c r="B914" s="29">
        <v>445.26</v>
      </c>
      <c r="C914" s="37">
        <f t="shared" si="34"/>
        <v>74.209999999999994</v>
      </c>
      <c r="D914" s="37">
        <v>4.5579999999999998</v>
      </c>
      <c r="E914" s="33">
        <f t="shared" si="35"/>
        <v>-3.9817465998569024E-3</v>
      </c>
    </row>
    <row r="915" spans="1:5" x14ac:dyDescent="0.25">
      <c r="A915" s="41">
        <v>43504</v>
      </c>
      <c r="B915" s="29">
        <v>443.02</v>
      </c>
      <c r="C915" s="37">
        <f t="shared" si="34"/>
        <v>73.836666666666673</v>
      </c>
      <c r="D915" s="37">
        <v>4.5579999999999998</v>
      </c>
      <c r="E915" s="33">
        <f t="shared" si="35"/>
        <v>-5.0307685397296166E-3</v>
      </c>
    </row>
    <row r="916" spans="1:5" x14ac:dyDescent="0.25">
      <c r="A916" s="41">
        <v>43504</v>
      </c>
      <c r="B916" s="29">
        <v>441.95</v>
      </c>
      <c r="C916" s="37">
        <f t="shared" si="34"/>
        <v>73.658333333333331</v>
      </c>
      <c r="D916" s="37">
        <v>4.5579999999999998</v>
      </c>
      <c r="E916" s="33">
        <f t="shared" si="35"/>
        <v>-2.4152408469143454E-3</v>
      </c>
    </row>
    <row r="917" spans="1:5" x14ac:dyDescent="0.25">
      <c r="A917" s="41">
        <v>43504</v>
      </c>
      <c r="B917" s="29">
        <v>440.63</v>
      </c>
      <c r="C917" s="37">
        <f t="shared" si="34"/>
        <v>73.438333333333333</v>
      </c>
      <c r="D917" s="37">
        <v>4.5579999999999998</v>
      </c>
      <c r="E917" s="33">
        <f t="shared" si="35"/>
        <v>-2.9867632085077344E-3</v>
      </c>
    </row>
    <row r="918" spans="1:5" x14ac:dyDescent="0.25">
      <c r="A918" s="41">
        <v>43504</v>
      </c>
      <c r="B918" s="29">
        <v>440.75</v>
      </c>
      <c r="C918" s="37">
        <f t="shared" si="34"/>
        <v>73.458333333333329</v>
      </c>
      <c r="D918" s="37">
        <v>4.5579999999999998</v>
      </c>
      <c r="E918" s="33">
        <f t="shared" si="35"/>
        <v>2.7233733517918561E-4</v>
      </c>
    </row>
    <row r="919" spans="1:5" x14ac:dyDescent="0.25">
      <c r="A919" s="41">
        <v>43504</v>
      </c>
      <c r="B919" s="29">
        <v>442.99</v>
      </c>
      <c r="C919" s="37">
        <f t="shared" si="34"/>
        <v>73.831666666666663</v>
      </c>
      <c r="D919" s="37">
        <v>4.5579999999999998</v>
      </c>
      <c r="E919" s="33">
        <f t="shared" si="35"/>
        <v>5.0822461712989432E-3</v>
      </c>
    </row>
    <row r="920" spans="1:5" x14ac:dyDescent="0.25">
      <c r="A920" s="41">
        <v>43504</v>
      </c>
      <c r="B920" s="29">
        <v>446.39</v>
      </c>
      <c r="C920" s="37">
        <f t="shared" si="34"/>
        <v>74.398333333333326</v>
      </c>
      <c r="D920" s="37">
        <v>4.5579999999999998</v>
      </c>
      <c r="E920" s="33">
        <f t="shared" si="35"/>
        <v>7.6751168197927207E-3</v>
      </c>
    </row>
    <row r="921" spans="1:5" x14ac:dyDescent="0.25">
      <c r="A921" s="41">
        <v>43504</v>
      </c>
      <c r="B921" s="29">
        <v>446.94</v>
      </c>
      <c r="C921" s="37">
        <f t="shared" si="34"/>
        <v>74.489999999999995</v>
      </c>
      <c r="D921" s="37">
        <v>4.5579999999999998</v>
      </c>
      <c r="E921" s="33">
        <f t="shared" si="35"/>
        <v>1.2321064539976508E-3</v>
      </c>
    </row>
    <row r="922" spans="1:5" x14ac:dyDescent="0.25">
      <c r="A922" s="41">
        <v>43504</v>
      </c>
      <c r="B922" s="29">
        <v>452.41</v>
      </c>
      <c r="C922" s="37">
        <f t="shared" si="34"/>
        <v>75.401666666666671</v>
      </c>
      <c r="D922" s="37">
        <v>4.5579999999999998</v>
      </c>
      <c r="E922" s="33">
        <f t="shared" si="35"/>
        <v>1.2238779254486121E-2</v>
      </c>
    </row>
    <row r="923" spans="1:5" x14ac:dyDescent="0.25">
      <c r="A923" s="41">
        <v>43504</v>
      </c>
      <c r="B923" s="29">
        <v>454.12</v>
      </c>
      <c r="C923" s="37">
        <f t="shared" si="34"/>
        <v>75.686666666666667</v>
      </c>
      <c r="D923" s="37">
        <v>4.5579999999999998</v>
      </c>
      <c r="E923" s="33">
        <f t="shared" si="35"/>
        <v>3.7797572997943889E-3</v>
      </c>
    </row>
    <row r="924" spans="1:5" x14ac:dyDescent="0.25">
      <c r="A924" s="41">
        <v>43504</v>
      </c>
      <c r="B924" s="29">
        <v>457.19</v>
      </c>
      <c r="C924" s="37">
        <f t="shared" si="34"/>
        <v>76.198333333333338</v>
      </c>
      <c r="D924" s="37">
        <v>4.5579999999999998</v>
      </c>
      <c r="E924" s="33">
        <f t="shared" si="35"/>
        <v>6.7603276666960126E-3</v>
      </c>
    </row>
    <row r="925" spans="1:5" x14ac:dyDescent="0.25">
      <c r="A925" s="41">
        <v>43504</v>
      </c>
      <c r="B925" s="29">
        <v>458.13</v>
      </c>
      <c r="C925" s="37">
        <f t="shared" si="34"/>
        <v>76.355000000000004</v>
      </c>
      <c r="D925" s="37">
        <v>4.5579999999999998</v>
      </c>
      <c r="E925" s="33">
        <f t="shared" si="35"/>
        <v>2.0560379710842271E-3</v>
      </c>
    </row>
    <row r="926" spans="1:5" x14ac:dyDescent="0.25">
      <c r="A926" s="41">
        <v>43504</v>
      </c>
      <c r="B926" s="29">
        <v>456.49</v>
      </c>
      <c r="C926" s="37">
        <f t="shared" si="34"/>
        <v>76.081666666666663</v>
      </c>
      <c r="D926" s="37">
        <v>4.5579999999999998</v>
      </c>
      <c r="E926" s="33">
        <f t="shared" si="35"/>
        <v>-3.5797699342980951E-3</v>
      </c>
    </row>
    <row r="927" spans="1:5" x14ac:dyDescent="0.25">
      <c r="A927" s="41">
        <v>43504</v>
      </c>
      <c r="B927" s="29">
        <v>460.52</v>
      </c>
      <c r="C927" s="37">
        <f t="shared" si="34"/>
        <v>76.75333333333333</v>
      </c>
      <c r="D927" s="37">
        <v>4.5579999999999998</v>
      </c>
      <c r="E927" s="33">
        <f t="shared" si="35"/>
        <v>8.8282328199959965E-3</v>
      </c>
    </row>
    <row r="928" spans="1:5" x14ac:dyDescent="0.25">
      <c r="A928" s="41">
        <v>43504</v>
      </c>
      <c r="B928" s="29">
        <v>462.55</v>
      </c>
      <c r="C928" s="37">
        <f t="shared" si="34"/>
        <v>77.091666666666669</v>
      </c>
      <c r="D928" s="37">
        <v>4.5579999999999998</v>
      </c>
      <c r="E928" s="33">
        <f t="shared" si="35"/>
        <v>4.4080604534005681E-3</v>
      </c>
    </row>
    <row r="929" spans="1:5" x14ac:dyDescent="0.25">
      <c r="A929" s="41">
        <v>43504</v>
      </c>
      <c r="B929" s="29">
        <v>462.78</v>
      </c>
      <c r="C929" s="37">
        <f t="shared" si="34"/>
        <v>77.13</v>
      </c>
      <c r="D929" s="37">
        <v>4.5579999999999998</v>
      </c>
      <c r="E929" s="33">
        <f t="shared" si="35"/>
        <v>4.972435412387014E-4</v>
      </c>
    </row>
    <row r="930" spans="1:5" x14ac:dyDescent="0.25">
      <c r="A930" s="41">
        <v>43504</v>
      </c>
      <c r="B930" s="29">
        <v>461.07</v>
      </c>
      <c r="C930" s="37">
        <f t="shared" si="34"/>
        <v>76.844999999999999</v>
      </c>
      <c r="D930" s="37">
        <v>4.5579999999999998</v>
      </c>
      <c r="E930" s="33">
        <f t="shared" si="35"/>
        <v>-3.6950602878257047E-3</v>
      </c>
    </row>
    <row r="931" spans="1:5" x14ac:dyDescent="0.25">
      <c r="A931" s="41">
        <v>43504</v>
      </c>
      <c r="B931" s="29">
        <v>456.4</v>
      </c>
      <c r="C931" s="37">
        <f t="shared" si="34"/>
        <v>76.066666666666663</v>
      </c>
      <c r="D931" s="37">
        <v>4.5579999999999998</v>
      </c>
      <c r="E931" s="33">
        <f t="shared" si="35"/>
        <v>-1.0128613876417933E-2</v>
      </c>
    </row>
    <row r="932" spans="1:5" x14ac:dyDescent="0.25">
      <c r="A932" s="41">
        <v>43504</v>
      </c>
      <c r="B932" s="29">
        <v>449.24</v>
      </c>
      <c r="C932" s="37">
        <f t="shared" si="34"/>
        <v>74.873333333333335</v>
      </c>
      <c r="D932" s="37">
        <v>4.5579999999999998</v>
      </c>
      <c r="E932" s="33">
        <f t="shared" si="35"/>
        <v>-1.5687992988606417E-2</v>
      </c>
    </row>
    <row r="933" spans="1:5" x14ac:dyDescent="0.25">
      <c r="A933" s="41">
        <v>43504</v>
      </c>
      <c r="B933" s="29">
        <v>448.26</v>
      </c>
      <c r="C933" s="37">
        <f t="shared" si="34"/>
        <v>74.709999999999994</v>
      </c>
      <c r="D933" s="37">
        <v>4.5579999999999998</v>
      </c>
      <c r="E933" s="33">
        <f t="shared" si="35"/>
        <v>-2.1814620247529565E-3</v>
      </c>
    </row>
    <row r="934" spans="1:5" x14ac:dyDescent="0.25">
      <c r="A934" s="41">
        <v>43504</v>
      </c>
      <c r="B934" s="29">
        <v>452.16</v>
      </c>
      <c r="C934" s="37">
        <f t="shared" si="34"/>
        <v>75.36</v>
      </c>
      <c r="D934" s="37">
        <v>4.5579999999999998</v>
      </c>
      <c r="E934" s="33">
        <f t="shared" si="35"/>
        <v>8.7003078570473263E-3</v>
      </c>
    </row>
    <row r="935" spans="1:5" x14ac:dyDescent="0.25">
      <c r="A935" s="41">
        <v>43504</v>
      </c>
      <c r="B935" s="29">
        <v>452.51</v>
      </c>
      <c r="C935" s="37">
        <f t="shared" si="34"/>
        <v>75.418333333333337</v>
      </c>
      <c r="D935" s="37">
        <v>4.5579999999999998</v>
      </c>
      <c r="E935" s="33">
        <f t="shared" si="35"/>
        <v>7.7406227883927345E-4</v>
      </c>
    </row>
    <row r="936" spans="1:5" x14ac:dyDescent="0.25">
      <c r="A936" s="41">
        <v>43504</v>
      </c>
      <c r="B936" s="29">
        <v>451.85</v>
      </c>
      <c r="C936" s="37">
        <f t="shared" si="34"/>
        <v>75.308333333333337</v>
      </c>
      <c r="D936" s="37">
        <v>4.5579999999999998</v>
      </c>
      <c r="E936" s="33">
        <f t="shared" si="35"/>
        <v>-1.4585313031755501E-3</v>
      </c>
    </row>
    <row r="937" spans="1:5" x14ac:dyDescent="0.25">
      <c r="A937" s="41">
        <v>43504</v>
      </c>
      <c r="B937" s="29">
        <v>449.19</v>
      </c>
      <c r="C937" s="37">
        <f t="shared" si="34"/>
        <v>74.864999999999995</v>
      </c>
      <c r="D937" s="37">
        <v>4.5579999999999998</v>
      </c>
      <c r="E937" s="33">
        <f t="shared" si="35"/>
        <v>-5.8869093725794509E-3</v>
      </c>
    </row>
    <row r="938" spans="1:5" x14ac:dyDescent="0.25">
      <c r="A938" s="41">
        <v>43505</v>
      </c>
      <c r="B938" s="29">
        <v>513.89</v>
      </c>
      <c r="C938" s="37">
        <f t="shared" si="34"/>
        <v>85.648333333333326</v>
      </c>
      <c r="D938" s="37">
        <v>4.3049999999999997</v>
      </c>
      <c r="E938" s="33">
        <f t="shared" si="35"/>
        <v>0.1440370444578018</v>
      </c>
    </row>
    <row r="939" spans="1:5" x14ac:dyDescent="0.25">
      <c r="A939" s="41">
        <v>43505</v>
      </c>
      <c r="B939" s="29">
        <v>513.89</v>
      </c>
      <c r="C939" s="37">
        <f t="shared" si="34"/>
        <v>85.648333333333326</v>
      </c>
      <c r="D939" s="37">
        <v>4.3049999999999997</v>
      </c>
      <c r="E939" s="33">
        <f t="shared" si="35"/>
        <v>0</v>
      </c>
    </row>
    <row r="940" spans="1:5" x14ac:dyDescent="0.25">
      <c r="A940" s="41">
        <v>43505</v>
      </c>
      <c r="B940" s="29">
        <v>513.89</v>
      </c>
      <c r="C940" s="37">
        <f t="shared" si="34"/>
        <v>85.648333333333326</v>
      </c>
      <c r="D940" s="37">
        <v>4.3049999999999997</v>
      </c>
      <c r="E940" s="33">
        <f t="shared" si="35"/>
        <v>0</v>
      </c>
    </row>
    <row r="941" spans="1:5" x14ac:dyDescent="0.25">
      <c r="A941" s="41">
        <v>43505</v>
      </c>
      <c r="B941" s="29">
        <v>513.35</v>
      </c>
      <c r="C941" s="37">
        <f t="shared" si="34"/>
        <v>85.558333333333337</v>
      </c>
      <c r="D941" s="37">
        <v>4.3049999999999997</v>
      </c>
      <c r="E941" s="33">
        <f t="shared" si="35"/>
        <v>-1.0508085387922778E-3</v>
      </c>
    </row>
    <row r="942" spans="1:5" x14ac:dyDescent="0.25">
      <c r="A942" s="41">
        <v>43505</v>
      </c>
      <c r="B942" s="29">
        <v>513.46</v>
      </c>
      <c r="C942" s="37">
        <f t="shared" si="34"/>
        <v>85.576666666666668</v>
      </c>
      <c r="D942" s="37">
        <v>4.3049999999999997</v>
      </c>
      <c r="E942" s="33">
        <f t="shared" si="35"/>
        <v>2.1427875718323491E-4</v>
      </c>
    </row>
    <row r="943" spans="1:5" x14ac:dyDescent="0.25">
      <c r="A943" s="41">
        <v>43505</v>
      </c>
      <c r="B943" s="29">
        <v>513.46</v>
      </c>
      <c r="C943" s="37">
        <f t="shared" si="34"/>
        <v>85.576666666666668</v>
      </c>
      <c r="D943" s="37">
        <v>4.3049999999999997</v>
      </c>
      <c r="E943" s="33">
        <f t="shared" si="35"/>
        <v>0</v>
      </c>
    </row>
    <row r="944" spans="1:5" x14ac:dyDescent="0.25">
      <c r="A944" s="41">
        <v>43505</v>
      </c>
      <c r="B944" s="29">
        <v>513.49</v>
      </c>
      <c r="C944" s="37">
        <f t="shared" si="34"/>
        <v>85.581666666666663</v>
      </c>
      <c r="D944" s="37">
        <v>4.3049999999999997</v>
      </c>
      <c r="E944" s="33">
        <f t="shared" si="35"/>
        <v>5.842714135467751E-5</v>
      </c>
    </row>
    <row r="945" spans="1:5" x14ac:dyDescent="0.25">
      <c r="A945" s="41">
        <v>43505</v>
      </c>
      <c r="B945" s="29">
        <v>513.51</v>
      </c>
      <c r="C945" s="37">
        <f t="shared" si="34"/>
        <v>85.584999999999994</v>
      </c>
      <c r="D945" s="37">
        <v>4.3049999999999997</v>
      </c>
      <c r="E945" s="33">
        <f t="shared" si="35"/>
        <v>3.8949151882182337E-5</v>
      </c>
    </row>
    <row r="946" spans="1:5" x14ac:dyDescent="0.25">
      <c r="A946" s="41">
        <v>43505</v>
      </c>
      <c r="B946" s="29">
        <v>513.89</v>
      </c>
      <c r="C946" s="37">
        <f t="shared" si="34"/>
        <v>85.648333333333326</v>
      </c>
      <c r="D946" s="37">
        <v>4.3049999999999997</v>
      </c>
      <c r="E946" s="33">
        <f t="shared" si="35"/>
        <v>7.4000506319252875E-4</v>
      </c>
    </row>
    <row r="947" spans="1:5" x14ac:dyDescent="0.25">
      <c r="A947" s="41">
        <v>43505</v>
      </c>
      <c r="B947" s="29">
        <v>513.89</v>
      </c>
      <c r="C947" s="37">
        <f t="shared" si="34"/>
        <v>85.648333333333326</v>
      </c>
      <c r="D947" s="37">
        <v>4.3049999999999997</v>
      </c>
      <c r="E947" s="33">
        <f t="shared" si="35"/>
        <v>0</v>
      </c>
    </row>
    <row r="948" spans="1:5" x14ac:dyDescent="0.25">
      <c r="A948" s="41">
        <v>43505</v>
      </c>
      <c r="B948" s="29">
        <v>513.89</v>
      </c>
      <c r="C948" s="37">
        <f t="shared" si="34"/>
        <v>85.648333333333326</v>
      </c>
      <c r="D948" s="37">
        <v>4.3049999999999997</v>
      </c>
      <c r="E948" s="33">
        <f t="shared" si="35"/>
        <v>0</v>
      </c>
    </row>
    <row r="949" spans="1:5" x14ac:dyDescent="0.25">
      <c r="A949" s="41">
        <v>43505</v>
      </c>
      <c r="B949" s="29">
        <v>513.89</v>
      </c>
      <c r="C949" s="37">
        <f t="shared" si="34"/>
        <v>85.648333333333326</v>
      </c>
      <c r="D949" s="37">
        <v>4.3049999999999997</v>
      </c>
      <c r="E949" s="33">
        <f t="shared" si="35"/>
        <v>0</v>
      </c>
    </row>
    <row r="950" spans="1:5" x14ac:dyDescent="0.25">
      <c r="A950" s="41">
        <v>43505</v>
      </c>
      <c r="B950" s="29">
        <v>513.89</v>
      </c>
      <c r="C950" s="37">
        <f t="shared" si="34"/>
        <v>85.648333333333326</v>
      </c>
      <c r="D950" s="37">
        <v>4.3049999999999997</v>
      </c>
      <c r="E950" s="33">
        <f t="shared" si="35"/>
        <v>0</v>
      </c>
    </row>
    <row r="951" spans="1:5" x14ac:dyDescent="0.25">
      <c r="A951" s="41">
        <v>43505</v>
      </c>
      <c r="B951" s="29">
        <v>513.89</v>
      </c>
      <c r="C951" s="37">
        <f t="shared" si="34"/>
        <v>85.648333333333326</v>
      </c>
      <c r="D951" s="37">
        <v>4.3049999999999997</v>
      </c>
      <c r="E951" s="33">
        <f t="shared" si="35"/>
        <v>0</v>
      </c>
    </row>
    <row r="952" spans="1:5" x14ac:dyDescent="0.25">
      <c r="A952" s="41">
        <v>43505</v>
      </c>
      <c r="B952" s="29">
        <v>513.89</v>
      </c>
      <c r="C952" s="37">
        <f t="shared" si="34"/>
        <v>85.648333333333326</v>
      </c>
      <c r="D952" s="37">
        <v>4.3049999999999997</v>
      </c>
      <c r="E952" s="33">
        <f t="shared" si="35"/>
        <v>0</v>
      </c>
    </row>
    <row r="953" spans="1:5" x14ac:dyDescent="0.25">
      <c r="A953" s="41">
        <v>43505</v>
      </c>
      <c r="B953" s="29">
        <v>513.89</v>
      </c>
      <c r="C953" s="37">
        <f t="shared" si="34"/>
        <v>85.648333333333326</v>
      </c>
      <c r="D953" s="37">
        <v>4.3049999999999997</v>
      </c>
      <c r="E953" s="33">
        <f t="shared" si="35"/>
        <v>0</v>
      </c>
    </row>
    <row r="954" spans="1:5" x14ac:dyDescent="0.25">
      <c r="A954" s="41">
        <v>43505</v>
      </c>
      <c r="B954" s="29">
        <v>513.89</v>
      </c>
      <c r="C954" s="37">
        <f t="shared" si="34"/>
        <v>85.648333333333326</v>
      </c>
      <c r="D954" s="37">
        <v>4.3049999999999997</v>
      </c>
      <c r="E954" s="33">
        <f t="shared" si="35"/>
        <v>0</v>
      </c>
    </row>
    <row r="955" spans="1:5" x14ac:dyDescent="0.25">
      <c r="A955" s="41">
        <v>43505</v>
      </c>
      <c r="B955" s="29">
        <v>513.89</v>
      </c>
      <c r="C955" s="37">
        <f t="shared" si="34"/>
        <v>85.648333333333326</v>
      </c>
      <c r="D955" s="37">
        <v>4.3049999999999997</v>
      </c>
      <c r="E955" s="33">
        <f t="shared" si="35"/>
        <v>0</v>
      </c>
    </row>
    <row r="956" spans="1:5" x14ac:dyDescent="0.25">
      <c r="A956" s="41">
        <v>43505</v>
      </c>
      <c r="B956" s="29">
        <v>513.89</v>
      </c>
      <c r="C956" s="37">
        <f t="shared" si="34"/>
        <v>85.648333333333326</v>
      </c>
      <c r="D956" s="37">
        <v>4.3049999999999997</v>
      </c>
      <c r="E956" s="33">
        <f t="shared" si="35"/>
        <v>0</v>
      </c>
    </row>
    <row r="957" spans="1:5" x14ac:dyDescent="0.25">
      <c r="A957" s="41">
        <v>43505</v>
      </c>
      <c r="B957" s="29">
        <v>513.89</v>
      </c>
      <c r="C957" s="37">
        <f t="shared" si="34"/>
        <v>85.648333333333326</v>
      </c>
      <c r="D957" s="37">
        <v>4.3049999999999997</v>
      </c>
      <c r="E957" s="33">
        <f t="shared" si="35"/>
        <v>0</v>
      </c>
    </row>
    <row r="958" spans="1:5" x14ac:dyDescent="0.25">
      <c r="A958" s="41">
        <v>43505</v>
      </c>
      <c r="B958" s="29">
        <v>513.89</v>
      </c>
      <c r="C958" s="37">
        <f t="shared" si="34"/>
        <v>85.648333333333326</v>
      </c>
      <c r="D958" s="37">
        <v>4.3049999999999997</v>
      </c>
      <c r="E958" s="33">
        <f t="shared" si="35"/>
        <v>0</v>
      </c>
    </row>
    <row r="959" spans="1:5" x14ac:dyDescent="0.25">
      <c r="A959" s="41">
        <v>43505</v>
      </c>
      <c r="B959" s="29">
        <v>513.89</v>
      </c>
      <c r="C959" s="37">
        <f t="shared" si="34"/>
        <v>85.648333333333326</v>
      </c>
      <c r="D959" s="37">
        <v>4.3049999999999997</v>
      </c>
      <c r="E959" s="33">
        <f t="shared" si="35"/>
        <v>0</v>
      </c>
    </row>
    <row r="960" spans="1:5" x14ac:dyDescent="0.25">
      <c r="A960" s="41">
        <v>43505</v>
      </c>
      <c r="B960" s="29">
        <v>513.89</v>
      </c>
      <c r="C960" s="37">
        <f t="shared" si="34"/>
        <v>85.648333333333326</v>
      </c>
      <c r="D960" s="37">
        <v>4.3049999999999997</v>
      </c>
      <c r="E960" s="33">
        <f t="shared" si="35"/>
        <v>0</v>
      </c>
    </row>
    <row r="961" spans="1:5" x14ac:dyDescent="0.25">
      <c r="A961" s="41">
        <v>43505</v>
      </c>
      <c r="B961" s="29">
        <v>513.89</v>
      </c>
      <c r="C961" s="37">
        <f t="shared" si="34"/>
        <v>85.648333333333326</v>
      </c>
      <c r="D961" s="37">
        <v>4.3049999999999997</v>
      </c>
      <c r="E961" s="33">
        <f t="shared" si="35"/>
        <v>0</v>
      </c>
    </row>
    <row r="962" spans="1:5" x14ac:dyDescent="0.25">
      <c r="A962" s="41">
        <v>43506</v>
      </c>
      <c r="B962" s="29">
        <v>513.89</v>
      </c>
      <c r="C962" s="37">
        <f t="shared" si="34"/>
        <v>85.648333333333326</v>
      </c>
      <c r="D962" s="37">
        <v>4.13</v>
      </c>
      <c r="E962" s="33">
        <f t="shared" si="35"/>
        <v>0</v>
      </c>
    </row>
    <row r="963" spans="1:5" x14ac:dyDescent="0.25">
      <c r="A963" s="41">
        <v>43506</v>
      </c>
      <c r="B963" s="29">
        <v>513.44000000000005</v>
      </c>
      <c r="C963" s="37">
        <f t="shared" ref="C963:C1026" si="36">(B963*100/600)</f>
        <v>85.573333333333352</v>
      </c>
      <c r="D963" s="37">
        <v>4.13</v>
      </c>
      <c r="E963" s="33">
        <f t="shared" si="35"/>
        <v>-8.7567378232682441E-4</v>
      </c>
    </row>
    <row r="964" spans="1:5" x14ac:dyDescent="0.25">
      <c r="A964" s="41">
        <v>43506</v>
      </c>
      <c r="B964" s="29">
        <v>511.34</v>
      </c>
      <c r="C964" s="37">
        <f t="shared" si="36"/>
        <v>85.223333333333329</v>
      </c>
      <c r="D964" s="37">
        <v>4.13</v>
      </c>
      <c r="E964" s="33">
        <f t="shared" ref="E964:E1027" si="37">(B964-B963)/B963</f>
        <v>-4.0900592084763153E-3</v>
      </c>
    </row>
    <row r="965" spans="1:5" x14ac:dyDescent="0.25">
      <c r="A965" s="41">
        <v>43506</v>
      </c>
      <c r="B965" s="29">
        <v>508.49</v>
      </c>
      <c r="C965" s="37">
        <f t="shared" si="36"/>
        <v>84.748333333333335</v>
      </c>
      <c r="D965" s="37">
        <v>4.13</v>
      </c>
      <c r="E965" s="33">
        <f t="shared" si="37"/>
        <v>-5.5735909570930617E-3</v>
      </c>
    </row>
    <row r="966" spans="1:5" x14ac:dyDescent="0.25">
      <c r="A966" s="41">
        <v>43506</v>
      </c>
      <c r="B966" s="29">
        <v>508.48</v>
      </c>
      <c r="C966" s="37">
        <f t="shared" si="36"/>
        <v>84.74666666666667</v>
      </c>
      <c r="D966" s="37">
        <v>4.13</v>
      </c>
      <c r="E966" s="33">
        <f t="shared" si="37"/>
        <v>-1.9666070129188194E-5</v>
      </c>
    </row>
    <row r="967" spans="1:5" x14ac:dyDescent="0.25">
      <c r="A967" s="41">
        <v>43506</v>
      </c>
      <c r="B967" s="29">
        <v>507.48</v>
      </c>
      <c r="C967" s="37">
        <f t="shared" si="36"/>
        <v>84.58</v>
      </c>
      <c r="D967" s="37">
        <v>4.13</v>
      </c>
      <c r="E967" s="33">
        <f t="shared" si="37"/>
        <v>-1.9666456891126493E-3</v>
      </c>
    </row>
    <row r="968" spans="1:5" x14ac:dyDescent="0.25">
      <c r="A968" s="41">
        <v>43506</v>
      </c>
      <c r="B968" s="29">
        <v>507.5</v>
      </c>
      <c r="C968" s="37">
        <f t="shared" si="36"/>
        <v>84.583333333333329</v>
      </c>
      <c r="D968" s="37">
        <v>4.13</v>
      </c>
      <c r="E968" s="33">
        <f t="shared" si="37"/>
        <v>3.9410420115042584E-5</v>
      </c>
    </row>
    <row r="969" spans="1:5" x14ac:dyDescent="0.25">
      <c r="A969" s="41">
        <v>43506</v>
      </c>
      <c r="B969" s="29">
        <v>502.55</v>
      </c>
      <c r="C969" s="37">
        <f t="shared" si="36"/>
        <v>83.75833333333334</v>
      </c>
      <c r="D969" s="37">
        <v>4.13</v>
      </c>
      <c r="E969" s="33">
        <f t="shared" si="37"/>
        <v>-9.7536945812807651E-3</v>
      </c>
    </row>
    <row r="970" spans="1:5" x14ac:dyDescent="0.25">
      <c r="A970" s="41">
        <v>43506</v>
      </c>
      <c r="B970" s="29">
        <v>506.28</v>
      </c>
      <c r="C970" s="37">
        <f t="shared" si="36"/>
        <v>84.38</v>
      </c>
      <c r="D970" s="37">
        <v>4.13</v>
      </c>
      <c r="E970" s="33">
        <f t="shared" si="37"/>
        <v>7.4221470500446945E-3</v>
      </c>
    </row>
    <row r="971" spans="1:5" x14ac:dyDescent="0.25">
      <c r="A971" s="41">
        <v>43506</v>
      </c>
      <c r="B971" s="29">
        <v>508.53</v>
      </c>
      <c r="C971" s="37">
        <f t="shared" si="36"/>
        <v>84.754999999999995</v>
      </c>
      <c r="D971" s="37">
        <v>4.13</v>
      </c>
      <c r="E971" s="33">
        <f t="shared" si="37"/>
        <v>4.4441810855652998E-3</v>
      </c>
    </row>
    <row r="972" spans="1:5" x14ac:dyDescent="0.25">
      <c r="A972" s="41">
        <v>43506</v>
      </c>
      <c r="B972" s="29">
        <v>508.95</v>
      </c>
      <c r="C972" s="37">
        <f t="shared" si="36"/>
        <v>84.825000000000003</v>
      </c>
      <c r="D972" s="37">
        <v>4.13</v>
      </c>
      <c r="E972" s="33">
        <f t="shared" si="37"/>
        <v>8.2590997581266775E-4</v>
      </c>
    </row>
    <row r="973" spans="1:5" x14ac:dyDescent="0.25">
      <c r="A973" s="41">
        <v>43506</v>
      </c>
      <c r="B973" s="29">
        <v>511.01</v>
      </c>
      <c r="C973" s="37">
        <f t="shared" si="36"/>
        <v>85.168333333333337</v>
      </c>
      <c r="D973" s="37">
        <v>4.13</v>
      </c>
      <c r="E973" s="33">
        <f t="shared" si="37"/>
        <v>4.0475488751350866E-3</v>
      </c>
    </row>
    <row r="974" spans="1:5" x14ac:dyDescent="0.25">
      <c r="A974" s="41">
        <v>43506</v>
      </c>
      <c r="B974" s="29">
        <v>511.38</v>
      </c>
      <c r="C974" s="37">
        <f t="shared" si="36"/>
        <v>85.23</v>
      </c>
      <c r="D974" s="37">
        <v>4.13</v>
      </c>
      <c r="E974" s="33">
        <f t="shared" si="37"/>
        <v>7.2405628069901681E-4</v>
      </c>
    </row>
    <row r="975" spans="1:5" x14ac:dyDescent="0.25">
      <c r="A975" s="41">
        <v>43506</v>
      </c>
      <c r="B975" s="29">
        <v>511.61</v>
      </c>
      <c r="C975" s="37">
        <f t="shared" si="36"/>
        <v>85.268333333333331</v>
      </c>
      <c r="D975" s="37">
        <v>4.13</v>
      </c>
      <c r="E975" s="33">
        <f t="shared" si="37"/>
        <v>4.4976338534948219E-4</v>
      </c>
    </row>
    <row r="976" spans="1:5" x14ac:dyDescent="0.25">
      <c r="A976" s="41">
        <v>43506</v>
      </c>
      <c r="B976" s="29">
        <v>512.30999999999995</v>
      </c>
      <c r="C976" s="37">
        <f t="shared" si="36"/>
        <v>85.384999999999991</v>
      </c>
      <c r="D976" s="37">
        <v>4.13</v>
      </c>
      <c r="E976" s="33">
        <f t="shared" si="37"/>
        <v>1.3682297062214026E-3</v>
      </c>
    </row>
    <row r="977" spans="1:5" x14ac:dyDescent="0.25">
      <c r="A977" s="41">
        <v>43506</v>
      </c>
      <c r="B977" s="29">
        <v>512.82000000000005</v>
      </c>
      <c r="C977" s="37">
        <f t="shared" si="36"/>
        <v>85.470000000000013</v>
      </c>
      <c r="D977" s="37">
        <v>4.13</v>
      </c>
      <c r="E977" s="33">
        <f t="shared" si="37"/>
        <v>9.9549101130195507E-4</v>
      </c>
    </row>
    <row r="978" spans="1:5" x14ac:dyDescent="0.25">
      <c r="A978" s="41">
        <v>43506</v>
      </c>
      <c r="B978" s="29">
        <v>512.98</v>
      </c>
      <c r="C978" s="37">
        <f t="shared" si="36"/>
        <v>85.49666666666667</v>
      </c>
      <c r="D978" s="37">
        <v>4.13</v>
      </c>
      <c r="E978" s="33">
        <f t="shared" si="37"/>
        <v>3.120003120002499E-4</v>
      </c>
    </row>
    <row r="979" spans="1:5" x14ac:dyDescent="0.25">
      <c r="A979" s="41">
        <v>43506</v>
      </c>
      <c r="B979" s="29">
        <v>513.53</v>
      </c>
      <c r="C979" s="37">
        <f t="shared" si="36"/>
        <v>85.588333333333338</v>
      </c>
      <c r="D979" s="37">
        <v>4.13</v>
      </c>
      <c r="E979" s="33">
        <f t="shared" si="37"/>
        <v>1.0721665562009328E-3</v>
      </c>
    </row>
    <row r="980" spans="1:5" x14ac:dyDescent="0.25">
      <c r="A980" s="41">
        <v>43506</v>
      </c>
      <c r="B980" s="29">
        <v>510.75</v>
      </c>
      <c r="C980" s="37">
        <f t="shared" si="36"/>
        <v>85.125</v>
      </c>
      <c r="D980" s="37">
        <v>4.13</v>
      </c>
      <c r="E980" s="33">
        <f t="shared" si="37"/>
        <v>-5.4135104083499952E-3</v>
      </c>
    </row>
    <row r="981" spans="1:5" x14ac:dyDescent="0.25">
      <c r="A981" s="41">
        <v>43506</v>
      </c>
      <c r="B981" s="29">
        <v>511.56</v>
      </c>
      <c r="C981" s="37">
        <f t="shared" si="36"/>
        <v>85.26</v>
      </c>
      <c r="D981" s="37">
        <v>4.13</v>
      </c>
      <c r="E981" s="33">
        <f t="shared" si="37"/>
        <v>1.5859030837004451E-3</v>
      </c>
    </row>
    <row r="982" spans="1:5" x14ac:dyDescent="0.25">
      <c r="A982" s="41">
        <v>43506</v>
      </c>
      <c r="B982" s="29">
        <v>513.89</v>
      </c>
      <c r="C982" s="37">
        <f t="shared" si="36"/>
        <v>85.648333333333326</v>
      </c>
      <c r="D982" s="37">
        <v>4.13</v>
      </c>
      <c r="E982" s="33">
        <f t="shared" si="37"/>
        <v>4.5546954413949172E-3</v>
      </c>
    </row>
    <row r="983" spans="1:5" x14ac:dyDescent="0.25">
      <c r="A983" s="41">
        <v>43506</v>
      </c>
      <c r="B983" s="29">
        <v>513.89</v>
      </c>
      <c r="C983" s="37">
        <f t="shared" si="36"/>
        <v>85.648333333333326</v>
      </c>
      <c r="D983" s="37">
        <v>4.13</v>
      </c>
      <c r="E983" s="33">
        <f t="shared" si="37"/>
        <v>0</v>
      </c>
    </row>
    <row r="984" spans="1:5" x14ac:dyDescent="0.25">
      <c r="A984" s="41">
        <v>43506</v>
      </c>
      <c r="B984" s="29">
        <v>513.89</v>
      </c>
      <c r="C984" s="37">
        <f t="shared" si="36"/>
        <v>85.648333333333326</v>
      </c>
      <c r="D984" s="37">
        <v>4.13</v>
      </c>
      <c r="E984" s="33">
        <f t="shared" si="37"/>
        <v>0</v>
      </c>
    </row>
    <row r="985" spans="1:5" x14ac:dyDescent="0.25">
      <c r="A985" s="41">
        <v>43506</v>
      </c>
      <c r="B985" s="29">
        <v>513.89</v>
      </c>
      <c r="C985" s="37">
        <f t="shared" si="36"/>
        <v>85.648333333333326</v>
      </c>
      <c r="D985" s="37">
        <v>4.13</v>
      </c>
      <c r="E985" s="33">
        <f t="shared" si="37"/>
        <v>0</v>
      </c>
    </row>
    <row r="986" spans="1:5" x14ac:dyDescent="0.25">
      <c r="A986" s="41">
        <v>43507</v>
      </c>
      <c r="B986" s="29">
        <v>513.89</v>
      </c>
      <c r="C986" s="37">
        <f t="shared" si="36"/>
        <v>85.648333333333326</v>
      </c>
      <c r="D986" s="37">
        <v>4.0819999999999999</v>
      </c>
      <c r="E986" s="33">
        <f t="shared" si="37"/>
        <v>0</v>
      </c>
    </row>
    <row r="987" spans="1:5" x14ac:dyDescent="0.25">
      <c r="A987" s="41">
        <v>43507</v>
      </c>
      <c r="B987" s="29">
        <v>513.89</v>
      </c>
      <c r="C987" s="37">
        <f t="shared" si="36"/>
        <v>85.648333333333326</v>
      </c>
      <c r="D987" s="37">
        <v>4.0819999999999999</v>
      </c>
      <c r="E987" s="33">
        <f t="shared" si="37"/>
        <v>0</v>
      </c>
    </row>
    <row r="988" spans="1:5" x14ac:dyDescent="0.25">
      <c r="A988" s="41">
        <v>43507</v>
      </c>
      <c r="B988" s="29">
        <v>513.89</v>
      </c>
      <c r="C988" s="37">
        <f t="shared" si="36"/>
        <v>85.648333333333326</v>
      </c>
      <c r="D988" s="37">
        <v>4.0819999999999999</v>
      </c>
      <c r="E988" s="33">
        <f t="shared" si="37"/>
        <v>0</v>
      </c>
    </row>
    <row r="989" spans="1:5" x14ac:dyDescent="0.25">
      <c r="A989" s="41">
        <v>43507</v>
      </c>
      <c r="B989" s="29">
        <v>513.89</v>
      </c>
      <c r="C989" s="37">
        <f t="shared" si="36"/>
        <v>85.648333333333326</v>
      </c>
      <c r="D989" s="37">
        <v>4.0819999999999999</v>
      </c>
      <c r="E989" s="33">
        <f t="shared" si="37"/>
        <v>0</v>
      </c>
    </row>
    <row r="990" spans="1:5" x14ac:dyDescent="0.25">
      <c r="A990" s="41">
        <v>43507</v>
      </c>
      <c r="B990" s="29">
        <v>512.84</v>
      </c>
      <c r="C990" s="37">
        <f t="shared" si="36"/>
        <v>85.473333333333329</v>
      </c>
      <c r="D990" s="37">
        <v>4.0819999999999999</v>
      </c>
      <c r="E990" s="33">
        <f t="shared" si="37"/>
        <v>-2.0432388254294784E-3</v>
      </c>
    </row>
    <row r="991" spans="1:5" x14ac:dyDescent="0.25">
      <c r="A991" s="41">
        <v>43507</v>
      </c>
      <c r="B991" s="29">
        <v>513.89</v>
      </c>
      <c r="C991" s="37">
        <f t="shared" si="36"/>
        <v>85.648333333333326</v>
      </c>
      <c r="D991" s="37">
        <v>4.0819999999999999</v>
      </c>
      <c r="E991" s="33">
        <f t="shared" si="37"/>
        <v>2.0474221979563888E-3</v>
      </c>
    </row>
    <row r="992" spans="1:5" x14ac:dyDescent="0.25">
      <c r="A992" s="41">
        <v>43507</v>
      </c>
      <c r="B992" s="29">
        <v>513.89</v>
      </c>
      <c r="C992" s="37">
        <f t="shared" si="36"/>
        <v>85.648333333333326</v>
      </c>
      <c r="D992" s="37">
        <v>4.0819999999999999</v>
      </c>
      <c r="E992" s="33">
        <f t="shared" si="37"/>
        <v>0</v>
      </c>
    </row>
    <row r="993" spans="1:5" x14ac:dyDescent="0.25">
      <c r="A993" s="41">
        <v>43507</v>
      </c>
      <c r="B993" s="29">
        <v>513.89</v>
      </c>
      <c r="C993" s="37">
        <f t="shared" si="36"/>
        <v>85.648333333333326</v>
      </c>
      <c r="D993" s="37">
        <v>4.0819999999999999</v>
      </c>
      <c r="E993" s="33">
        <f t="shared" si="37"/>
        <v>0</v>
      </c>
    </row>
    <row r="994" spans="1:5" x14ac:dyDescent="0.25">
      <c r="A994" s="41">
        <v>43507</v>
      </c>
      <c r="B994" s="29">
        <v>513.89</v>
      </c>
      <c r="C994" s="37">
        <f t="shared" si="36"/>
        <v>85.648333333333326</v>
      </c>
      <c r="D994" s="37">
        <v>4.0819999999999999</v>
      </c>
      <c r="E994" s="33">
        <f t="shared" si="37"/>
        <v>0</v>
      </c>
    </row>
    <row r="995" spans="1:5" x14ac:dyDescent="0.25">
      <c r="A995" s="41">
        <v>43507</v>
      </c>
      <c r="B995" s="29">
        <v>513.89</v>
      </c>
      <c r="C995" s="37">
        <f t="shared" si="36"/>
        <v>85.648333333333326</v>
      </c>
      <c r="D995" s="37">
        <v>4.0819999999999999</v>
      </c>
      <c r="E995" s="33">
        <f t="shared" si="37"/>
        <v>0</v>
      </c>
    </row>
    <row r="996" spans="1:5" x14ac:dyDescent="0.25">
      <c r="A996" s="41">
        <v>43507</v>
      </c>
      <c r="B996" s="29">
        <v>513.89</v>
      </c>
      <c r="C996" s="37">
        <f t="shared" si="36"/>
        <v>85.648333333333326</v>
      </c>
      <c r="D996" s="37">
        <v>4.0819999999999999</v>
      </c>
      <c r="E996" s="33">
        <f t="shared" si="37"/>
        <v>0</v>
      </c>
    </row>
    <row r="997" spans="1:5" x14ac:dyDescent="0.25">
      <c r="A997" s="41">
        <v>43507</v>
      </c>
      <c r="B997" s="29">
        <v>513.89</v>
      </c>
      <c r="C997" s="37">
        <f t="shared" si="36"/>
        <v>85.648333333333326</v>
      </c>
      <c r="D997" s="37">
        <v>4.0819999999999999</v>
      </c>
      <c r="E997" s="33">
        <f t="shared" si="37"/>
        <v>0</v>
      </c>
    </row>
    <row r="998" spans="1:5" x14ac:dyDescent="0.25">
      <c r="A998" s="41">
        <v>43507</v>
      </c>
      <c r="B998" s="29">
        <v>513.89</v>
      </c>
      <c r="C998" s="37">
        <f t="shared" si="36"/>
        <v>85.648333333333326</v>
      </c>
      <c r="D998" s="37">
        <v>4.0819999999999999</v>
      </c>
      <c r="E998" s="33">
        <f t="shared" si="37"/>
        <v>0</v>
      </c>
    </row>
    <row r="999" spans="1:5" x14ac:dyDescent="0.25">
      <c r="A999" s="41">
        <v>43507</v>
      </c>
      <c r="B999" s="29">
        <v>513.89</v>
      </c>
      <c r="C999" s="37">
        <f t="shared" si="36"/>
        <v>85.648333333333326</v>
      </c>
      <c r="D999" s="37">
        <v>4.0819999999999999</v>
      </c>
      <c r="E999" s="33">
        <f t="shared" si="37"/>
        <v>0</v>
      </c>
    </row>
    <row r="1000" spans="1:5" x14ac:dyDescent="0.25">
      <c r="A1000" s="41">
        <v>43507</v>
      </c>
      <c r="B1000" s="29">
        <v>513.89</v>
      </c>
      <c r="C1000" s="37">
        <f t="shared" si="36"/>
        <v>85.648333333333326</v>
      </c>
      <c r="D1000" s="37">
        <v>4.0819999999999999</v>
      </c>
      <c r="E1000" s="33">
        <f t="shared" si="37"/>
        <v>0</v>
      </c>
    </row>
    <row r="1001" spans="1:5" x14ac:dyDescent="0.25">
      <c r="A1001" s="41">
        <v>43507</v>
      </c>
      <c r="B1001" s="29">
        <v>513.89</v>
      </c>
      <c r="C1001" s="37">
        <f t="shared" si="36"/>
        <v>85.648333333333326</v>
      </c>
      <c r="D1001" s="37">
        <v>4.0819999999999999</v>
      </c>
      <c r="E1001" s="33">
        <f t="shared" si="37"/>
        <v>0</v>
      </c>
    </row>
    <row r="1002" spans="1:5" x14ac:dyDescent="0.25">
      <c r="A1002" s="41">
        <v>43507</v>
      </c>
      <c r="B1002" s="29">
        <v>513.89</v>
      </c>
      <c r="C1002" s="37">
        <f t="shared" si="36"/>
        <v>85.648333333333326</v>
      </c>
      <c r="D1002" s="37">
        <v>4.0819999999999999</v>
      </c>
      <c r="E1002" s="33">
        <f t="shared" si="37"/>
        <v>0</v>
      </c>
    </row>
    <row r="1003" spans="1:5" x14ac:dyDescent="0.25">
      <c r="A1003" s="41">
        <v>43507</v>
      </c>
      <c r="B1003" s="29">
        <v>513.89</v>
      </c>
      <c r="C1003" s="37">
        <f t="shared" si="36"/>
        <v>85.648333333333326</v>
      </c>
      <c r="D1003" s="37">
        <v>4.0819999999999999</v>
      </c>
      <c r="E1003" s="33">
        <f t="shared" si="37"/>
        <v>0</v>
      </c>
    </row>
    <row r="1004" spans="1:5" x14ac:dyDescent="0.25">
      <c r="A1004" s="41">
        <v>43507</v>
      </c>
      <c r="B1004" s="29">
        <v>513.89</v>
      </c>
      <c r="C1004" s="37">
        <f t="shared" si="36"/>
        <v>85.648333333333326</v>
      </c>
      <c r="D1004" s="37">
        <v>4.0819999999999999</v>
      </c>
      <c r="E1004" s="33">
        <f t="shared" si="37"/>
        <v>0</v>
      </c>
    </row>
    <row r="1005" spans="1:5" x14ac:dyDescent="0.25">
      <c r="A1005" s="41">
        <v>43507</v>
      </c>
      <c r="B1005" s="29">
        <v>513.89</v>
      </c>
      <c r="C1005" s="37">
        <f t="shared" si="36"/>
        <v>85.648333333333326</v>
      </c>
      <c r="D1005" s="37">
        <v>4.0819999999999999</v>
      </c>
      <c r="E1005" s="33">
        <f t="shared" si="37"/>
        <v>0</v>
      </c>
    </row>
    <row r="1006" spans="1:5" x14ac:dyDescent="0.25">
      <c r="A1006" s="41">
        <v>43507</v>
      </c>
      <c r="B1006" s="29">
        <v>513.89</v>
      </c>
      <c r="C1006" s="37">
        <f t="shared" si="36"/>
        <v>85.648333333333326</v>
      </c>
      <c r="D1006" s="37">
        <v>4.0819999999999999</v>
      </c>
      <c r="E1006" s="33">
        <f t="shared" si="37"/>
        <v>0</v>
      </c>
    </row>
    <row r="1007" spans="1:5" x14ac:dyDescent="0.25">
      <c r="A1007" s="41">
        <v>43507</v>
      </c>
      <c r="B1007" s="29">
        <v>513.89</v>
      </c>
      <c r="C1007" s="37">
        <f t="shared" si="36"/>
        <v>85.648333333333326</v>
      </c>
      <c r="D1007" s="37">
        <v>4.0819999999999999</v>
      </c>
      <c r="E1007" s="33">
        <f t="shared" si="37"/>
        <v>0</v>
      </c>
    </row>
    <row r="1008" spans="1:5" x14ac:dyDescent="0.25">
      <c r="A1008" s="41">
        <v>43507</v>
      </c>
      <c r="B1008" s="29">
        <v>513.89</v>
      </c>
      <c r="C1008" s="37">
        <f t="shared" si="36"/>
        <v>85.648333333333326</v>
      </c>
      <c r="D1008" s="37">
        <v>4.0819999999999999</v>
      </c>
      <c r="E1008" s="33">
        <f t="shared" si="37"/>
        <v>0</v>
      </c>
    </row>
    <row r="1009" spans="1:5" x14ac:dyDescent="0.25">
      <c r="A1009" s="41">
        <v>43507</v>
      </c>
      <c r="B1009" s="29">
        <v>513.89</v>
      </c>
      <c r="C1009" s="37">
        <f t="shared" si="36"/>
        <v>85.648333333333326</v>
      </c>
      <c r="D1009" s="37">
        <v>4.0819999999999999</v>
      </c>
      <c r="E1009" s="33">
        <f t="shared" si="37"/>
        <v>0</v>
      </c>
    </row>
    <row r="1010" spans="1:5" x14ac:dyDescent="0.25">
      <c r="A1010" s="41">
        <v>43508</v>
      </c>
      <c r="B1010" s="29">
        <v>513.89</v>
      </c>
      <c r="C1010" s="37">
        <f t="shared" si="36"/>
        <v>85.648333333333326</v>
      </c>
      <c r="D1010" s="37">
        <v>4.1970000000000001</v>
      </c>
      <c r="E1010" s="33">
        <f t="shared" si="37"/>
        <v>0</v>
      </c>
    </row>
    <row r="1011" spans="1:5" x14ac:dyDescent="0.25">
      <c r="A1011" s="41">
        <v>43508</v>
      </c>
      <c r="B1011" s="29">
        <v>513.89</v>
      </c>
      <c r="C1011" s="37">
        <f t="shared" si="36"/>
        <v>85.648333333333326</v>
      </c>
      <c r="D1011" s="37">
        <v>4.1970000000000001</v>
      </c>
      <c r="E1011" s="33">
        <f t="shared" si="37"/>
        <v>0</v>
      </c>
    </row>
    <row r="1012" spans="1:5" x14ac:dyDescent="0.25">
      <c r="A1012" s="41">
        <v>43508</v>
      </c>
      <c r="B1012" s="29">
        <v>513.89</v>
      </c>
      <c r="C1012" s="37">
        <f t="shared" si="36"/>
        <v>85.648333333333326</v>
      </c>
      <c r="D1012" s="37">
        <v>4.1970000000000001</v>
      </c>
      <c r="E1012" s="33">
        <f t="shared" si="37"/>
        <v>0</v>
      </c>
    </row>
    <row r="1013" spans="1:5" x14ac:dyDescent="0.25">
      <c r="A1013" s="41">
        <v>43508</v>
      </c>
      <c r="B1013" s="29">
        <v>513.89</v>
      </c>
      <c r="C1013" s="37">
        <f t="shared" si="36"/>
        <v>85.648333333333326</v>
      </c>
      <c r="D1013" s="37">
        <v>4.1970000000000001</v>
      </c>
      <c r="E1013" s="33">
        <f t="shared" si="37"/>
        <v>0</v>
      </c>
    </row>
    <row r="1014" spans="1:5" x14ac:dyDescent="0.25">
      <c r="A1014" s="41">
        <v>43508</v>
      </c>
      <c r="B1014" s="29">
        <v>513.89</v>
      </c>
      <c r="C1014" s="37">
        <f t="shared" si="36"/>
        <v>85.648333333333326</v>
      </c>
      <c r="D1014" s="37">
        <v>4.1970000000000001</v>
      </c>
      <c r="E1014" s="33">
        <f t="shared" si="37"/>
        <v>0</v>
      </c>
    </row>
    <row r="1015" spans="1:5" x14ac:dyDescent="0.25">
      <c r="A1015" s="41">
        <v>43508</v>
      </c>
      <c r="B1015" s="29">
        <v>513.89</v>
      </c>
      <c r="C1015" s="37">
        <f t="shared" si="36"/>
        <v>85.648333333333326</v>
      </c>
      <c r="D1015" s="37">
        <v>4.1970000000000001</v>
      </c>
      <c r="E1015" s="33">
        <f t="shared" si="37"/>
        <v>0</v>
      </c>
    </row>
    <row r="1016" spans="1:5" x14ac:dyDescent="0.25">
      <c r="A1016" s="41">
        <v>43508</v>
      </c>
      <c r="B1016" s="29">
        <v>513.89</v>
      </c>
      <c r="C1016" s="37">
        <f t="shared" si="36"/>
        <v>85.648333333333326</v>
      </c>
      <c r="D1016" s="37">
        <v>4.1970000000000001</v>
      </c>
      <c r="E1016" s="33">
        <f t="shared" si="37"/>
        <v>0</v>
      </c>
    </row>
    <row r="1017" spans="1:5" x14ac:dyDescent="0.25">
      <c r="A1017" s="41">
        <v>43508</v>
      </c>
      <c r="B1017" s="29">
        <v>513.89</v>
      </c>
      <c r="C1017" s="37">
        <f t="shared" si="36"/>
        <v>85.648333333333326</v>
      </c>
      <c r="D1017" s="37">
        <v>4.1970000000000001</v>
      </c>
      <c r="E1017" s="33">
        <f t="shared" si="37"/>
        <v>0</v>
      </c>
    </row>
    <row r="1018" spans="1:5" x14ac:dyDescent="0.25">
      <c r="A1018" s="41">
        <v>43508</v>
      </c>
      <c r="B1018" s="29">
        <v>513.89</v>
      </c>
      <c r="C1018" s="37">
        <f t="shared" si="36"/>
        <v>85.648333333333326</v>
      </c>
      <c r="D1018" s="37">
        <v>4.1970000000000001</v>
      </c>
      <c r="E1018" s="33">
        <f t="shared" si="37"/>
        <v>0</v>
      </c>
    </row>
    <row r="1019" spans="1:5" x14ac:dyDescent="0.25">
      <c r="A1019" s="41">
        <v>43508</v>
      </c>
      <c r="B1019" s="29">
        <v>513.89</v>
      </c>
      <c r="C1019" s="37">
        <f t="shared" si="36"/>
        <v>85.648333333333326</v>
      </c>
      <c r="D1019" s="37">
        <v>4.1970000000000001</v>
      </c>
      <c r="E1019" s="33">
        <f t="shared" si="37"/>
        <v>0</v>
      </c>
    </row>
    <row r="1020" spans="1:5" x14ac:dyDescent="0.25">
      <c r="A1020" s="41">
        <v>43508</v>
      </c>
      <c r="B1020" s="29">
        <v>513.89</v>
      </c>
      <c r="C1020" s="37">
        <f t="shared" si="36"/>
        <v>85.648333333333326</v>
      </c>
      <c r="D1020" s="37">
        <v>4.1970000000000001</v>
      </c>
      <c r="E1020" s="33">
        <f t="shared" si="37"/>
        <v>0</v>
      </c>
    </row>
    <row r="1021" spans="1:5" x14ac:dyDescent="0.25">
      <c r="A1021" s="41">
        <v>43508</v>
      </c>
      <c r="B1021" s="29">
        <v>513.89</v>
      </c>
      <c r="C1021" s="37">
        <f t="shared" si="36"/>
        <v>85.648333333333326</v>
      </c>
      <c r="D1021" s="37">
        <v>4.1970000000000001</v>
      </c>
      <c r="E1021" s="33">
        <f t="shared" si="37"/>
        <v>0</v>
      </c>
    </row>
    <row r="1022" spans="1:5" x14ac:dyDescent="0.25">
      <c r="A1022" s="41">
        <v>43508</v>
      </c>
      <c r="B1022" s="29">
        <v>513.89</v>
      </c>
      <c r="C1022" s="37">
        <f t="shared" si="36"/>
        <v>85.648333333333326</v>
      </c>
      <c r="D1022" s="37">
        <v>4.1970000000000001</v>
      </c>
      <c r="E1022" s="33">
        <f t="shared" si="37"/>
        <v>0</v>
      </c>
    </row>
    <row r="1023" spans="1:5" x14ac:dyDescent="0.25">
      <c r="A1023" s="41">
        <v>43508</v>
      </c>
      <c r="B1023" s="29">
        <v>513.89</v>
      </c>
      <c r="C1023" s="37">
        <f t="shared" si="36"/>
        <v>85.648333333333326</v>
      </c>
      <c r="D1023" s="37">
        <v>4.1970000000000001</v>
      </c>
      <c r="E1023" s="33">
        <f t="shared" si="37"/>
        <v>0</v>
      </c>
    </row>
    <row r="1024" spans="1:5" x14ac:dyDescent="0.25">
      <c r="A1024" s="41">
        <v>43508</v>
      </c>
      <c r="B1024" s="29">
        <v>513.89</v>
      </c>
      <c r="C1024" s="37">
        <f t="shared" si="36"/>
        <v>85.648333333333326</v>
      </c>
      <c r="D1024" s="37">
        <v>4.1970000000000001</v>
      </c>
      <c r="E1024" s="33">
        <f t="shared" si="37"/>
        <v>0</v>
      </c>
    </row>
    <row r="1025" spans="1:5" x14ac:dyDescent="0.25">
      <c r="A1025" s="41">
        <v>43508</v>
      </c>
      <c r="B1025" s="29">
        <v>513.89</v>
      </c>
      <c r="C1025" s="37">
        <f t="shared" si="36"/>
        <v>85.648333333333326</v>
      </c>
      <c r="D1025" s="37">
        <v>4.1970000000000001</v>
      </c>
      <c r="E1025" s="33">
        <f t="shared" si="37"/>
        <v>0</v>
      </c>
    </row>
    <row r="1026" spans="1:5" x14ac:dyDescent="0.25">
      <c r="A1026" s="41">
        <v>43508</v>
      </c>
      <c r="B1026" s="29">
        <v>513.89</v>
      </c>
      <c r="C1026" s="37">
        <f t="shared" si="36"/>
        <v>85.648333333333326</v>
      </c>
      <c r="D1026" s="37">
        <v>4.1970000000000001</v>
      </c>
      <c r="E1026" s="33">
        <f t="shared" si="37"/>
        <v>0</v>
      </c>
    </row>
    <row r="1027" spans="1:5" x14ac:dyDescent="0.25">
      <c r="A1027" s="41">
        <v>43508</v>
      </c>
      <c r="B1027" s="29">
        <v>513.89</v>
      </c>
      <c r="C1027" s="37">
        <f t="shared" ref="C1027:C1090" si="38">(B1027*100/600)</f>
        <v>85.648333333333326</v>
      </c>
      <c r="D1027" s="37">
        <v>4.1970000000000001</v>
      </c>
      <c r="E1027" s="33">
        <f t="shared" si="37"/>
        <v>0</v>
      </c>
    </row>
    <row r="1028" spans="1:5" x14ac:dyDescent="0.25">
      <c r="A1028" s="41">
        <v>43508</v>
      </c>
      <c r="B1028" s="29">
        <v>513.89</v>
      </c>
      <c r="C1028" s="37">
        <f t="shared" si="38"/>
        <v>85.648333333333326</v>
      </c>
      <c r="D1028" s="37">
        <v>4.1970000000000001</v>
      </c>
      <c r="E1028" s="33">
        <f t="shared" ref="E1028:E1091" si="39">(B1028-B1027)/B1027</f>
        <v>0</v>
      </c>
    </row>
    <row r="1029" spans="1:5" x14ac:dyDescent="0.25">
      <c r="A1029" s="41">
        <v>43508</v>
      </c>
      <c r="B1029" s="29">
        <v>513.89</v>
      </c>
      <c r="C1029" s="37">
        <f t="shared" si="38"/>
        <v>85.648333333333326</v>
      </c>
      <c r="D1029" s="37">
        <v>4.1970000000000001</v>
      </c>
      <c r="E1029" s="33">
        <f t="shared" si="39"/>
        <v>0</v>
      </c>
    </row>
    <row r="1030" spans="1:5" x14ac:dyDescent="0.25">
      <c r="A1030" s="41">
        <v>43508</v>
      </c>
      <c r="B1030" s="29">
        <v>513.89</v>
      </c>
      <c r="C1030" s="37">
        <f t="shared" si="38"/>
        <v>85.648333333333326</v>
      </c>
      <c r="D1030" s="37">
        <v>4.1970000000000001</v>
      </c>
      <c r="E1030" s="33">
        <f t="shared" si="39"/>
        <v>0</v>
      </c>
    </row>
    <row r="1031" spans="1:5" x14ac:dyDescent="0.25">
      <c r="A1031" s="41">
        <v>43508</v>
      </c>
      <c r="B1031" s="29">
        <v>513.89</v>
      </c>
      <c r="C1031" s="37">
        <f t="shared" si="38"/>
        <v>85.648333333333326</v>
      </c>
      <c r="D1031" s="37">
        <v>4.1970000000000001</v>
      </c>
      <c r="E1031" s="33">
        <f t="shared" si="39"/>
        <v>0</v>
      </c>
    </row>
    <row r="1032" spans="1:5" x14ac:dyDescent="0.25">
      <c r="A1032" s="41">
        <v>43508</v>
      </c>
      <c r="B1032" s="29">
        <v>513.89</v>
      </c>
      <c r="C1032" s="37">
        <f t="shared" si="38"/>
        <v>85.648333333333326</v>
      </c>
      <c r="D1032" s="37">
        <v>4.1970000000000001</v>
      </c>
      <c r="E1032" s="33">
        <f t="shared" si="39"/>
        <v>0</v>
      </c>
    </row>
    <row r="1033" spans="1:5" x14ac:dyDescent="0.25">
      <c r="A1033" s="41">
        <v>43508</v>
      </c>
      <c r="B1033" s="29">
        <v>513.89</v>
      </c>
      <c r="C1033" s="37">
        <f t="shared" si="38"/>
        <v>85.648333333333326</v>
      </c>
      <c r="D1033" s="37">
        <v>4.1970000000000001</v>
      </c>
      <c r="E1033" s="33">
        <f t="shared" si="39"/>
        <v>0</v>
      </c>
    </row>
    <row r="1034" spans="1:5" x14ac:dyDescent="0.25">
      <c r="A1034" s="41">
        <v>43509</v>
      </c>
      <c r="B1034" s="29">
        <v>513.89</v>
      </c>
      <c r="C1034" s="37">
        <f t="shared" si="38"/>
        <v>85.648333333333326</v>
      </c>
      <c r="D1034" s="37">
        <v>4.3109999999999999</v>
      </c>
      <c r="E1034" s="33">
        <f t="shared" si="39"/>
        <v>0</v>
      </c>
    </row>
    <row r="1035" spans="1:5" x14ac:dyDescent="0.25">
      <c r="A1035" s="41">
        <v>43509</v>
      </c>
      <c r="B1035" s="29">
        <v>513.89</v>
      </c>
      <c r="C1035" s="37">
        <f t="shared" si="38"/>
        <v>85.648333333333326</v>
      </c>
      <c r="D1035" s="37">
        <v>4.3109999999999999</v>
      </c>
      <c r="E1035" s="33">
        <f t="shared" si="39"/>
        <v>0</v>
      </c>
    </row>
    <row r="1036" spans="1:5" x14ac:dyDescent="0.25">
      <c r="A1036" s="41">
        <v>43509</v>
      </c>
      <c r="B1036" s="29">
        <v>512.87</v>
      </c>
      <c r="C1036" s="37">
        <f t="shared" si="38"/>
        <v>85.478333333333339</v>
      </c>
      <c r="D1036" s="37">
        <v>4.3109999999999999</v>
      </c>
      <c r="E1036" s="33">
        <f t="shared" si="39"/>
        <v>-1.9848605732744008E-3</v>
      </c>
    </row>
    <row r="1037" spans="1:5" x14ac:dyDescent="0.25">
      <c r="A1037" s="41">
        <v>43509</v>
      </c>
      <c r="B1037" s="29">
        <v>511.29</v>
      </c>
      <c r="C1037" s="37">
        <f t="shared" si="38"/>
        <v>85.215000000000003</v>
      </c>
      <c r="D1037" s="37">
        <v>4.3109999999999999</v>
      </c>
      <c r="E1037" s="33">
        <f t="shared" si="39"/>
        <v>-3.0807027121882427E-3</v>
      </c>
    </row>
    <row r="1038" spans="1:5" x14ac:dyDescent="0.25">
      <c r="A1038" s="41">
        <v>43509</v>
      </c>
      <c r="B1038" s="29">
        <v>510.87</v>
      </c>
      <c r="C1038" s="37">
        <f t="shared" si="38"/>
        <v>85.144999999999996</v>
      </c>
      <c r="D1038" s="37">
        <v>4.3109999999999999</v>
      </c>
      <c r="E1038" s="33">
        <f t="shared" si="39"/>
        <v>-8.2145162236698527E-4</v>
      </c>
    </row>
    <row r="1039" spans="1:5" x14ac:dyDescent="0.25">
      <c r="A1039" s="41">
        <v>43509</v>
      </c>
      <c r="B1039" s="29">
        <v>512.87</v>
      </c>
      <c r="C1039" s="37">
        <f t="shared" si="38"/>
        <v>85.478333333333339</v>
      </c>
      <c r="D1039" s="37">
        <v>4.3109999999999999</v>
      </c>
      <c r="E1039" s="33">
        <f t="shared" si="39"/>
        <v>3.9148902851997569E-3</v>
      </c>
    </row>
    <row r="1040" spans="1:5" x14ac:dyDescent="0.25">
      <c r="A1040" s="41">
        <v>43509</v>
      </c>
      <c r="B1040" s="29">
        <v>513.89</v>
      </c>
      <c r="C1040" s="37">
        <f t="shared" si="38"/>
        <v>85.648333333333326</v>
      </c>
      <c r="D1040" s="37">
        <v>4.3109999999999999</v>
      </c>
      <c r="E1040" s="33">
        <f t="shared" si="39"/>
        <v>1.9888080800202425E-3</v>
      </c>
    </row>
    <row r="1041" spans="1:5" x14ac:dyDescent="0.25">
      <c r="A1041" s="41">
        <v>43509</v>
      </c>
      <c r="B1041" s="29">
        <v>513.89</v>
      </c>
      <c r="C1041" s="37">
        <f t="shared" si="38"/>
        <v>85.648333333333326</v>
      </c>
      <c r="D1041" s="37">
        <v>4.3109999999999999</v>
      </c>
      <c r="E1041" s="33">
        <f t="shared" si="39"/>
        <v>0</v>
      </c>
    </row>
    <row r="1042" spans="1:5" x14ac:dyDescent="0.25">
      <c r="A1042" s="41">
        <v>43509</v>
      </c>
      <c r="B1042" s="29">
        <v>513.89</v>
      </c>
      <c r="C1042" s="37">
        <f t="shared" si="38"/>
        <v>85.648333333333326</v>
      </c>
      <c r="D1042" s="37">
        <v>4.3109999999999999</v>
      </c>
      <c r="E1042" s="33">
        <f t="shared" si="39"/>
        <v>0</v>
      </c>
    </row>
    <row r="1043" spans="1:5" x14ac:dyDescent="0.25">
      <c r="A1043" s="41">
        <v>43509</v>
      </c>
      <c r="B1043" s="29">
        <v>513.89</v>
      </c>
      <c r="C1043" s="37">
        <f t="shared" si="38"/>
        <v>85.648333333333326</v>
      </c>
      <c r="D1043" s="37">
        <v>4.3109999999999999</v>
      </c>
      <c r="E1043" s="33">
        <f t="shared" si="39"/>
        <v>0</v>
      </c>
    </row>
    <row r="1044" spans="1:5" x14ac:dyDescent="0.25">
      <c r="A1044" s="41">
        <v>43509</v>
      </c>
      <c r="B1044" s="29">
        <v>513.89</v>
      </c>
      <c r="C1044" s="37">
        <f t="shared" si="38"/>
        <v>85.648333333333326</v>
      </c>
      <c r="D1044" s="37">
        <v>4.3109999999999999</v>
      </c>
      <c r="E1044" s="33">
        <f t="shared" si="39"/>
        <v>0</v>
      </c>
    </row>
    <row r="1045" spans="1:5" x14ac:dyDescent="0.25">
      <c r="A1045" s="41">
        <v>43509</v>
      </c>
      <c r="B1045" s="29">
        <v>513.89</v>
      </c>
      <c r="C1045" s="37">
        <f t="shared" si="38"/>
        <v>85.648333333333326</v>
      </c>
      <c r="D1045" s="37">
        <v>4.3109999999999999</v>
      </c>
      <c r="E1045" s="33">
        <f t="shared" si="39"/>
        <v>0</v>
      </c>
    </row>
    <row r="1046" spans="1:5" x14ac:dyDescent="0.25">
      <c r="A1046" s="41">
        <v>43509</v>
      </c>
      <c r="B1046" s="29">
        <v>513.89</v>
      </c>
      <c r="C1046" s="37">
        <f t="shared" si="38"/>
        <v>85.648333333333326</v>
      </c>
      <c r="D1046" s="37">
        <v>4.3109999999999999</v>
      </c>
      <c r="E1046" s="33">
        <f t="shared" si="39"/>
        <v>0</v>
      </c>
    </row>
    <row r="1047" spans="1:5" x14ac:dyDescent="0.25">
      <c r="A1047" s="41">
        <v>43509</v>
      </c>
      <c r="B1047" s="29">
        <v>513.89</v>
      </c>
      <c r="C1047" s="37">
        <f t="shared" si="38"/>
        <v>85.648333333333326</v>
      </c>
      <c r="D1047" s="37">
        <v>4.3109999999999999</v>
      </c>
      <c r="E1047" s="33">
        <f t="shared" si="39"/>
        <v>0</v>
      </c>
    </row>
    <row r="1048" spans="1:5" x14ac:dyDescent="0.25">
      <c r="A1048" s="41">
        <v>43509</v>
      </c>
      <c r="B1048" s="29">
        <v>513.89</v>
      </c>
      <c r="C1048" s="37">
        <f t="shared" si="38"/>
        <v>85.648333333333326</v>
      </c>
      <c r="D1048" s="37">
        <v>4.3109999999999999</v>
      </c>
      <c r="E1048" s="33">
        <f t="shared" si="39"/>
        <v>0</v>
      </c>
    </row>
    <row r="1049" spans="1:5" x14ac:dyDescent="0.25">
      <c r="A1049" s="41">
        <v>43509</v>
      </c>
      <c r="B1049" s="29">
        <v>513.89</v>
      </c>
      <c r="C1049" s="37">
        <f t="shared" si="38"/>
        <v>85.648333333333326</v>
      </c>
      <c r="D1049" s="37">
        <v>4.3109999999999999</v>
      </c>
      <c r="E1049" s="33">
        <f t="shared" si="39"/>
        <v>0</v>
      </c>
    </row>
    <row r="1050" spans="1:5" x14ac:dyDescent="0.25">
      <c r="A1050" s="41">
        <v>43509</v>
      </c>
      <c r="B1050" s="29">
        <v>513.89</v>
      </c>
      <c r="C1050" s="37">
        <f t="shared" si="38"/>
        <v>85.648333333333326</v>
      </c>
      <c r="D1050" s="37">
        <v>4.3109999999999999</v>
      </c>
      <c r="E1050" s="33">
        <f t="shared" si="39"/>
        <v>0</v>
      </c>
    </row>
    <row r="1051" spans="1:5" x14ac:dyDescent="0.25">
      <c r="A1051" s="41">
        <v>43509</v>
      </c>
      <c r="B1051" s="29">
        <v>513.89</v>
      </c>
      <c r="C1051" s="37">
        <f t="shared" si="38"/>
        <v>85.648333333333326</v>
      </c>
      <c r="D1051" s="37">
        <v>4.3109999999999999</v>
      </c>
      <c r="E1051" s="33">
        <f t="shared" si="39"/>
        <v>0</v>
      </c>
    </row>
    <row r="1052" spans="1:5" x14ac:dyDescent="0.25">
      <c r="A1052" s="41">
        <v>43509</v>
      </c>
      <c r="B1052" s="29">
        <v>513.89</v>
      </c>
      <c r="C1052" s="37">
        <f t="shared" si="38"/>
        <v>85.648333333333326</v>
      </c>
      <c r="D1052" s="37">
        <v>4.3109999999999999</v>
      </c>
      <c r="E1052" s="33">
        <f t="shared" si="39"/>
        <v>0</v>
      </c>
    </row>
    <row r="1053" spans="1:5" x14ac:dyDescent="0.25">
      <c r="A1053" s="41">
        <v>43509</v>
      </c>
      <c r="B1053" s="29">
        <v>513.89</v>
      </c>
      <c r="C1053" s="37">
        <f t="shared" si="38"/>
        <v>85.648333333333326</v>
      </c>
      <c r="D1053" s="37">
        <v>4.3109999999999999</v>
      </c>
      <c r="E1053" s="33">
        <f t="shared" si="39"/>
        <v>0</v>
      </c>
    </row>
    <row r="1054" spans="1:5" x14ac:dyDescent="0.25">
      <c r="A1054" s="41">
        <v>43509</v>
      </c>
      <c r="B1054" s="29">
        <v>513.89</v>
      </c>
      <c r="C1054" s="37">
        <f t="shared" si="38"/>
        <v>85.648333333333326</v>
      </c>
      <c r="D1054" s="37">
        <v>4.3109999999999999</v>
      </c>
      <c r="E1054" s="33">
        <f t="shared" si="39"/>
        <v>0</v>
      </c>
    </row>
    <row r="1055" spans="1:5" x14ac:dyDescent="0.25">
      <c r="A1055" s="41">
        <v>43509</v>
      </c>
      <c r="B1055" s="29">
        <v>513.89</v>
      </c>
      <c r="C1055" s="37">
        <f t="shared" si="38"/>
        <v>85.648333333333326</v>
      </c>
      <c r="D1055" s="37">
        <v>4.3109999999999999</v>
      </c>
      <c r="E1055" s="33">
        <f t="shared" si="39"/>
        <v>0</v>
      </c>
    </row>
    <row r="1056" spans="1:5" x14ac:dyDescent="0.25">
      <c r="A1056" s="41">
        <v>43509</v>
      </c>
      <c r="B1056" s="29">
        <v>513.89</v>
      </c>
      <c r="C1056" s="37">
        <f t="shared" si="38"/>
        <v>85.648333333333326</v>
      </c>
      <c r="D1056" s="37">
        <v>4.3109999999999999</v>
      </c>
      <c r="E1056" s="33">
        <f t="shared" si="39"/>
        <v>0</v>
      </c>
    </row>
    <row r="1057" spans="1:5" x14ac:dyDescent="0.25">
      <c r="A1057" s="41">
        <v>43509</v>
      </c>
      <c r="B1057" s="29">
        <v>513.89</v>
      </c>
      <c r="C1057" s="37">
        <f t="shared" si="38"/>
        <v>85.648333333333326</v>
      </c>
      <c r="D1057" s="37">
        <v>4.3109999999999999</v>
      </c>
      <c r="E1057" s="33">
        <f t="shared" si="39"/>
        <v>0</v>
      </c>
    </row>
    <row r="1058" spans="1:5" x14ac:dyDescent="0.25">
      <c r="A1058" s="41">
        <v>43510</v>
      </c>
      <c r="B1058" s="29">
        <v>513.89</v>
      </c>
      <c r="C1058" s="37">
        <f t="shared" si="38"/>
        <v>85.648333333333326</v>
      </c>
      <c r="D1058" s="37">
        <v>4.3620000000000001</v>
      </c>
      <c r="E1058" s="33">
        <f t="shared" si="39"/>
        <v>0</v>
      </c>
    </row>
    <row r="1059" spans="1:5" x14ac:dyDescent="0.25">
      <c r="A1059" s="41">
        <v>43510</v>
      </c>
      <c r="B1059" s="29">
        <v>513.13</v>
      </c>
      <c r="C1059" s="37">
        <f t="shared" si="38"/>
        <v>85.521666666666661</v>
      </c>
      <c r="D1059" s="37">
        <v>4.3620000000000001</v>
      </c>
      <c r="E1059" s="33">
        <f t="shared" si="39"/>
        <v>-1.4789157212632877E-3</v>
      </c>
    </row>
    <row r="1060" spans="1:5" x14ac:dyDescent="0.25">
      <c r="A1060" s="41">
        <v>43510</v>
      </c>
      <c r="B1060" s="29">
        <v>513.07000000000005</v>
      </c>
      <c r="C1060" s="37">
        <f t="shared" si="38"/>
        <v>85.511666666666684</v>
      </c>
      <c r="D1060" s="37">
        <v>4.3620000000000001</v>
      </c>
      <c r="E1060" s="33">
        <f t="shared" si="39"/>
        <v>-1.1692943308702557E-4</v>
      </c>
    </row>
    <row r="1061" spans="1:5" x14ac:dyDescent="0.25">
      <c r="A1061" s="41">
        <v>43510</v>
      </c>
      <c r="B1061" s="29">
        <v>510.27</v>
      </c>
      <c r="C1061" s="37">
        <f t="shared" si="38"/>
        <v>85.045000000000002</v>
      </c>
      <c r="D1061" s="37">
        <v>4.3620000000000001</v>
      </c>
      <c r="E1061" s="33">
        <f t="shared" si="39"/>
        <v>-5.4573450016568263E-3</v>
      </c>
    </row>
    <row r="1062" spans="1:5" x14ac:dyDescent="0.25">
      <c r="A1062" s="41">
        <v>43510</v>
      </c>
      <c r="B1062" s="29">
        <v>510.41</v>
      </c>
      <c r="C1062" s="37">
        <f t="shared" si="38"/>
        <v>85.068333333333328</v>
      </c>
      <c r="D1062" s="37">
        <v>4.3620000000000001</v>
      </c>
      <c r="E1062" s="33">
        <f t="shared" si="39"/>
        <v>2.7436455209995335E-4</v>
      </c>
    </row>
    <row r="1063" spans="1:5" x14ac:dyDescent="0.25">
      <c r="A1063" s="41">
        <v>43510</v>
      </c>
      <c r="B1063" s="29">
        <v>513.21</v>
      </c>
      <c r="C1063" s="37">
        <f t="shared" si="38"/>
        <v>85.534999999999997</v>
      </c>
      <c r="D1063" s="37">
        <v>4.3620000000000001</v>
      </c>
      <c r="E1063" s="33">
        <f t="shared" si="39"/>
        <v>5.4857859367959316E-3</v>
      </c>
    </row>
    <row r="1064" spans="1:5" x14ac:dyDescent="0.25">
      <c r="A1064" s="41">
        <v>43510</v>
      </c>
      <c r="B1064" s="29">
        <v>513.89</v>
      </c>
      <c r="C1064" s="37">
        <f t="shared" si="38"/>
        <v>85.648333333333326</v>
      </c>
      <c r="D1064" s="37">
        <v>4.3620000000000001</v>
      </c>
      <c r="E1064" s="33">
        <f t="shared" si="39"/>
        <v>1.3249936673095806E-3</v>
      </c>
    </row>
    <row r="1065" spans="1:5" x14ac:dyDescent="0.25">
      <c r="A1065" s="41">
        <v>43510</v>
      </c>
      <c r="B1065" s="29">
        <v>513.89</v>
      </c>
      <c r="C1065" s="37">
        <f t="shared" si="38"/>
        <v>85.648333333333326</v>
      </c>
      <c r="D1065" s="37">
        <v>4.3620000000000001</v>
      </c>
      <c r="E1065" s="33">
        <f t="shared" si="39"/>
        <v>0</v>
      </c>
    </row>
    <row r="1066" spans="1:5" x14ac:dyDescent="0.25">
      <c r="A1066" s="41">
        <v>43510</v>
      </c>
      <c r="B1066" s="29">
        <v>513.89</v>
      </c>
      <c r="C1066" s="37">
        <f t="shared" si="38"/>
        <v>85.648333333333326</v>
      </c>
      <c r="D1066" s="37">
        <v>4.3620000000000001</v>
      </c>
      <c r="E1066" s="33">
        <f t="shared" si="39"/>
        <v>0</v>
      </c>
    </row>
    <row r="1067" spans="1:5" x14ac:dyDescent="0.25">
      <c r="A1067" s="41">
        <v>43510</v>
      </c>
      <c r="B1067" s="29">
        <v>513.89</v>
      </c>
      <c r="C1067" s="37">
        <f t="shared" si="38"/>
        <v>85.648333333333326</v>
      </c>
      <c r="D1067" s="37">
        <v>4.3620000000000001</v>
      </c>
      <c r="E1067" s="33">
        <f t="shared" si="39"/>
        <v>0</v>
      </c>
    </row>
    <row r="1068" spans="1:5" x14ac:dyDescent="0.25">
      <c r="A1068" s="41">
        <v>43510</v>
      </c>
      <c r="B1068" s="29">
        <v>513.89</v>
      </c>
      <c r="C1068" s="37">
        <f t="shared" si="38"/>
        <v>85.648333333333326</v>
      </c>
      <c r="D1068" s="37">
        <v>4.3620000000000001</v>
      </c>
      <c r="E1068" s="33">
        <f t="shared" si="39"/>
        <v>0</v>
      </c>
    </row>
    <row r="1069" spans="1:5" x14ac:dyDescent="0.25">
      <c r="A1069" s="41">
        <v>43510</v>
      </c>
      <c r="B1069" s="29">
        <v>513.89</v>
      </c>
      <c r="C1069" s="37">
        <f t="shared" si="38"/>
        <v>85.648333333333326</v>
      </c>
      <c r="D1069" s="37">
        <v>4.3620000000000001</v>
      </c>
      <c r="E1069" s="33">
        <f t="shared" si="39"/>
        <v>0</v>
      </c>
    </row>
    <row r="1070" spans="1:5" x14ac:dyDescent="0.25">
      <c r="A1070" s="41">
        <v>43510</v>
      </c>
      <c r="B1070" s="29">
        <v>513.89</v>
      </c>
      <c r="C1070" s="37">
        <f t="shared" si="38"/>
        <v>85.648333333333326</v>
      </c>
      <c r="D1070" s="37">
        <v>4.3620000000000001</v>
      </c>
      <c r="E1070" s="33">
        <f t="shared" si="39"/>
        <v>0</v>
      </c>
    </row>
    <row r="1071" spans="1:5" x14ac:dyDescent="0.25">
      <c r="A1071" s="41">
        <v>43510</v>
      </c>
      <c r="B1071" s="29">
        <v>513.89</v>
      </c>
      <c r="C1071" s="37">
        <f t="shared" si="38"/>
        <v>85.648333333333326</v>
      </c>
      <c r="D1071" s="37">
        <v>4.3620000000000001</v>
      </c>
      <c r="E1071" s="33">
        <f t="shared" si="39"/>
        <v>0</v>
      </c>
    </row>
    <row r="1072" spans="1:5" x14ac:dyDescent="0.25">
      <c r="A1072" s="41">
        <v>43510</v>
      </c>
      <c r="B1072" s="29">
        <v>513.89</v>
      </c>
      <c r="C1072" s="37">
        <f t="shared" si="38"/>
        <v>85.648333333333326</v>
      </c>
      <c r="D1072" s="37">
        <v>4.3620000000000001</v>
      </c>
      <c r="E1072" s="33">
        <f t="shared" si="39"/>
        <v>0</v>
      </c>
    </row>
    <row r="1073" spans="1:5" x14ac:dyDescent="0.25">
      <c r="A1073" s="41">
        <v>43510</v>
      </c>
      <c r="B1073" s="29">
        <v>513.89</v>
      </c>
      <c r="C1073" s="37">
        <f t="shared" si="38"/>
        <v>85.648333333333326</v>
      </c>
      <c r="D1073" s="37">
        <v>4.3620000000000001</v>
      </c>
      <c r="E1073" s="33">
        <f t="shared" si="39"/>
        <v>0</v>
      </c>
    </row>
    <row r="1074" spans="1:5" x14ac:dyDescent="0.25">
      <c r="A1074" s="41">
        <v>43510</v>
      </c>
      <c r="B1074" s="29">
        <v>513.89</v>
      </c>
      <c r="C1074" s="37">
        <f t="shared" si="38"/>
        <v>85.648333333333326</v>
      </c>
      <c r="D1074" s="37">
        <v>4.3620000000000001</v>
      </c>
      <c r="E1074" s="33">
        <f t="shared" si="39"/>
        <v>0</v>
      </c>
    </row>
    <row r="1075" spans="1:5" x14ac:dyDescent="0.25">
      <c r="A1075" s="41">
        <v>43510</v>
      </c>
      <c r="B1075" s="29">
        <v>513.89</v>
      </c>
      <c r="C1075" s="37">
        <f t="shared" si="38"/>
        <v>85.648333333333326</v>
      </c>
      <c r="D1075" s="37">
        <v>4.3620000000000001</v>
      </c>
      <c r="E1075" s="33">
        <f t="shared" si="39"/>
        <v>0</v>
      </c>
    </row>
    <row r="1076" spans="1:5" x14ac:dyDescent="0.25">
      <c r="A1076" s="41">
        <v>43510</v>
      </c>
      <c r="B1076" s="29">
        <v>513.89</v>
      </c>
      <c r="C1076" s="37">
        <f t="shared" si="38"/>
        <v>85.648333333333326</v>
      </c>
      <c r="D1076" s="37">
        <v>4.3620000000000001</v>
      </c>
      <c r="E1076" s="33">
        <f t="shared" si="39"/>
        <v>0</v>
      </c>
    </row>
    <row r="1077" spans="1:5" x14ac:dyDescent="0.25">
      <c r="A1077" s="41">
        <v>43510</v>
      </c>
      <c r="B1077" s="29">
        <v>513.89</v>
      </c>
      <c r="C1077" s="37">
        <f t="shared" si="38"/>
        <v>85.648333333333326</v>
      </c>
      <c r="D1077" s="37">
        <v>4.3620000000000001</v>
      </c>
      <c r="E1077" s="33">
        <f t="shared" si="39"/>
        <v>0</v>
      </c>
    </row>
    <row r="1078" spans="1:5" x14ac:dyDescent="0.25">
      <c r="A1078" s="41">
        <v>43510</v>
      </c>
      <c r="B1078" s="29">
        <v>513.89</v>
      </c>
      <c r="C1078" s="37">
        <f t="shared" si="38"/>
        <v>85.648333333333326</v>
      </c>
      <c r="D1078" s="37">
        <v>4.3620000000000001</v>
      </c>
      <c r="E1078" s="33">
        <f t="shared" si="39"/>
        <v>0</v>
      </c>
    </row>
    <row r="1079" spans="1:5" x14ac:dyDescent="0.25">
      <c r="A1079" s="41">
        <v>43510</v>
      </c>
      <c r="B1079" s="29">
        <v>513.89</v>
      </c>
      <c r="C1079" s="37">
        <f t="shared" si="38"/>
        <v>85.648333333333326</v>
      </c>
      <c r="D1079" s="37">
        <v>4.3620000000000001</v>
      </c>
      <c r="E1079" s="33">
        <f t="shared" si="39"/>
        <v>0</v>
      </c>
    </row>
    <row r="1080" spans="1:5" x14ac:dyDescent="0.25">
      <c r="A1080" s="41">
        <v>43510</v>
      </c>
      <c r="B1080" s="29">
        <v>513.89</v>
      </c>
      <c r="C1080" s="37">
        <f t="shared" si="38"/>
        <v>85.648333333333326</v>
      </c>
      <c r="D1080" s="37">
        <v>4.3620000000000001</v>
      </c>
      <c r="E1080" s="33">
        <f t="shared" si="39"/>
        <v>0</v>
      </c>
    </row>
    <row r="1081" spans="1:5" x14ac:dyDescent="0.25">
      <c r="A1081" s="41">
        <v>43510</v>
      </c>
      <c r="B1081" s="29">
        <v>513.89</v>
      </c>
      <c r="C1081" s="37">
        <f t="shared" si="38"/>
        <v>85.648333333333326</v>
      </c>
      <c r="D1081" s="37">
        <v>4.3620000000000001</v>
      </c>
      <c r="E1081" s="33">
        <f t="shared" si="39"/>
        <v>0</v>
      </c>
    </row>
    <row r="1082" spans="1:5" x14ac:dyDescent="0.25">
      <c r="A1082" s="41">
        <v>43511</v>
      </c>
      <c r="B1082" s="29">
        <v>513.89</v>
      </c>
      <c r="C1082" s="37">
        <f t="shared" si="38"/>
        <v>85.648333333333326</v>
      </c>
      <c r="D1082" s="37">
        <v>6.3259999999999996</v>
      </c>
      <c r="E1082" s="33">
        <f t="shared" si="39"/>
        <v>0</v>
      </c>
    </row>
    <row r="1083" spans="1:5" x14ac:dyDescent="0.25">
      <c r="A1083" s="41">
        <v>43511</v>
      </c>
      <c r="B1083" s="29">
        <v>510.25</v>
      </c>
      <c r="C1083" s="37">
        <f t="shared" si="38"/>
        <v>85.041666666666671</v>
      </c>
      <c r="D1083" s="37">
        <v>6.3259999999999996</v>
      </c>
      <c r="E1083" s="33">
        <f t="shared" si="39"/>
        <v>-7.0832279281558049E-3</v>
      </c>
    </row>
    <row r="1084" spans="1:5" x14ac:dyDescent="0.25">
      <c r="A1084" s="41">
        <v>43511</v>
      </c>
      <c r="B1084" s="29">
        <v>506.89</v>
      </c>
      <c r="C1084" s="37">
        <f t="shared" si="38"/>
        <v>84.481666666666669</v>
      </c>
      <c r="D1084" s="37">
        <v>6.3259999999999996</v>
      </c>
      <c r="E1084" s="33">
        <f t="shared" si="39"/>
        <v>-6.5850073493385862E-3</v>
      </c>
    </row>
    <row r="1085" spans="1:5" x14ac:dyDescent="0.25">
      <c r="A1085" s="41">
        <v>43511</v>
      </c>
      <c r="B1085" s="29">
        <v>501.11</v>
      </c>
      <c r="C1085" s="37">
        <f t="shared" si="38"/>
        <v>83.518333333333331</v>
      </c>
      <c r="D1085" s="37">
        <v>6.3259999999999996</v>
      </c>
      <c r="E1085" s="33">
        <f t="shared" si="39"/>
        <v>-1.140286847244959E-2</v>
      </c>
    </row>
    <row r="1086" spans="1:5" x14ac:dyDescent="0.25">
      <c r="A1086" s="41">
        <v>43511</v>
      </c>
      <c r="B1086" s="29">
        <v>501.1</v>
      </c>
      <c r="C1086" s="37">
        <f t="shared" si="38"/>
        <v>83.516666666666666</v>
      </c>
      <c r="D1086" s="37">
        <v>6.3259999999999996</v>
      </c>
      <c r="E1086" s="33">
        <f t="shared" si="39"/>
        <v>-1.9955698349645596E-5</v>
      </c>
    </row>
    <row r="1087" spans="1:5" x14ac:dyDescent="0.25">
      <c r="A1087" s="41">
        <v>43511</v>
      </c>
      <c r="B1087" s="29">
        <v>509.82</v>
      </c>
      <c r="C1087" s="37">
        <f t="shared" si="38"/>
        <v>84.97</v>
      </c>
      <c r="D1087" s="37">
        <v>6.3259999999999996</v>
      </c>
      <c r="E1087" s="33">
        <f t="shared" si="39"/>
        <v>1.7401716224306467E-2</v>
      </c>
    </row>
    <row r="1088" spans="1:5" x14ac:dyDescent="0.25">
      <c r="A1088" s="41">
        <v>43511</v>
      </c>
      <c r="B1088" s="29">
        <v>513.89</v>
      </c>
      <c r="C1088" s="37">
        <f t="shared" si="38"/>
        <v>85.648333333333326</v>
      </c>
      <c r="D1088" s="37">
        <v>6.3259999999999996</v>
      </c>
      <c r="E1088" s="33">
        <f t="shared" si="39"/>
        <v>7.9832097603075459E-3</v>
      </c>
    </row>
    <row r="1089" spans="1:5" x14ac:dyDescent="0.25">
      <c r="A1089" s="41">
        <v>43511</v>
      </c>
      <c r="B1089" s="29">
        <v>513.89</v>
      </c>
      <c r="C1089" s="37">
        <f t="shared" si="38"/>
        <v>85.648333333333326</v>
      </c>
      <c r="D1089" s="37">
        <v>6.3259999999999996</v>
      </c>
      <c r="E1089" s="33">
        <f t="shared" si="39"/>
        <v>0</v>
      </c>
    </row>
    <row r="1090" spans="1:5" x14ac:dyDescent="0.25">
      <c r="A1090" s="41">
        <v>43511</v>
      </c>
      <c r="B1090" s="29">
        <v>513.89</v>
      </c>
      <c r="C1090" s="37">
        <f t="shared" si="38"/>
        <v>85.648333333333326</v>
      </c>
      <c r="D1090" s="37">
        <v>6.3259999999999996</v>
      </c>
      <c r="E1090" s="33">
        <f t="shared" si="39"/>
        <v>0</v>
      </c>
    </row>
    <row r="1091" spans="1:5" x14ac:dyDescent="0.25">
      <c r="A1091" s="41">
        <v>43511</v>
      </c>
      <c r="B1091" s="29">
        <v>513.89</v>
      </c>
      <c r="C1091" s="37">
        <f t="shared" ref="C1091:C1154" si="40">(B1091*100/600)</f>
        <v>85.648333333333326</v>
      </c>
      <c r="D1091" s="37">
        <v>6.3259999999999996</v>
      </c>
      <c r="E1091" s="33">
        <f t="shared" si="39"/>
        <v>0</v>
      </c>
    </row>
    <row r="1092" spans="1:5" x14ac:dyDescent="0.25">
      <c r="A1092" s="41">
        <v>43511</v>
      </c>
      <c r="B1092" s="29">
        <v>513.89</v>
      </c>
      <c r="C1092" s="37">
        <f t="shared" si="40"/>
        <v>85.648333333333326</v>
      </c>
      <c r="D1092" s="37">
        <v>6.3259999999999996</v>
      </c>
      <c r="E1092" s="33">
        <f t="shared" ref="E1092:E1155" si="41">(B1092-B1091)/B1091</f>
        <v>0</v>
      </c>
    </row>
    <row r="1093" spans="1:5" x14ac:dyDescent="0.25">
      <c r="A1093" s="41">
        <v>43511</v>
      </c>
      <c r="B1093" s="29">
        <v>513.89</v>
      </c>
      <c r="C1093" s="37">
        <f t="shared" si="40"/>
        <v>85.648333333333326</v>
      </c>
      <c r="D1093" s="37">
        <v>6.3259999999999996</v>
      </c>
      <c r="E1093" s="33">
        <f t="shared" si="41"/>
        <v>0</v>
      </c>
    </row>
    <row r="1094" spans="1:5" x14ac:dyDescent="0.25">
      <c r="A1094" s="41">
        <v>43511</v>
      </c>
      <c r="B1094" s="29">
        <v>513.89</v>
      </c>
      <c r="C1094" s="37">
        <f t="shared" si="40"/>
        <v>85.648333333333326</v>
      </c>
      <c r="D1094" s="37">
        <v>6.3259999999999996</v>
      </c>
      <c r="E1094" s="33">
        <f t="shared" si="41"/>
        <v>0</v>
      </c>
    </row>
    <row r="1095" spans="1:5" x14ac:dyDescent="0.25">
      <c r="A1095" s="41">
        <v>43511</v>
      </c>
      <c r="B1095" s="29">
        <v>513.89</v>
      </c>
      <c r="C1095" s="37">
        <f t="shared" si="40"/>
        <v>85.648333333333326</v>
      </c>
      <c r="D1095" s="37">
        <v>6.3259999999999996</v>
      </c>
      <c r="E1095" s="33">
        <f t="shared" si="41"/>
        <v>0</v>
      </c>
    </row>
    <row r="1096" spans="1:5" x14ac:dyDescent="0.25">
      <c r="A1096" s="41">
        <v>43511</v>
      </c>
      <c r="B1096" s="29">
        <v>513.89</v>
      </c>
      <c r="C1096" s="37">
        <f t="shared" si="40"/>
        <v>85.648333333333326</v>
      </c>
      <c r="D1096" s="37">
        <v>6.3259999999999996</v>
      </c>
      <c r="E1096" s="33">
        <f t="shared" si="41"/>
        <v>0</v>
      </c>
    </row>
    <row r="1097" spans="1:5" x14ac:dyDescent="0.25">
      <c r="A1097" s="41">
        <v>43511</v>
      </c>
      <c r="B1097" s="29">
        <v>513.89</v>
      </c>
      <c r="C1097" s="37">
        <f t="shared" si="40"/>
        <v>85.648333333333326</v>
      </c>
      <c r="D1097" s="37">
        <v>6.3259999999999996</v>
      </c>
      <c r="E1097" s="33">
        <f t="shared" si="41"/>
        <v>0</v>
      </c>
    </row>
    <row r="1098" spans="1:5" x14ac:dyDescent="0.25">
      <c r="A1098" s="41">
        <v>43511</v>
      </c>
      <c r="B1098" s="29">
        <v>513.89</v>
      </c>
      <c r="C1098" s="37">
        <f t="shared" si="40"/>
        <v>85.648333333333326</v>
      </c>
      <c r="D1098" s="37">
        <v>6.3259999999999996</v>
      </c>
      <c r="E1098" s="33">
        <f t="shared" si="41"/>
        <v>0</v>
      </c>
    </row>
    <row r="1099" spans="1:5" x14ac:dyDescent="0.25">
      <c r="A1099" s="41">
        <v>43511</v>
      </c>
      <c r="B1099" s="29">
        <v>513.89</v>
      </c>
      <c r="C1099" s="37">
        <f t="shared" si="40"/>
        <v>85.648333333333326</v>
      </c>
      <c r="D1099" s="37">
        <v>6.3259999999999996</v>
      </c>
      <c r="E1099" s="33">
        <f t="shared" si="41"/>
        <v>0</v>
      </c>
    </row>
    <row r="1100" spans="1:5" x14ac:dyDescent="0.25">
      <c r="A1100" s="41">
        <v>43511</v>
      </c>
      <c r="B1100" s="29">
        <v>513.89</v>
      </c>
      <c r="C1100" s="37">
        <f t="shared" si="40"/>
        <v>85.648333333333326</v>
      </c>
      <c r="D1100" s="37">
        <v>6.3259999999999996</v>
      </c>
      <c r="E1100" s="33">
        <f t="shared" si="41"/>
        <v>0</v>
      </c>
    </row>
    <row r="1101" spans="1:5" x14ac:dyDescent="0.25">
      <c r="A1101" s="41">
        <v>43511</v>
      </c>
      <c r="B1101" s="29">
        <v>513.89</v>
      </c>
      <c r="C1101" s="37">
        <f t="shared" si="40"/>
        <v>85.648333333333326</v>
      </c>
      <c r="D1101" s="37">
        <v>6.3259999999999996</v>
      </c>
      <c r="E1101" s="33">
        <f t="shared" si="41"/>
        <v>0</v>
      </c>
    </row>
    <row r="1102" spans="1:5" x14ac:dyDescent="0.25">
      <c r="A1102" s="41">
        <v>43511</v>
      </c>
      <c r="B1102" s="29">
        <v>513.89</v>
      </c>
      <c r="C1102" s="37">
        <f t="shared" si="40"/>
        <v>85.648333333333326</v>
      </c>
      <c r="D1102" s="37">
        <v>6.3259999999999996</v>
      </c>
      <c r="E1102" s="33">
        <f t="shared" si="41"/>
        <v>0</v>
      </c>
    </row>
    <row r="1103" spans="1:5" x14ac:dyDescent="0.25">
      <c r="A1103" s="41">
        <v>43511</v>
      </c>
      <c r="B1103" s="29">
        <v>513.89</v>
      </c>
      <c r="C1103" s="37">
        <f t="shared" si="40"/>
        <v>85.648333333333326</v>
      </c>
      <c r="D1103" s="37">
        <v>6.3259999999999996</v>
      </c>
      <c r="E1103" s="33">
        <f t="shared" si="41"/>
        <v>0</v>
      </c>
    </row>
    <row r="1104" spans="1:5" x14ac:dyDescent="0.25">
      <c r="A1104" s="41">
        <v>43511</v>
      </c>
      <c r="B1104" s="29">
        <v>513.89</v>
      </c>
      <c r="C1104" s="37">
        <f t="shared" si="40"/>
        <v>85.648333333333326</v>
      </c>
      <c r="D1104" s="37">
        <v>6.3259999999999996</v>
      </c>
      <c r="E1104" s="33">
        <f t="shared" si="41"/>
        <v>0</v>
      </c>
    </row>
    <row r="1105" spans="1:5" x14ac:dyDescent="0.25">
      <c r="A1105" s="41">
        <v>43511</v>
      </c>
      <c r="B1105" s="29">
        <v>513.89</v>
      </c>
      <c r="C1105" s="37">
        <f t="shared" si="40"/>
        <v>85.648333333333326</v>
      </c>
      <c r="D1105" s="37">
        <v>6.3259999999999996</v>
      </c>
      <c r="E1105" s="33">
        <f t="shared" si="41"/>
        <v>0</v>
      </c>
    </row>
    <row r="1106" spans="1:5" x14ac:dyDescent="0.25">
      <c r="A1106" s="41">
        <v>43512</v>
      </c>
      <c r="B1106" s="29">
        <v>460.28</v>
      </c>
      <c r="C1106" s="37">
        <f t="shared" si="40"/>
        <v>76.713333333333338</v>
      </c>
      <c r="D1106" s="37">
        <v>8.7330000000000005</v>
      </c>
      <c r="E1106" s="33">
        <f t="shared" si="41"/>
        <v>-0.10432193660121819</v>
      </c>
    </row>
    <row r="1107" spans="1:5" x14ac:dyDescent="0.25">
      <c r="A1107" s="41">
        <v>43512</v>
      </c>
      <c r="B1107" s="29">
        <v>458.81</v>
      </c>
      <c r="C1107" s="37">
        <f t="shared" si="40"/>
        <v>76.468333333333334</v>
      </c>
      <c r="D1107" s="37">
        <v>8.7330000000000005</v>
      </c>
      <c r="E1107" s="33">
        <f t="shared" si="41"/>
        <v>-3.1937081776309433E-3</v>
      </c>
    </row>
    <row r="1108" spans="1:5" x14ac:dyDescent="0.25">
      <c r="A1108" s="41">
        <v>43512</v>
      </c>
      <c r="B1108" s="29">
        <v>455.94</v>
      </c>
      <c r="C1108" s="37">
        <f t="shared" si="40"/>
        <v>75.989999999999995</v>
      </c>
      <c r="D1108" s="37">
        <v>8.7330000000000005</v>
      </c>
      <c r="E1108" s="33">
        <f t="shared" si="41"/>
        <v>-6.2553126566552699E-3</v>
      </c>
    </row>
    <row r="1109" spans="1:5" x14ac:dyDescent="0.25">
      <c r="A1109" s="41">
        <v>43512</v>
      </c>
      <c r="B1109" s="29">
        <v>454.36</v>
      </c>
      <c r="C1109" s="37">
        <f t="shared" si="40"/>
        <v>75.726666666666674</v>
      </c>
      <c r="D1109" s="37">
        <v>8.7330000000000005</v>
      </c>
      <c r="E1109" s="33">
        <f t="shared" si="41"/>
        <v>-3.4653682502083258E-3</v>
      </c>
    </row>
    <row r="1110" spans="1:5" x14ac:dyDescent="0.25">
      <c r="A1110" s="41">
        <v>43512</v>
      </c>
      <c r="B1110" s="29">
        <v>454.34</v>
      </c>
      <c r="C1110" s="37">
        <f t="shared" si="40"/>
        <v>75.723333333333329</v>
      </c>
      <c r="D1110" s="37">
        <v>8.7330000000000005</v>
      </c>
      <c r="E1110" s="33">
        <f t="shared" si="41"/>
        <v>-4.4017959327490651E-5</v>
      </c>
    </row>
    <row r="1111" spans="1:5" x14ac:dyDescent="0.25">
      <c r="A1111" s="41">
        <v>43512</v>
      </c>
      <c r="B1111" s="29">
        <v>454.34</v>
      </c>
      <c r="C1111" s="37">
        <f t="shared" si="40"/>
        <v>75.723333333333329</v>
      </c>
      <c r="D1111" s="37">
        <v>8.7330000000000005</v>
      </c>
      <c r="E1111" s="33">
        <f t="shared" si="41"/>
        <v>0</v>
      </c>
    </row>
    <row r="1112" spans="1:5" x14ac:dyDescent="0.25">
      <c r="A1112" s="41">
        <v>43512</v>
      </c>
      <c r="B1112" s="29">
        <v>454.73</v>
      </c>
      <c r="C1112" s="37">
        <f t="shared" si="40"/>
        <v>75.788333333333327</v>
      </c>
      <c r="D1112" s="37">
        <v>8.7330000000000005</v>
      </c>
      <c r="E1112" s="33">
        <f t="shared" si="41"/>
        <v>8.5838799137219533E-4</v>
      </c>
    </row>
    <row r="1113" spans="1:5" x14ac:dyDescent="0.25">
      <c r="A1113" s="41">
        <v>43512</v>
      </c>
      <c r="B1113" s="29">
        <v>454.75</v>
      </c>
      <c r="C1113" s="37">
        <f t="shared" si="40"/>
        <v>75.791666666666671</v>
      </c>
      <c r="D1113" s="37">
        <v>8.7330000000000005</v>
      </c>
      <c r="E1113" s="33">
        <f t="shared" si="41"/>
        <v>4.3982143249800565E-5</v>
      </c>
    </row>
    <row r="1114" spans="1:5" x14ac:dyDescent="0.25">
      <c r="A1114" s="41">
        <v>43512</v>
      </c>
      <c r="B1114" s="29">
        <v>458.36</v>
      </c>
      <c r="C1114" s="37">
        <f t="shared" si="40"/>
        <v>76.393333333333331</v>
      </c>
      <c r="D1114" s="37">
        <v>8.7330000000000005</v>
      </c>
      <c r="E1114" s="33">
        <f t="shared" si="41"/>
        <v>7.9384277075316406E-3</v>
      </c>
    </row>
    <row r="1115" spans="1:5" x14ac:dyDescent="0.25">
      <c r="A1115" s="41">
        <v>43512</v>
      </c>
      <c r="B1115" s="29">
        <v>459.53</v>
      </c>
      <c r="C1115" s="37">
        <f t="shared" si="40"/>
        <v>76.588333333333338</v>
      </c>
      <c r="D1115" s="37">
        <v>8.7330000000000005</v>
      </c>
      <c r="E1115" s="33">
        <f t="shared" si="41"/>
        <v>2.5525787590539293E-3</v>
      </c>
    </row>
    <row r="1116" spans="1:5" x14ac:dyDescent="0.25">
      <c r="A1116" s="41">
        <v>43512</v>
      </c>
      <c r="B1116" s="29">
        <v>459.8</v>
      </c>
      <c r="C1116" s="37">
        <f t="shared" si="40"/>
        <v>76.63333333333334</v>
      </c>
      <c r="D1116" s="37">
        <v>8.7330000000000005</v>
      </c>
      <c r="E1116" s="33">
        <f t="shared" si="41"/>
        <v>5.8755685156581432E-4</v>
      </c>
    </row>
    <row r="1117" spans="1:5" x14ac:dyDescent="0.25">
      <c r="A1117" s="41">
        <v>43512</v>
      </c>
      <c r="B1117" s="29">
        <v>459.72</v>
      </c>
      <c r="C1117" s="37">
        <f t="shared" si="40"/>
        <v>76.62</v>
      </c>
      <c r="D1117" s="37">
        <v>8.7330000000000005</v>
      </c>
      <c r="E1117" s="33">
        <f t="shared" si="41"/>
        <v>-1.7398869073506759E-4</v>
      </c>
    </row>
    <row r="1118" spans="1:5" x14ac:dyDescent="0.25">
      <c r="A1118" s="41">
        <v>43512</v>
      </c>
      <c r="B1118" s="29">
        <v>459.63</v>
      </c>
      <c r="C1118" s="37">
        <f t="shared" si="40"/>
        <v>76.605000000000004</v>
      </c>
      <c r="D1118" s="37">
        <v>8.7330000000000005</v>
      </c>
      <c r="E1118" s="33">
        <f t="shared" si="41"/>
        <v>-1.9577133907602851E-4</v>
      </c>
    </row>
    <row r="1119" spans="1:5" x14ac:dyDescent="0.25">
      <c r="A1119" s="41">
        <v>43512</v>
      </c>
      <c r="B1119" s="29">
        <v>459.46</v>
      </c>
      <c r="C1119" s="37">
        <f t="shared" si="40"/>
        <v>76.576666666666668</v>
      </c>
      <c r="D1119" s="37">
        <v>8.7330000000000005</v>
      </c>
      <c r="E1119" s="33">
        <f t="shared" si="41"/>
        <v>-3.6986271566263282E-4</v>
      </c>
    </row>
    <row r="1120" spans="1:5" x14ac:dyDescent="0.25">
      <c r="A1120" s="41">
        <v>43512</v>
      </c>
      <c r="B1120" s="29">
        <v>459.38</v>
      </c>
      <c r="C1120" s="37">
        <f t="shared" si="40"/>
        <v>76.563333333333333</v>
      </c>
      <c r="D1120" s="37">
        <v>8.7330000000000005</v>
      </c>
      <c r="E1120" s="33">
        <f t="shared" si="41"/>
        <v>-1.7411744221473922E-4</v>
      </c>
    </row>
    <row r="1121" spans="1:5" x14ac:dyDescent="0.25">
      <c r="A1121" s="41">
        <v>43512</v>
      </c>
      <c r="B1121" s="29">
        <v>459.39</v>
      </c>
      <c r="C1121" s="37">
        <f t="shared" si="40"/>
        <v>76.564999999999998</v>
      </c>
      <c r="D1121" s="37">
        <v>8.7330000000000005</v>
      </c>
      <c r="E1121" s="33">
        <f t="shared" si="41"/>
        <v>2.1768470547239552E-5</v>
      </c>
    </row>
    <row r="1122" spans="1:5" x14ac:dyDescent="0.25">
      <c r="A1122" s="41">
        <v>43512</v>
      </c>
      <c r="B1122" s="29">
        <v>459.3</v>
      </c>
      <c r="C1122" s="37">
        <f t="shared" si="40"/>
        <v>76.55</v>
      </c>
      <c r="D1122" s="37">
        <v>8.7330000000000005</v>
      </c>
      <c r="E1122" s="33">
        <f t="shared" si="41"/>
        <v>-1.9591197022132608E-4</v>
      </c>
    </row>
    <row r="1123" spans="1:5" x14ac:dyDescent="0.25">
      <c r="A1123" s="41">
        <v>43512</v>
      </c>
      <c r="B1123" s="29">
        <v>459.22</v>
      </c>
      <c r="C1123" s="37">
        <f t="shared" si="40"/>
        <v>76.536666666666662</v>
      </c>
      <c r="D1123" s="37">
        <v>8.7330000000000005</v>
      </c>
      <c r="E1123" s="33">
        <f t="shared" si="41"/>
        <v>-1.7417809710425447E-4</v>
      </c>
    </row>
    <row r="1124" spans="1:5" x14ac:dyDescent="0.25">
      <c r="A1124" s="41">
        <v>43512</v>
      </c>
      <c r="B1124" s="29">
        <v>459.14</v>
      </c>
      <c r="C1124" s="37">
        <f t="shared" si="40"/>
        <v>76.523333333333326</v>
      </c>
      <c r="D1124" s="37">
        <v>8.7330000000000005</v>
      </c>
      <c r="E1124" s="33">
        <f t="shared" si="41"/>
        <v>-1.7420844039902643E-4</v>
      </c>
    </row>
    <row r="1125" spans="1:5" x14ac:dyDescent="0.25">
      <c r="A1125" s="41">
        <v>43512</v>
      </c>
      <c r="B1125" s="29">
        <v>459.07</v>
      </c>
      <c r="C1125" s="37">
        <f t="shared" si="40"/>
        <v>76.51166666666667</v>
      </c>
      <c r="D1125" s="37">
        <v>8.7330000000000005</v>
      </c>
      <c r="E1125" s="33">
        <f t="shared" si="41"/>
        <v>-1.5245894498408586E-4</v>
      </c>
    </row>
    <row r="1126" spans="1:5" x14ac:dyDescent="0.25">
      <c r="A1126" s="41">
        <v>43512</v>
      </c>
      <c r="B1126" s="29">
        <v>462.99</v>
      </c>
      <c r="C1126" s="37">
        <f t="shared" si="40"/>
        <v>77.165000000000006</v>
      </c>
      <c r="D1126" s="37">
        <v>8.7330000000000005</v>
      </c>
      <c r="E1126" s="33">
        <f t="shared" si="41"/>
        <v>8.5390027664626663E-3</v>
      </c>
    </row>
    <row r="1127" spans="1:5" x14ac:dyDescent="0.25">
      <c r="A1127" s="41">
        <v>43512</v>
      </c>
      <c r="B1127" s="29">
        <v>462.76</v>
      </c>
      <c r="C1127" s="37">
        <f t="shared" si="40"/>
        <v>77.126666666666665</v>
      </c>
      <c r="D1127" s="37">
        <v>8.7330000000000005</v>
      </c>
      <c r="E1127" s="33">
        <f t="shared" si="41"/>
        <v>-4.9677098857430651E-4</v>
      </c>
    </row>
    <row r="1128" spans="1:5" x14ac:dyDescent="0.25">
      <c r="A1128" s="41">
        <v>43512</v>
      </c>
      <c r="B1128" s="29">
        <v>458.96</v>
      </c>
      <c r="C1128" s="37">
        <f t="shared" si="40"/>
        <v>76.493333333333339</v>
      </c>
      <c r="D1128" s="37">
        <v>8.7330000000000005</v>
      </c>
      <c r="E1128" s="33">
        <f t="shared" si="41"/>
        <v>-8.2115999654248668E-3</v>
      </c>
    </row>
    <row r="1129" spans="1:5" x14ac:dyDescent="0.25">
      <c r="A1129" s="41">
        <v>43512</v>
      </c>
      <c r="B1129" s="29">
        <v>458.74</v>
      </c>
      <c r="C1129" s="37">
        <f t="shared" si="40"/>
        <v>76.456666666666663</v>
      </c>
      <c r="D1129" s="37">
        <v>8.7330000000000005</v>
      </c>
      <c r="E1129" s="33">
        <f t="shared" si="41"/>
        <v>-4.7934460519428806E-4</v>
      </c>
    </row>
    <row r="1130" spans="1:5" x14ac:dyDescent="0.25">
      <c r="A1130" s="41">
        <v>43513</v>
      </c>
      <c r="B1130" s="29">
        <v>454.47</v>
      </c>
      <c r="C1130" s="37">
        <f t="shared" si="40"/>
        <v>75.745000000000005</v>
      </c>
      <c r="D1130" s="37">
        <v>9.2200000000000006</v>
      </c>
      <c r="E1130" s="33">
        <f t="shared" si="41"/>
        <v>-9.3081048088241303E-3</v>
      </c>
    </row>
    <row r="1131" spans="1:5" x14ac:dyDescent="0.25">
      <c r="A1131" s="41">
        <v>43513</v>
      </c>
      <c r="B1131" s="29">
        <v>450.43</v>
      </c>
      <c r="C1131" s="37">
        <f t="shared" si="40"/>
        <v>75.071666666666673</v>
      </c>
      <c r="D1131" s="37">
        <v>9.2200000000000006</v>
      </c>
      <c r="E1131" s="33">
        <f t="shared" si="41"/>
        <v>-8.8894756529584364E-3</v>
      </c>
    </row>
    <row r="1132" spans="1:5" x14ac:dyDescent="0.25">
      <c r="A1132" s="41">
        <v>43513</v>
      </c>
      <c r="B1132" s="29">
        <v>449.84</v>
      </c>
      <c r="C1132" s="37">
        <f t="shared" si="40"/>
        <v>74.973333333333329</v>
      </c>
      <c r="D1132" s="37">
        <v>9.2200000000000006</v>
      </c>
      <c r="E1132" s="33">
        <f t="shared" si="41"/>
        <v>-1.3098594676199005E-3</v>
      </c>
    </row>
    <row r="1133" spans="1:5" x14ac:dyDescent="0.25">
      <c r="A1133" s="41">
        <v>43513</v>
      </c>
      <c r="B1133" s="29">
        <v>449.09</v>
      </c>
      <c r="C1133" s="37">
        <f t="shared" si="40"/>
        <v>74.848333333333329</v>
      </c>
      <c r="D1133" s="37">
        <v>9.2200000000000006</v>
      </c>
      <c r="E1133" s="33">
        <f t="shared" si="41"/>
        <v>-1.6672594700337898E-3</v>
      </c>
    </row>
    <row r="1134" spans="1:5" x14ac:dyDescent="0.25">
      <c r="A1134" s="41">
        <v>43513</v>
      </c>
      <c r="B1134" s="29">
        <v>447.73</v>
      </c>
      <c r="C1134" s="37">
        <f t="shared" si="40"/>
        <v>74.62166666666667</v>
      </c>
      <c r="D1134" s="37">
        <v>9.2200000000000006</v>
      </c>
      <c r="E1134" s="33">
        <f t="shared" si="41"/>
        <v>-3.0283462112270522E-3</v>
      </c>
    </row>
    <row r="1135" spans="1:5" x14ac:dyDescent="0.25">
      <c r="A1135" s="41">
        <v>43513</v>
      </c>
      <c r="B1135" s="29">
        <v>447.07</v>
      </c>
      <c r="C1135" s="37">
        <f t="shared" si="40"/>
        <v>74.51166666666667</v>
      </c>
      <c r="D1135" s="37">
        <v>9.2200000000000006</v>
      </c>
      <c r="E1135" s="33">
        <f t="shared" si="41"/>
        <v>-1.4741026958211981E-3</v>
      </c>
    </row>
    <row r="1136" spans="1:5" x14ac:dyDescent="0.25">
      <c r="A1136" s="41">
        <v>43513</v>
      </c>
      <c r="B1136" s="29">
        <v>435.16</v>
      </c>
      <c r="C1136" s="37">
        <f t="shared" si="40"/>
        <v>72.526666666666671</v>
      </c>
      <c r="D1136" s="37">
        <v>9.2200000000000006</v>
      </c>
      <c r="E1136" s="33">
        <f t="shared" si="41"/>
        <v>-2.6640123470597375E-2</v>
      </c>
    </row>
    <row r="1137" spans="1:5" x14ac:dyDescent="0.25">
      <c r="A1137" s="41">
        <v>43513</v>
      </c>
      <c r="B1137" s="29">
        <v>444.45</v>
      </c>
      <c r="C1137" s="37">
        <f t="shared" si="40"/>
        <v>74.075000000000003</v>
      </c>
      <c r="D1137" s="37">
        <v>9.2200000000000006</v>
      </c>
      <c r="E1137" s="33">
        <f t="shared" si="41"/>
        <v>2.134846952844922E-2</v>
      </c>
    </row>
    <row r="1138" spans="1:5" x14ac:dyDescent="0.25">
      <c r="A1138" s="41">
        <v>43513</v>
      </c>
      <c r="B1138" s="29">
        <v>449.82</v>
      </c>
      <c r="C1138" s="37">
        <f t="shared" si="40"/>
        <v>74.97</v>
      </c>
      <c r="D1138" s="37">
        <v>9.2200000000000006</v>
      </c>
      <c r="E1138" s="33">
        <f t="shared" si="41"/>
        <v>1.2082348970637877E-2</v>
      </c>
    </row>
    <row r="1139" spans="1:5" x14ac:dyDescent="0.25">
      <c r="A1139" s="41">
        <v>43513</v>
      </c>
      <c r="B1139" s="29">
        <v>451.21</v>
      </c>
      <c r="C1139" s="37">
        <f t="shared" si="40"/>
        <v>75.201666666666668</v>
      </c>
      <c r="D1139" s="37">
        <v>9.2200000000000006</v>
      </c>
      <c r="E1139" s="33">
        <f t="shared" si="41"/>
        <v>3.0901249388644043E-3</v>
      </c>
    </row>
    <row r="1140" spans="1:5" x14ac:dyDescent="0.25">
      <c r="A1140" s="41">
        <v>43513</v>
      </c>
      <c r="B1140" s="29">
        <v>454.58</v>
      </c>
      <c r="C1140" s="37">
        <f t="shared" si="40"/>
        <v>75.763333333333335</v>
      </c>
      <c r="D1140" s="37">
        <v>9.2200000000000006</v>
      </c>
      <c r="E1140" s="33">
        <f t="shared" si="41"/>
        <v>7.468806099155614E-3</v>
      </c>
    </row>
    <row r="1141" spans="1:5" x14ac:dyDescent="0.25">
      <c r="A1141" s="41">
        <v>43513</v>
      </c>
      <c r="B1141" s="29">
        <v>454.92</v>
      </c>
      <c r="C1141" s="37">
        <f t="shared" si="40"/>
        <v>75.819999999999993</v>
      </c>
      <c r="D1141" s="37">
        <v>9.2200000000000006</v>
      </c>
      <c r="E1141" s="33">
        <f t="shared" si="41"/>
        <v>7.4794315632018969E-4</v>
      </c>
    </row>
    <row r="1142" spans="1:5" x14ac:dyDescent="0.25">
      <c r="A1142" s="41">
        <v>43513</v>
      </c>
      <c r="B1142" s="29">
        <v>454.92</v>
      </c>
      <c r="C1142" s="37">
        <f t="shared" si="40"/>
        <v>75.819999999999993</v>
      </c>
      <c r="D1142" s="37">
        <v>9.2200000000000006</v>
      </c>
      <c r="E1142" s="33">
        <f t="shared" si="41"/>
        <v>0</v>
      </c>
    </row>
    <row r="1143" spans="1:5" x14ac:dyDescent="0.25">
      <c r="A1143" s="41">
        <v>43513</v>
      </c>
      <c r="B1143" s="29">
        <v>454.92</v>
      </c>
      <c r="C1143" s="37">
        <f t="shared" si="40"/>
        <v>75.819999999999993</v>
      </c>
      <c r="D1143" s="37">
        <v>9.2200000000000006</v>
      </c>
      <c r="E1143" s="33">
        <f t="shared" si="41"/>
        <v>0</v>
      </c>
    </row>
    <row r="1144" spans="1:5" x14ac:dyDescent="0.25">
      <c r="A1144" s="41">
        <v>43513</v>
      </c>
      <c r="B1144" s="29">
        <v>455.31</v>
      </c>
      <c r="C1144" s="37">
        <f t="shared" si="40"/>
        <v>75.885000000000005</v>
      </c>
      <c r="D1144" s="37">
        <v>9.2200000000000006</v>
      </c>
      <c r="E1144" s="33">
        <f t="shared" si="41"/>
        <v>8.5729359008174255E-4</v>
      </c>
    </row>
    <row r="1145" spans="1:5" x14ac:dyDescent="0.25">
      <c r="A1145" s="41">
        <v>43513</v>
      </c>
      <c r="B1145" s="29">
        <v>456.14</v>
      </c>
      <c r="C1145" s="37">
        <f t="shared" si="40"/>
        <v>76.023333333333326</v>
      </c>
      <c r="D1145" s="37">
        <v>9.2200000000000006</v>
      </c>
      <c r="E1145" s="33">
        <f t="shared" si="41"/>
        <v>1.8229338253058006E-3</v>
      </c>
    </row>
    <row r="1146" spans="1:5" x14ac:dyDescent="0.25">
      <c r="A1146" s="41">
        <v>43513</v>
      </c>
      <c r="B1146" s="29">
        <v>456.75</v>
      </c>
      <c r="C1146" s="37">
        <f t="shared" si="40"/>
        <v>76.125</v>
      </c>
      <c r="D1146" s="37">
        <v>9.2200000000000006</v>
      </c>
      <c r="E1146" s="33">
        <f t="shared" si="41"/>
        <v>1.3373087210067384E-3</v>
      </c>
    </row>
    <row r="1147" spans="1:5" x14ac:dyDescent="0.25">
      <c r="A1147" s="41">
        <v>43513</v>
      </c>
      <c r="B1147" s="29">
        <v>459.19</v>
      </c>
      <c r="C1147" s="37">
        <f t="shared" si="40"/>
        <v>76.531666666666666</v>
      </c>
      <c r="D1147" s="37">
        <v>9.2200000000000006</v>
      </c>
      <c r="E1147" s="33">
        <f t="shared" si="41"/>
        <v>5.3420908593322337E-3</v>
      </c>
    </row>
    <row r="1148" spans="1:5" x14ac:dyDescent="0.25">
      <c r="A1148" s="41">
        <v>43513</v>
      </c>
      <c r="B1148" s="29">
        <v>462.41</v>
      </c>
      <c r="C1148" s="37">
        <f t="shared" si="40"/>
        <v>77.068333333333328</v>
      </c>
      <c r="D1148" s="37">
        <v>9.2200000000000006</v>
      </c>
      <c r="E1148" s="33">
        <f t="shared" si="41"/>
        <v>7.0123478298744031E-3</v>
      </c>
    </row>
    <row r="1149" spans="1:5" x14ac:dyDescent="0.25">
      <c r="A1149" s="41">
        <v>43513</v>
      </c>
      <c r="B1149" s="29">
        <v>462.71</v>
      </c>
      <c r="C1149" s="37">
        <f t="shared" si="40"/>
        <v>77.118333333333339</v>
      </c>
      <c r="D1149" s="37">
        <v>9.2200000000000006</v>
      </c>
      <c r="E1149" s="33">
        <f t="shared" si="41"/>
        <v>6.4877489673656388E-4</v>
      </c>
    </row>
    <row r="1150" spans="1:5" x14ac:dyDescent="0.25">
      <c r="A1150" s="41">
        <v>43513</v>
      </c>
      <c r="B1150" s="29">
        <v>462.94</v>
      </c>
      <c r="C1150" s="37">
        <f t="shared" si="40"/>
        <v>77.156666666666666</v>
      </c>
      <c r="D1150" s="37">
        <v>9.2200000000000006</v>
      </c>
      <c r="E1150" s="33">
        <f t="shared" si="41"/>
        <v>4.9707159992223686E-4</v>
      </c>
    </row>
    <row r="1151" spans="1:5" x14ac:dyDescent="0.25">
      <c r="A1151" s="41">
        <v>43513</v>
      </c>
      <c r="B1151" s="29">
        <v>462.7</v>
      </c>
      <c r="C1151" s="37">
        <f t="shared" si="40"/>
        <v>77.11666666666666</v>
      </c>
      <c r="D1151" s="37">
        <v>9.2200000000000006</v>
      </c>
      <c r="E1151" s="33">
        <f t="shared" si="41"/>
        <v>-5.184257139154299E-4</v>
      </c>
    </row>
    <row r="1152" spans="1:5" x14ac:dyDescent="0.25">
      <c r="A1152" s="41">
        <v>43513</v>
      </c>
      <c r="B1152" s="29">
        <v>462.47</v>
      </c>
      <c r="C1152" s="37">
        <f t="shared" si="40"/>
        <v>77.078333333333333</v>
      </c>
      <c r="D1152" s="37">
        <v>9.2200000000000006</v>
      </c>
      <c r="E1152" s="33">
        <f t="shared" si="41"/>
        <v>-4.9708234277061022E-4</v>
      </c>
    </row>
    <row r="1153" spans="1:5" x14ac:dyDescent="0.25">
      <c r="A1153" s="41">
        <v>43513</v>
      </c>
      <c r="B1153" s="29">
        <v>461.52</v>
      </c>
      <c r="C1153" s="37">
        <f t="shared" si="40"/>
        <v>76.92</v>
      </c>
      <c r="D1153" s="37">
        <v>9.2200000000000006</v>
      </c>
      <c r="E1153" s="33">
        <f t="shared" si="41"/>
        <v>-2.0541872986356855E-3</v>
      </c>
    </row>
    <row r="1154" spans="1:5" x14ac:dyDescent="0.25">
      <c r="A1154" s="41">
        <v>43514</v>
      </c>
      <c r="B1154" s="29">
        <v>456.82</v>
      </c>
      <c r="C1154" s="37">
        <f t="shared" si="40"/>
        <v>76.13666666666667</v>
      </c>
      <c r="D1154" s="37">
        <v>9.4280000000000008</v>
      </c>
      <c r="E1154" s="33">
        <f t="shared" si="41"/>
        <v>-1.0183740682960627E-2</v>
      </c>
    </row>
    <row r="1155" spans="1:5" x14ac:dyDescent="0.25">
      <c r="A1155" s="41">
        <v>43514</v>
      </c>
      <c r="B1155" s="29">
        <v>455.76</v>
      </c>
      <c r="C1155" s="37">
        <f t="shared" ref="C1155:C1218" si="42">(B1155*100/600)</f>
        <v>75.959999999999994</v>
      </c>
      <c r="D1155" s="37">
        <v>9.4280000000000008</v>
      </c>
      <c r="E1155" s="33">
        <f t="shared" si="41"/>
        <v>-2.3203887745720463E-3</v>
      </c>
    </row>
    <row r="1156" spans="1:5" x14ac:dyDescent="0.25">
      <c r="A1156" s="41">
        <v>43514</v>
      </c>
      <c r="B1156" s="29">
        <v>454.52</v>
      </c>
      <c r="C1156" s="37">
        <f t="shared" si="42"/>
        <v>75.75333333333333</v>
      </c>
      <c r="D1156" s="37">
        <v>9.4280000000000008</v>
      </c>
      <c r="E1156" s="33">
        <f t="shared" ref="E1156:E1219" si="43">(B1156-B1155)/B1155</f>
        <v>-2.7207302088818877E-3</v>
      </c>
    </row>
    <row r="1157" spans="1:5" x14ac:dyDescent="0.25">
      <c r="A1157" s="41">
        <v>43514</v>
      </c>
      <c r="B1157" s="29">
        <v>454.59</v>
      </c>
      <c r="C1157" s="37">
        <f t="shared" si="42"/>
        <v>75.765000000000001</v>
      </c>
      <c r="D1157" s="37">
        <v>9.4280000000000008</v>
      </c>
      <c r="E1157" s="33">
        <f t="shared" si="43"/>
        <v>1.5400862448295604E-4</v>
      </c>
    </row>
    <row r="1158" spans="1:5" x14ac:dyDescent="0.25">
      <c r="A1158" s="41">
        <v>43514</v>
      </c>
      <c r="B1158" s="29">
        <v>454.98</v>
      </c>
      <c r="C1158" s="37">
        <f t="shared" si="42"/>
        <v>75.83</v>
      </c>
      <c r="D1158" s="37">
        <v>9.4280000000000008</v>
      </c>
      <c r="E1158" s="33">
        <f t="shared" si="43"/>
        <v>8.5791592423951966E-4</v>
      </c>
    </row>
    <row r="1159" spans="1:5" x14ac:dyDescent="0.25">
      <c r="A1159" s="41">
        <v>43514</v>
      </c>
      <c r="B1159" s="29">
        <v>456.86</v>
      </c>
      <c r="C1159" s="37">
        <f t="shared" si="42"/>
        <v>76.143333333333331</v>
      </c>
      <c r="D1159" s="37">
        <v>9.4280000000000008</v>
      </c>
      <c r="E1159" s="33">
        <f t="shared" si="43"/>
        <v>4.1320497604290197E-3</v>
      </c>
    </row>
    <row r="1160" spans="1:5" x14ac:dyDescent="0.25">
      <c r="A1160" s="41">
        <v>43514</v>
      </c>
      <c r="B1160" s="29">
        <v>459.8</v>
      </c>
      <c r="C1160" s="37">
        <f t="shared" si="42"/>
        <v>76.63333333333334</v>
      </c>
      <c r="D1160" s="37">
        <v>9.4280000000000008</v>
      </c>
      <c r="E1160" s="33">
        <f t="shared" si="43"/>
        <v>6.4352317996760446E-3</v>
      </c>
    </row>
    <row r="1161" spans="1:5" x14ac:dyDescent="0.25">
      <c r="A1161" s="41">
        <v>43514</v>
      </c>
      <c r="B1161" s="29">
        <v>465.28</v>
      </c>
      <c r="C1161" s="37">
        <f t="shared" si="42"/>
        <v>77.546666666666667</v>
      </c>
      <c r="D1161" s="37">
        <v>9.4280000000000008</v>
      </c>
      <c r="E1161" s="33">
        <f t="shared" si="43"/>
        <v>1.1918225315354417E-2</v>
      </c>
    </row>
    <row r="1162" spans="1:5" x14ac:dyDescent="0.25">
      <c r="A1162" s="41">
        <v>43514</v>
      </c>
      <c r="B1162" s="29">
        <v>472.2</v>
      </c>
      <c r="C1162" s="37">
        <f t="shared" si="42"/>
        <v>78.7</v>
      </c>
      <c r="D1162" s="37">
        <v>9.4280000000000008</v>
      </c>
      <c r="E1162" s="33">
        <f t="shared" si="43"/>
        <v>1.4872764786795084E-2</v>
      </c>
    </row>
    <row r="1163" spans="1:5" x14ac:dyDescent="0.25">
      <c r="A1163" s="41">
        <v>43514</v>
      </c>
      <c r="B1163" s="29">
        <v>473.84</v>
      </c>
      <c r="C1163" s="37">
        <f t="shared" si="42"/>
        <v>78.973333333333329</v>
      </c>
      <c r="D1163" s="37">
        <v>9.4280000000000008</v>
      </c>
      <c r="E1163" s="33">
        <f t="shared" si="43"/>
        <v>3.4731046166878153E-3</v>
      </c>
    </row>
    <row r="1164" spans="1:5" x14ac:dyDescent="0.25">
      <c r="A1164" s="41">
        <v>43514</v>
      </c>
      <c r="B1164" s="29">
        <v>474.37</v>
      </c>
      <c r="C1164" s="37">
        <f t="shared" si="42"/>
        <v>79.061666666666667</v>
      </c>
      <c r="D1164" s="37">
        <v>9.4280000000000008</v>
      </c>
      <c r="E1164" s="33">
        <f t="shared" si="43"/>
        <v>1.1185210197535657E-3</v>
      </c>
    </row>
    <row r="1165" spans="1:5" x14ac:dyDescent="0.25">
      <c r="A1165" s="41">
        <v>43514</v>
      </c>
      <c r="B1165" s="29">
        <v>474.37</v>
      </c>
      <c r="C1165" s="37">
        <f t="shared" si="42"/>
        <v>79.061666666666667</v>
      </c>
      <c r="D1165" s="37">
        <v>9.4280000000000008</v>
      </c>
      <c r="E1165" s="33">
        <f t="shared" si="43"/>
        <v>0</v>
      </c>
    </row>
    <row r="1166" spans="1:5" x14ac:dyDescent="0.25">
      <c r="A1166" s="41">
        <v>43514</v>
      </c>
      <c r="B1166" s="29">
        <v>474.14</v>
      </c>
      <c r="C1166" s="37">
        <f t="shared" si="42"/>
        <v>79.023333333333326</v>
      </c>
      <c r="D1166" s="37">
        <v>9.4280000000000008</v>
      </c>
      <c r="E1166" s="33">
        <f t="shared" si="43"/>
        <v>-4.848535952948504E-4</v>
      </c>
    </row>
    <row r="1167" spans="1:5" x14ac:dyDescent="0.25">
      <c r="A1167" s="41">
        <v>43514</v>
      </c>
      <c r="B1167" s="29">
        <v>474.37</v>
      </c>
      <c r="C1167" s="37">
        <f t="shared" si="42"/>
        <v>79.061666666666667</v>
      </c>
      <c r="D1167" s="37">
        <v>9.4280000000000008</v>
      </c>
      <c r="E1167" s="33">
        <f t="shared" si="43"/>
        <v>4.8508879233985361E-4</v>
      </c>
    </row>
    <row r="1168" spans="1:5" x14ac:dyDescent="0.25">
      <c r="A1168" s="41">
        <v>43514</v>
      </c>
      <c r="B1168" s="29">
        <v>474.55</v>
      </c>
      <c r="C1168" s="37">
        <f t="shared" si="42"/>
        <v>79.091666666666669</v>
      </c>
      <c r="D1168" s="37">
        <v>9.4280000000000008</v>
      </c>
      <c r="E1168" s="33">
        <f t="shared" si="43"/>
        <v>3.7945063979595426E-4</v>
      </c>
    </row>
    <row r="1169" spans="1:5" x14ac:dyDescent="0.25">
      <c r="A1169" s="41">
        <v>43514</v>
      </c>
      <c r="B1169" s="29">
        <v>474.38</v>
      </c>
      <c r="C1169" s="37">
        <f t="shared" si="42"/>
        <v>79.063333333333333</v>
      </c>
      <c r="D1169" s="37">
        <v>9.4280000000000008</v>
      </c>
      <c r="E1169" s="33">
        <f t="shared" si="43"/>
        <v>-3.5823411653148436E-4</v>
      </c>
    </row>
    <row r="1170" spans="1:5" x14ac:dyDescent="0.25">
      <c r="A1170" s="41">
        <v>43514</v>
      </c>
      <c r="B1170" s="29">
        <v>474.29</v>
      </c>
      <c r="C1170" s="37">
        <f t="shared" si="42"/>
        <v>79.048333333333332</v>
      </c>
      <c r="D1170" s="37">
        <v>9.4280000000000008</v>
      </c>
      <c r="E1170" s="33">
        <f t="shared" si="43"/>
        <v>-1.8972132046033769E-4</v>
      </c>
    </row>
    <row r="1171" spans="1:5" x14ac:dyDescent="0.25">
      <c r="A1171" s="41">
        <v>43514</v>
      </c>
      <c r="B1171" s="29">
        <v>473.81</v>
      </c>
      <c r="C1171" s="37">
        <f t="shared" si="42"/>
        <v>78.968333333333334</v>
      </c>
      <c r="D1171" s="37">
        <v>9.4280000000000008</v>
      </c>
      <c r="E1171" s="33">
        <f t="shared" si="43"/>
        <v>-1.0120390478399674E-3</v>
      </c>
    </row>
    <row r="1172" spans="1:5" x14ac:dyDescent="0.25">
      <c r="A1172" s="41">
        <v>43514</v>
      </c>
      <c r="B1172" s="29">
        <v>472.88</v>
      </c>
      <c r="C1172" s="37">
        <f t="shared" si="42"/>
        <v>78.813333333333333</v>
      </c>
      <c r="D1172" s="37">
        <v>9.4280000000000008</v>
      </c>
      <c r="E1172" s="33">
        <f t="shared" si="43"/>
        <v>-1.962812097676298E-3</v>
      </c>
    </row>
    <row r="1173" spans="1:5" x14ac:dyDescent="0.25">
      <c r="A1173" s="41">
        <v>43514</v>
      </c>
      <c r="B1173" s="29">
        <v>473.89</v>
      </c>
      <c r="C1173" s="37">
        <f t="shared" si="42"/>
        <v>78.981666666666669</v>
      </c>
      <c r="D1173" s="37">
        <v>9.4280000000000008</v>
      </c>
      <c r="E1173" s="33">
        <f t="shared" si="43"/>
        <v>2.1358484182033306E-3</v>
      </c>
    </row>
    <row r="1174" spans="1:5" x14ac:dyDescent="0.25">
      <c r="A1174" s="41">
        <v>43514</v>
      </c>
      <c r="B1174" s="29">
        <v>473.71</v>
      </c>
      <c r="C1174" s="37">
        <f t="shared" si="42"/>
        <v>78.951666666666668</v>
      </c>
      <c r="D1174" s="37">
        <v>9.4280000000000008</v>
      </c>
      <c r="E1174" s="33">
        <f t="shared" si="43"/>
        <v>-3.7983498280193045E-4</v>
      </c>
    </row>
    <row r="1175" spans="1:5" x14ac:dyDescent="0.25">
      <c r="A1175" s="41">
        <v>43514</v>
      </c>
      <c r="B1175" s="29">
        <v>473.53</v>
      </c>
      <c r="C1175" s="37">
        <f t="shared" si="42"/>
        <v>78.921666666666667</v>
      </c>
      <c r="D1175" s="37">
        <v>9.4280000000000008</v>
      </c>
      <c r="E1175" s="33">
        <f t="shared" si="43"/>
        <v>-3.7997931223745926E-4</v>
      </c>
    </row>
    <row r="1176" spans="1:5" x14ac:dyDescent="0.25">
      <c r="A1176" s="41">
        <v>43514</v>
      </c>
      <c r="B1176" s="29">
        <v>472.8</v>
      </c>
      <c r="C1176" s="37">
        <f t="shared" si="42"/>
        <v>78.8</v>
      </c>
      <c r="D1176" s="37">
        <v>9.4280000000000008</v>
      </c>
      <c r="E1176" s="33">
        <f t="shared" si="43"/>
        <v>-1.5416129917850219E-3</v>
      </c>
    </row>
    <row r="1177" spans="1:5" x14ac:dyDescent="0.25">
      <c r="A1177" s="41">
        <v>43514</v>
      </c>
      <c r="B1177" s="29">
        <v>469.75</v>
      </c>
      <c r="C1177" s="37">
        <f t="shared" si="42"/>
        <v>78.291666666666671</v>
      </c>
      <c r="D1177" s="37">
        <v>9.4280000000000008</v>
      </c>
      <c r="E1177" s="33">
        <f t="shared" si="43"/>
        <v>-6.4509306260575536E-3</v>
      </c>
    </row>
    <row r="1178" spans="1:5" x14ac:dyDescent="0.25">
      <c r="A1178" s="41">
        <v>43515</v>
      </c>
      <c r="B1178" s="29">
        <v>463.66</v>
      </c>
      <c r="C1178" s="37">
        <f t="shared" si="42"/>
        <v>77.276666666666671</v>
      </c>
      <c r="D1178" s="37">
        <v>9.4440000000000008</v>
      </c>
      <c r="E1178" s="33">
        <f t="shared" si="43"/>
        <v>-1.2964342735497552E-2</v>
      </c>
    </row>
    <row r="1179" spans="1:5" x14ac:dyDescent="0.25">
      <c r="A1179" s="41">
        <v>43515</v>
      </c>
      <c r="B1179" s="29">
        <v>463.16</v>
      </c>
      <c r="C1179" s="37">
        <f t="shared" si="42"/>
        <v>77.193333333333328</v>
      </c>
      <c r="D1179" s="37">
        <v>9.4440000000000008</v>
      </c>
      <c r="E1179" s="33">
        <f t="shared" si="43"/>
        <v>-1.0783763964974334E-3</v>
      </c>
    </row>
    <row r="1180" spans="1:5" x14ac:dyDescent="0.25">
      <c r="A1180" s="41">
        <v>43515</v>
      </c>
      <c r="B1180" s="29">
        <v>462.16</v>
      </c>
      <c r="C1180" s="37">
        <f t="shared" si="42"/>
        <v>77.026666666666671</v>
      </c>
      <c r="D1180" s="37">
        <v>9.4440000000000008</v>
      </c>
      <c r="E1180" s="33">
        <f t="shared" si="43"/>
        <v>-2.1590810950859315E-3</v>
      </c>
    </row>
    <row r="1181" spans="1:5" x14ac:dyDescent="0.25">
      <c r="A1181" s="41">
        <v>43515</v>
      </c>
      <c r="B1181" s="29">
        <v>460.47</v>
      </c>
      <c r="C1181" s="37">
        <f t="shared" si="42"/>
        <v>76.745000000000005</v>
      </c>
      <c r="D1181" s="37">
        <v>9.4440000000000008</v>
      </c>
      <c r="E1181" s="33">
        <f t="shared" si="43"/>
        <v>-3.6567422537649246E-3</v>
      </c>
    </row>
    <row r="1182" spans="1:5" x14ac:dyDescent="0.25">
      <c r="A1182" s="41">
        <v>43515</v>
      </c>
      <c r="B1182" s="29">
        <v>460.99</v>
      </c>
      <c r="C1182" s="37">
        <f t="shared" si="42"/>
        <v>76.831666666666663</v>
      </c>
      <c r="D1182" s="37">
        <v>9.4440000000000008</v>
      </c>
      <c r="E1182" s="33">
        <f t="shared" si="43"/>
        <v>1.1292809520706709E-3</v>
      </c>
    </row>
    <row r="1183" spans="1:5" x14ac:dyDescent="0.25">
      <c r="A1183" s="41">
        <v>43515</v>
      </c>
      <c r="B1183" s="29">
        <v>463.64</v>
      </c>
      <c r="C1183" s="37">
        <f t="shared" si="42"/>
        <v>77.273333333333326</v>
      </c>
      <c r="D1183" s="37">
        <v>9.4440000000000008</v>
      </c>
      <c r="E1183" s="33">
        <f t="shared" si="43"/>
        <v>5.748497798216832E-3</v>
      </c>
    </row>
    <row r="1184" spans="1:5" x14ac:dyDescent="0.25">
      <c r="A1184" s="41">
        <v>43515</v>
      </c>
      <c r="B1184" s="29">
        <v>464</v>
      </c>
      <c r="C1184" s="37">
        <f t="shared" si="42"/>
        <v>77.333333333333329</v>
      </c>
      <c r="D1184" s="37">
        <v>9.4440000000000008</v>
      </c>
      <c r="E1184" s="33">
        <f t="shared" si="43"/>
        <v>7.7646449831768967E-4</v>
      </c>
    </row>
    <row r="1185" spans="1:5" x14ac:dyDescent="0.25">
      <c r="A1185" s="41">
        <v>43515</v>
      </c>
      <c r="B1185" s="29">
        <v>469.34</v>
      </c>
      <c r="C1185" s="37">
        <f t="shared" si="42"/>
        <v>78.223333333333329</v>
      </c>
      <c r="D1185" s="37">
        <v>9.4440000000000008</v>
      </c>
      <c r="E1185" s="33">
        <f t="shared" si="43"/>
        <v>1.1508620689655118E-2</v>
      </c>
    </row>
    <row r="1186" spans="1:5" x14ac:dyDescent="0.25">
      <c r="A1186" s="41">
        <v>43515</v>
      </c>
      <c r="B1186" s="29">
        <v>474.81</v>
      </c>
      <c r="C1186" s="37">
        <f t="shared" si="42"/>
        <v>79.135000000000005</v>
      </c>
      <c r="D1186" s="37">
        <v>9.4440000000000008</v>
      </c>
      <c r="E1186" s="33">
        <f t="shared" si="43"/>
        <v>1.1654663996250113E-2</v>
      </c>
    </row>
    <row r="1187" spans="1:5" x14ac:dyDescent="0.25">
      <c r="A1187" s="41">
        <v>43515</v>
      </c>
      <c r="B1187" s="29">
        <v>476.03</v>
      </c>
      <c r="C1187" s="37">
        <f t="shared" si="42"/>
        <v>79.338333333333338</v>
      </c>
      <c r="D1187" s="37">
        <v>9.4440000000000008</v>
      </c>
      <c r="E1187" s="33">
        <f t="shared" si="43"/>
        <v>2.5694488321643823E-3</v>
      </c>
    </row>
    <row r="1188" spans="1:5" x14ac:dyDescent="0.25">
      <c r="A1188" s="41">
        <v>43515</v>
      </c>
      <c r="B1188" s="29">
        <v>478.65</v>
      </c>
      <c r="C1188" s="37">
        <f t="shared" si="42"/>
        <v>79.775000000000006</v>
      </c>
      <c r="D1188" s="37">
        <v>9.4440000000000008</v>
      </c>
      <c r="E1188" s="33">
        <f t="shared" si="43"/>
        <v>5.5038547990672957E-3</v>
      </c>
    </row>
    <row r="1189" spans="1:5" x14ac:dyDescent="0.25">
      <c r="A1189" s="41">
        <v>43515</v>
      </c>
      <c r="B1189" s="29">
        <v>479.58</v>
      </c>
      <c r="C1189" s="37">
        <f t="shared" si="42"/>
        <v>79.930000000000007</v>
      </c>
      <c r="D1189" s="37">
        <v>9.4440000000000008</v>
      </c>
      <c r="E1189" s="33">
        <f t="shared" si="43"/>
        <v>1.942964587903493E-3</v>
      </c>
    </row>
    <row r="1190" spans="1:5" x14ac:dyDescent="0.25">
      <c r="A1190" s="41">
        <v>43515</v>
      </c>
      <c r="B1190" s="29">
        <v>476.35</v>
      </c>
      <c r="C1190" s="37">
        <f t="shared" si="42"/>
        <v>79.391666666666666</v>
      </c>
      <c r="D1190" s="37">
        <v>9.4440000000000008</v>
      </c>
      <c r="E1190" s="33">
        <f t="shared" si="43"/>
        <v>-6.735059844030113E-3</v>
      </c>
    </row>
    <row r="1191" spans="1:5" x14ac:dyDescent="0.25">
      <c r="A1191" s="41">
        <v>43515</v>
      </c>
      <c r="B1191" s="29">
        <v>480.29</v>
      </c>
      <c r="C1191" s="37">
        <f t="shared" si="42"/>
        <v>80.048333333333332</v>
      </c>
      <c r="D1191" s="37">
        <v>9.4440000000000008</v>
      </c>
      <c r="E1191" s="33">
        <f t="shared" si="43"/>
        <v>8.2712291382386841E-3</v>
      </c>
    </row>
    <row r="1192" spans="1:5" x14ac:dyDescent="0.25">
      <c r="A1192" s="41">
        <v>43515</v>
      </c>
      <c r="B1192" s="29">
        <v>484.67</v>
      </c>
      <c r="C1192" s="37">
        <f t="shared" si="42"/>
        <v>80.778333333333336</v>
      </c>
      <c r="D1192" s="37">
        <v>9.4440000000000008</v>
      </c>
      <c r="E1192" s="33">
        <f t="shared" si="43"/>
        <v>9.1194903079389444E-3</v>
      </c>
    </row>
    <row r="1193" spans="1:5" x14ac:dyDescent="0.25">
      <c r="A1193" s="41">
        <v>43515</v>
      </c>
      <c r="B1193" s="29">
        <v>484.6</v>
      </c>
      <c r="C1193" s="37">
        <f t="shared" si="42"/>
        <v>80.766666666666666</v>
      </c>
      <c r="D1193" s="37">
        <v>9.4440000000000008</v>
      </c>
      <c r="E1193" s="33">
        <f t="shared" si="43"/>
        <v>-1.4442816761919074E-4</v>
      </c>
    </row>
    <row r="1194" spans="1:5" x14ac:dyDescent="0.25">
      <c r="A1194" s="41">
        <v>43515</v>
      </c>
      <c r="B1194" s="29">
        <v>482.15</v>
      </c>
      <c r="C1194" s="37">
        <f t="shared" si="42"/>
        <v>80.358333333333334</v>
      </c>
      <c r="D1194" s="37">
        <v>9.4440000000000008</v>
      </c>
      <c r="E1194" s="33">
        <f t="shared" si="43"/>
        <v>-5.0557160544780133E-3</v>
      </c>
    </row>
    <row r="1195" spans="1:5" x14ac:dyDescent="0.25">
      <c r="A1195" s="41">
        <v>43515</v>
      </c>
      <c r="B1195" s="29">
        <v>475.65</v>
      </c>
      <c r="C1195" s="37">
        <f t="shared" si="42"/>
        <v>79.275000000000006</v>
      </c>
      <c r="D1195" s="37">
        <v>9.4440000000000008</v>
      </c>
      <c r="E1195" s="33">
        <f t="shared" si="43"/>
        <v>-1.3481281758788759E-2</v>
      </c>
    </row>
    <row r="1196" spans="1:5" x14ac:dyDescent="0.25">
      <c r="A1196" s="41">
        <v>43515</v>
      </c>
      <c r="B1196" s="29">
        <v>474.98</v>
      </c>
      <c r="C1196" s="37">
        <f t="shared" si="42"/>
        <v>79.163333333333327</v>
      </c>
      <c r="D1196" s="37">
        <v>9.4440000000000008</v>
      </c>
      <c r="E1196" s="33">
        <f t="shared" si="43"/>
        <v>-1.4085987595920512E-3</v>
      </c>
    </row>
    <row r="1197" spans="1:5" x14ac:dyDescent="0.25">
      <c r="A1197" s="41">
        <v>43515</v>
      </c>
      <c r="B1197" s="29">
        <v>475.49</v>
      </c>
      <c r="C1197" s="37">
        <f t="shared" si="42"/>
        <v>79.248333333333335</v>
      </c>
      <c r="D1197" s="37">
        <v>9.4440000000000008</v>
      </c>
      <c r="E1197" s="33">
        <f t="shared" si="43"/>
        <v>1.0737294201860939E-3</v>
      </c>
    </row>
    <row r="1198" spans="1:5" x14ac:dyDescent="0.25">
      <c r="A1198" s="41">
        <v>43515</v>
      </c>
      <c r="B1198" s="29">
        <v>475.56</v>
      </c>
      <c r="C1198" s="37">
        <f t="shared" si="42"/>
        <v>79.260000000000005</v>
      </c>
      <c r="D1198" s="37">
        <v>9.4440000000000008</v>
      </c>
      <c r="E1198" s="33">
        <f t="shared" si="43"/>
        <v>1.4721655555320444E-4</v>
      </c>
    </row>
    <row r="1199" spans="1:5" x14ac:dyDescent="0.25">
      <c r="A1199" s="41">
        <v>43515</v>
      </c>
      <c r="B1199" s="29">
        <v>475.32</v>
      </c>
      <c r="C1199" s="37">
        <f t="shared" si="42"/>
        <v>79.22</v>
      </c>
      <c r="D1199" s="37">
        <v>9.4440000000000008</v>
      </c>
      <c r="E1199" s="33">
        <f t="shared" si="43"/>
        <v>-5.0466818067122776E-4</v>
      </c>
    </row>
    <row r="1200" spans="1:5" x14ac:dyDescent="0.25">
      <c r="A1200" s="41">
        <v>43515</v>
      </c>
      <c r="B1200" s="29">
        <v>474.7</v>
      </c>
      <c r="C1200" s="37">
        <f t="shared" si="42"/>
        <v>79.11666666666666</v>
      </c>
      <c r="D1200" s="37">
        <v>9.4440000000000008</v>
      </c>
      <c r="E1200" s="33">
        <f t="shared" si="43"/>
        <v>-1.3043844147100996E-3</v>
      </c>
    </row>
    <row r="1201" spans="1:5" x14ac:dyDescent="0.25">
      <c r="A1201" s="41">
        <v>43515</v>
      </c>
      <c r="B1201" s="29">
        <v>471.18</v>
      </c>
      <c r="C1201" s="37">
        <f t="shared" si="42"/>
        <v>78.53</v>
      </c>
      <c r="D1201" s="37">
        <v>9.4440000000000008</v>
      </c>
      <c r="E1201" s="33">
        <f t="shared" si="43"/>
        <v>-7.4152096060669517E-3</v>
      </c>
    </row>
    <row r="1202" spans="1:5" x14ac:dyDescent="0.25">
      <c r="A1202" s="41">
        <v>43516</v>
      </c>
      <c r="B1202" s="29">
        <v>463.04</v>
      </c>
      <c r="C1202" s="37">
        <f t="shared" si="42"/>
        <v>77.173333333333332</v>
      </c>
      <c r="D1202" s="37">
        <v>8.9830000000000005</v>
      </c>
      <c r="E1202" s="33">
        <f t="shared" si="43"/>
        <v>-1.7275775712042078E-2</v>
      </c>
    </row>
    <row r="1203" spans="1:5" x14ac:dyDescent="0.25">
      <c r="A1203" s="41">
        <v>43516</v>
      </c>
      <c r="B1203" s="29">
        <v>461.95</v>
      </c>
      <c r="C1203" s="37">
        <f t="shared" si="42"/>
        <v>76.99166666666666</v>
      </c>
      <c r="D1203" s="37">
        <v>8.9830000000000005</v>
      </c>
      <c r="E1203" s="33">
        <f t="shared" si="43"/>
        <v>-2.3540082930201102E-3</v>
      </c>
    </row>
    <row r="1204" spans="1:5" x14ac:dyDescent="0.25">
      <c r="A1204" s="41">
        <v>43516</v>
      </c>
      <c r="B1204" s="29">
        <v>459.4</v>
      </c>
      <c r="C1204" s="37">
        <f t="shared" si="42"/>
        <v>76.566666666666663</v>
      </c>
      <c r="D1204" s="37">
        <v>8.9830000000000005</v>
      </c>
      <c r="E1204" s="33">
        <f t="shared" si="43"/>
        <v>-5.5200779305119851E-3</v>
      </c>
    </row>
    <row r="1205" spans="1:5" x14ac:dyDescent="0.25">
      <c r="A1205" s="41">
        <v>43516</v>
      </c>
      <c r="B1205" s="29">
        <v>457.53</v>
      </c>
      <c r="C1205" s="37">
        <f t="shared" si="42"/>
        <v>76.254999999999995</v>
      </c>
      <c r="D1205" s="37">
        <v>8.9830000000000005</v>
      </c>
      <c r="E1205" s="33">
        <f t="shared" si="43"/>
        <v>-4.0705267740531225E-3</v>
      </c>
    </row>
    <row r="1206" spans="1:5" x14ac:dyDescent="0.25">
      <c r="A1206" s="41">
        <v>43516</v>
      </c>
      <c r="B1206" s="29">
        <v>457.21</v>
      </c>
      <c r="C1206" s="37">
        <f t="shared" si="42"/>
        <v>76.201666666666668</v>
      </c>
      <c r="D1206" s="37">
        <v>8.9830000000000005</v>
      </c>
      <c r="E1206" s="33">
        <f t="shared" si="43"/>
        <v>-6.994076891132673E-4</v>
      </c>
    </row>
    <row r="1207" spans="1:5" x14ac:dyDescent="0.25">
      <c r="A1207" s="41">
        <v>43516</v>
      </c>
      <c r="B1207" s="29">
        <v>461.53</v>
      </c>
      <c r="C1207" s="37">
        <f t="shared" si="42"/>
        <v>76.921666666666667</v>
      </c>
      <c r="D1207" s="37">
        <v>8.9830000000000005</v>
      </c>
      <c r="E1207" s="33">
        <f t="shared" si="43"/>
        <v>9.4486122350779592E-3</v>
      </c>
    </row>
    <row r="1208" spans="1:5" x14ac:dyDescent="0.25">
      <c r="A1208" s="41">
        <v>43516</v>
      </c>
      <c r="B1208" s="29">
        <v>463.34</v>
      </c>
      <c r="C1208" s="37">
        <f t="shared" si="42"/>
        <v>77.223333333333329</v>
      </c>
      <c r="D1208" s="37">
        <v>8.9830000000000005</v>
      </c>
      <c r="E1208" s="33">
        <f t="shared" si="43"/>
        <v>3.9217385652070341E-3</v>
      </c>
    </row>
    <row r="1209" spans="1:5" x14ac:dyDescent="0.25">
      <c r="A1209" s="41">
        <v>43516</v>
      </c>
      <c r="B1209" s="29">
        <v>464.96</v>
      </c>
      <c r="C1209" s="37">
        <f t="shared" si="42"/>
        <v>77.493333333333339</v>
      </c>
      <c r="D1209" s="37">
        <v>8.9830000000000005</v>
      </c>
      <c r="E1209" s="33">
        <f t="shared" si="43"/>
        <v>3.4963525704666222E-3</v>
      </c>
    </row>
    <row r="1210" spans="1:5" x14ac:dyDescent="0.25">
      <c r="A1210" s="41">
        <v>43516</v>
      </c>
      <c r="B1210" s="29">
        <v>470.96</v>
      </c>
      <c r="C1210" s="37">
        <f t="shared" si="42"/>
        <v>78.493333333333339</v>
      </c>
      <c r="D1210" s="37">
        <v>8.9830000000000005</v>
      </c>
      <c r="E1210" s="33">
        <f t="shared" si="43"/>
        <v>1.2904335856847901E-2</v>
      </c>
    </row>
    <row r="1211" spans="1:5" x14ac:dyDescent="0.25">
      <c r="A1211" s="41">
        <v>43516</v>
      </c>
      <c r="B1211" s="29">
        <v>472</v>
      </c>
      <c r="C1211" s="37">
        <f t="shared" si="42"/>
        <v>78.666666666666671</v>
      </c>
      <c r="D1211" s="37">
        <v>8.9830000000000005</v>
      </c>
      <c r="E1211" s="33">
        <f t="shared" si="43"/>
        <v>2.2082554781722875E-3</v>
      </c>
    </row>
    <row r="1212" spans="1:5" x14ac:dyDescent="0.25">
      <c r="A1212" s="41">
        <v>43516</v>
      </c>
      <c r="B1212" s="29">
        <v>473.32</v>
      </c>
      <c r="C1212" s="37">
        <f t="shared" si="42"/>
        <v>78.88666666666667</v>
      </c>
      <c r="D1212" s="37">
        <v>8.9830000000000005</v>
      </c>
      <c r="E1212" s="33">
        <f t="shared" si="43"/>
        <v>2.7966101694915108E-3</v>
      </c>
    </row>
    <row r="1213" spans="1:5" x14ac:dyDescent="0.25">
      <c r="A1213" s="41">
        <v>43516</v>
      </c>
      <c r="B1213" s="29">
        <v>473.23</v>
      </c>
      <c r="C1213" s="37">
        <f t="shared" si="42"/>
        <v>78.87166666666667</v>
      </c>
      <c r="D1213" s="37">
        <v>8.9830000000000005</v>
      </c>
      <c r="E1213" s="33">
        <f t="shared" si="43"/>
        <v>-1.9014620130139228E-4</v>
      </c>
    </row>
    <row r="1214" spans="1:5" x14ac:dyDescent="0.25">
      <c r="A1214" s="41">
        <v>43516</v>
      </c>
      <c r="B1214" s="29">
        <v>472.97</v>
      </c>
      <c r="C1214" s="37">
        <f t="shared" si="42"/>
        <v>78.828333333333333</v>
      </c>
      <c r="D1214" s="37">
        <v>8.9830000000000005</v>
      </c>
      <c r="E1214" s="33">
        <f t="shared" si="43"/>
        <v>-5.4941571751577643E-4</v>
      </c>
    </row>
    <row r="1215" spans="1:5" x14ac:dyDescent="0.25">
      <c r="A1215" s="41">
        <v>43516</v>
      </c>
      <c r="B1215" s="29">
        <v>473.31</v>
      </c>
      <c r="C1215" s="37">
        <f t="shared" si="42"/>
        <v>78.885000000000005</v>
      </c>
      <c r="D1215" s="37">
        <v>8.9830000000000005</v>
      </c>
      <c r="E1215" s="33">
        <f t="shared" si="43"/>
        <v>7.188616614161045E-4</v>
      </c>
    </row>
    <row r="1216" spans="1:5" x14ac:dyDescent="0.25">
      <c r="A1216" s="41">
        <v>43516</v>
      </c>
      <c r="B1216" s="29">
        <v>474.81</v>
      </c>
      <c r="C1216" s="37">
        <f t="shared" si="42"/>
        <v>79.135000000000005</v>
      </c>
      <c r="D1216" s="37">
        <v>8.9830000000000005</v>
      </c>
      <c r="E1216" s="33">
        <f t="shared" si="43"/>
        <v>3.1691703112125247E-3</v>
      </c>
    </row>
    <row r="1217" spans="1:5" x14ac:dyDescent="0.25">
      <c r="A1217" s="41">
        <v>43516</v>
      </c>
      <c r="B1217" s="29">
        <v>473.91</v>
      </c>
      <c r="C1217" s="37">
        <f t="shared" si="42"/>
        <v>78.984999999999999</v>
      </c>
      <c r="D1217" s="37">
        <v>8.9830000000000005</v>
      </c>
      <c r="E1217" s="33">
        <f t="shared" si="43"/>
        <v>-1.8954950401212638E-3</v>
      </c>
    </row>
    <row r="1218" spans="1:5" x14ac:dyDescent="0.25">
      <c r="A1218" s="41">
        <v>43516</v>
      </c>
      <c r="B1218" s="29">
        <v>473.2</v>
      </c>
      <c r="C1218" s="37">
        <f t="shared" si="42"/>
        <v>78.86666666666666</v>
      </c>
      <c r="D1218" s="37">
        <v>8.9830000000000005</v>
      </c>
      <c r="E1218" s="33">
        <f t="shared" si="43"/>
        <v>-1.4981747589205468E-3</v>
      </c>
    </row>
    <row r="1219" spans="1:5" x14ac:dyDescent="0.25">
      <c r="A1219" s="41">
        <v>43516</v>
      </c>
      <c r="B1219" s="29">
        <v>471.71</v>
      </c>
      <c r="C1219" s="37">
        <f t="shared" ref="C1219:C1282" si="44">(B1219*100/600)</f>
        <v>78.618333333333339</v>
      </c>
      <c r="D1219" s="37">
        <v>8.9830000000000005</v>
      </c>
      <c r="E1219" s="33">
        <f t="shared" si="43"/>
        <v>-3.1487743026204756E-3</v>
      </c>
    </row>
    <row r="1220" spans="1:5" x14ac:dyDescent="0.25">
      <c r="A1220" s="41">
        <v>43516</v>
      </c>
      <c r="B1220" s="29">
        <v>471.01</v>
      </c>
      <c r="C1220" s="37">
        <f t="shared" si="44"/>
        <v>78.501666666666665</v>
      </c>
      <c r="D1220" s="37">
        <v>8.9830000000000005</v>
      </c>
      <c r="E1220" s="33">
        <f t="shared" ref="E1220:E1283" si="45">(B1220-B1219)/B1219</f>
        <v>-1.4839626041423515E-3</v>
      </c>
    </row>
    <row r="1221" spans="1:5" x14ac:dyDescent="0.25">
      <c r="A1221" s="41">
        <v>43516</v>
      </c>
      <c r="B1221" s="29">
        <v>472.32</v>
      </c>
      <c r="C1221" s="37">
        <f t="shared" si="44"/>
        <v>78.72</v>
      </c>
      <c r="D1221" s="37">
        <v>8.9830000000000005</v>
      </c>
      <c r="E1221" s="33">
        <f t="shared" si="45"/>
        <v>2.781257298146541E-3</v>
      </c>
    </row>
    <row r="1222" spans="1:5" x14ac:dyDescent="0.25">
      <c r="A1222" s="41">
        <v>43516</v>
      </c>
      <c r="B1222" s="29">
        <v>472.09</v>
      </c>
      <c r="C1222" s="37">
        <f t="shared" si="44"/>
        <v>78.681666666666672</v>
      </c>
      <c r="D1222" s="37">
        <v>8.9830000000000005</v>
      </c>
      <c r="E1222" s="33">
        <f t="shared" si="45"/>
        <v>-4.8695799457998434E-4</v>
      </c>
    </row>
    <row r="1223" spans="1:5" x14ac:dyDescent="0.25">
      <c r="A1223" s="41">
        <v>43516</v>
      </c>
      <c r="B1223" s="29">
        <v>471.67</v>
      </c>
      <c r="C1223" s="37">
        <f t="shared" si="44"/>
        <v>78.611666666666665</v>
      </c>
      <c r="D1223" s="37">
        <v>8.9830000000000005</v>
      </c>
      <c r="E1223" s="33">
        <f t="shared" si="45"/>
        <v>-8.8966086974932553E-4</v>
      </c>
    </row>
    <row r="1224" spans="1:5" x14ac:dyDescent="0.25">
      <c r="A1224" s="41">
        <v>43516</v>
      </c>
      <c r="B1224" s="29">
        <v>470.87</v>
      </c>
      <c r="C1224" s="37">
        <f t="shared" si="44"/>
        <v>78.478333333333339</v>
      </c>
      <c r="D1224" s="37">
        <v>8.9830000000000005</v>
      </c>
      <c r="E1224" s="33">
        <f t="shared" si="45"/>
        <v>-1.6961010876248464E-3</v>
      </c>
    </row>
    <row r="1225" spans="1:5" x14ac:dyDescent="0.25">
      <c r="A1225" s="41">
        <v>43516</v>
      </c>
      <c r="B1225" s="29">
        <v>467.68</v>
      </c>
      <c r="C1225" s="37">
        <f t="shared" si="44"/>
        <v>77.946666666666673</v>
      </c>
      <c r="D1225" s="37">
        <v>8.9830000000000005</v>
      </c>
      <c r="E1225" s="33">
        <f t="shared" si="45"/>
        <v>-6.7746936521757553E-3</v>
      </c>
    </row>
    <row r="1226" spans="1:5" x14ac:dyDescent="0.25">
      <c r="A1226" s="41">
        <v>43517</v>
      </c>
      <c r="B1226" s="29">
        <v>464.11</v>
      </c>
      <c r="C1226" s="37">
        <f t="shared" si="44"/>
        <v>77.351666666666674</v>
      </c>
      <c r="D1226" s="37">
        <v>8.4220000000000006</v>
      </c>
      <c r="E1226" s="33">
        <f t="shared" si="45"/>
        <v>-7.6334245638042955E-3</v>
      </c>
    </row>
    <row r="1227" spans="1:5" x14ac:dyDescent="0.25">
      <c r="A1227" s="41">
        <v>43517</v>
      </c>
      <c r="B1227" s="29">
        <v>462.8</v>
      </c>
      <c r="C1227" s="37">
        <f t="shared" si="44"/>
        <v>77.13333333333334</v>
      </c>
      <c r="D1227" s="37">
        <v>8.4220000000000006</v>
      </c>
      <c r="E1227" s="33">
        <f t="shared" si="45"/>
        <v>-2.8226067096162595E-3</v>
      </c>
    </row>
    <row r="1228" spans="1:5" x14ac:dyDescent="0.25">
      <c r="A1228" s="41">
        <v>43517</v>
      </c>
      <c r="B1228" s="29">
        <v>461.59</v>
      </c>
      <c r="C1228" s="37">
        <f t="shared" si="44"/>
        <v>76.931666666666672</v>
      </c>
      <c r="D1228" s="37">
        <v>8.4220000000000006</v>
      </c>
      <c r="E1228" s="33">
        <f t="shared" si="45"/>
        <v>-2.614520311149603E-3</v>
      </c>
    </row>
    <row r="1229" spans="1:5" x14ac:dyDescent="0.25">
      <c r="A1229" s="41">
        <v>43517</v>
      </c>
      <c r="B1229" s="29">
        <v>461.08</v>
      </c>
      <c r="C1229" s="37">
        <f t="shared" si="44"/>
        <v>76.846666666666664</v>
      </c>
      <c r="D1229" s="37">
        <v>8.4220000000000006</v>
      </c>
      <c r="E1229" s="33">
        <f t="shared" si="45"/>
        <v>-1.1048766221105114E-3</v>
      </c>
    </row>
    <row r="1230" spans="1:5" x14ac:dyDescent="0.25">
      <c r="A1230" s="41">
        <v>43517</v>
      </c>
      <c r="B1230" s="29">
        <v>461.08</v>
      </c>
      <c r="C1230" s="37">
        <f t="shared" si="44"/>
        <v>76.846666666666664</v>
      </c>
      <c r="D1230" s="37">
        <v>8.4220000000000006</v>
      </c>
      <c r="E1230" s="33">
        <f t="shared" si="45"/>
        <v>0</v>
      </c>
    </row>
    <row r="1231" spans="1:5" x14ac:dyDescent="0.25">
      <c r="A1231" s="41">
        <v>43517</v>
      </c>
      <c r="B1231" s="29">
        <v>462.48</v>
      </c>
      <c r="C1231" s="37">
        <f t="shared" si="44"/>
        <v>77.08</v>
      </c>
      <c r="D1231" s="37">
        <v>8.4220000000000006</v>
      </c>
      <c r="E1231" s="33">
        <f t="shared" si="45"/>
        <v>3.0363494404442486E-3</v>
      </c>
    </row>
    <row r="1232" spans="1:5" x14ac:dyDescent="0.25">
      <c r="A1232" s="41">
        <v>43517</v>
      </c>
      <c r="B1232" s="29">
        <v>464.27</v>
      </c>
      <c r="C1232" s="37">
        <f t="shared" si="44"/>
        <v>77.37833333333333</v>
      </c>
      <c r="D1232" s="37">
        <v>8.4220000000000006</v>
      </c>
      <c r="E1232" s="33">
        <f t="shared" si="45"/>
        <v>3.8704376405465394E-3</v>
      </c>
    </row>
    <row r="1233" spans="1:5" x14ac:dyDescent="0.25">
      <c r="A1233" s="41">
        <v>43517</v>
      </c>
      <c r="B1233" s="29">
        <v>466.34</v>
      </c>
      <c r="C1233" s="37">
        <f t="shared" si="44"/>
        <v>77.723333333333329</v>
      </c>
      <c r="D1233" s="37">
        <v>8.4220000000000006</v>
      </c>
      <c r="E1233" s="33">
        <f t="shared" si="45"/>
        <v>4.458612445344289E-3</v>
      </c>
    </row>
    <row r="1234" spans="1:5" x14ac:dyDescent="0.25">
      <c r="A1234" s="41">
        <v>43517</v>
      </c>
      <c r="B1234" s="29">
        <v>472.23</v>
      </c>
      <c r="C1234" s="37">
        <f t="shared" si="44"/>
        <v>78.704999999999998</v>
      </c>
      <c r="D1234" s="37">
        <v>8.4220000000000006</v>
      </c>
      <c r="E1234" s="33">
        <f t="shared" si="45"/>
        <v>1.2630269760260847E-2</v>
      </c>
    </row>
    <row r="1235" spans="1:5" x14ac:dyDescent="0.25">
      <c r="A1235" s="41">
        <v>43517</v>
      </c>
      <c r="B1235" s="29">
        <v>473.53</v>
      </c>
      <c r="C1235" s="37">
        <f t="shared" si="44"/>
        <v>78.921666666666667</v>
      </c>
      <c r="D1235" s="37">
        <v>8.4220000000000006</v>
      </c>
      <c r="E1235" s="33">
        <f t="shared" si="45"/>
        <v>2.7528958346567448E-3</v>
      </c>
    </row>
    <row r="1236" spans="1:5" x14ac:dyDescent="0.25">
      <c r="A1236" s="41">
        <v>43517</v>
      </c>
      <c r="B1236" s="29">
        <v>475.31</v>
      </c>
      <c r="C1236" s="37">
        <f t="shared" si="44"/>
        <v>79.218333333333334</v>
      </c>
      <c r="D1236" s="37">
        <v>8.4220000000000006</v>
      </c>
      <c r="E1236" s="33">
        <f t="shared" si="45"/>
        <v>3.7590015416130544E-3</v>
      </c>
    </row>
    <row r="1237" spans="1:5" x14ac:dyDescent="0.25">
      <c r="A1237" s="41">
        <v>43517</v>
      </c>
      <c r="B1237" s="29">
        <v>476.62</v>
      </c>
      <c r="C1237" s="37">
        <f t="shared" si="44"/>
        <v>79.436666666666667</v>
      </c>
      <c r="D1237" s="37">
        <v>8.4220000000000006</v>
      </c>
      <c r="E1237" s="33">
        <f t="shared" si="45"/>
        <v>2.7560960215438392E-3</v>
      </c>
    </row>
    <row r="1238" spans="1:5" x14ac:dyDescent="0.25">
      <c r="A1238" s="41">
        <v>43517</v>
      </c>
      <c r="B1238" s="29">
        <v>473.27</v>
      </c>
      <c r="C1238" s="37">
        <f t="shared" si="44"/>
        <v>78.87833333333333</v>
      </c>
      <c r="D1238" s="37">
        <v>8.4220000000000006</v>
      </c>
      <c r="E1238" s="33">
        <f t="shared" si="45"/>
        <v>-7.0286601485460591E-3</v>
      </c>
    </row>
    <row r="1239" spans="1:5" x14ac:dyDescent="0.25">
      <c r="A1239" s="41">
        <v>43517</v>
      </c>
      <c r="B1239" s="29">
        <v>477.06</v>
      </c>
      <c r="C1239" s="37">
        <f t="shared" si="44"/>
        <v>79.510000000000005</v>
      </c>
      <c r="D1239" s="37">
        <v>8.4220000000000006</v>
      </c>
      <c r="E1239" s="33">
        <f t="shared" si="45"/>
        <v>8.0081137617005523E-3</v>
      </c>
    </row>
    <row r="1240" spans="1:5" x14ac:dyDescent="0.25">
      <c r="A1240" s="41">
        <v>43517</v>
      </c>
      <c r="B1240" s="29">
        <v>479.16</v>
      </c>
      <c r="C1240" s="37">
        <f t="shared" si="44"/>
        <v>79.86</v>
      </c>
      <c r="D1240" s="37">
        <v>8.4220000000000006</v>
      </c>
      <c r="E1240" s="33">
        <f t="shared" si="45"/>
        <v>4.4019620173563548E-3</v>
      </c>
    </row>
    <row r="1241" spans="1:5" x14ac:dyDescent="0.25">
      <c r="A1241" s="41">
        <v>43517</v>
      </c>
      <c r="B1241" s="29">
        <v>478.54</v>
      </c>
      <c r="C1241" s="37">
        <f t="shared" si="44"/>
        <v>79.756666666666661</v>
      </c>
      <c r="D1241" s="37">
        <v>8.4220000000000006</v>
      </c>
      <c r="E1241" s="33">
        <f t="shared" si="45"/>
        <v>-1.293931045997171E-3</v>
      </c>
    </row>
    <row r="1242" spans="1:5" x14ac:dyDescent="0.25">
      <c r="A1242" s="41">
        <v>43517</v>
      </c>
      <c r="B1242" s="29">
        <v>476.12</v>
      </c>
      <c r="C1242" s="37">
        <f t="shared" si="44"/>
        <v>79.353333333333339</v>
      </c>
      <c r="D1242" s="37">
        <v>8.4220000000000006</v>
      </c>
      <c r="E1242" s="33">
        <f t="shared" si="45"/>
        <v>-5.0570485225895764E-3</v>
      </c>
    </row>
    <row r="1243" spans="1:5" x14ac:dyDescent="0.25">
      <c r="A1243" s="41">
        <v>43517</v>
      </c>
      <c r="B1243" s="29">
        <v>472.84</v>
      </c>
      <c r="C1243" s="37">
        <f t="shared" si="44"/>
        <v>78.806666666666672</v>
      </c>
      <c r="D1243" s="37">
        <v>8.4220000000000006</v>
      </c>
      <c r="E1243" s="33">
        <f t="shared" si="45"/>
        <v>-6.8890195748971469E-3</v>
      </c>
    </row>
    <row r="1244" spans="1:5" x14ac:dyDescent="0.25">
      <c r="A1244" s="41">
        <v>43517</v>
      </c>
      <c r="B1244" s="29">
        <v>472.55</v>
      </c>
      <c r="C1244" s="37">
        <f t="shared" si="44"/>
        <v>78.75833333333334</v>
      </c>
      <c r="D1244" s="37">
        <v>8.4220000000000006</v>
      </c>
      <c r="E1244" s="33">
        <f t="shared" si="45"/>
        <v>-6.1331528635471546E-4</v>
      </c>
    </row>
    <row r="1245" spans="1:5" x14ac:dyDescent="0.25">
      <c r="A1245" s="41">
        <v>43517</v>
      </c>
      <c r="B1245" s="29">
        <v>472.64</v>
      </c>
      <c r="C1245" s="37">
        <f t="shared" si="44"/>
        <v>78.773333333333326</v>
      </c>
      <c r="D1245" s="37">
        <v>8.4220000000000006</v>
      </c>
      <c r="E1245" s="33">
        <f t="shared" si="45"/>
        <v>1.9045603639821179E-4</v>
      </c>
    </row>
    <row r="1246" spans="1:5" x14ac:dyDescent="0.25">
      <c r="A1246" s="41">
        <v>43517</v>
      </c>
      <c r="B1246" s="29">
        <v>472.57</v>
      </c>
      <c r="C1246" s="37">
        <f t="shared" si="44"/>
        <v>78.76166666666667</v>
      </c>
      <c r="D1246" s="37">
        <v>8.4220000000000006</v>
      </c>
      <c r="E1246" s="33">
        <f t="shared" si="45"/>
        <v>-1.4810426540282917E-4</v>
      </c>
    </row>
    <row r="1247" spans="1:5" x14ac:dyDescent="0.25">
      <c r="A1247" s="41">
        <v>43517</v>
      </c>
      <c r="B1247" s="29">
        <v>472.49</v>
      </c>
      <c r="C1247" s="37">
        <f t="shared" si="44"/>
        <v>78.748333333333335</v>
      </c>
      <c r="D1247" s="37">
        <v>8.4220000000000006</v>
      </c>
      <c r="E1247" s="33">
        <f t="shared" si="45"/>
        <v>-1.6928708974328478E-4</v>
      </c>
    </row>
    <row r="1248" spans="1:5" x14ac:dyDescent="0.25">
      <c r="A1248" s="41">
        <v>43517</v>
      </c>
      <c r="B1248" s="29">
        <v>472.14</v>
      </c>
      <c r="C1248" s="37">
        <f t="shared" si="44"/>
        <v>78.69</v>
      </c>
      <c r="D1248" s="37">
        <v>8.4220000000000006</v>
      </c>
      <c r="E1248" s="33">
        <f t="shared" si="45"/>
        <v>-7.4075641812529943E-4</v>
      </c>
    </row>
    <row r="1249" spans="1:5" x14ac:dyDescent="0.25">
      <c r="A1249" s="41">
        <v>43517</v>
      </c>
      <c r="B1249" s="29">
        <v>466.84</v>
      </c>
      <c r="C1249" s="37">
        <f t="shared" si="44"/>
        <v>77.806666666666672</v>
      </c>
      <c r="D1249" s="37">
        <v>8.4220000000000006</v>
      </c>
      <c r="E1249" s="33">
        <f t="shared" si="45"/>
        <v>-1.1225483966620094E-2</v>
      </c>
    </row>
    <row r="1250" spans="1:5" x14ac:dyDescent="0.25">
      <c r="A1250" s="41">
        <v>43518</v>
      </c>
      <c r="B1250" s="29">
        <v>463.42</v>
      </c>
      <c r="C1250" s="37">
        <f t="shared" si="44"/>
        <v>77.236666666666665</v>
      </c>
      <c r="D1250" s="37">
        <v>7.8230000000000004</v>
      </c>
      <c r="E1250" s="33">
        <f t="shared" si="45"/>
        <v>-7.3258503984233551E-3</v>
      </c>
    </row>
    <row r="1251" spans="1:5" x14ac:dyDescent="0.25">
      <c r="A1251" s="41">
        <v>43518</v>
      </c>
      <c r="B1251" s="29">
        <v>461.5</v>
      </c>
      <c r="C1251" s="37">
        <f t="shared" si="44"/>
        <v>76.916666666666671</v>
      </c>
      <c r="D1251" s="37">
        <v>7.8230000000000004</v>
      </c>
      <c r="E1251" s="33">
        <f t="shared" si="45"/>
        <v>-4.1431099218851488E-3</v>
      </c>
    </row>
    <row r="1252" spans="1:5" x14ac:dyDescent="0.25">
      <c r="A1252" s="41">
        <v>43518</v>
      </c>
      <c r="B1252" s="29">
        <v>460.35</v>
      </c>
      <c r="C1252" s="37">
        <f t="shared" si="44"/>
        <v>76.724999999999994</v>
      </c>
      <c r="D1252" s="37">
        <v>7.8230000000000004</v>
      </c>
      <c r="E1252" s="33">
        <f t="shared" si="45"/>
        <v>-2.4918743228601889E-3</v>
      </c>
    </row>
    <row r="1253" spans="1:5" x14ac:dyDescent="0.25">
      <c r="A1253" s="41">
        <v>43518</v>
      </c>
      <c r="B1253" s="29">
        <v>458.64</v>
      </c>
      <c r="C1253" s="37">
        <f t="shared" si="44"/>
        <v>76.44</v>
      </c>
      <c r="D1253" s="37">
        <v>7.8230000000000004</v>
      </c>
      <c r="E1253" s="33">
        <f t="shared" si="45"/>
        <v>-3.7145650048876645E-3</v>
      </c>
    </row>
    <row r="1254" spans="1:5" x14ac:dyDescent="0.25">
      <c r="A1254" s="41">
        <v>43518</v>
      </c>
      <c r="B1254" s="29">
        <v>458.62</v>
      </c>
      <c r="C1254" s="37">
        <f t="shared" si="44"/>
        <v>76.436666666666667</v>
      </c>
      <c r="D1254" s="37">
        <v>7.8230000000000004</v>
      </c>
      <c r="E1254" s="33">
        <f t="shared" si="45"/>
        <v>-4.3607186464289665E-5</v>
      </c>
    </row>
    <row r="1255" spans="1:5" x14ac:dyDescent="0.25">
      <c r="A1255" s="41">
        <v>43518</v>
      </c>
      <c r="B1255" s="29">
        <v>461.49</v>
      </c>
      <c r="C1255" s="37">
        <f t="shared" si="44"/>
        <v>76.915000000000006</v>
      </c>
      <c r="D1255" s="37">
        <v>7.8230000000000004</v>
      </c>
      <c r="E1255" s="33">
        <f t="shared" si="45"/>
        <v>6.2579041472242917E-3</v>
      </c>
    </row>
    <row r="1256" spans="1:5" x14ac:dyDescent="0.25">
      <c r="A1256" s="41">
        <v>43518</v>
      </c>
      <c r="B1256" s="29">
        <v>463.14</v>
      </c>
      <c r="C1256" s="37">
        <f t="shared" si="44"/>
        <v>77.19</v>
      </c>
      <c r="D1256" s="37">
        <v>7.8230000000000004</v>
      </c>
      <c r="E1256" s="33">
        <f t="shared" si="45"/>
        <v>3.5753754144184648E-3</v>
      </c>
    </row>
    <row r="1257" spans="1:5" x14ac:dyDescent="0.25">
      <c r="A1257" s="41">
        <v>43518</v>
      </c>
      <c r="B1257" s="29">
        <v>464.55</v>
      </c>
      <c r="C1257" s="37">
        <f t="shared" si="44"/>
        <v>77.424999999999997</v>
      </c>
      <c r="D1257" s="37">
        <v>7.8230000000000004</v>
      </c>
      <c r="E1257" s="33">
        <f t="shared" si="45"/>
        <v>3.0444358077471715E-3</v>
      </c>
    </row>
    <row r="1258" spans="1:5" x14ac:dyDescent="0.25">
      <c r="A1258" s="41">
        <v>43518</v>
      </c>
      <c r="B1258" s="29">
        <v>470.24</v>
      </c>
      <c r="C1258" s="37">
        <f t="shared" si="44"/>
        <v>78.373333333333335</v>
      </c>
      <c r="D1258" s="37">
        <v>7.8230000000000004</v>
      </c>
      <c r="E1258" s="33">
        <f t="shared" si="45"/>
        <v>1.2248412442148311E-2</v>
      </c>
    </row>
    <row r="1259" spans="1:5" x14ac:dyDescent="0.25">
      <c r="A1259" s="41">
        <v>43518</v>
      </c>
      <c r="B1259" s="29">
        <v>471.53</v>
      </c>
      <c r="C1259" s="37">
        <f t="shared" si="44"/>
        <v>78.588333333333338</v>
      </c>
      <c r="D1259" s="37">
        <v>7.8230000000000004</v>
      </c>
      <c r="E1259" s="33">
        <f t="shared" si="45"/>
        <v>2.7432800272200655E-3</v>
      </c>
    </row>
    <row r="1260" spans="1:5" x14ac:dyDescent="0.25">
      <c r="A1260" s="41">
        <v>43518</v>
      </c>
      <c r="B1260" s="29">
        <v>474.25</v>
      </c>
      <c r="C1260" s="37">
        <f t="shared" si="44"/>
        <v>79.041666666666671</v>
      </c>
      <c r="D1260" s="37">
        <v>7.8230000000000004</v>
      </c>
      <c r="E1260" s="33">
        <f t="shared" si="45"/>
        <v>5.7684558776748612E-3</v>
      </c>
    </row>
    <row r="1261" spans="1:5" x14ac:dyDescent="0.25">
      <c r="A1261" s="41">
        <v>43518</v>
      </c>
      <c r="B1261" s="29">
        <v>474.51</v>
      </c>
      <c r="C1261" s="37">
        <f t="shared" si="44"/>
        <v>79.084999999999994</v>
      </c>
      <c r="D1261" s="37">
        <v>7.8230000000000004</v>
      </c>
      <c r="E1261" s="33">
        <f t="shared" si="45"/>
        <v>5.4823405376908997E-4</v>
      </c>
    </row>
    <row r="1262" spans="1:5" x14ac:dyDescent="0.25">
      <c r="A1262" s="41">
        <v>43518</v>
      </c>
      <c r="B1262" s="29">
        <v>473.99</v>
      </c>
      <c r="C1262" s="37">
        <f t="shared" si="44"/>
        <v>78.998333333333335</v>
      </c>
      <c r="D1262" s="37">
        <v>7.8230000000000004</v>
      </c>
      <c r="E1262" s="33">
        <f t="shared" si="45"/>
        <v>-1.0958673157572692E-3</v>
      </c>
    </row>
    <row r="1263" spans="1:5" x14ac:dyDescent="0.25">
      <c r="A1263" s="41">
        <v>43518</v>
      </c>
      <c r="B1263" s="29">
        <v>474.75</v>
      </c>
      <c r="C1263" s="37">
        <f t="shared" si="44"/>
        <v>79.125</v>
      </c>
      <c r="D1263" s="37">
        <v>7.8230000000000004</v>
      </c>
      <c r="E1263" s="33">
        <f t="shared" si="45"/>
        <v>1.6034093546277155E-3</v>
      </c>
    </row>
    <row r="1264" spans="1:5" x14ac:dyDescent="0.25">
      <c r="A1264" s="41">
        <v>43518</v>
      </c>
      <c r="B1264" s="29">
        <v>477.25</v>
      </c>
      <c r="C1264" s="37">
        <f t="shared" si="44"/>
        <v>79.541666666666671</v>
      </c>
      <c r="D1264" s="37">
        <v>7.8230000000000004</v>
      </c>
      <c r="E1264" s="33">
        <f t="shared" si="45"/>
        <v>5.2659294365455505E-3</v>
      </c>
    </row>
    <row r="1265" spans="1:5" x14ac:dyDescent="0.25">
      <c r="A1265" s="41">
        <v>43518</v>
      </c>
      <c r="B1265" s="29">
        <v>476.55</v>
      </c>
      <c r="C1265" s="37">
        <f t="shared" si="44"/>
        <v>79.424999999999997</v>
      </c>
      <c r="D1265" s="37">
        <v>7.8230000000000004</v>
      </c>
      <c r="E1265" s="33">
        <f t="shared" si="45"/>
        <v>-1.4667365112624173E-3</v>
      </c>
    </row>
    <row r="1266" spans="1:5" x14ac:dyDescent="0.25">
      <c r="A1266" s="41">
        <v>43518</v>
      </c>
      <c r="B1266" s="29">
        <v>474.59</v>
      </c>
      <c r="C1266" s="37">
        <f t="shared" si="44"/>
        <v>79.098333333333329</v>
      </c>
      <c r="D1266" s="37">
        <v>7.8230000000000004</v>
      </c>
      <c r="E1266" s="33">
        <f t="shared" si="45"/>
        <v>-4.1128947644529139E-3</v>
      </c>
    </row>
    <row r="1267" spans="1:5" x14ac:dyDescent="0.25">
      <c r="A1267" s="41">
        <v>43518</v>
      </c>
      <c r="B1267" s="29">
        <v>471.42</v>
      </c>
      <c r="C1267" s="37">
        <f t="shared" si="44"/>
        <v>78.569999999999993</v>
      </c>
      <c r="D1267" s="37">
        <v>7.8230000000000004</v>
      </c>
      <c r="E1267" s="33">
        <f t="shared" si="45"/>
        <v>-6.6794496302070407E-3</v>
      </c>
    </row>
    <row r="1268" spans="1:5" x14ac:dyDescent="0.25">
      <c r="A1268" s="41">
        <v>43518</v>
      </c>
      <c r="B1268" s="29">
        <v>470.73</v>
      </c>
      <c r="C1268" s="37">
        <f t="shared" si="44"/>
        <v>78.454999999999998</v>
      </c>
      <c r="D1268" s="37">
        <v>7.8230000000000004</v>
      </c>
      <c r="E1268" s="33">
        <f t="shared" si="45"/>
        <v>-1.4636629756904621E-3</v>
      </c>
    </row>
    <row r="1269" spans="1:5" x14ac:dyDescent="0.25">
      <c r="A1269" s="41">
        <v>43518</v>
      </c>
      <c r="B1269" s="29">
        <v>471.1</v>
      </c>
      <c r="C1269" s="37">
        <f t="shared" si="44"/>
        <v>78.516666666666666</v>
      </c>
      <c r="D1269" s="37">
        <v>7.8230000000000004</v>
      </c>
      <c r="E1269" s="33">
        <f t="shared" si="45"/>
        <v>7.8601321351943695E-4</v>
      </c>
    </row>
    <row r="1270" spans="1:5" x14ac:dyDescent="0.25">
      <c r="A1270" s="41">
        <v>43518</v>
      </c>
      <c r="B1270" s="29">
        <v>470.92</v>
      </c>
      <c r="C1270" s="37">
        <f t="shared" si="44"/>
        <v>78.486666666666665</v>
      </c>
      <c r="D1270" s="37">
        <v>7.8230000000000004</v>
      </c>
      <c r="E1270" s="33">
        <f t="shared" si="45"/>
        <v>-3.8208448312461647E-4</v>
      </c>
    </row>
    <row r="1271" spans="1:5" x14ac:dyDescent="0.25">
      <c r="A1271" s="41">
        <v>43518</v>
      </c>
      <c r="B1271" s="29">
        <v>470.74</v>
      </c>
      <c r="C1271" s="37">
        <f t="shared" si="44"/>
        <v>78.456666666666663</v>
      </c>
      <c r="D1271" s="37">
        <v>7.8230000000000004</v>
      </c>
      <c r="E1271" s="33">
        <f t="shared" si="45"/>
        <v>-3.8223052747814239E-4</v>
      </c>
    </row>
    <row r="1272" spans="1:5" x14ac:dyDescent="0.25">
      <c r="A1272" s="41">
        <v>43518</v>
      </c>
      <c r="B1272" s="29">
        <v>470.4</v>
      </c>
      <c r="C1272" s="37">
        <f t="shared" si="44"/>
        <v>78.400000000000006</v>
      </c>
      <c r="D1272" s="37">
        <v>7.8230000000000004</v>
      </c>
      <c r="E1272" s="33">
        <f t="shared" si="45"/>
        <v>-7.2226706887035697E-4</v>
      </c>
    </row>
    <row r="1273" spans="1:5" x14ac:dyDescent="0.25">
      <c r="A1273" s="41">
        <v>43518</v>
      </c>
      <c r="B1273" s="29">
        <v>467.3</v>
      </c>
      <c r="C1273" s="37">
        <f t="shared" si="44"/>
        <v>77.88333333333334</v>
      </c>
      <c r="D1273" s="37">
        <v>7.8230000000000004</v>
      </c>
      <c r="E1273" s="33">
        <f t="shared" si="45"/>
        <v>-6.5901360544216962E-3</v>
      </c>
    </row>
    <row r="1274" spans="1:5" x14ac:dyDescent="0.25">
      <c r="A1274" s="41">
        <v>43519</v>
      </c>
      <c r="B1274" s="29">
        <v>347.39</v>
      </c>
      <c r="C1274" s="37">
        <f t="shared" si="44"/>
        <v>57.898333333333333</v>
      </c>
      <c r="D1274" s="37">
        <v>7.524</v>
      </c>
      <c r="E1274" s="33">
        <f t="shared" si="45"/>
        <v>-0.2566017547613953</v>
      </c>
    </row>
    <row r="1275" spans="1:5" x14ac:dyDescent="0.25">
      <c r="A1275" s="41">
        <v>43519</v>
      </c>
      <c r="B1275" s="29">
        <v>346.43</v>
      </c>
      <c r="C1275" s="37">
        <f t="shared" si="44"/>
        <v>57.738333333333337</v>
      </c>
      <c r="D1275" s="37">
        <v>7.524</v>
      </c>
      <c r="E1275" s="33">
        <f t="shared" si="45"/>
        <v>-2.7634646938598682E-3</v>
      </c>
    </row>
    <row r="1276" spans="1:5" x14ac:dyDescent="0.25">
      <c r="A1276" s="41">
        <v>43519</v>
      </c>
      <c r="B1276" s="29">
        <v>344.65</v>
      </c>
      <c r="C1276" s="37">
        <f t="shared" si="44"/>
        <v>57.44166666666667</v>
      </c>
      <c r="D1276" s="37">
        <v>7.524</v>
      </c>
      <c r="E1276" s="33">
        <f t="shared" si="45"/>
        <v>-5.1381231417603253E-3</v>
      </c>
    </row>
    <row r="1277" spans="1:5" x14ac:dyDescent="0.25">
      <c r="A1277" s="41">
        <v>43519</v>
      </c>
      <c r="B1277" s="29">
        <v>344.59</v>
      </c>
      <c r="C1277" s="37">
        <f t="shared" si="44"/>
        <v>57.431666666666665</v>
      </c>
      <c r="D1277" s="37">
        <v>7.524</v>
      </c>
      <c r="E1277" s="33">
        <f t="shared" si="45"/>
        <v>-1.7408965617293567E-4</v>
      </c>
    </row>
    <row r="1278" spans="1:5" x14ac:dyDescent="0.25">
      <c r="A1278" s="41">
        <v>43519</v>
      </c>
      <c r="B1278" s="29">
        <v>344.53</v>
      </c>
      <c r="C1278" s="37">
        <f t="shared" si="44"/>
        <v>57.421666666666667</v>
      </c>
      <c r="D1278" s="37">
        <v>7.524</v>
      </c>
      <c r="E1278" s="33">
        <f t="shared" si="45"/>
        <v>-1.7411996865841225E-4</v>
      </c>
    </row>
    <row r="1279" spans="1:5" x14ac:dyDescent="0.25">
      <c r="A1279" s="41">
        <v>43519</v>
      </c>
      <c r="B1279" s="29">
        <v>344.47</v>
      </c>
      <c r="C1279" s="37">
        <f t="shared" si="44"/>
        <v>57.411666666666669</v>
      </c>
      <c r="D1279" s="37">
        <v>7.524</v>
      </c>
      <c r="E1279" s="33">
        <f t="shared" si="45"/>
        <v>-1.7415029170158021E-4</v>
      </c>
    </row>
    <row r="1280" spans="1:5" x14ac:dyDescent="0.25">
      <c r="A1280" s="41">
        <v>43519</v>
      </c>
      <c r="B1280" s="29">
        <v>344.41</v>
      </c>
      <c r="C1280" s="37">
        <f t="shared" si="44"/>
        <v>57.401666666666664</v>
      </c>
      <c r="D1280" s="37">
        <v>7.524</v>
      </c>
      <c r="E1280" s="33">
        <f t="shared" si="45"/>
        <v>-1.7418062530845144E-4</v>
      </c>
    </row>
    <row r="1281" spans="1:5" x14ac:dyDescent="0.25">
      <c r="A1281" s="41">
        <v>43519</v>
      </c>
      <c r="B1281" s="29">
        <v>344.35</v>
      </c>
      <c r="C1281" s="37">
        <f t="shared" si="44"/>
        <v>57.391666666666666</v>
      </c>
      <c r="D1281" s="37">
        <v>7.524</v>
      </c>
      <c r="E1281" s="33">
        <f t="shared" si="45"/>
        <v>-1.7421096948405177E-4</v>
      </c>
    </row>
    <row r="1282" spans="1:5" x14ac:dyDescent="0.25">
      <c r="A1282" s="41">
        <v>43519</v>
      </c>
      <c r="B1282" s="29">
        <v>346.18</v>
      </c>
      <c r="C1282" s="37">
        <f t="shared" si="44"/>
        <v>57.696666666666665</v>
      </c>
      <c r="D1282" s="37">
        <v>7.524</v>
      </c>
      <c r="E1282" s="33">
        <f t="shared" si="45"/>
        <v>5.3143603891389109E-3</v>
      </c>
    </row>
    <row r="1283" spans="1:5" x14ac:dyDescent="0.25">
      <c r="A1283" s="41">
        <v>43519</v>
      </c>
      <c r="B1283" s="29">
        <v>347.8</v>
      </c>
      <c r="C1283" s="37">
        <f t="shared" ref="C1283:C1346" si="46">(B1283*100/600)</f>
        <v>57.966666666666669</v>
      </c>
      <c r="D1283" s="37">
        <v>7.524</v>
      </c>
      <c r="E1283" s="33">
        <f t="shared" si="45"/>
        <v>4.6796464267144389E-3</v>
      </c>
    </row>
    <row r="1284" spans="1:5" x14ac:dyDescent="0.25">
      <c r="A1284" s="41">
        <v>43519</v>
      </c>
      <c r="B1284" s="29">
        <v>347.88</v>
      </c>
      <c r="C1284" s="37">
        <f t="shared" si="46"/>
        <v>57.98</v>
      </c>
      <c r="D1284" s="37">
        <v>7.524</v>
      </c>
      <c r="E1284" s="33">
        <f t="shared" ref="E1284:E1347" si="47">(B1284-B1283)/B1283</f>
        <v>2.3001725129380126E-4</v>
      </c>
    </row>
    <row r="1285" spans="1:5" x14ac:dyDescent="0.25">
      <c r="A1285" s="41">
        <v>43519</v>
      </c>
      <c r="B1285" s="29">
        <v>347.95</v>
      </c>
      <c r="C1285" s="37">
        <f t="shared" si="46"/>
        <v>57.991666666666667</v>
      </c>
      <c r="D1285" s="37">
        <v>7.524</v>
      </c>
      <c r="E1285" s="33">
        <f t="shared" si="47"/>
        <v>2.0121881108426233E-4</v>
      </c>
    </row>
    <row r="1286" spans="1:5" x14ac:dyDescent="0.25">
      <c r="A1286" s="41">
        <v>43519</v>
      </c>
      <c r="B1286" s="29">
        <v>348.01</v>
      </c>
      <c r="C1286" s="37">
        <f t="shared" si="46"/>
        <v>58.001666666666665</v>
      </c>
      <c r="D1286" s="37">
        <v>7.524</v>
      </c>
      <c r="E1286" s="33">
        <f t="shared" si="47"/>
        <v>1.7243856875988583E-4</v>
      </c>
    </row>
    <row r="1287" spans="1:5" x14ac:dyDescent="0.25">
      <c r="A1287" s="41">
        <v>43519</v>
      </c>
      <c r="B1287" s="29">
        <v>348.09</v>
      </c>
      <c r="C1287" s="37">
        <f t="shared" si="46"/>
        <v>58.015000000000001</v>
      </c>
      <c r="D1287" s="37">
        <v>7.524</v>
      </c>
      <c r="E1287" s="33">
        <f t="shared" si="47"/>
        <v>2.2987845176858162E-4</v>
      </c>
    </row>
    <row r="1288" spans="1:5" x14ac:dyDescent="0.25">
      <c r="A1288" s="41">
        <v>43519</v>
      </c>
      <c r="B1288" s="29">
        <v>348.17</v>
      </c>
      <c r="C1288" s="37">
        <f t="shared" si="46"/>
        <v>58.028333333333336</v>
      </c>
      <c r="D1288" s="37">
        <v>7.524</v>
      </c>
      <c r="E1288" s="33">
        <f t="shared" si="47"/>
        <v>2.2982561981108602E-4</v>
      </c>
    </row>
    <row r="1289" spans="1:5" x14ac:dyDescent="0.25">
      <c r="A1289" s="41">
        <v>43519</v>
      </c>
      <c r="B1289" s="29">
        <v>348.24</v>
      </c>
      <c r="C1289" s="37">
        <f t="shared" si="46"/>
        <v>58.04</v>
      </c>
      <c r="D1289" s="37">
        <v>7.524</v>
      </c>
      <c r="E1289" s="33">
        <f t="shared" si="47"/>
        <v>2.0105121061548433E-4</v>
      </c>
    </row>
    <row r="1290" spans="1:5" x14ac:dyDescent="0.25">
      <c r="A1290" s="41">
        <v>43519</v>
      </c>
      <c r="B1290" s="29">
        <v>348.15</v>
      </c>
      <c r="C1290" s="37">
        <f t="shared" si="46"/>
        <v>58.024999999999999</v>
      </c>
      <c r="D1290" s="37">
        <v>7.524</v>
      </c>
      <c r="E1290" s="33">
        <f t="shared" si="47"/>
        <v>-2.5844245348044976E-4</v>
      </c>
    </row>
    <row r="1291" spans="1:5" x14ac:dyDescent="0.25">
      <c r="A1291" s="41">
        <v>43519</v>
      </c>
      <c r="B1291" s="29">
        <v>348.18</v>
      </c>
      <c r="C1291" s="37">
        <f t="shared" si="46"/>
        <v>58.03</v>
      </c>
      <c r="D1291" s="37">
        <v>7.524</v>
      </c>
      <c r="E1291" s="33">
        <f t="shared" si="47"/>
        <v>8.6169754416284822E-5</v>
      </c>
    </row>
    <row r="1292" spans="1:5" x14ac:dyDescent="0.25">
      <c r="A1292" s="41">
        <v>43519</v>
      </c>
      <c r="B1292" s="29">
        <v>348.38</v>
      </c>
      <c r="C1292" s="37">
        <f t="shared" si="46"/>
        <v>58.063333333333333</v>
      </c>
      <c r="D1292" s="37">
        <v>7.524</v>
      </c>
      <c r="E1292" s="33">
        <f t="shared" si="47"/>
        <v>5.7441553219595787E-4</v>
      </c>
    </row>
    <row r="1293" spans="1:5" x14ac:dyDescent="0.25">
      <c r="A1293" s="41">
        <v>43519</v>
      </c>
      <c r="B1293" s="29">
        <v>351.38</v>
      </c>
      <c r="C1293" s="37">
        <f t="shared" si="46"/>
        <v>58.563333333333333</v>
      </c>
      <c r="D1293" s="37">
        <v>7.524</v>
      </c>
      <c r="E1293" s="33">
        <f t="shared" si="47"/>
        <v>8.6112865262070147E-3</v>
      </c>
    </row>
    <row r="1294" spans="1:5" x14ac:dyDescent="0.25">
      <c r="A1294" s="41">
        <v>43519</v>
      </c>
      <c r="B1294" s="29">
        <v>351.16</v>
      </c>
      <c r="C1294" s="37">
        <f t="shared" si="46"/>
        <v>58.526666666666664</v>
      </c>
      <c r="D1294" s="37">
        <v>7.524</v>
      </c>
      <c r="E1294" s="33">
        <f t="shared" si="47"/>
        <v>-6.2610279469511767E-4</v>
      </c>
    </row>
    <row r="1295" spans="1:5" x14ac:dyDescent="0.25">
      <c r="A1295" s="41">
        <v>43519</v>
      </c>
      <c r="B1295" s="29">
        <v>348.47</v>
      </c>
      <c r="C1295" s="37">
        <f t="shared" si="46"/>
        <v>58.078333333333333</v>
      </c>
      <c r="D1295" s="37">
        <v>7.524</v>
      </c>
      <c r="E1295" s="33">
        <f t="shared" si="47"/>
        <v>-7.6603257774233895E-3</v>
      </c>
    </row>
    <row r="1296" spans="1:5" x14ac:dyDescent="0.25">
      <c r="A1296" s="41">
        <v>43519</v>
      </c>
      <c r="B1296" s="29">
        <v>348.28</v>
      </c>
      <c r="C1296" s="37">
        <f t="shared" si="46"/>
        <v>58.046666666666667</v>
      </c>
      <c r="D1296" s="37">
        <v>7.524</v>
      </c>
      <c r="E1296" s="33">
        <f t="shared" si="47"/>
        <v>-5.4524062329627961E-4</v>
      </c>
    </row>
    <row r="1297" spans="1:5" x14ac:dyDescent="0.25">
      <c r="A1297" s="41">
        <v>43519</v>
      </c>
      <c r="B1297" s="29">
        <v>346.01</v>
      </c>
      <c r="C1297" s="37">
        <f t="shared" si="46"/>
        <v>57.668333333333337</v>
      </c>
      <c r="D1297" s="37">
        <v>7.524</v>
      </c>
      <c r="E1297" s="33">
        <f t="shared" si="47"/>
        <v>-6.5177443436315093E-3</v>
      </c>
    </row>
    <row r="1298" spans="1:5" x14ac:dyDescent="0.25">
      <c r="A1298" s="41">
        <v>43520</v>
      </c>
      <c r="B1298" s="29">
        <v>342.49</v>
      </c>
      <c r="C1298" s="37">
        <f t="shared" si="46"/>
        <v>57.081666666666663</v>
      </c>
      <c r="D1298" s="37">
        <v>7.383</v>
      </c>
      <c r="E1298" s="33">
        <f t="shared" si="47"/>
        <v>-1.0173116383919488E-2</v>
      </c>
    </row>
    <row r="1299" spans="1:5" x14ac:dyDescent="0.25">
      <c r="A1299" s="41">
        <v>43520</v>
      </c>
      <c r="B1299" s="29">
        <v>341.51</v>
      </c>
      <c r="C1299" s="37">
        <f t="shared" si="46"/>
        <v>56.918333333333337</v>
      </c>
      <c r="D1299" s="37">
        <v>7.383</v>
      </c>
      <c r="E1299" s="33">
        <f t="shared" si="47"/>
        <v>-2.8613974130632081E-3</v>
      </c>
    </row>
    <row r="1300" spans="1:5" x14ac:dyDescent="0.25">
      <c r="A1300" s="41">
        <v>43520</v>
      </c>
      <c r="B1300" s="29">
        <v>340.65</v>
      </c>
      <c r="C1300" s="37">
        <f t="shared" si="46"/>
        <v>56.774999999999999</v>
      </c>
      <c r="D1300" s="37">
        <v>7.383</v>
      </c>
      <c r="E1300" s="33">
        <f t="shared" si="47"/>
        <v>-2.5182278703405865E-3</v>
      </c>
    </row>
    <row r="1301" spans="1:5" x14ac:dyDescent="0.25">
      <c r="A1301" s="41">
        <v>43520</v>
      </c>
      <c r="B1301" s="29">
        <v>340.15</v>
      </c>
      <c r="C1301" s="37">
        <f t="shared" si="46"/>
        <v>56.69166666666667</v>
      </c>
      <c r="D1301" s="37">
        <v>7.383</v>
      </c>
      <c r="E1301" s="33">
        <f t="shared" si="47"/>
        <v>-1.4677821811243212E-3</v>
      </c>
    </row>
    <row r="1302" spans="1:5" x14ac:dyDescent="0.25">
      <c r="A1302" s="41">
        <v>43520</v>
      </c>
      <c r="B1302" s="29">
        <v>339.74</v>
      </c>
      <c r="C1302" s="37">
        <f t="shared" si="46"/>
        <v>56.623333333333335</v>
      </c>
      <c r="D1302" s="37">
        <v>7.383</v>
      </c>
      <c r="E1302" s="33">
        <f t="shared" si="47"/>
        <v>-1.2053505806261008E-3</v>
      </c>
    </row>
    <row r="1303" spans="1:5" x14ac:dyDescent="0.25">
      <c r="A1303" s="41">
        <v>43520</v>
      </c>
      <c r="B1303" s="29">
        <v>339.58</v>
      </c>
      <c r="C1303" s="37">
        <f t="shared" si="46"/>
        <v>56.596666666666664</v>
      </c>
      <c r="D1303" s="37">
        <v>7.383</v>
      </c>
      <c r="E1303" s="33">
        <f t="shared" si="47"/>
        <v>-4.7094837228476189E-4</v>
      </c>
    </row>
    <row r="1304" spans="1:5" x14ac:dyDescent="0.25">
      <c r="A1304" s="41">
        <v>43520</v>
      </c>
      <c r="B1304" s="29">
        <v>336.16</v>
      </c>
      <c r="C1304" s="37">
        <f t="shared" si="46"/>
        <v>56.026666666666664</v>
      </c>
      <c r="D1304" s="37">
        <v>7.383</v>
      </c>
      <c r="E1304" s="33">
        <f t="shared" si="47"/>
        <v>-1.0071264503209727E-2</v>
      </c>
    </row>
    <row r="1305" spans="1:5" x14ac:dyDescent="0.25">
      <c r="A1305" s="41">
        <v>43520</v>
      </c>
      <c r="B1305" s="29">
        <v>337.07</v>
      </c>
      <c r="C1305" s="37">
        <f t="shared" si="46"/>
        <v>56.178333333333335</v>
      </c>
      <c r="D1305" s="37">
        <v>7.383</v>
      </c>
      <c r="E1305" s="33">
        <f t="shared" si="47"/>
        <v>2.7070442646357929E-3</v>
      </c>
    </row>
    <row r="1306" spans="1:5" x14ac:dyDescent="0.25">
      <c r="A1306" s="41">
        <v>43520</v>
      </c>
      <c r="B1306" s="29">
        <v>339.75</v>
      </c>
      <c r="C1306" s="37">
        <f t="shared" si="46"/>
        <v>56.625</v>
      </c>
      <c r="D1306" s="37">
        <v>7.383</v>
      </c>
      <c r="E1306" s="33">
        <f t="shared" si="47"/>
        <v>7.9508707390156547E-3</v>
      </c>
    </row>
    <row r="1307" spans="1:5" x14ac:dyDescent="0.25">
      <c r="A1307" s="41">
        <v>43520</v>
      </c>
      <c r="B1307" s="29">
        <v>340.65</v>
      </c>
      <c r="C1307" s="37">
        <f t="shared" si="46"/>
        <v>56.774999999999999</v>
      </c>
      <c r="D1307" s="37">
        <v>7.383</v>
      </c>
      <c r="E1307" s="33">
        <f t="shared" si="47"/>
        <v>2.6490066225164895E-3</v>
      </c>
    </row>
    <row r="1308" spans="1:5" x14ac:dyDescent="0.25">
      <c r="A1308" s="41">
        <v>43520</v>
      </c>
      <c r="B1308" s="29">
        <v>341.27</v>
      </c>
      <c r="C1308" s="37">
        <f t="shared" si="46"/>
        <v>56.87833333333333</v>
      </c>
      <c r="D1308" s="37">
        <v>7.383</v>
      </c>
      <c r="E1308" s="33">
        <f t="shared" si="47"/>
        <v>1.8200499045941717E-3</v>
      </c>
    </row>
    <row r="1309" spans="1:5" x14ac:dyDescent="0.25">
      <c r="A1309" s="41">
        <v>43520</v>
      </c>
      <c r="B1309" s="29">
        <v>341.54</v>
      </c>
      <c r="C1309" s="37">
        <f t="shared" si="46"/>
        <v>56.923333333333332</v>
      </c>
      <c r="D1309" s="37">
        <v>7.383</v>
      </c>
      <c r="E1309" s="33">
        <f t="shared" si="47"/>
        <v>7.9116242271526555E-4</v>
      </c>
    </row>
    <row r="1310" spans="1:5" x14ac:dyDescent="0.25">
      <c r="A1310" s="41">
        <v>43520</v>
      </c>
      <c r="B1310" s="29">
        <v>341.71</v>
      </c>
      <c r="C1310" s="37">
        <f t="shared" si="46"/>
        <v>56.951666666666668</v>
      </c>
      <c r="D1310" s="37">
        <v>7.383</v>
      </c>
      <c r="E1310" s="33">
        <f t="shared" si="47"/>
        <v>4.977455056507556E-4</v>
      </c>
    </row>
    <row r="1311" spans="1:5" x14ac:dyDescent="0.25">
      <c r="A1311" s="41">
        <v>43520</v>
      </c>
      <c r="B1311" s="29">
        <v>341.88</v>
      </c>
      <c r="C1311" s="37">
        <f t="shared" si="46"/>
        <v>56.98</v>
      </c>
      <c r="D1311" s="37">
        <v>7.383</v>
      </c>
      <c r="E1311" s="33">
        <f t="shared" si="47"/>
        <v>4.9749787831791846E-4</v>
      </c>
    </row>
    <row r="1312" spans="1:5" x14ac:dyDescent="0.25">
      <c r="A1312" s="41">
        <v>43520</v>
      </c>
      <c r="B1312" s="29">
        <v>342.06</v>
      </c>
      <c r="C1312" s="37">
        <f t="shared" si="46"/>
        <v>57.01</v>
      </c>
      <c r="D1312" s="37">
        <v>7.383</v>
      </c>
      <c r="E1312" s="33">
        <f t="shared" si="47"/>
        <v>5.2650052650054645E-4</v>
      </c>
    </row>
    <row r="1313" spans="1:5" x14ac:dyDescent="0.25">
      <c r="A1313" s="41">
        <v>43520</v>
      </c>
      <c r="B1313" s="29">
        <v>342.23</v>
      </c>
      <c r="C1313" s="37">
        <f t="shared" si="46"/>
        <v>57.038333333333334</v>
      </c>
      <c r="D1313" s="37">
        <v>7.383</v>
      </c>
      <c r="E1313" s="33">
        <f t="shared" si="47"/>
        <v>4.9698883236863687E-4</v>
      </c>
    </row>
    <row r="1314" spans="1:5" x14ac:dyDescent="0.25">
      <c r="A1314" s="41">
        <v>43520</v>
      </c>
      <c r="B1314" s="29">
        <v>342.43</v>
      </c>
      <c r="C1314" s="37">
        <f t="shared" si="46"/>
        <v>57.071666666666665</v>
      </c>
      <c r="D1314" s="37">
        <v>7.383</v>
      </c>
      <c r="E1314" s="33">
        <f t="shared" si="47"/>
        <v>5.8440230254503875E-4</v>
      </c>
    </row>
    <row r="1315" spans="1:5" x14ac:dyDescent="0.25">
      <c r="A1315" s="41">
        <v>43520</v>
      </c>
      <c r="B1315" s="29">
        <v>343.17</v>
      </c>
      <c r="C1315" s="37">
        <f t="shared" si="46"/>
        <v>57.195</v>
      </c>
      <c r="D1315" s="37">
        <v>7.383</v>
      </c>
      <c r="E1315" s="33">
        <f t="shared" si="47"/>
        <v>2.1610256110738226E-3</v>
      </c>
    </row>
    <row r="1316" spans="1:5" x14ac:dyDescent="0.25">
      <c r="A1316" s="41">
        <v>43520</v>
      </c>
      <c r="B1316" s="29">
        <v>343.43</v>
      </c>
      <c r="C1316" s="37">
        <f t="shared" si="46"/>
        <v>57.238333333333337</v>
      </c>
      <c r="D1316" s="37">
        <v>7.383</v>
      </c>
      <c r="E1316" s="33">
        <f t="shared" si="47"/>
        <v>7.5764198502197423E-4</v>
      </c>
    </row>
    <row r="1317" spans="1:5" x14ac:dyDescent="0.25">
      <c r="A1317" s="41">
        <v>43520</v>
      </c>
      <c r="B1317" s="29">
        <v>347.54</v>
      </c>
      <c r="C1317" s="37">
        <f t="shared" si="46"/>
        <v>57.923333333333332</v>
      </c>
      <c r="D1317" s="37">
        <v>7.383</v>
      </c>
      <c r="E1317" s="33">
        <f t="shared" si="47"/>
        <v>1.1967504294907299E-2</v>
      </c>
    </row>
    <row r="1318" spans="1:5" x14ac:dyDescent="0.25">
      <c r="A1318" s="41">
        <v>43520</v>
      </c>
      <c r="B1318" s="29">
        <v>347.75</v>
      </c>
      <c r="C1318" s="37">
        <f t="shared" si="46"/>
        <v>57.958333333333336</v>
      </c>
      <c r="D1318" s="37">
        <v>7.383</v>
      </c>
      <c r="E1318" s="33">
        <f t="shared" si="47"/>
        <v>6.0424699315180853E-4</v>
      </c>
    </row>
    <row r="1319" spans="1:5" x14ac:dyDescent="0.25">
      <c r="A1319" s="41">
        <v>43520</v>
      </c>
      <c r="B1319" s="29">
        <v>347.73</v>
      </c>
      <c r="C1319" s="37">
        <f t="shared" si="46"/>
        <v>57.954999999999998</v>
      </c>
      <c r="D1319" s="37">
        <v>7.383</v>
      </c>
      <c r="E1319" s="33">
        <f t="shared" si="47"/>
        <v>-5.7512580877014553E-5</v>
      </c>
    </row>
    <row r="1320" spans="1:5" x14ac:dyDescent="0.25">
      <c r="A1320" s="41">
        <v>43520</v>
      </c>
      <c r="B1320" s="29">
        <v>346.97</v>
      </c>
      <c r="C1320" s="37">
        <f t="shared" si="46"/>
        <v>57.828333333333333</v>
      </c>
      <c r="D1320" s="37">
        <v>7.383</v>
      </c>
      <c r="E1320" s="33">
        <f t="shared" si="47"/>
        <v>-2.1856037730422768E-3</v>
      </c>
    </row>
    <row r="1321" spans="1:5" x14ac:dyDescent="0.25">
      <c r="A1321" s="41">
        <v>43520</v>
      </c>
      <c r="B1321" s="29">
        <v>343.93</v>
      </c>
      <c r="C1321" s="37">
        <f t="shared" si="46"/>
        <v>57.321666666666665</v>
      </c>
      <c r="D1321" s="37">
        <v>7.383</v>
      </c>
      <c r="E1321" s="33">
        <f t="shared" si="47"/>
        <v>-8.7615644003804938E-3</v>
      </c>
    </row>
    <row r="1322" spans="1:5" x14ac:dyDescent="0.25">
      <c r="A1322" s="41">
        <v>43521</v>
      </c>
      <c r="B1322" s="29">
        <v>342.55</v>
      </c>
      <c r="C1322" s="37">
        <f t="shared" si="46"/>
        <v>57.091666666666669</v>
      </c>
      <c r="D1322" s="37">
        <v>7.6790000000000003</v>
      </c>
      <c r="E1322" s="33">
        <f t="shared" si="47"/>
        <v>-4.012444392754326E-3</v>
      </c>
    </row>
    <row r="1323" spans="1:5" x14ac:dyDescent="0.25">
      <c r="A1323" s="41">
        <v>43521</v>
      </c>
      <c r="B1323" s="29">
        <v>341.16</v>
      </c>
      <c r="C1323" s="37">
        <f t="shared" si="46"/>
        <v>56.86</v>
      </c>
      <c r="D1323" s="37">
        <v>7.6790000000000003</v>
      </c>
      <c r="E1323" s="33">
        <f t="shared" si="47"/>
        <v>-4.0578017807618924E-3</v>
      </c>
    </row>
    <row r="1324" spans="1:5" x14ac:dyDescent="0.25">
      <c r="A1324" s="41">
        <v>43521</v>
      </c>
      <c r="B1324" s="29">
        <v>339.62</v>
      </c>
      <c r="C1324" s="37">
        <f t="shared" si="46"/>
        <v>56.603333333333332</v>
      </c>
      <c r="D1324" s="37">
        <v>7.6790000000000003</v>
      </c>
      <c r="E1324" s="33">
        <f t="shared" si="47"/>
        <v>-4.5140110212217735E-3</v>
      </c>
    </row>
    <row r="1325" spans="1:5" x14ac:dyDescent="0.25">
      <c r="A1325" s="41">
        <v>43521</v>
      </c>
      <c r="B1325" s="29">
        <v>338.76</v>
      </c>
      <c r="C1325" s="37">
        <f t="shared" si="46"/>
        <v>56.46</v>
      </c>
      <c r="D1325" s="37">
        <v>7.6790000000000003</v>
      </c>
      <c r="E1325" s="33">
        <f t="shared" si="47"/>
        <v>-2.5322419174371759E-3</v>
      </c>
    </row>
    <row r="1326" spans="1:5" x14ac:dyDescent="0.25">
      <c r="A1326" s="41">
        <v>43521</v>
      </c>
      <c r="B1326" s="29">
        <v>338.75</v>
      </c>
      <c r="C1326" s="37">
        <f t="shared" si="46"/>
        <v>56.458333333333336</v>
      </c>
      <c r="D1326" s="37">
        <v>7.6790000000000003</v>
      </c>
      <c r="E1326" s="33">
        <f t="shared" si="47"/>
        <v>-2.9519423780820951E-5</v>
      </c>
    </row>
    <row r="1327" spans="1:5" x14ac:dyDescent="0.25">
      <c r="A1327" s="41">
        <v>43521</v>
      </c>
      <c r="B1327" s="29">
        <v>340.76</v>
      </c>
      <c r="C1327" s="37">
        <f t="shared" si="46"/>
        <v>56.793333333333337</v>
      </c>
      <c r="D1327" s="37">
        <v>7.6790000000000003</v>
      </c>
      <c r="E1327" s="33">
        <f t="shared" si="47"/>
        <v>5.9335793357933311E-3</v>
      </c>
    </row>
    <row r="1328" spans="1:5" x14ac:dyDescent="0.25">
      <c r="A1328" s="41">
        <v>43521</v>
      </c>
      <c r="B1328" s="29">
        <v>342.36</v>
      </c>
      <c r="C1328" s="37">
        <f t="shared" si="46"/>
        <v>57.06</v>
      </c>
      <c r="D1328" s="37">
        <v>7.6790000000000003</v>
      </c>
      <c r="E1328" s="33">
        <f t="shared" si="47"/>
        <v>4.6953867824862739E-3</v>
      </c>
    </row>
    <row r="1329" spans="1:5" x14ac:dyDescent="0.25">
      <c r="A1329" s="41">
        <v>43521</v>
      </c>
      <c r="B1329" s="29">
        <v>344.95</v>
      </c>
      <c r="C1329" s="37">
        <f t="shared" si="46"/>
        <v>57.491666666666667</v>
      </c>
      <c r="D1329" s="37">
        <v>7.6790000000000003</v>
      </c>
      <c r="E1329" s="33">
        <f t="shared" si="47"/>
        <v>7.5651361140319394E-3</v>
      </c>
    </row>
    <row r="1330" spans="1:5" x14ac:dyDescent="0.25">
      <c r="A1330" s="41">
        <v>43521</v>
      </c>
      <c r="B1330" s="29">
        <v>348.94</v>
      </c>
      <c r="C1330" s="37">
        <f t="shared" si="46"/>
        <v>58.156666666666666</v>
      </c>
      <c r="D1330" s="37">
        <v>7.6790000000000003</v>
      </c>
      <c r="E1330" s="33">
        <f t="shared" si="47"/>
        <v>1.1566893752717812E-2</v>
      </c>
    </row>
    <row r="1331" spans="1:5" x14ac:dyDescent="0.25">
      <c r="A1331" s="41">
        <v>43521</v>
      </c>
      <c r="B1331" s="29">
        <v>351.63</v>
      </c>
      <c r="C1331" s="37">
        <f t="shared" si="46"/>
        <v>58.604999999999997</v>
      </c>
      <c r="D1331" s="37">
        <v>7.6790000000000003</v>
      </c>
      <c r="E1331" s="33">
        <f t="shared" si="47"/>
        <v>7.7090617298102761E-3</v>
      </c>
    </row>
    <row r="1332" spans="1:5" x14ac:dyDescent="0.25">
      <c r="A1332" s="41">
        <v>43521</v>
      </c>
      <c r="B1332" s="29">
        <v>352.4</v>
      </c>
      <c r="C1332" s="37">
        <f t="shared" si="46"/>
        <v>58.733333333333334</v>
      </c>
      <c r="D1332" s="37">
        <v>7.6790000000000003</v>
      </c>
      <c r="E1332" s="33">
        <f t="shared" si="47"/>
        <v>2.1898017802803567E-3</v>
      </c>
    </row>
    <row r="1333" spans="1:5" x14ac:dyDescent="0.25">
      <c r="A1333" s="41">
        <v>43521</v>
      </c>
      <c r="B1333" s="29">
        <v>352.49</v>
      </c>
      <c r="C1333" s="37">
        <f t="shared" si="46"/>
        <v>58.748333333333335</v>
      </c>
      <c r="D1333" s="37">
        <v>7.6790000000000003</v>
      </c>
      <c r="E1333" s="33">
        <f t="shared" si="47"/>
        <v>2.5539160045411985E-4</v>
      </c>
    </row>
    <row r="1334" spans="1:5" x14ac:dyDescent="0.25">
      <c r="A1334" s="41">
        <v>43521</v>
      </c>
      <c r="B1334" s="29">
        <v>352.21</v>
      </c>
      <c r="C1334" s="37">
        <f t="shared" si="46"/>
        <v>58.701666666666668</v>
      </c>
      <c r="D1334" s="37">
        <v>7.6790000000000003</v>
      </c>
      <c r="E1334" s="33">
        <f t="shared" si="47"/>
        <v>-7.9434877585188106E-4</v>
      </c>
    </row>
    <row r="1335" spans="1:5" x14ac:dyDescent="0.25">
      <c r="A1335" s="41">
        <v>43521</v>
      </c>
      <c r="B1335" s="29">
        <v>352.3</v>
      </c>
      <c r="C1335" s="37">
        <f t="shared" si="46"/>
        <v>58.716666666666669</v>
      </c>
      <c r="D1335" s="37">
        <v>7.6790000000000003</v>
      </c>
      <c r="E1335" s="33">
        <f t="shared" si="47"/>
        <v>2.5552937168175758E-4</v>
      </c>
    </row>
    <row r="1336" spans="1:5" x14ac:dyDescent="0.25">
      <c r="A1336" s="41">
        <v>43521</v>
      </c>
      <c r="B1336" s="29">
        <v>352.2</v>
      </c>
      <c r="C1336" s="37">
        <f t="shared" si="46"/>
        <v>58.7</v>
      </c>
      <c r="D1336" s="37">
        <v>7.6790000000000003</v>
      </c>
      <c r="E1336" s="33">
        <f t="shared" si="47"/>
        <v>-2.8384899233614176E-4</v>
      </c>
    </row>
    <row r="1337" spans="1:5" x14ac:dyDescent="0.25">
      <c r="A1337" s="41">
        <v>43521</v>
      </c>
      <c r="B1337" s="29">
        <v>352.1</v>
      </c>
      <c r="C1337" s="37">
        <f t="shared" si="46"/>
        <v>58.68333333333333</v>
      </c>
      <c r="D1337" s="37">
        <v>7.6790000000000003</v>
      </c>
      <c r="E1337" s="33">
        <f t="shared" si="47"/>
        <v>-2.8392958546270841E-4</v>
      </c>
    </row>
    <row r="1338" spans="1:5" x14ac:dyDescent="0.25">
      <c r="A1338" s="41">
        <v>43521</v>
      </c>
      <c r="B1338" s="29">
        <v>352</v>
      </c>
      <c r="C1338" s="37">
        <f t="shared" si="46"/>
        <v>58.666666666666664</v>
      </c>
      <c r="D1338" s="37">
        <v>7.6790000000000003</v>
      </c>
      <c r="E1338" s="33">
        <f t="shared" si="47"/>
        <v>-2.8401022436814181E-4</v>
      </c>
    </row>
    <row r="1339" spans="1:5" x14ac:dyDescent="0.25">
      <c r="A1339" s="41">
        <v>43521</v>
      </c>
      <c r="B1339" s="29">
        <v>350.7</v>
      </c>
      <c r="C1339" s="37">
        <f t="shared" si="46"/>
        <v>58.45</v>
      </c>
      <c r="D1339" s="37">
        <v>7.6790000000000003</v>
      </c>
      <c r="E1339" s="33">
        <f t="shared" si="47"/>
        <v>-3.6931818181818506E-3</v>
      </c>
    </row>
    <row r="1340" spans="1:5" x14ac:dyDescent="0.25">
      <c r="A1340" s="41">
        <v>43521</v>
      </c>
      <c r="B1340" s="29">
        <v>349.5</v>
      </c>
      <c r="C1340" s="37">
        <f t="shared" si="46"/>
        <v>58.25</v>
      </c>
      <c r="D1340" s="37">
        <v>7.6790000000000003</v>
      </c>
      <c r="E1340" s="33">
        <f t="shared" si="47"/>
        <v>-3.421727972626144E-3</v>
      </c>
    </row>
    <row r="1341" spans="1:5" x14ac:dyDescent="0.25">
      <c r="A1341" s="41">
        <v>43521</v>
      </c>
      <c r="B1341" s="29">
        <v>350.05</v>
      </c>
      <c r="C1341" s="37">
        <f t="shared" si="46"/>
        <v>58.341666666666669</v>
      </c>
      <c r="D1341" s="37">
        <v>7.6790000000000003</v>
      </c>
      <c r="E1341" s="33">
        <f t="shared" si="47"/>
        <v>1.5736766809728508E-3</v>
      </c>
    </row>
    <row r="1342" spans="1:5" x14ac:dyDescent="0.25">
      <c r="A1342" s="41">
        <v>43521</v>
      </c>
      <c r="B1342" s="29">
        <v>350.05</v>
      </c>
      <c r="C1342" s="37">
        <f t="shared" si="46"/>
        <v>58.341666666666669</v>
      </c>
      <c r="D1342" s="37">
        <v>7.6790000000000003</v>
      </c>
      <c r="E1342" s="33">
        <f t="shared" si="47"/>
        <v>0</v>
      </c>
    </row>
    <row r="1343" spans="1:5" x14ac:dyDescent="0.25">
      <c r="A1343" s="41">
        <v>43521</v>
      </c>
      <c r="B1343" s="29">
        <v>350.05</v>
      </c>
      <c r="C1343" s="37">
        <f t="shared" si="46"/>
        <v>58.341666666666669</v>
      </c>
      <c r="D1343" s="37">
        <v>7.6790000000000003</v>
      </c>
      <c r="E1343" s="33">
        <f t="shared" si="47"/>
        <v>0</v>
      </c>
    </row>
    <row r="1344" spans="1:5" x14ac:dyDescent="0.25">
      <c r="A1344" s="41">
        <v>43521</v>
      </c>
      <c r="B1344" s="29">
        <v>349.52</v>
      </c>
      <c r="C1344" s="37">
        <f t="shared" si="46"/>
        <v>58.25333333333333</v>
      </c>
      <c r="D1344" s="37">
        <v>7.6790000000000003</v>
      </c>
      <c r="E1344" s="33">
        <f t="shared" si="47"/>
        <v>-1.5140694186545622E-3</v>
      </c>
    </row>
    <row r="1345" spans="1:5" x14ac:dyDescent="0.25">
      <c r="A1345" s="41">
        <v>43521</v>
      </c>
      <c r="B1345" s="29">
        <v>348.85</v>
      </c>
      <c r="C1345" s="37">
        <f t="shared" si="46"/>
        <v>58.141666666666666</v>
      </c>
      <c r="D1345" s="37">
        <v>7.6790000000000003</v>
      </c>
      <c r="E1345" s="33">
        <f t="shared" si="47"/>
        <v>-1.916914625772371E-3</v>
      </c>
    </row>
    <row r="1346" spans="1:5" x14ac:dyDescent="0.25">
      <c r="A1346" s="41">
        <v>43522</v>
      </c>
      <c r="B1346" s="29">
        <v>346.04</v>
      </c>
      <c r="C1346" s="37">
        <f t="shared" si="46"/>
        <v>57.673333333333332</v>
      </c>
      <c r="D1346" s="37">
        <v>8.9849999999999994</v>
      </c>
      <c r="E1346" s="33">
        <f t="shared" si="47"/>
        <v>-8.0550379819406687E-3</v>
      </c>
    </row>
    <row r="1347" spans="1:5" x14ac:dyDescent="0.25">
      <c r="A1347" s="41">
        <v>43522</v>
      </c>
      <c r="B1347" s="29">
        <v>345.67</v>
      </c>
      <c r="C1347" s="37">
        <f t="shared" ref="C1347:C1410" si="48">(B1347*100/600)</f>
        <v>57.611666666666665</v>
      </c>
      <c r="D1347" s="37">
        <v>8.9849999999999994</v>
      </c>
      <c r="E1347" s="33">
        <f t="shared" si="47"/>
        <v>-1.0692405502254205E-3</v>
      </c>
    </row>
    <row r="1348" spans="1:5" x14ac:dyDescent="0.25">
      <c r="A1348" s="41">
        <v>43522</v>
      </c>
      <c r="B1348" s="29">
        <v>345.15</v>
      </c>
      <c r="C1348" s="37">
        <f t="shared" si="48"/>
        <v>57.524999999999999</v>
      </c>
      <c r="D1348" s="37">
        <v>8.9849999999999994</v>
      </c>
      <c r="E1348" s="33">
        <f t="shared" ref="E1348:E1411" si="49">(B1348-B1347)/B1347</f>
        <v>-1.504324934185896E-3</v>
      </c>
    </row>
    <row r="1349" spans="1:5" x14ac:dyDescent="0.25">
      <c r="A1349" s="41">
        <v>43522</v>
      </c>
      <c r="B1349" s="29">
        <v>344.89</v>
      </c>
      <c r="C1349" s="37">
        <f t="shared" si="48"/>
        <v>57.481666666666669</v>
      </c>
      <c r="D1349" s="37">
        <v>8.9849999999999994</v>
      </c>
      <c r="E1349" s="33">
        <f t="shared" si="49"/>
        <v>-7.5329566854987959E-4</v>
      </c>
    </row>
    <row r="1350" spans="1:5" x14ac:dyDescent="0.25">
      <c r="A1350" s="41">
        <v>43522</v>
      </c>
      <c r="B1350" s="29">
        <v>344.85</v>
      </c>
      <c r="C1350" s="37">
        <f t="shared" si="48"/>
        <v>57.475000000000001</v>
      </c>
      <c r="D1350" s="37">
        <v>8.9849999999999994</v>
      </c>
      <c r="E1350" s="33">
        <f t="shared" si="49"/>
        <v>-1.159790077994828E-4</v>
      </c>
    </row>
    <row r="1351" spans="1:5" x14ac:dyDescent="0.25">
      <c r="A1351" s="41">
        <v>43522</v>
      </c>
      <c r="B1351" s="29">
        <v>345.56</v>
      </c>
      <c r="C1351" s="37">
        <f t="shared" si="48"/>
        <v>57.593333333333334</v>
      </c>
      <c r="D1351" s="37">
        <v>8.9849999999999994</v>
      </c>
      <c r="E1351" s="33">
        <f t="shared" si="49"/>
        <v>2.05886617369865E-3</v>
      </c>
    </row>
    <row r="1352" spans="1:5" x14ac:dyDescent="0.25">
      <c r="A1352" s="41">
        <v>43522</v>
      </c>
      <c r="B1352" s="29">
        <v>345.68</v>
      </c>
      <c r="C1352" s="37">
        <f t="shared" si="48"/>
        <v>57.613333333333337</v>
      </c>
      <c r="D1352" s="37">
        <v>8.9849999999999994</v>
      </c>
      <c r="E1352" s="33">
        <f t="shared" si="49"/>
        <v>3.4726241463133625E-4</v>
      </c>
    </row>
    <row r="1353" spans="1:5" x14ac:dyDescent="0.25">
      <c r="A1353" s="41">
        <v>43522</v>
      </c>
      <c r="B1353" s="29">
        <v>346.79</v>
      </c>
      <c r="C1353" s="37">
        <f t="shared" si="48"/>
        <v>57.798333333333332</v>
      </c>
      <c r="D1353" s="37">
        <v>8.9849999999999994</v>
      </c>
      <c r="E1353" s="33">
        <f t="shared" si="49"/>
        <v>3.2110622541078847E-3</v>
      </c>
    </row>
    <row r="1354" spans="1:5" x14ac:dyDescent="0.25">
      <c r="A1354" s="41">
        <v>43522</v>
      </c>
      <c r="B1354" s="29">
        <v>350.85</v>
      </c>
      <c r="C1354" s="37">
        <f t="shared" si="48"/>
        <v>58.475000000000001</v>
      </c>
      <c r="D1354" s="37">
        <v>8.9849999999999994</v>
      </c>
      <c r="E1354" s="33">
        <f t="shared" si="49"/>
        <v>1.1707373338331561E-2</v>
      </c>
    </row>
    <row r="1355" spans="1:5" x14ac:dyDescent="0.25">
      <c r="A1355" s="41">
        <v>43522</v>
      </c>
      <c r="B1355" s="29">
        <v>351.54</v>
      </c>
      <c r="C1355" s="37">
        <f t="shared" si="48"/>
        <v>58.59</v>
      </c>
      <c r="D1355" s="37">
        <v>8.9849999999999994</v>
      </c>
      <c r="E1355" s="33">
        <f t="shared" si="49"/>
        <v>1.9666524155621994E-3</v>
      </c>
    </row>
    <row r="1356" spans="1:5" x14ac:dyDescent="0.25">
      <c r="A1356" s="41">
        <v>43522</v>
      </c>
      <c r="B1356" s="29">
        <v>355.26</v>
      </c>
      <c r="C1356" s="37">
        <f t="shared" si="48"/>
        <v>59.21</v>
      </c>
      <c r="D1356" s="37">
        <v>8.9849999999999994</v>
      </c>
      <c r="E1356" s="33">
        <f t="shared" si="49"/>
        <v>1.0582010582010498E-2</v>
      </c>
    </row>
    <row r="1357" spans="1:5" x14ac:dyDescent="0.25">
      <c r="A1357" s="41">
        <v>43522</v>
      </c>
      <c r="B1357" s="29">
        <v>355.37</v>
      </c>
      <c r="C1357" s="37">
        <f t="shared" si="48"/>
        <v>59.228333333333332</v>
      </c>
      <c r="D1357" s="37">
        <v>8.9849999999999994</v>
      </c>
      <c r="E1357" s="33">
        <f t="shared" si="49"/>
        <v>3.0963238191750728E-4</v>
      </c>
    </row>
    <row r="1358" spans="1:5" x14ac:dyDescent="0.25">
      <c r="A1358" s="41">
        <v>43522</v>
      </c>
      <c r="B1358" s="29">
        <v>352.74</v>
      </c>
      <c r="C1358" s="37">
        <f t="shared" si="48"/>
        <v>58.79</v>
      </c>
      <c r="D1358" s="37">
        <v>8.9849999999999994</v>
      </c>
      <c r="E1358" s="33">
        <f t="shared" si="49"/>
        <v>-7.4007372597574232E-3</v>
      </c>
    </row>
    <row r="1359" spans="1:5" x14ac:dyDescent="0.25">
      <c r="A1359" s="41">
        <v>43522</v>
      </c>
      <c r="B1359" s="29">
        <v>355.51</v>
      </c>
      <c r="C1359" s="37">
        <f t="shared" si="48"/>
        <v>59.251666666666665</v>
      </c>
      <c r="D1359" s="37">
        <v>8.9849999999999994</v>
      </c>
      <c r="E1359" s="33">
        <f t="shared" si="49"/>
        <v>7.8528094347110663E-3</v>
      </c>
    </row>
    <row r="1360" spans="1:5" x14ac:dyDescent="0.25">
      <c r="A1360" s="41">
        <v>43522</v>
      </c>
      <c r="B1360" s="29">
        <v>355.66</v>
      </c>
      <c r="C1360" s="37">
        <f t="shared" si="48"/>
        <v>59.276666666666664</v>
      </c>
      <c r="D1360" s="37">
        <v>8.9849999999999994</v>
      </c>
      <c r="E1360" s="33">
        <f t="shared" si="49"/>
        <v>4.2192905966086499E-4</v>
      </c>
    </row>
    <row r="1361" spans="1:5" x14ac:dyDescent="0.25">
      <c r="A1361" s="41">
        <v>43522</v>
      </c>
      <c r="B1361" s="29">
        <v>355.66</v>
      </c>
      <c r="C1361" s="37">
        <f t="shared" si="48"/>
        <v>59.276666666666664</v>
      </c>
      <c r="D1361" s="37">
        <v>8.9849999999999994</v>
      </c>
      <c r="E1361" s="33">
        <f t="shared" si="49"/>
        <v>0</v>
      </c>
    </row>
    <row r="1362" spans="1:5" x14ac:dyDescent="0.25">
      <c r="A1362" s="41">
        <v>43522</v>
      </c>
      <c r="B1362" s="29">
        <v>355.4</v>
      </c>
      <c r="C1362" s="37">
        <f t="shared" si="48"/>
        <v>59.233333333333334</v>
      </c>
      <c r="D1362" s="37">
        <v>8.9849999999999994</v>
      </c>
      <c r="E1362" s="33">
        <f t="shared" si="49"/>
        <v>-7.3103525839298127E-4</v>
      </c>
    </row>
    <row r="1363" spans="1:5" x14ac:dyDescent="0.25">
      <c r="A1363" s="41">
        <v>43522</v>
      </c>
      <c r="B1363" s="29">
        <v>351.32</v>
      </c>
      <c r="C1363" s="37">
        <f t="shared" si="48"/>
        <v>58.553333333333335</v>
      </c>
      <c r="D1363" s="37">
        <v>8.9849999999999994</v>
      </c>
      <c r="E1363" s="33">
        <f t="shared" si="49"/>
        <v>-1.1480022509848014E-2</v>
      </c>
    </row>
    <row r="1364" spans="1:5" x14ac:dyDescent="0.25">
      <c r="A1364" s="41">
        <v>43522</v>
      </c>
      <c r="B1364" s="29">
        <v>350.75</v>
      </c>
      <c r="C1364" s="37">
        <f t="shared" si="48"/>
        <v>58.458333333333336</v>
      </c>
      <c r="D1364" s="37">
        <v>8.9849999999999994</v>
      </c>
      <c r="E1364" s="33">
        <f t="shared" si="49"/>
        <v>-1.6224524649891643E-3</v>
      </c>
    </row>
    <row r="1365" spans="1:5" x14ac:dyDescent="0.25">
      <c r="A1365" s="41">
        <v>43522</v>
      </c>
      <c r="B1365" s="29">
        <v>351.08</v>
      </c>
      <c r="C1365" s="37">
        <f t="shared" si="48"/>
        <v>58.513333333333335</v>
      </c>
      <c r="D1365" s="37">
        <v>8.9849999999999994</v>
      </c>
      <c r="E1365" s="33">
        <f t="shared" si="49"/>
        <v>9.4084105488234952E-4</v>
      </c>
    </row>
    <row r="1366" spans="1:5" x14ac:dyDescent="0.25">
      <c r="A1366" s="41">
        <v>43522</v>
      </c>
      <c r="B1366" s="29">
        <v>350.94</v>
      </c>
      <c r="C1366" s="37">
        <f t="shared" si="48"/>
        <v>58.49</v>
      </c>
      <c r="D1366" s="37">
        <v>8.9849999999999994</v>
      </c>
      <c r="E1366" s="33">
        <f t="shared" si="49"/>
        <v>-3.9876951122247455E-4</v>
      </c>
    </row>
    <row r="1367" spans="1:5" x14ac:dyDescent="0.25">
      <c r="A1367" s="41">
        <v>43522</v>
      </c>
      <c r="B1367" s="29">
        <v>350.79</v>
      </c>
      <c r="C1367" s="37">
        <f t="shared" si="48"/>
        <v>58.465000000000003</v>
      </c>
      <c r="D1367" s="37">
        <v>8.9849999999999994</v>
      </c>
      <c r="E1367" s="33">
        <f t="shared" si="49"/>
        <v>-4.2742349119501128E-4</v>
      </c>
    </row>
    <row r="1368" spans="1:5" x14ac:dyDescent="0.25">
      <c r="A1368" s="41">
        <v>43522</v>
      </c>
      <c r="B1368" s="29">
        <v>350.71</v>
      </c>
      <c r="C1368" s="37">
        <f t="shared" si="48"/>
        <v>58.451666666666668</v>
      </c>
      <c r="D1368" s="37">
        <v>8.9849999999999994</v>
      </c>
      <c r="E1368" s="33">
        <f t="shared" si="49"/>
        <v>-2.2805667208312928E-4</v>
      </c>
    </row>
    <row r="1369" spans="1:5" x14ac:dyDescent="0.25">
      <c r="A1369" s="41">
        <v>43522</v>
      </c>
      <c r="B1369" s="29">
        <v>348.34</v>
      </c>
      <c r="C1369" s="37">
        <f t="shared" si="48"/>
        <v>58.056666666666665</v>
      </c>
      <c r="D1369" s="37">
        <v>8.9849999999999994</v>
      </c>
      <c r="E1369" s="33">
        <f t="shared" si="49"/>
        <v>-6.7577200536055567E-3</v>
      </c>
    </row>
    <row r="1370" spans="1:5" x14ac:dyDescent="0.25">
      <c r="A1370" s="41">
        <v>43523</v>
      </c>
      <c r="B1370" s="29">
        <v>343.98</v>
      </c>
      <c r="C1370" s="37">
        <f t="shared" si="48"/>
        <v>57.33</v>
      </c>
      <c r="D1370" s="37">
        <v>9.891</v>
      </c>
      <c r="E1370" s="33">
        <f t="shared" si="49"/>
        <v>-1.2516506861112582E-2</v>
      </c>
    </row>
    <row r="1371" spans="1:5" x14ac:dyDescent="0.25">
      <c r="A1371" s="41">
        <v>43523</v>
      </c>
      <c r="B1371" s="29">
        <v>343.14</v>
      </c>
      <c r="C1371" s="37">
        <f t="shared" si="48"/>
        <v>57.19</v>
      </c>
      <c r="D1371" s="37">
        <v>9.891</v>
      </c>
      <c r="E1371" s="33">
        <f t="shared" si="49"/>
        <v>-2.4420024420025344E-3</v>
      </c>
    </row>
    <row r="1372" spans="1:5" x14ac:dyDescent="0.25">
      <c r="A1372" s="41">
        <v>43523</v>
      </c>
      <c r="B1372" s="29">
        <v>342.07</v>
      </c>
      <c r="C1372" s="37">
        <f t="shared" si="48"/>
        <v>57.011666666666663</v>
      </c>
      <c r="D1372" s="37">
        <v>9.891</v>
      </c>
      <c r="E1372" s="33">
        <f t="shared" si="49"/>
        <v>-3.118260768199549E-3</v>
      </c>
    </row>
    <row r="1373" spans="1:5" x14ac:dyDescent="0.25">
      <c r="A1373" s="41">
        <v>43523</v>
      </c>
      <c r="B1373" s="29">
        <v>341.74</v>
      </c>
      <c r="C1373" s="37">
        <f t="shared" si="48"/>
        <v>56.956666666666663</v>
      </c>
      <c r="D1373" s="37">
        <v>9.891</v>
      </c>
      <c r="E1373" s="33">
        <f t="shared" si="49"/>
        <v>-9.6471482445108919E-4</v>
      </c>
    </row>
    <row r="1374" spans="1:5" x14ac:dyDescent="0.25">
      <c r="A1374" s="41">
        <v>43523</v>
      </c>
      <c r="B1374" s="29">
        <v>341.76</v>
      </c>
      <c r="C1374" s="37">
        <f t="shared" si="48"/>
        <v>56.96</v>
      </c>
      <c r="D1374" s="37">
        <v>9.891</v>
      </c>
      <c r="E1374" s="33">
        <f t="shared" si="49"/>
        <v>5.8524024111844707E-5</v>
      </c>
    </row>
    <row r="1375" spans="1:5" x14ac:dyDescent="0.25">
      <c r="A1375" s="41">
        <v>43523</v>
      </c>
      <c r="B1375" s="29">
        <v>343.1</v>
      </c>
      <c r="C1375" s="37">
        <f t="shared" si="48"/>
        <v>57.18333333333333</v>
      </c>
      <c r="D1375" s="37">
        <v>9.891</v>
      </c>
      <c r="E1375" s="33">
        <f t="shared" si="49"/>
        <v>3.9208801498128269E-3</v>
      </c>
    </row>
    <row r="1376" spans="1:5" x14ac:dyDescent="0.25">
      <c r="A1376" s="41">
        <v>43523</v>
      </c>
      <c r="B1376" s="29">
        <v>344.34</v>
      </c>
      <c r="C1376" s="37">
        <f t="shared" si="48"/>
        <v>57.39</v>
      </c>
      <c r="D1376" s="37">
        <v>9.891</v>
      </c>
      <c r="E1376" s="33">
        <f t="shared" si="49"/>
        <v>3.6141066744387997E-3</v>
      </c>
    </row>
    <row r="1377" spans="1:5" x14ac:dyDescent="0.25">
      <c r="A1377" s="41">
        <v>43523</v>
      </c>
      <c r="B1377" s="29">
        <v>344.79</v>
      </c>
      <c r="C1377" s="37">
        <f t="shared" si="48"/>
        <v>57.465000000000003</v>
      </c>
      <c r="D1377" s="37">
        <v>9.891</v>
      </c>
      <c r="E1377" s="33">
        <f t="shared" si="49"/>
        <v>1.3068478829065617E-3</v>
      </c>
    </row>
    <row r="1378" spans="1:5" x14ac:dyDescent="0.25">
      <c r="A1378" s="41">
        <v>43523</v>
      </c>
      <c r="B1378" s="29">
        <v>346.77</v>
      </c>
      <c r="C1378" s="37">
        <f t="shared" si="48"/>
        <v>57.795000000000002</v>
      </c>
      <c r="D1378" s="37">
        <v>9.891</v>
      </c>
      <c r="E1378" s="33">
        <f t="shared" si="49"/>
        <v>5.7426259462280268E-3</v>
      </c>
    </row>
    <row r="1379" spans="1:5" x14ac:dyDescent="0.25">
      <c r="A1379" s="41">
        <v>43523</v>
      </c>
      <c r="B1379" s="29">
        <v>348.94</v>
      </c>
      <c r="C1379" s="37">
        <f t="shared" si="48"/>
        <v>58.156666666666666</v>
      </c>
      <c r="D1379" s="37">
        <v>9.891</v>
      </c>
      <c r="E1379" s="33">
        <f t="shared" si="49"/>
        <v>6.2577500937221102E-3</v>
      </c>
    </row>
    <row r="1380" spans="1:5" x14ac:dyDescent="0.25">
      <c r="A1380" s="41">
        <v>43523</v>
      </c>
      <c r="B1380" s="29">
        <v>350.29</v>
      </c>
      <c r="C1380" s="37">
        <f t="shared" si="48"/>
        <v>58.381666666666668</v>
      </c>
      <c r="D1380" s="37">
        <v>9.891</v>
      </c>
      <c r="E1380" s="33">
        <f t="shared" si="49"/>
        <v>3.8688599759271586E-3</v>
      </c>
    </row>
    <row r="1381" spans="1:5" x14ac:dyDescent="0.25">
      <c r="A1381" s="41">
        <v>43523</v>
      </c>
      <c r="B1381" s="29">
        <v>350.29</v>
      </c>
      <c r="C1381" s="37">
        <f t="shared" si="48"/>
        <v>58.381666666666668</v>
      </c>
      <c r="D1381" s="37">
        <v>9.891</v>
      </c>
      <c r="E1381" s="33">
        <f t="shared" si="49"/>
        <v>0</v>
      </c>
    </row>
    <row r="1382" spans="1:5" x14ac:dyDescent="0.25">
      <c r="A1382" s="41">
        <v>43523</v>
      </c>
      <c r="B1382" s="29">
        <v>349.45</v>
      </c>
      <c r="C1382" s="37">
        <f t="shared" si="48"/>
        <v>58.241666666666667</v>
      </c>
      <c r="D1382" s="37">
        <v>9.891</v>
      </c>
      <c r="E1382" s="33">
        <f t="shared" si="49"/>
        <v>-2.3980130748809036E-3</v>
      </c>
    </row>
    <row r="1383" spans="1:5" x14ac:dyDescent="0.25">
      <c r="A1383" s="41">
        <v>43523</v>
      </c>
      <c r="B1383" s="29">
        <v>350.29</v>
      </c>
      <c r="C1383" s="37">
        <f t="shared" si="48"/>
        <v>58.381666666666668</v>
      </c>
      <c r="D1383" s="37">
        <v>9.891</v>
      </c>
      <c r="E1383" s="33">
        <f t="shared" si="49"/>
        <v>2.4037773644299096E-3</v>
      </c>
    </row>
    <row r="1384" spans="1:5" x14ac:dyDescent="0.25">
      <c r="A1384" s="41">
        <v>43523</v>
      </c>
      <c r="B1384" s="29">
        <v>350.4</v>
      </c>
      <c r="C1384" s="37">
        <f t="shared" si="48"/>
        <v>58.4</v>
      </c>
      <c r="D1384" s="37">
        <v>9.891</v>
      </c>
      <c r="E1384" s="33">
        <f t="shared" si="49"/>
        <v>3.1402552171045929E-4</v>
      </c>
    </row>
    <row r="1385" spans="1:5" x14ac:dyDescent="0.25">
      <c r="A1385" s="41">
        <v>43523</v>
      </c>
      <c r="B1385" s="29">
        <v>350.3</v>
      </c>
      <c r="C1385" s="37">
        <f t="shared" si="48"/>
        <v>58.383333333333333</v>
      </c>
      <c r="D1385" s="37">
        <v>9.891</v>
      </c>
      <c r="E1385" s="33">
        <f t="shared" si="49"/>
        <v>-2.8538812785378396E-4</v>
      </c>
    </row>
    <row r="1386" spans="1:5" x14ac:dyDescent="0.25">
      <c r="A1386" s="41">
        <v>43523</v>
      </c>
      <c r="B1386" s="29">
        <v>350.3</v>
      </c>
      <c r="C1386" s="37">
        <f t="shared" si="48"/>
        <v>58.383333333333333</v>
      </c>
      <c r="D1386" s="37">
        <v>9.891</v>
      </c>
      <c r="E1386" s="33">
        <f t="shared" si="49"/>
        <v>0</v>
      </c>
    </row>
    <row r="1387" spans="1:5" x14ac:dyDescent="0.25">
      <c r="A1387" s="41">
        <v>43523</v>
      </c>
      <c r="B1387" s="29">
        <v>348.48</v>
      </c>
      <c r="C1387" s="37">
        <f t="shared" si="48"/>
        <v>58.08</v>
      </c>
      <c r="D1387" s="37">
        <v>9.891</v>
      </c>
      <c r="E1387" s="33">
        <f t="shared" si="49"/>
        <v>-5.1955466742791695E-3</v>
      </c>
    </row>
    <row r="1388" spans="1:5" x14ac:dyDescent="0.25">
      <c r="A1388" s="41">
        <v>43523</v>
      </c>
      <c r="B1388" s="29">
        <v>346.44</v>
      </c>
      <c r="C1388" s="37">
        <f t="shared" si="48"/>
        <v>57.74</v>
      </c>
      <c r="D1388" s="37">
        <v>9.891</v>
      </c>
      <c r="E1388" s="33">
        <f t="shared" si="49"/>
        <v>-5.853994490358185E-3</v>
      </c>
    </row>
    <row r="1389" spans="1:5" x14ac:dyDescent="0.25">
      <c r="A1389" s="41">
        <v>43523</v>
      </c>
      <c r="B1389" s="29">
        <v>348.34</v>
      </c>
      <c r="C1389" s="37">
        <f t="shared" si="48"/>
        <v>58.056666666666665</v>
      </c>
      <c r="D1389" s="37">
        <v>9.891</v>
      </c>
      <c r="E1389" s="33">
        <f t="shared" si="49"/>
        <v>5.4843551552937802E-3</v>
      </c>
    </row>
    <row r="1390" spans="1:5" x14ac:dyDescent="0.25">
      <c r="A1390" s="41">
        <v>43523</v>
      </c>
      <c r="B1390" s="29">
        <v>348.35</v>
      </c>
      <c r="C1390" s="37">
        <f t="shared" si="48"/>
        <v>58.05833333333333</v>
      </c>
      <c r="D1390" s="37">
        <v>9.891</v>
      </c>
      <c r="E1390" s="33">
        <f t="shared" si="49"/>
        <v>2.8707584543973557E-5</v>
      </c>
    </row>
    <row r="1391" spans="1:5" x14ac:dyDescent="0.25">
      <c r="A1391" s="41">
        <v>43523</v>
      </c>
      <c r="B1391" s="29">
        <v>347.08</v>
      </c>
      <c r="C1391" s="37">
        <f t="shared" si="48"/>
        <v>57.846666666666664</v>
      </c>
      <c r="D1391" s="37">
        <v>9.891</v>
      </c>
      <c r="E1391" s="33">
        <f t="shared" si="49"/>
        <v>-3.6457585761447927E-3</v>
      </c>
    </row>
    <row r="1392" spans="1:5" x14ac:dyDescent="0.25">
      <c r="A1392" s="41">
        <v>43523</v>
      </c>
      <c r="B1392" s="29">
        <v>346.88</v>
      </c>
      <c r="C1392" s="37">
        <f t="shared" si="48"/>
        <v>57.813333333333333</v>
      </c>
      <c r="D1392" s="37">
        <v>9.891</v>
      </c>
      <c r="E1392" s="33">
        <f t="shared" si="49"/>
        <v>-5.7623602627633011E-4</v>
      </c>
    </row>
    <row r="1393" spans="1:5" x14ac:dyDescent="0.25">
      <c r="A1393" s="41">
        <v>43523</v>
      </c>
      <c r="B1393" s="29">
        <v>344.98</v>
      </c>
      <c r="C1393" s="37">
        <f t="shared" si="48"/>
        <v>57.49666666666667</v>
      </c>
      <c r="D1393" s="37">
        <v>9.891</v>
      </c>
      <c r="E1393" s="33">
        <f t="shared" si="49"/>
        <v>-5.4773985239851743E-3</v>
      </c>
    </row>
    <row r="1394" spans="1:5" x14ac:dyDescent="0.25">
      <c r="A1394" s="41">
        <v>43524</v>
      </c>
      <c r="B1394" s="29">
        <v>341.1</v>
      </c>
      <c r="C1394" s="37">
        <f t="shared" si="48"/>
        <v>56.85</v>
      </c>
      <c r="D1394" s="37">
        <v>9.6639999999999997</v>
      </c>
      <c r="E1394" s="33">
        <f t="shared" si="49"/>
        <v>-1.1247028813264523E-2</v>
      </c>
    </row>
    <row r="1395" spans="1:5" x14ac:dyDescent="0.25">
      <c r="A1395" s="41">
        <v>43524</v>
      </c>
      <c r="B1395" s="29">
        <v>339.86</v>
      </c>
      <c r="C1395" s="37">
        <f t="shared" si="48"/>
        <v>56.643333333333331</v>
      </c>
      <c r="D1395" s="37">
        <v>9.6639999999999997</v>
      </c>
      <c r="E1395" s="33">
        <f t="shared" si="49"/>
        <v>-3.63529756669601E-3</v>
      </c>
    </row>
    <row r="1396" spans="1:5" x14ac:dyDescent="0.25">
      <c r="A1396" s="41">
        <v>43524</v>
      </c>
      <c r="B1396" s="29">
        <v>338.28</v>
      </c>
      <c r="C1396" s="37">
        <f t="shared" si="48"/>
        <v>56.38</v>
      </c>
      <c r="D1396" s="37">
        <v>9.6639999999999997</v>
      </c>
      <c r="E1396" s="33">
        <f t="shared" si="49"/>
        <v>-4.6489731065734148E-3</v>
      </c>
    </row>
    <row r="1397" spans="1:5" x14ac:dyDescent="0.25">
      <c r="A1397" s="41">
        <v>43524</v>
      </c>
      <c r="B1397" s="29">
        <v>337.86</v>
      </c>
      <c r="C1397" s="37">
        <f t="shared" si="48"/>
        <v>56.31</v>
      </c>
      <c r="D1397" s="37">
        <v>9.6639999999999997</v>
      </c>
      <c r="E1397" s="33">
        <f t="shared" si="49"/>
        <v>-1.2415750266050582E-3</v>
      </c>
    </row>
    <row r="1398" spans="1:5" x14ac:dyDescent="0.25">
      <c r="A1398" s="41">
        <v>43524</v>
      </c>
      <c r="B1398" s="29">
        <v>338.04</v>
      </c>
      <c r="C1398" s="37">
        <f t="shared" si="48"/>
        <v>56.34</v>
      </c>
      <c r="D1398" s="37">
        <v>9.6639999999999997</v>
      </c>
      <c r="E1398" s="33">
        <f t="shared" si="49"/>
        <v>5.3276505061269994E-4</v>
      </c>
    </row>
    <row r="1399" spans="1:5" x14ac:dyDescent="0.25">
      <c r="A1399" s="41">
        <v>43524</v>
      </c>
      <c r="B1399" s="29">
        <v>339.28</v>
      </c>
      <c r="C1399" s="37">
        <f t="shared" si="48"/>
        <v>56.546666666666667</v>
      </c>
      <c r="D1399" s="37">
        <v>9.6639999999999997</v>
      </c>
      <c r="E1399" s="33">
        <f t="shared" si="49"/>
        <v>3.6682049461600761E-3</v>
      </c>
    </row>
    <row r="1400" spans="1:5" x14ac:dyDescent="0.25">
      <c r="A1400" s="41">
        <v>43524</v>
      </c>
      <c r="B1400" s="29">
        <v>341.44</v>
      </c>
      <c r="C1400" s="37">
        <f t="shared" si="48"/>
        <v>56.906666666666666</v>
      </c>
      <c r="D1400" s="37">
        <v>9.6639999999999997</v>
      </c>
      <c r="E1400" s="33">
        <f t="shared" si="49"/>
        <v>6.3664230134403005E-3</v>
      </c>
    </row>
    <row r="1401" spans="1:5" x14ac:dyDescent="0.25">
      <c r="A1401" s="41">
        <v>43524</v>
      </c>
      <c r="B1401" s="29">
        <v>341.41</v>
      </c>
      <c r="C1401" s="37">
        <f t="shared" si="48"/>
        <v>56.901666666666664</v>
      </c>
      <c r="D1401" s="37">
        <v>9.6639999999999997</v>
      </c>
      <c r="E1401" s="33">
        <f t="shared" si="49"/>
        <v>-8.7863167759995059E-5</v>
      </c>
    </row>
    <row r="1402" spans="1:5" x14ac:dyDescent="0.25">
      <c r="A1402" s="41">
        <v>43524</v>
      </c>
      <c r="B1402" s="29">
        <v>343.84</v>
      </c>
      <c r="C1402" s="37">
        <f t="shared" si="48"/>
        <v>57.306666666666665</v>
      </c>
      <c r="D1402" s="37">
        <v>9.6639999999999997</v>
      </c>
      <c r="E1402" s="33">
        <f t="shared" si="49"/>
        <v>7.1175419583490518E-3</v>
      </c>
    </row>
    <row r="1403" spans="1:5" x14ac:dyDescent="0.25">
      <c r="A1403" s="41">
        <v>43524</v>
      </c>
      <c r="B1403" s="29">
        <v>345.17</v>
      </c>
      <c r="C1403" s="37">
        <f t="shared" si="48"/>
        <v>57.528333333333336</v>
      </c>
      <c r="D1403" s="37">
        <v>9.6639999999999997</v>
      </c>
      <c r="E1403" s="33">
        <f t="shared" si="49"/>
        <v>3.8680781758958847E-3</v>
      </c>
    </row>
    <row r="1404" spans="1:5" x14ac:dyDescent="0.25">
      <c r="A1404" s="41">
        <v>43524</v>
      </c>
      <c r="B1404" s="29">
        <v>346.12</v>
      </c>
      <c r="C1404" s="37">
        <f t="shared" si="48"/>
        <v>57.686666666666667</v>
      </c>
      <c r="D1404" s="37">
        <v>9.6639999999999997</v>
      </c>
      <c r="E1404" s="33">
        <f t="shared" si="49"/>
        <v>2.7522669988700888E-3</v>
      </c>
    </row>
    <row r="1405" spans="1:5" x14ac:dyDescent="0.25">
      <c r="A1405" s="41">
        <v>43524</v>
      </c>
      <c r="B1405" s="29">
        <v>346.33</v>
      </c>
      <c r="C1405" s="37">
        <f t="shared" si="48"/>
        <v>57.721666666666664</v>
      </c>
      <c r="D1405" s="37">
        <v>9.6639999999999997</v>
      </c>
      <c r="E1405" s="33">
        <f t="shared" si="49"/>
        <v>6.0672599098572611E-4</v>
      </c>
    </row>
    <row r="1406" spans="1:5" x14ac:dyDescent="0.25">
      <c r="A1406" s="41">
        <v>43524</v>
      </c>
      <c r="B1406" s="29">
        <v>345.12</v>
      </c>
      <c r="C1406" s="37">
        <f t="shared" si="48"/>
        <v>57.52</v>
      </c>
      <c r="D1406" s="37">
        <v>9.6639999999999997</v>
      </c>
      <c r="E1406" s="33">
        <f t="shared" si="49"/>
        <v>-3.4937776109490357E-3</v>
      </c>
    </row>
    <row r="1407" spans="1:5" x14ac:dyDescent="0.25">
      <c r="A1407" s="41">
        <v>43524</v>
      </c>
      <c r="B1407" s="29">
        <v>346.43</v>
      </c>
      <c r="C1407" s="37">
        <f t="shared" si="48"/>
        <v>57.738333333333337</v>
      </c>
      <c r="D1407" s="37">
        <v>9.6639999999999997</v>
      </c>
      <c r="E1407" s="33">
        <f t="shared" si="49"/>
        <v>3.7957811775614345E-3</v>
      </c>
    </row>
    <row r="1408" spans="1:5" x14ac:dyDescent="0.25">
      <c r="A1408" s="41">
        <v>43524</v>
      </c>
      <c r="B1408" s="29">
        <v>346.54</v>
      </c>
      <c r="C1408" s="37">
        <f t="shared" si="48"/>
        <v>57.756666666666668</v>
      </c>
      <c r="D1408" s="37">
        <v>9.6639999999999997</v>
      </c>
      <c r="E1408" s="33">
        <f t="shared" si="49"/>
        <v>3.1752446381668343E-4</v>
      </c>
    </row>
    <row r="1409" spans="1:5" x14ac:dyDescent="0.25">
      <c r="A1409" s="41">
        <v>43524</v>
      </c>
      <c r="B1409" s="29">
        <v>346.57</v>
      </c>
      <c r="C1409" s="37">
        <f t="shared" si="48"/>
        <v>57.761666666666663</v>
      </c>
      <c r="D1409" s="37">
        <v>9.6639999999999997</v>
      </c>
      <c r="E1409" s="33">
        <f t="shared" si="49"/>
        <v>8.6570092918487662E-5</v>
      </c>
    </row>
    <row r="1410" spans="1:5" x14ac:dyDescent="0.25">
      <c r="A1410" s="41">
        <v>43524</v>
      </c>
      <c r="B1410" s="29">
        <v>346.58</v>
      </c>
      <c r="C1410" s="37">
        <f t="shared" si="48"/>
        <v>57.763333333333335</v>
      </c>
      <c r="D1410" s="37">
        <v>9.6639999999999997</v>
      </c>
      <c r="E1410" s="33">
        <f t="shared" si="49"/>
        <v>2.8854199728744281E-5</v>
      </c>
    </row>
    <row r="1411" spans="1:5" x14ac:dyDescent="0.25">
      <c r="A1411" s="41">
        <v>43524</v>
      </c>
      <c r="B1411" s="29">
        <v>343.95</v>
      </c>
      <c r="C1411" s="37">
        <f t="shared" ref="C1411:C1474" si="50">(B1411*100/600)</f>
        <v>57.325000000000003</v>
      </c>
      <c r="D1411" s="37">
        <v>9.6639999999999997</v>
      </c>
      <c r="E1411" s="33">
        <f t="shared" si="49"/>
        <v>-7.5884355704310567E-3</v>
      </c>
    </row>
    <row r="1412" spans="1:5" x14ac:dyDescent="0.25">
      <c r="A1412" s="41">
        <v>43524</v>
      </c>
      <c r="B1412" s="29">
        <v>342.41</v>
      </c>
      <c r="C1412" s="37">
        <f t="shared" si="50"/>
        <v>57.068333333333335</v>
      </c>
      <c r="D1412" s="37">
        <v>9.6639999999999997</v>
      </c>
      <c r="E1412" s="33">
        <f t="shared" ref="E1412:E1475" si="51">(B1412-B1411)/B1411</f>
        <v>-4.4773949701990513E-3</v>
      </c>
    </row>
    <row r="1413" spans="1:5" x14ac:dyDescent="0.25">
      <c r="A1413" s="41">
        <v>43524</v>
      </c>
      <c r="B1413" s="29">
        <v>343.31</v>
      </c>
      <c r="C1413" s="37">
        <f t="shared" si="50"/>
        <v>57.218333333333334</v>
      </c>
      <c r="D1413" s="37">
        <v>9.6639999999999997</v>
      </c>
      <c r="E1413" s="33">
        <f t="shared" si="51"/>
        <v>2.6284279080633663E-3</v>
      </c>
    </row>
    <row r="1414" spans="1:5" x14ac:dyDescent="0.25">
      <c r="A1414" s="41">
        <v>43524</v>
      </c>
      <c r="B1414" s="29">
        <v>343.1</v>
      </c>
      <c r="C1414" s="37">
        <f t="shared" si="50"/>
        <v>57.18333333333333</v>
      </c>
      <c r="D1414" s="37">
        <v>9.6639999999999997</v>
      </c>
      <c r="E1414" s="33">
        <f t="shared" si="51"/>
        <v>-6.1169205674166068E-4</v>
      </c>
    </row>
    <row r="1415" spans="1:5" x14ac:dyDescent="0.25">
      <c r="A1415" s="41">
        <v>43524</v>
      </c>
      <c r="B1415" s="29">
        <v>342.76</v>
      </c>
      <c r="C1415" s="37">
        <f t="shared" si="50"/>
        <v>57.126666666666665</v>
      </c>
      <c r="D1415" s="37">
        <v>9.6639999999999997</v>
      </c>
      <c r="E1415" s="33">
        <f t="shared" si="51"/>
        <v>-9.9096473331399546E-4</v>
      </c>
    </row>
    <row r="1416" spans="1:5" x14ac:dyDescent="0.25">
      <c r="A1416" s="41">
        <v>43524</v>
      </c>
      <c r="B1416" s="29">
        <v>342.15</v>
      </c>
      <c r="C1416" s="37">
        <f t="shared" si="50"/>
        <v>57.024999999999999</v>
      </c>
      <c r="D1416" s="37">
        <v>9.6639999999999997</v>
      </c>
      <c r="E1416" s="33">
        <f t="shared" si="51"/>
        <v>-1.7796709067569544E-3</v>
      </c>
    </row>
    <row r="1417" spans="1:5" x14ac:dyDescent="0.25">
      <c r="A1417" s="41">
        <v>43524</v>
      </c>
      <c r="B1417" s="29">
        <v>340.93</v>
      </c>
      <c r="C1417" s="37">
        <f t="shared" si="50"/>
        <v>56.821666666666665</v>
      </c>
      <c r="D1417" s="37">
        <v>9.6639999999999997</v>
      </c>
      <c r="E1417" s="33">
        <f t="shared" si="51"/>
        <v>-3.5656875639338611E-3</v>
      </c>
    </row>
    <row r="1418" spans="1:5" x14ac:dyDescent="0.25">
      <c r="A1418" s="41">
        <v>43525</v>
      </c>
      <c r="B1418" s="29">
        <v>339.35</v>
      </c>
      <c r="C1418" s="37">
        <f t="shared" si="50"/>
        <v>56.55833333333333</v>
      </c>
      <c r="D1418" s="37">
        <v>8.8040000000000003</v>
      </c>
      <c r="E1418" s="33">
        <f t="shared" si="51"/>
        <v>-4.6343824245445812E-3</v>
      </c>
    </row>
    <row r="1419" spans="1:5" x14ac:dyDescent="0.25">
      <c r="A1419" s="41">
        <v>43525</v>
      </c>
      <c r="B1419" s="29">
        <v>339.07</v>
      </c>
      <c r="C1419" s="37">
        <f t="shared" si="50"/>
        <v>56.511666666666663</v>
      </c>
      <c r="D1419" s="37">
        <v>8.8040000000000003</v>
      </c>
      <c r="E1419" s="33">
        <f t="shared" si="51"/>
        <v>-8.2510682186541777E-4</v>
      </c>
    </row>
    <row r="1420" spans="1:5" x14ac:dyDescent="0.25">
      <c r="A1420" s="41">
        <v>43525</v>
      </c>
      <c r="B1420" s="29">
        <v>338.54</v>
      </c>
      <c r="C1420" s="37">
        <f t="shared" si="50"/>
        <v>56.423333333333332</v>
      </c>
      <c r="D1420" s="37">
        <v>8.8040000000000003</v>
      </c>
      <c r="E1420" s="33">
        <f t="shared" si="51"/>
        <v>-1.5630990650897241E-3</v>
      </c>
    </row>
    <row r="1421" spans="1:5" x14ac:dyDescent="0.25">
      <c r="A1421" s="41">
        <v>43525</v>
      </c>
      <c r="B1421" s="29">
        <v>336.31</v>
      </c>
      <c r="C1421" s="37">
        <f t="shared" si="50"/>
        <v>56.051666666666669</v>
      </c>
      <c r="D1421" s="37">
        <v>8.8040000000000003</v>
      </c>
      <c r="E1421" s="33">
        <f t="shared" si="51"/>
        <v>-6.5871093519230166E-3</v>
      </c>
    </row>
    <row r="1422" spans="1:5" x14ac:dyDescent="0.25">
      <c r="A1422" s="41">
        <v>43525</v>
      </c>
      <c r="B1422" s="29">
        <v>336.38</v>
      </c>
      <c r="C1422" s="37">
        <f t="shared" si="50"/>
        <v>56.063333333333333</v>
      </c>
      <c r="D1422" s="37">
        <v>8.8040000000000003</v>
      </c>
      <c r="E1422" s="33">
        <f t="shared" si="51"/>
        <v>2.0814129820699109E-4</v>
      </c>
    </row>
    <row r="1423" spans="1:5" x14ac:dyDescent="0.25">
      <c r="A1423" s="41">
        <v>43525</v>
      </c>
      <c r="B1423" s="29">
        <v>338.47</v>
      </c>
      <c r="C1423" s="37">
        <f t="shared" si="50"/>
        <v>56.411666666666669</v>
      </c>
      <c r="D1423" s="37">
        <v>8.8040000000000003</v>
      </c>
      <c r="E1423" s="33">
        <f t="shared" si="51"/>
        <v>6.2132112491825667E-3</v>
      </c>
    </row>
    <row r="1424" spans="1:5" x14ac:dyDescent="0.25">
      <c r="A1424" s="41">
        <v>43525</v>
      </c>
      <c r="B1424" s="29">
        <v>339.35</v>
      </c>
      <c r="C1424" s="37">
        <f t="shared" si="50"/>
        <v>56.55833333333333</v>
      </c>
      <c r="D1424" s="37">
        <v>8.8040000000000003</v>
      </c>
      <c r="E1424" s="33">
        <f t="shared" si="51"/>
        <v>2.5999350016249457E-3</v>
      </c>
    </row>
    <row r="1425" spans="1:5" x14ac:dyDescent="0.25">
      <c r="A1425" s="41">
        <v>43525</v>
      </c>
      <c r="B1425" s="29">
        <v>340.55</v>
      </c>
      <c r="C1425" s="37">
        <f t="shared" si="50"/>
        <v>56.758333333333333</v>
      </c>
      <c r="D1425" s="37">
        <v>8.8040000000000003</v>
      </c>
      <c r="E1425" s="33">
        <f t="shared" si="51"/>
        <v>3.5361720937085268E-3</v>
      </c>
    </row>
    <row r="1426" spans="1:5" x14ac:dyDescent="0.25">
      <c r="A1426" s="41">
        <v>43525</v>
      </c>
      <c r="B1426" s="29">
        <v>344.63</v>
      </c>
      <c r="C1426" s="37">
        <f t="shared" si="50"/>
        <v>57.438333333333333</v>
      </c>
      <c r="D1426" s="37">
        <v>8.8040000000000003</v>
      </c>
      <c r="E1426" s="33">
        <f t="shared" si="51"/>
        <v>1.1980619585963834E-2</v>
      </c>
    </row>
    <row r="1427" spans="1:5" x14ac:dyDescent="0.25">
      <c r="A1427" s="41">
        <v>43525</v>
      </c>
      <c r="B1427" s="29">
        <v>345.57</v>
      </c>
      <c r="C1427" s="37">
        <f t="shared" si="50"/>
        <v>57.594999999999999</v>
      </c>
      <c r="D1427" s="37">
        <v>8.8040000000000003</v>
      </c>
      <c r="E1427" s="33">
        <f t="shared" si="51"/>
        <v>2.7275628935379908E-3</v>
      </c>
    </row>
    <row r="1428" spans="1:5" x14ac:dyDescent="0.25">
      <c r="A1428" s="41">
        <v>43525</v>
      </c>
      <c r="B1428" s="29">
        <v>346.41</v>
      </c>
      <c r="C1428" s="37">
        <f t="shared" si="50"/>
        <v>57.734999999999999</v>
      </c>
      <c r="D1428" s="37">
        <v>8.8040000000000003</v>
      </c>
      <c r="E1428" s="33">
        <f t="shared" si="51"/>
        <v>2.4307665595972795E-3</v>
      </c>
    </row>
    <row r="1429" spans="1:5" x14ac:dyDescent="0.25">
      <c r="A1429" s="41">
        <v>43525</v>
      </c>
      <c r="B1429" s="29">
        <v>346.35</v>
      </c>
      <c r="C1429" s="37">
        <f t="shared" si="50"/>
        <v>57.725000000000001</v>
      </c>
      <c r="D1429" s="37">
        <v>8.8040000000000003</v>
      </c>
      <c r="E1429" s="33">
        <f t="shared" si="51"/>
        <v>-1.7320516151381966E-4</v>
      </c>
    </row>
    <row r="1430" spans="1:5" x14ac:dyDescent="0.25">
      <c r="A1430" s="41">
        <v>43525</v>
      </c>
      <c r="B1430" s="29">
        <v>345.66</v>
      </c>
      <c r="C1430" s="37">
        <f t="shared" si="50"/>
        <v>57.61</v>
      </c>
      <c r="D1430" s="37">
        <v>8.8040000000000003</v>
      </c>
      <c r="E1430" s="33">
        <f t="shared" si="51"/>
        <v>-1.9922044174967451E-3</v>
      </c>
    </row>
    <row r="1431" spans="1:5" x14ac:dyDescent="0.25">
      <c r="A1431" s="41">
        <v>43525</v>
      </c>
      <c r="B1431" s="29">
        <v>346.23</v>
      </c>
      <c r="C1431" s="37">
        <f t="shared" si="50"/>
        <v>57.704999999999998</v>
      </c>
      <c r="D1431" s="37">
        <v>8.8040000000000003</v>
      </c>
      <c r="E1431" s="33">
        <f t="shared" si="51"/>
        <v>1.6490192674882634E-3</v>
      </c>
    </row>
    <row r="1432" spans="1:5" x14ac:dyDescent="0.25">
      <c r="A1432" s="41">
        <v>43525</v>
      </c>
      <c r="B1432" s="29">
        <v>346.17</v>
      </c>
      <c r="C1432" s="37">
        <f t="shared" si="50"/>
        <v>57.695</v>
      </c>
      <c r="D1432" s="37">
        <v>8.8040000000000003</v>
      </c>
      <c r="E1432" s="33">
        <f t="shared" si="51"/>
        <v>-1.7329520838749464E-4</v>
      </c>
    </row>
    <row r="1433" spans="1:5" x14ac:dyDescent="0.25">
      <c r="A1433" s="41">
        <v>43525</v>
      </c>
      <c r="B1433" s="29">
        <v>346.11</v>
      </c>
      <c r="C1433" s="37">
        <f t="shared" si="50"/>
        <v>57.685000000000002</v>
      </c>
      <c r="D1433" s="37">
        <v>8.8040000000000003</v>
      </c>
      <c r="E1433" s="33">
        <f t="shared" si="51"/>
        <v>-1.7332524482191488E-4</v>
      </c>
    </row>
    <row r="1434" spans="1:5" x14ac:dyDescent="0.25">
      <c r="A1434" s="41">
        <v>43525</v>
      </c>
      <c r="B1434" s="29">
        <v>346.05</v>
      </c>
      <c r="C1434" s="37">
        <f t="shared" si="50"/>
        <v>57.674999999999997</v>
      </c>
      <c r="D1434" s="37">
        <v>8.8040000000000003</v>
      </c>
      <c r="E1434" s="33">
        <f t="shared" si="51"/>
        <v>-1.733552916702848E-4</v>
      </c>
    </row>
    <row r="1435" spans="1:5" x14ac:dyDescent="0.25">
      <c r="A1435" s="41">
        <v>43525</v>
      </c>
      <c r="B1435" s="29">
        <v>345.01</v>
      </c>
      <c r="C1435" s="37">
        <f t="shared" si="50"/>
        <v>57.501666666666665</v>
      </c>
      <c r="D1435" s="37">
        <v>8.8040000000000003</v>
      </c>
      <c r="E1435" s="33">
        <f t="shared" si="51"/>
        <v>-3.0053460482589813E-3</v>
      </c>
    </row>
    <row r="1436" spans="1:5" x14ac:dyDescent="0.25">
      <c r="A1436" s="41">
        <v>43525</v>
      </c>
      <c r="B1436" s="29">
        <v>344.31</v>
      </c>
      <c r="C1436" s="37">
        <f t="shared" si="50"/>
        <v>57.384999999999998</v>
      </c>
      <c r="D1436" s="37">
        <v>8.8040000000000003</v>
      </c>
      <c r="E1436" s="33">
        <f t="shared" si="51"/>
        <v>-2.0289266977768432E-3</v>
      </c>
    </row>
    <row r="1437" spans="1:5" x14ac:dyDescent="0.25">
      <c r="A1437" s="41">
        <v>43525</v>
      </c>
      <c r="B1437" s="29">
        <v>344.94</v>
      </c>
      <c r="C1437" s="37">
        <f t="shared" si="50"/>
        <v>57.49</v>
      </c>
      <c r="D1437" s="37">
        <v>8.8040000000000003</v>
      </c>
      <c r="E1437" s="33">
        <f t="shared" si="51"/>
        <v>1.8297464494205671E-3</v>
      </c>
    </row>
    <row r="1438" spans="1:5" x14ac:dyDescent="0.25">
      <c r="A1438" s="41">
        <v>43525</v>
      </c>
      <c r="B1438" s="29">
        <v>344.99</v>
      </c>
      <c r="C1438" s="37">
        <f t="shared" si="50"/>
        <v>57.498333333333335</v>
      </c>
      <c r="D1438" s="37">
        <v>8.8040000000000003</v>
      </c>
      <c r="E1438" s="33">
        <f t="shared" si="51"/>
        <v>1.4495274540503092E-4</v>
      </c>
    </row>
    <row r="1439" spans="1:5" x14ac:dyDescent="0.25">
      <c r="A1439" s="41">
        <v>43525</v>
      </c>
      <c r="B1439" s="29">
        <v>342.93</v>
      </c>
      <c r="C1439" s="37">
        <f t="shared" si="50"/>
        <v>57.155000000000001</v>
      </c>
      <c r="D1439" s="37">
        <v>8.8040000000000003</v>
      </c>
      <c r="E1439" s="33">
        <f t="shared" si="51"/>
        <v>-5.9711875706542281E-3</v>
      </c>
    </row>
    <row r="1440" spans="1:5" x14ac:dyDescent="0.25">
      <c r="A1440" s="41">
        <v>43525</v>
      </c>
      <c r="B1440" s="29">
        <v>340.87</v>
      </c>
      <c r="C1440" s="37">
        <f t="shared" si="50"/>
        <v>56.811666666666667</v>
      </c>
      <c r="D1440" s="37">
        <v>8.8040000000000003</v>
      </c>
      <c r="E1440" s="33">
        <f t="shared" si="51"/>
        <v>-6.0070568337561667E-3</v>
      </c>
    </row>
    <row r="1441" spans="1:5" x14ac:dyDescent="0.25">
      <c r="A1441" s="41">
        <v>43525</v>
      </c>
      <c r="B1441" s="29">
        <v>337.9</v>
      </c>
      <c r="C1441" s="37">
        <f t="shared" si="50"/>
        <v>56.31666666666667</v>
      </c>
      <c r="D1441" s="37">
        <v>8.8040000000000003</v>
      </c>
      <c r="E1441" s="33">
        <f t="shared" si="51"/>
        <v>-8.7129990905624646E-3</v>
      </c>
    </row>
    <row r="1442" spans="1:5" x14ac:dyDescent="0.25">
      <c r="A1442" s="41">
        <v>43526</v>
      </c>
      <c r="B1442" s="29">
        <v>250.79</v>
      </c>
      <c r="C1442" s="37">
        <f t="shared" si="50"/>
        <v>41.798333333333332</v>
      </c>
      <c r="D1442" s="37">
        <v>7.7069999999999999</v>
      </c>
      <c r="E1442" s="33">
        <f t="shared" si="51"/>
        <v>-0.25779816513761467</v>
      </c>
    </row>
    <row r="1443" spans="1:5" x14ac:dyDescent="0.25">
      <c r="A1443" s="41">
        <v>43526</v>
      </c>
      <c r="B1443" s="29">
        <v>249.52</v>
      </c>
      <c r="C1443" s="37">
        <f t="shared" si="50"/>
        <v>41.586666666666666</v>
      </c>
      <c r="D1443" s="37">
        <v>7.7069999999999999</v>
      </c>
      <c r="E1443" s="33">
        <f t="shared" si="51"/>
        <v>-5.0639977670560304E-3</v>
      </c>
    </row>
    <row r="1444" spans="1:5" x14ac:dyDescent="0.25">
      <c r="A1444" s="41">
        <v>43526</v>
      </c>
      <c r="B1444" s="29">
        <v>248.35</v>
      </c>
      <c r="C1444" s="37">
        <f t="shared" si="50"/>
        <v>41.391666666666666</v>
      </c>
      <c r="D1444" s="37">
        <v>7.7069999999999999</v>
      </c>
      <c r="E1444" s="33">
        <f t="shared" si="51"/>
        <v>-4.6890028855403011E-3</v>
      </c>
    </row>
    <row r="1445" spans="1:5" x14ac:dyDescent="0.25">
      <c r="A1445" s="41">
        <v>43526</v>
      </c>
      <c r="B1445" s="29">
        <v>248.22</v>
      </c>
      <c r="C1445" s="37">
        <f t="shared" si="50"/>
        <v>41.37</v>
      </c>
      <c r="D1445" s="37">
        <v>7.7069999999999999</v>
      </c>
      <c r="E1445" s="33">
        <f t="shared" si="51"/>
        <v>-5.234548016911434E-4</v>
      </c>
    </row>
    <row r="1446" spans="1:5" x14ac:dyDescent="0.25">
      <c r="A1446" s="41">
        <v>43526</v>
      </c>
      <c r="B1446" s="29">
        <v>248.17</v>
      </c>
      <c r="C1446" s="37">
        <f t="shared" si="50"/>
        <v>41.361666666666665</v>
      </c>
      <c r="D1446" s="37">
        <v>7.7069999999999999</v>
      </c>
      <c r="E1446" s="33">
        <f t="shared" si="51"/>
        <v>-2.0143421158654165E-4</v>
      </c>
    </row>
    <row r="1447" spans="1:5" x14ac:dyDescent="0.25">
      <c r="A1447" s="41">
        <v>43526</v>
      </c>
      <c r="B1447" s="29">
        <v>248.13</v>
      </c>
      <c r="C1447" s="37">
        <f t="shared" si="50"/>
        <v>41.354999999999997</v>
      </c>
      <c r="D1447" s="37">
        <v>7.7069999999999999</v>
      </c>
      <c r="E1447" s="33">
        <f t="shared" si="51"/>
        <v>-1.61179836402434E-4</v>
      </c>
    </row>
    <row r="1448" spans="1:5" x14ac:dyDescent="0.25">
      <c r="A1448" s="41">
        <v>43526</v>
      </c>
      <c r="B1448" s="29">
        <v>248.09</v>
      </c>
      <c r="C1448" s="37">
        <f t="shared" si="50"/>
        <v>41.348333333333336</v>
      </c>
      <c r="D1448" s="37">
        <v>7.7069999999999999</v>
      </c>
      <c r="E1448" s="33">
        <f t="shared" si="51"/>
        <v>-1.6120581953005296E-4</v>
      </c>
    </row>
    <row r="1449" spans="1:5" x14ac:dyDescent="0.25">
      <c r="A1449" s="41">
        <v>43526</v>
      </c>
      <c r="B1449" s="29">
        <v>248.33</v>
      </c>
      <c r="C1449" s="37">
        <f t="shared" si="50"/>
        <v>41.388333333333335</v>
      </c>
      <c r="D1449" s="37">
        <v>7.7069999999999999</v>
      </c>
      <c r="E1449" s="33">
        <f t="shared" si="51"/>
        <v>9.6739086621794139E-4</v>
      </c>
    </row>
    <row r="1450" spans="1:5" x14ac:dyDescent="0.25">
      <c r="A1450" s="41">
        <v>43526</v>
      </c>
      <c r="B1450" s="29">
        <v>250.97</v>
      </c>
      <c r="C1450" s="37">
        <f t="shared" si="50"/>
        <v>41.828333333333333</v>
      </c>
      <c r="D1450" s="37">
        <v>7.7069999999999999</v>
      </c>
      <c r="E1450" s="33">
        <f t="shared" si="51"/>
        <v>1.0631015181411775E-2</v>
      </c>
    </row>
    <row r="1451" spans="1:5" x14ac:dyDescent="0.25">
      <c r="A1451" s="41">
        <v>43526</v>
      </c>
      <c r="B1451" s="29">
        <v>251.33</v>
      </c>
      <c r="C1451" s="37">
        <f t="shared" si="50"/>
        <v>41.888333333333335</v>
      </c>
      <c r="D1451" s="37">
        <v>7.7069999999999999</v>
      </c>
      <c r="E1451" s="33">
        <f t="shared" si="51"/>
        <v>1.4344343945492037E-3</v>
      </c>
    </row>
    <row r="1452" spans="1:5" x14ac:dyDescent="0.25">
      <c r="A1452" s="41">
        <v>43526</v>
      </c>
      <c r="B1452" s="29">
        <v>251.43</v>
      </c>
      <c r="C1452" s="37">
        <f t="shared" si="50"/>
        <v>41.905000000000001</v>
      </c>
      <c r="D1452" s="37">
        <v>7.7069999999999999</v>
      </c>
      <c r="E1452" s="33">
        <f t="shared" si="51"/>
        <v>3.9788326105118493E-4</v>
      </c>
    </row>
    <row r="1453" spans="1:5" x14ac:dyDescent="0.25">
      <c r="A1453" s="41">
        <v>43526</v>
      </c>
      <c r="B1453" s="29">
        <v>251.42</v>
      </c>
      <c r="C1453" s="37">
        <f t="shared" si="50"/>
        <v>41.903333333333336</v>
      </c>
      <c r="D1453" s="37">
        <v>7.7069999999999999</v>
      </c>
      <c r="E1453" s="33">
        <f t="shared" si="51"/>
        <v>-3.9772501292683157E-5</v>
      </c>
    </row>
    <row r="1454" spans="1:5" x14ac:dyDescent="0.25">
      <c r="A1454" s="41">
        <v>43526</v>
      </c>
      <c r="B1454" s="29">
        <v>251.41</v>
      </c>
      <c r="C1454" s="37">
        <f t="shared" si="50"/>
        <v>41.901666666666664</v>
      </c>
      <c r="D1454" s="37">
        <v>7.7069999999999999</v>
      </c>
      <c r="E1454" s="33">
        <f t="shared" si="51"/>
        <v>-3.9774083207345896E-5</v>
      </c>
    </row>
    <row r="1455" spans="1:5" x14ac:dyDescent="0.25">
      <c r="A1455" s="41">
        <v>43526</v>
      </c>
      <c r="B1455" s="29">
        <v>251.38</v>
      </c>
      <c r="C1455" s="37">
        <f t="shared" si="50"/>
        <v>41.896666666666668</v>
      </c>
      <c r="D1455" s="37">
        <v>7.7069999999999999</v>
      </c>
      <c r="E1455" s="33">
        <f t="shared" si="51"/>
        <v>-1.1932699574400834E-4</v>
      </c>
    </row>
    <row r="1456" spans="1:5" x14ac:dyDescent="0.25">
      <c r="A1456" s="41">
        <v>43526</v>
      </c>
      <c r="B1456" s="29">
        <v>251.31</v>
      </c>
      <c r="C1456" s="37">
        <f t="shared" si="50"/>
        <v>41.884999999999998</v>
      </c>
      <c r="D1456" s="37">
        <v>7.7069999999999999</v>
      </c>
      <c r="E1456" s="33">
        <f t="shared" si="51"/>
        <v>-2.7846288487546017E-4</v>
      </c>
    </row>
    <row r="1457" spans="1:5" x14ac:dyDescent="0.25">
      <c r="A1457" s="41">
        <v>43526</v>
      </c>
      <c r="B1457" s="29">
        <v>251.25</v>
      </c>
      <c r="C1457" s="37">
        <f t="shared" si="50"/>
        <v>41.875</v>
      </c>
      <c r="D1457" s="37">
        <v>7.7069999999999999</v>
      </c>
      <c r="E1457" s="33">
        <f t="shared" si="51"/>
        <v>-2.3874895547332885E-4</v>
      </c>
    </row>
    <row r="1458" spans="1:5" x14ac:dyDescent="0.25">
      <c r="A1458" s="41">
        <v>43526</v>
      </c>
      <c r="B1458" s="29">
        <v>251.23</v>
      </c>
      <c r="C1458" s="37">
        <f t="shared" si="50"/>
        <v>41.87166666666667</v>
      </c>
      <c r="D1458" s="37">
        <v>7.7069999999999999</v>
      </c>
      <c r="E1458" s="33">
        <f t="shared" si="51"/>
        <v>-7.9601990049791972E-5</v>
      </c>
    </row>
    <row r="1459" spans="1:5" x14ac:dyDescent="0.25">
      <c r="A1459" s="41">
        <v>43526</v>
      </c>
      <c r="B1459" s="29">
        <v>251.2</v>
      </c>
      <c r="C1459" s="37">
        <f t="shared" si="50"/>
        <v>41.866666666666667</v>
      </c>
      <c r="D1459" s="37">
        <v>7.7069999999999999</v>
      </c>
      <c r="E1459" s="33">
        <f t="shared" si="51"/>
        <v>-1.1941249054651569E-4</v>
      </c>
    </row>
    <row r="1460" spans="1:5" x14ac:dyDescent="0.25">
      <c r="A1460" s="41">
        <v>43526</v>
      </c>
      <c r="B1460" s="29">
        <v>251.72</v>
      </c>
      <c r="C1460" s="37">
        <f t="shared" si="50"/>
        <v>41.953333333333333</v>
      </c>
      <c r="D1460" s="37">
        <v>7.7069999999999999</v>
      </c>
      <c r="E1460" s="33">
        <f t="shared" si="51"/>
        <v>2.0700636942675567E-3</v>
      </c>
    </row>
    <row r="1461" spans="1:5" x14ac:dyDescent="0.25">
      <c r="A1461" s="41">
        <v>43526</v>
      </c>
      <c r="B1461" s="29">
        <v>253.53</v>
      </c>
      <c r="C1461" s="37">
        <f t="shared" si="50"/>
        <v>42.255000000000003</v>
      </c>
      <c r="D1461" s="37">
        <v>7.7069999999999999</v>
      </c>
      <c r="E1461" s="33">
        <f t="shared" si="51"/>
        <v>7.1905291593834511E-3</v>
      </c>
    </row>
    <row r="1462" spans="1:5" x14ac:dyDescent="0.25">
      <c r="A1462" s="41">
        <v>43526</v>
      </c>
      <c r="B1462" s="29">
        <v>253.2</v>
      </c>
      <c r="C1462" s="37">
        <f t="shared" si="50"/>
        <v>42.2</v>
      </c>
      <c r="D1462" s="37">
        <v>7.7069999999999999</v>
      </c>
      <c r="E1462" s="33">
        <f t="shared" si="51"/>
        <v>-1.3016211099278684E-3</v>
      </c>
    </row>
    <row r="1463" spans="1:5" x14ac:dyDescent="0.25">
      <c r="A1463" s="41">
        <v>43526</v>
      </c>
      <c r="B1463" s="29">
        <v>252.42</v>
      </c>
      <c r="C1463" s="37">
        <f t="shared" si="50"/>
        <v>42.07</v>
      </c>
      <c r="D1463" s="37">
        <v>7.7069999999999999</v>
      </c>
      <c r="E1463" s="33">
        <f t="shared" si="51"/>
        <v>-3.0805687203791514E-3</v>
      </c>
    </row>
    <row r="1464" spans="1:5" x14ac:dyDescent="0.25">
      <c r="A1464" s="41">
        <v>43526</v>
      </c>
      <c r="B1464" s="29">
        <v>251.79</v>
      </c>
      <c r="C1464" s="37">
        <f t="shared" si="50"/>
        <v>41.965000000000003</v>
      </c>
      <c r="D1464" s="37">
        <v>7.7069999999999999</v>
      </c>
      <c r="E1464" s="33">
        <f t="shared" si="51"/>
        <v>-2.4958402662229439E-3</v>
      </c>
    </row>
    <row r="1465" spans="1:5" x14ac:dyDescent="0.25">
      <c r="A1465" s="41">
        <v>43526</v>
      </c>
      <c r="B1465" s="29">
        <v>250.03</v>
      </c>
      <c r="C1465" s="37">
        <f t="shared" si="50"/>
        <v>41.671666666666667</v>
      </c>
      <c r="D1465" s="37">
        <v>7.7069999999999999</v>
      </c>
      <c r="E1465" s="33">
        <f t="shared" si="51"/>
        <v>-6.9899519440803489E-3</v>
      </c>
    </row>
    <row r="1466" spans="1:5" x14ac:dyDescent="0.25">
      <c r="A1466" s="41">
        <v>43527</v>
      </c>
      <c r="B1466" s="29">
        <v>245.46</v>
      </c>
      <c r="C1466" s="37">
        <f t="shared" si="50"/>
        <v>40.909999999999997</v>
      </c>
      <c r="D1466" s="37">
        <v>6.8449999999999998</v>
      </c>
      <c r="E1466" s="33">
        <f t="shared" si="51"/>
        <v>-1.8277806663200388E-2</v>
      </c>
    </row>
    <row r="1467" spans="1:5" x14ac:dyDescent="0.25">
      <c r="A1467" s="41">
        <v>43527</v>
      </c>
      <c r="B1467" s="29">
        <v>243.54</v>
      </c>
      <c r="C1467" s="37">
        <f t="shared" si="50"/>
        <v>40.590000000000003</v>
      </c>
      <c r="D1467" s="37">
        <v>6.8449999999999998</v>
      </c>
      <c r="E1467" s="33">
        <f t="shared" si="51"/>
        <v>-7.8220483989245321E-3</v>
      </c>
    </row>
    <row r="1468" spans="1:5" x14ac:dyDescent="0.25">
      <c r="A1468" s="41">
        <v>43527</v>
      </c>
      <c r="B1468" s="29">
        <v>242.93</v>
      </c>
      <c r="C1468" s="37">
        <f t="shared" si="50"/>
        <v>40.488333333333337</v>
      </c>
      <c r="D1468" s="37">
        <v>6.8449999999999998</v>
      </c>
      <c r="E1468" s="33">
        <f t="shared" si="51"/>
        <v>-2.5047220169170784E-3</v>
      </c>
    </row>
    <row r="1469" spans="1:5" x14ac:dyDescent="0.25">
      <c r="A1469" s="41">
        <v>43527</v>
      </c>
      <c r="B1469" s="29">
        <v>242.88</v>
      </c>
      <c r="C1469" s="37">
        <f t="shared" si="50"/>
        <v>40.479999999999997</v>
      </c>
      <c r="D1469" s="37">
        <v>6.8449999999999998</v>
      </c>
      <c r="E1469" s="33">
        <f t="shared" si="51"/>
        <v>-2.0582060675919552E-4</v>
      </c>
    </row>
    <row r="1470" spans="1:5" x14ac:dyDescent="0.25">
      <c r="A1470" s="41">
        <v>43527</v>
      </c>
      <c r="B1470" s="29">
        <v>242.84</v>
      </c>
      <c r="C1470" s="37">
        <f t="shared" si="50"/>
        <v>40.473333333333336</v>
      </c>
      <c r="D1470" s="37">
        <v>6.8449999999999998</v>
      </c>
      <c r="E1470" s="33">
        <f t="shared" si="51"/>
        <v>-1.6469038208165367E-4</v>
      </c>
    </row>
    <row r="1471" spans="1:5" x14ac:dyDescent="0.25">
      <c r="A1471" s="41">
        <v>43527</v>
      </c>
      <c r="B1471" s="29">
        <v>242.8</v>
      </c>
      <c r="C1471" s="37">
        <f t="shared" si="50"/>
        <v>40.466666666666669</v>
      </c>
      <c r="D1471" s="37">
        <v>6.8449999999999998</v>
      </c>
      <c r="E1471" s="33">
        <f t="shared" si="51"/>
        <v>-1.6471750947122401E-4</v>
      </c>
    </row>
    <row r="1472" spans="1:5" x14ac:dyDescent="0.25">
      <c r="A1472" s="41">
        <v>43527</v>
      </c>
      <c r="B1472" s="29">
        <v>242.76</v>
      </c>
      <c r="C1472" s="37">
        <f t="shared" si="50"/>
        <v>40.46</v>
      </c>
      <c r="D1472" s="37">
        <v>6.8449999999999998</v>
      </c>
      <c r="E1472" s="33">
        <f t="shared" si="51"/>
        <v>-1.6474464579909579E-4</v>
      </c>
    </row>
    <row r="1473" spans="1:5" x14ac:dyDescent="0.25">
      <c r="A1473" s="41">
        <v>43527</v>
      </c>
      <c r="B1473" s="29">
        <v>242.71</v>
      </c>
      <c r="C1473" s="37">
        <f t="shared" si="50"/>
        <v>40.451666666666668</v>
      </c>
      <c r="D1473" s="37">
        <v>6.8449999999999998</v>
      </c>
      <c r="E1473" s="33">
        <f t="shared" si="51"/>
        <v>-2.0596473883664092E-4</v>
      </c>
    </row>
    <row r="1474" spans="1:5" x14ac:dyDescent="0.25">
      <c r="A1474" s="41">
        <v>43527</v>
      </c>
      <c r="B1474" s="29">
        <v>242.67</v>
      </c>
      <c r="C1474" s="37">
        <f t="shared" si="50"/>
        <v>40.445</v>
      </c>
      <c r="D1474" s="37">
        <v>6.8449999999999998</v>
      </c>
      <c r="E1474" s="33">
        <f t="shared" si="51"/>
        <v>-1.6480573523967065E-4</v>
      </c>
    </row>
    <row r="1475" spans="1:5" x14ac:dyDescent="0.25">
      <c r="A1475" s="41">
        <v>43527</v>
      </c>
      <c r="B1475" s="29">
        <v>243.41</v>
      </c>
      <c r="C1475" s="37">
        <f t="shared" ref="C1475:C1538" si="52">(B1475*100/600)</f>
        <v>40.568333333333335</v>
      </c>
      <c r="D1475" s="37">
        <v>6.8449999999999998</v>
      </c>
      <c r="E1475" s="33">
        <f t="shared" si="51"/>
        <v>3.0494086619689666E-3</v>
      </c>
    </row>
    <row r="1476" spans="1:5" x14ac:dyDescent="0.25">
      <c r="A1476" s="41">
        <v>43527</v>
      </c>
      <c r="B1476" s="29">
        <v>244.6</v>
      </c>
      <c r="C1476" s="37">
        <f t="shared" si="52"/>
        <v>40.766666666666666</v>
      </c>
      <c r="D1476" s="37">
        <v>6.8449999999999998</v>
      </c>
      <c r="E1476" s="33">
        <f t="shared" ref="E1476:E1539" si="53">(B1476-B1475)/B1475</f>
        <v>4.8888706298015599E-3</v>
      </c>
    </row>
    <row r="1477" spans="1:5" x14ac:dyDescent="0.25">
      <c r="A1477" s="41">
        <v>43527</v>
      </c>
      <c r="B1477" s="29">
        <v>244.94</v>
      </c>
      <c r="C1477" s="37">
        <f t="shared" si="52"/>
        <v>40.823333333333331</v>
      </c>
      <c r="D1477" s="37">
        <v>6.8449999999999998</v>
      </c>
      <c r="E1477" s="33">
        <f t="shared" si="53"/>
        <v>1.3900245298446583E-3</v>
      </c>
    </row>
    <row r="1478" spans="1:5" x14ac:dyDescent="0.25">
      <c r="A1478" s="41">
        <v>43527</v>
      </c>
      <c r="B1478" s="29">
        <v>244.82</v>
      </c>
      <c r="C1478" s="37">
        <f t="shared" si="52"/>
        <v>40.803333333333335</v>
      </c>
      <c r="D1478" s="37">
        <v>6.8449999999999998</v>
      </c>
      <c r="E1478" s="33">
        <f t="shared" si="53"/>
        <v>-4.8991589777090119E-4</v>
      </c>
    </row>
    <row r="1479" spans="1:5" x14ac:dyDescent="0.25">
      <c r="A1479" s="41">
        <v>43527</v>
      </c>
      <c r="B1479" s="29">
        <v>244.7</v>
      </c>
      <c r="C1479" s="37">
        <f t="shared" si="52"/>
        <v>40.783333333333331</v>
      </c>
      <c r="D1479" s="37">
        <v>6.8449999999999998</v>
      </c>
      <c r="E1479" s="33">
        <f t="shared" si="53"/>
        <v>-4.9015603300385817E-4</v>
      </c>
    </row>
    <row r="1480" spans="1:5" x14ac:dyDescent="0.25">
      <c r="A1480" s="41">
        <v>43527</v>
      </c>
      <c r="B1480" s="29">
        <v>244.67</v>
      </c>
      <c r="C1480" s="37">
        <f t="shared" si="52"/>
        <v>40.778333333333336</v>
      </c>
      <c r="D1480" s="37">
        <v>6.8449999999999998</v>
      </c>
      <c r="E1480" s="33">
        <f t="shared" si="53"/>
        <v>-1.2259910093993109E-4</v>
      </c>
    </row>
    <row r="1481" spans="1:5" x14ac:dyDescent="0.25">
      <c r="A1481" s="41">
        <v>43527</v>
      </c>
      <c r="B1481" s="29">
        <v>244.76</v>
      </c>
      <c r="C1481" s="37">
        <f t="shared" si="52"/>
        <v>40.793333333333337</v>
      </c>
      <c r="D1481" s="37">
        <v>6.8449999999999998</v>
      </c>
      <c r="E1481" s="33">
        <f t="shared" si="53"/>
        <v>3.6784239996731687E-4</v>
      </c>
    </row>
    <row r="1482" spans="1:5" x14ac:dyDescent="0.25">
      <c r="A1482" s="41">
        <v>43527</v>
      </c>
      <c r="B1482" s="29">
        <v>244.83</v>
      </c>
      <c r="C1482" s="37">
        <f t="shared" si="52"/>
        <v>40.805</v>
      </c>
      <c r="D1482" s="37">
        <v>6.8449999999999998</v>
      </c>
      <c r="E1482" s="33">
        <f t="shared" si="53"/>
        <v>2.8599444353661382E-4</v>
      </c>
    </row>
    <row r="1483" spans="1:5" x14ac:dyDescent="0.25">
      <c r="A1483" s="41">
        <v>43527</v>
      </c>
      <c r="B1483" s="29">
        <v>247.01</v>
      </c>
      <c r="C1483" s="37">
        <f t="shared" si="52"/>
        <v>41.168333333333337</v>
      </c>
      <c r="D1483" s="37">
        <v>6.8449999999999998</v>
      </c>
      <c r="E1483" s="33">
        <f t="shared" si="53"/>
        <v>8.9041375648408212E-3</v>
      </c>
    </row>
    <row r="1484" spans="1:5" x14ac:dyDescent="0.25">
      <c r="A1484" s="41">
        <v>43527</v>
      </c>
      <c r="B1484" s="29">
        <v>251.58</v>
      </c>
      <c r="C1484" s="37">
        <f t="shared" si="52"/>
        <v>41.93</v>
      </c>
      <c r="D1484" s="37">
        <v>6.8449999999999998</v>
      </c>
      <c r="E1484" s="33">
        <f t="shared" si="53"/>
        <v>1.8501275252014178E-2</v>
      </c>
    </row>
    <row r="1485" spans="1:5" x14ac:dyDescent="0.25">
      <c r="A1485" s="41">
        <v>43527</v>
      </c>
      <c r="B1485" s="29">
        <v>252.66</v>
      </c>
      <c r="C1485" s="37">
        <f t="shared" si="52"/>
        <v>42.11</v>
      </c>
      <c r="D1485" s="37">
        <v>6.8449999999999998</v>
      </c>
      <c r="E1485" s="33">
        <f t="shared" si="53"/>
        <v>4.2928690674933776E-3</v>
      </c>
    </row>
    <row r="1486" spans="1:5" x14ac:dyDescent="0.25">
      <c r="A1486" s="41">
        <v>43527</v>
      </c>
      <c r="B1486" s="29">
        <v>252.78</v>
      </c>
      <c r="C1486" s="37">
        <f t="shared" si="52"/>
        <v>42.13</v>
      </c>
      <c r="D1486" s="37">
        <v>6.8449999999999998</v>
      </c>
      <c r="E1486" s="33">
        <f t="shared" si="53"/>
        <v>4.7494656851106051E-4</v>
      </c>
    </row>
    <row r="1487" spans="1:5" x14ac:dyDescent="0.25">
      <c r="A1487" s="41">
        <v>43527</v>
      </c>
      <c r="B1487" s="29">
        <v>252.65</v>
      </c>
      <c r="C1487" s="37">
        <f t="shared" si="52"/>
        <v>42.108333333333334</v>
      </c>
      <c r="D1487" s="37">
        <v>6.8449999999999998</v>
      </c>
      <c r="E1487" s="33">
        <f t="shared" si="53"/>
        <v>-5.1428119313235007E-4</v>
      </c>
    </row>
    <row r="1488" spans="1:5" x14ac:dyDescent="0.25">
      <c r="A1488" s="41">
        <v>43527</v>
      </c>
      <c r="B1488" s="29">
        <v>252.52</v>
      </c>
      <c r="C1488" s="37">
        <f t="shared" si="52"/>
        <v>42.086666666666666</v>
      </c>
      <c r="D1488" s="37">
        <v>6.8449999999999998</v>
      </c>
      <c r="E1488" s="33">
        <f t="shared" si="53"/>
        <v>-5.1454581436768433E-4</v>
      </c>
    </row>
    <row r="1489" spans="1:5" x14ac:dyDescent="0.25">
      <c r="A1489" s="41">
        <v>43527</v>
      </c>
      <c r="B1489" s="29">
        <v>250.23</v>
      </c>
      <c r="C1489" s="37">
        <f t="shared" si="52"/>
        <v>41.704999999999998</v>
      </c>
      <c r="D1489" s="37">
        <v>6.8449999999999998</v>
      </c>
      <c r="E1489" s="33">
        <f t="shared" si="53"/>
        <v>-9.0685886266435155E-3</v>
      </c>
    </row>
    <row r="1490" spans="1:5" x14ac:dyDescent="0.25">
      <c r="A1490" s="41">
        <v>43528</v>
      </c>
      <c r="B1490" s="29">
        <v>251.05</v>
      </c>
      <c r="C1490" s="37">
        <f t="shared" si="52"/>
        <v>41.841666666666669</v>
      </c>
      <c r="D1490" s="37">
        <v>6.2640000000000002</v>
      </c>
      <c r="E1490" s="33">
        <f t="shared" si="53"/>
        <v>3.2769851736403374E-3</v>
      </c>
    </row>
    <row r="1491" spans="1:5" x14ac:dyDescent="0.25">
      <c r="A1491" s="41">
        <v>43528</v>
      </c>
      <c r="B1491" s="29">
        <v>250.43</v>
      </c>
      <c r="C1491" s="37">
        <f t="shared" si="52"/>
        <v>41.738333333333337</v>
      </c>
      <c r="D1491" s="37">
        <v>6.2640000000000002</v>
      </c>
      <c r="E1491" s="33">
        <f t="shared" si="53"/>
        <v>-2.4696275642302509E-3</v>
      </c>
    </row>
    <row r="1492" spans="1:5" x14ac:dyDescent="0.25">
      <c r="A1492" s="41">
        <v>43528</v>
      </c>
      <c r="B1492" s="29">
        <v>249.02</v>
      </c>
      <c r="C1492" s="37">
        <f t="shared" si="52"/>
        <v>41.50333333333333</v>
      </c>
      <c r="D1492" s="37">
        <v>6.2640000000000002</v>
      </c>
      <c r="E1492" s="33">
        <f t="shared" si="53"/>
        <v>-5.6303158567264167E-3</v>
      </c>
    </row>
    <row r="1493" spans="1:5" x14ac:dyDescent="0.25">
      <c r="A1493" s="41">
        <v>43528</v>
      </c>
      <c r="B1493" s="29">
        <v>248.66</v>
      </c>
      <c r="C1493" s="37">
        <f t="shared" si="52"/>
        <v>41.443333333333335</v>
      </c>
      <c r="D1493" s="37">
        <v>6.2640000000000002</v>
      </c>
      <c r="E1493" s="33">
        <f t="shared" si="53"/>
        <v>-1.4456670146976694E-3</v>
      </c>
    </row>
    <row r="1494" spans="1:5" x14ac:dyDescent="0.25">
      <c r="A1494" s="41">
        <v>43528</v>
      </c>
      <c r="B1494" s="29">
        <v>248.68</v>
      </c>
      <c r="C1494" s="37">
        <f t="shared" si="52"/>
        <v>41.446666666666665</v>
      </c>
      <c r="D1494" s="37">
        <v>6.2640000000000002</v>
      </c>
      <c r="E1494" s="33">
        <f t="shared" si="53"/>
        <v>8.0431110753680657E-5</v>
      </c>
    </row>
    <row r="1495" spans="1:5" x14ac:dyDescent="0.25">
      <c r="A1495" s="41">
        <v>43528</v>
      </c>
      <c r="B1495" s="29">
        <v>248.71</v>
      </c>
      <c r="C1495" s="37">
        <f t="shared" si="52"/>
        <v>41.451666666666668</v>
      </c>
      <c r="D1495" s="37">
        <v>6.2640000000000002</v>
      </c>
      <c r="E1495" s="33">
        <f t="shared" si="53"/>
        <v>1.2063696316551848E-4</v>
      </c>
    </row>
    <row r="1496" spans="1:5" x14ac:dyDescent="0.25">
      <c r="A1496" s="41">
        <v>43528</v>
      </c>
      <c r="B1496" s="29">
        <v>248.72</v>
      </c>
      <c r="C1496" s="37">
        <f t="shared" si="52"/>
        <v>41.453333333333333</v>
      </c>
      <c r="D1496" s="37">
        <v>6.2640000000000002</v>
      </c>
      <c r="E1496" s="33">
        <f t="shared" si="53"/>
        <v>4.0207470547991254E-5</v>
      </c>
    </row>
    <row r="1497" spans="1:5" x14ac:dyDescent="0.25">
      <c r="A1497" s="41">
        <v>43528</v>
      </c>
      <c r="B1497" s="29">
        <v>250.79</v>
      </c>
      <c r="C1497" s="37">
        <f t="shared" si="52"/>
        <v>41.798333333333332</v>
      </c>
      <c r="D1497" s="37">
        <v>6.2640000000000002</v>
      </c>
      <c r="E1497" s="33">
        <f t="shared" si="53"/>
        <v>8.3226117722740162E-3</v>
      </c>
    </row>
    <row r="1498" spans="1:5" x14ac:dyDescent="0.25">
      <c r="A1498" s="41">
        <v>43528</v>
      </c>
      <c r="B1498" s="29">
        <v>252.51</v>
      </c>
      <c r="C1498" s="37">
        <f t="shared" si="52"/>
        <v>42.085000000000001</v>
      </c>
      <c r="D1498" s="37">
        <v>6.2640000000000002</v>
      </c>
      <c r="E1498" s="33">
        <f t="shared" si="53"/>
        <v>6.8583276845169223E-3</v>
      </c>
    </row>
    <row r="1499" spans="1:5" x14ac:dyDescent="0.25">
      <c r="A1499" s="41">
        <v>43528</v>
      </c>
      <c r="B1499" s="29">
        <v>253.23</v>
      </c>
      <c r="C1499" s="37">
        <f t="shared" si="52"/>
        <v>42.204999999999998</v>
      </c>
      <c r="D1499" s="37">
        <v>6.2640000000000002</v>
      </c>
      <c r="E1499" s="33">
        <f t="shared" si="53"/>
        <v>2.8513722228822578E-3</v>
      </c>
    </row>
    <row r="1500" spans="1:5" x14ac:dyDescent="0.25">
      <c r="A1500" s="41">
        <v>43528</v>
      </c>
      <c r="B1500" s="29">
        <v>253.21</v>
      </c>
      <c r="C1500" s="37">
        <f t="shared" si="52"/>
        <v>42.201666666666668</v>
      </c>
      <c r="D1500" s="37">
        <v>6.2640000000000002</v>
      </c>
      <c r="E1500" s="33">
        <f t="shared" si="53"/>
        <v>-7.8979583777521661E-5</v>
      </c>
    </row>
    <row r="1501" spans="1:5" x14ac:dyDescent="0.25">
      <c r="A1501" s="41">
        <v>43528</v>
      </c>
      <c r="B1501" s="29">
        <v>253.21</v>
      </c>
      <c r="C1501" s="37">
        <f t="shared" si="52"/>
        <v>42.201666666666668</v>
      </c>
      <c r="D1501" s="37">
        <v>6.2640000000000002</v>
      </c>
      <c r="E1501" s="33">
        <f t="shared" si="53"/>
        <v>0</v>
      </c>
    </row>
    <row r="1502" spans="1:5" x14ac:dyDescent="0.25">
      <c r="A1502" s="41">
        <v>43528</v>
      </c>
      <c r="B1502" s="29">
        <v>253.1</v>
      </c>
      <c r="C1502" s="37">
        <f t="shared" si="52"/>
        <v>42.18333333333333</v>
      </c>
      <c r="D1502" s="37">
        <v>6.2640000000000002</v>
      </c>
      <c r="E1502" s="33">
        <f t="shared" si="53"/>
        <v>-4.3442202124723998E-4</v>
      </c>
    </row>
    <row r="1503" spans="1:5" x14ac:dyDescent="0.25">
      <c r="A1503" s="41">
        <v>43528</v>
      </c>
      <c r="B1503" s="29">
        <v>253.28</v>
      </c>
      <c r="C1503" s="37">
        <f t="shared" si="52"/>
        <v>42.213333333333331</v>
      </c>
      <c r="D1503" s="37">
        <v>6.2640000000000002</v>
      </c>
      <c r="E1503" s="33">
        <f t="shared" si="53"/>
        <v>7.1118135124459436E-4</v>
      </c>
    </row>
    <row r="1504" spans="1:5" x14ac:dyDescent="0.25">
      <c r="A1504" s="41">
        <v>43528</v>
      </c>
      <c r="B1504" s="29">
        <v>253.35</v>
      </c>
      <c r="C1504" s="37">
        <f t="shared" si="52"/>
        <v>42.225000000000001</v>
      </c>
      <c r="D1504" s="37">
        <v>6.2640000000000002</v>
      </c>
      <c r="E1504" s="33">
        <f t="shared" si="53"/>
        <v>2.7637397346807162E-4</v>
      </c>
    </row>
    <row r="1505" spans="1:5" x14ac:dyDescent="0.25">
      <c r="A1505" s="41">
        <v>43528</v>
      </c>
      <c r="B1505" s="29">
        <v>253.33</v>
      </c>
      <c r="C1505" s="37">
        <f t="shared" si="52"/>
        <v>42.221666666666664</v>
      </c>
      <c r="D1505" s="37">
        <v>6.2640000000000002</v>
      </c>
      <c r="E1505" s="33">
        <f t="shared" si="53"/>
        <v>-7.8942174856845519E-5</v>
      </c>
    </row>
    <row r="1506" spans="1:5" x14ac:dyDescent="0.25">
      <c r="A1506" s="41">
        <v>43528</v>
      </c>
      <c r="B1506" s="29">
        <v>253.3</v>
      </c>
      <c r="C1506" s="37">
        <f t="shared" si="52"/>
        <v>42.216666666666669</v>
      </c>
      <c r="D1506" s="37">
        <v>6.2640000000000002</v>
      </c>
      <c r="E1506" s="33">
        <f t="shared" si="53"/>
        <v>-1.1842261082383112E-4</v>
      </c>
    </row>
    <row r="1507" spans="1:5" x14ac:dyDescent="0.25">
      <c r="A1507" s="41">
        <v>43528</v>
      </c>
      <c r="B1507" s="29">
        <v>252.88</v>
      </c>
      <c r="C1507" s="37">
        <f t="shared" si="52"/>
        <v>42.146666666666668</v>
      </c>
      <c r="D1507" s="37">
        <v>6.2640000000000002</v>
      </c>
      <c r="E1507" s="33">
        <f t="shared" si="53"/>
        <v>-1.6581129095934303E-3</v>
      </c>
    </row>
    <row r="1508" spans="1:5" x14ac:dyDescent="0.25">
      <c r="A1508" s="41">
        <v>43528</v>
      </c>
      <c r="B1508" s="29">
        <v>252.92</v>
      </c>
      <c r="C1508" s="37">
        <f t="shared" si="52"/>
        <v>42.153333333333336</v>
      </c>
      <c r="D1508" s="37">
        <v>6.2640000000000002</v>
      </c>
      <c r="E1508" s="33">
        <f t="shared" si="53"/>
        <v>1.5817779183799447E-4</v>
      </c>
    </row>
    <row r="1509" spans="1:5" x14ac:dyDescent="0.25">
      <c r="A1509" s="41">
        <v>43528</v>
      </c>
      <c r="B1509" s="29">
        <v>254.04</v>
      </c>
      <c r="C1509" s="37">
        <f t="shared" si="52"/>
        <v>42.34</v>
      </c>
      <c r="D1509" s="37">
        <v>6.2640000000000002</v>
      </c>
      <c r="E1509" s="33">
        <f t="shared" si="53"/>
        <v>4.428277716273939E-3</v>
      </c>
    </row>
    <row r="1510" spans="1:5" x14ac:dyDescent="0.25">
      <c r="A1510" s="41">
        <v>43528</v>
      </c>
      <c r="B1510" s="29">
        <v>254.06</v>
      </c>
      <c r="C1510" s="37">
        <f t="shared" si="52"/>
        <v>42.343333333333334</v>
      </c>
      <c r="D1510" s="37">
        <v>6.2640000000000002</v>
      </c>
      <c r="E1510" s="33">
        <f t="shared" si="53"/>
        <v>7.8727759408007527E-5</v>
      </c>
    </row>
    <row r="1511" spans="1:5" x14ac:dyDescent="0.25">
      <c r="A1511" s="41">
        <v>43528</v>
      </c>
      <c r="B1511" s="29">
        <v>253.55</v>
      </c>
      <c r="C1511" s="37">
        <f t="shared" si="52"/>
        <v>42.258333333333333</v>
      </c>
      <c r="D1511" s="37">
        <v>6.2640000000000002</v>
      </c>
      <c r="E1511" s="33">
        <f t="shared" si="53"/>
        <v>-2.0073998268125282E-3</v>
      </c>
    </row>
    <row r="1512" spans="1:5" x14ac:dyDescent="0.25">
      <c r="A1512" s="41">
        <v>43528</v>
      </c>
      <c r="B1512" s="29">
        <v>253.13</v>
      </c>
      <c r="C1512" s="37">
        <f t="shared" si="52"/>
        <v>42.188333333333333</v>
      </c>
      <c r="D1512" s="37">
        <v>6.2640000000000002</v>
      </c>
      <c r="E1512" s="33">
        <f t="shared" si="53"/>
        <v>-1.656478012226448E-3</v>
      </c>
    </row>
    <row r="1513" spans="1:5" x14ac:dyDescent="0.25">
      <c r="A1513" s="41">
        <v>43528</v>
      </c>
      <c r="B1513" s="29">
        <v>252.61</v>
      </c>
      <c r="C1513" s="37">
        <f t="shared" si="52"/>
        <v>42.101666666666667</v>
      </c>
      <c r="D1513" s="37">
        <v>6.2640000000000002</v>
      </c>
      <c r="E1513" s="33">
        <f t="shared" si="53"/>
        <v>-2.0542804092757942E-3</v>
      </c>
    </row>
    <row r="1514" spans="1:5" x14ac:dyDescent="0.25">
      <c r="A1514" s="41">
        <v>43529</v>
      </c>
      <c r="B1514" s="29">
        <v>251.55</v>
      </c>
      <c r="C1514" s="37">
        <f t="shared" si="52"/>
        <v>41.924999999999997</v>
      </c>
      <c r="D1514" s="37">
        <v>6.0430000000000001</v>
      </c>
      <c r="E1514" s="33">
        <f t="shared" si="53"/>
        <v>-4.1961917580460089E-3</v>
      </c>
    </row>
    <row r="1515" spans="1:5" x14ac:dyDescent="0.25">
      <c r="A1515" s="41">
        <v>43529</v>
      </c>
      <c r="B1515" s="29">
        <v>250.85</v>
      </c>
      <c r="C1515" s="37">
        <f t="shared" si="52"/>
        <v>41.80833333333333</v>
      </c>
      <c r="D1515" s="37">
        <v>6.0430000000000001</v>
      </c>
      <c r="E1515" s="33">
        <f t="shared" si="53"/>
        <v>-2.782746968793548E-3</v>
      </c>
    </row>
    <row r="1516" spans="1:5" x14ac:dyDescent="0.25">
      <c r="A1516" s="41">
        <v>43529</v>
      </c>
      <c r="B1516" s="29">
        <v>250.25</v>
      </c>
      <c r="C1516" s="37">
        <f t="shared" si="52"/>
        <v>41.708333333333336</v>
      </c>
      <c r="D1516" s="37">
        <v>6.0430000000000001</v>
      </c>
      <c r="E1516" s="33">
        <f t="shared" si="53"/>
        <v>-2.3918676499900112E-3</v>
      </c>
    </row>
    <row r="1517" spans="1:5" x14ac:dyDescent="0.25">
      <c r="A1517" s="41">
        <v>43529</v>
      </c>
      <c r="B1517" s="29">
        <v>249.59</v>
      </c>
      <c r="C1517" s="37">
        <f t="shared" si="52"/>
        <v>41.598333333333336</v>
      </c>
      <c r="D1517" s="37">
        <v>6.0430000000000001</v>
      </c>
      <c r="E1517" s="33">
        <f t="shared" si="53"/>
        <v>-2.6373626373626239E-3</v>
      </c>
    </row>
    <row r="1518" spans="1:5" x14ac:dyDescent="0.25">
      <c r="A1518" s="41">
        <v>43529</v>
      </c>
      <c r="B1518" s="29">
        <v>249.21</v>
      </c>
      <c r="C1518" s="37">
        <f t="shared" si="52"/>
        <v>41.534999999999997</v>
      </c>
      <c r="D1518" s="37">
        <v>6.0430000000000001</v>
      </c>
      <c r="E1518" s="33">
        <f t="shared" si="53"/>
        <v>-1.5224968949076303E-3</v>
      </c>
    </row>
    <row r="1519" spans="1:5" x14ac:dyDescent="0.25">
      <c r="A1519" s="41">
        <v>43529</v>
      </c>
      <c r="B1519" s="29">
        <v>249.33</v>
      </c>
      <c r="C1519" s="37">
        <f t="shared" si="52"/>
        <v>41.555</v>
      </c>
      <c r="D1519" s="37">
        <v>6.0430000000000001</v>
      </c>
      <c r="E1519" s="33">
        <f t="shared" si="53"/>
        <v>4.8152160828218992E-4</v>
      </c>
    </row>
    <row r="1520" spans="1:5" x14ac:dyDescent="0.25">
      <c r="A1520" s="41">
        <v>43529</v>
      </c>
      <c r="B1520" s="29">
        <v>246.85</v>
      </c>
      <c r="C1520" s="37">
        <f t="shared" si="52"/>
        <v>41.141666666666666</v>
      </c>
      <c r="D1520" s="37">
        <v>6.0430000000000001</v>
      </c>
      <c r="E1520" s="33">
        <f t="shared" si="53"/>
        <v>-9.9466570408696022E-3</v>
      </c>
    </row>
    <row r="1521" spans="1:5" x14ac:dyDescent="0.25">
      <c r="A1521" s="41">
        <v>43529</v>
      </c>
      <c r="B1521" s="29">
        <v>249.63</v>
      </c>
      <c r="C1521" s="37">
        <f t="shared" si="52"/>
        <v>41.604999999999997</v>
      </c>
      <c r="D1521" s="37">
        <v>6.0430000000000001</v>
      </c>
      <c r="E1521" s="33">
        <f t="shared" si="53"/>
        <v>1.1261899939234358E-2</v>
      </c>
    </row>
    <row r="1522" spans="1:5" x14ac:dyDescent="0.25">
      <c r="A1522" s="41">
        <v>43529</v>
      </c>
      <c r="B1522" s="29">
        <v>251.15</v>
      </c>
      <c r="C1522" s="37">
        <f t="shared" si="52"/>
        <v>41.858333333333334</v>
      </c>
      <c r="D1522" s="37">
        <v>6.0430000000000001</v>
      </c>
      <c r="E1522" s="33">
        <f t="shared" si="53"/>
        <v>6.0890117373713507E-3</v>
      </c>
    </row>
    <row r="1523" spans="1:5" x14ac:dyDescent="0.25">
      <c r="A1523" s="41">
        <v>43529</v>
      </c>
      <c r="B1523" s="29">
        <v>251.44</v>
      </c>
      <c r="C1523" s="37">
        <f t="shared" si="52"/>
        <v>41.906666666666666</v>
      </c>
      <c r="D1523" s="37">
        <v>6.0430000000000001</v>
      </c>
      <c r="E1523" s="33">
        <f t="shared" si="53"/>
        <v>1.154688433207215E-3</v>
      </c>
    </row>
    <row r="1524" spans="1:5" x14ac:dyDescent="0.25">
      <c r="A1524" s="41">
        <v>43529</v>
      </c>
      <c r="B1524" s="29">
        <v>251.4</v>
      </c>
      <c r="C1524" s="37">
        <f t="shared" si="52"/>
        <v>41.9</v>
      </c>
      <c r="D1524" s="37">
        <v>6.0430000000000001</v>
      </c>
      <c r="E1524" s="33">
        <f t="shared" si="53"/>
        <v>-1.5908367801460404E-4</v>
      </c>
    </row>
    <row r="1525" spans="1:5" x14ac:dyDescent="0.25">
      <c r="A1525" s="41">
        <v>43529</v>
      </c>
      <c r="B1525" s="29">
        <v>251.35</v>
      </c>
      <c r="C1525" s="37">
        <f t="shared" si="52"/>
        <v>41.891666666666666</v>
      </c>
      <c r="D1525" s="37">
        <v>6.0430000000000001</v>
      </c>
      <c r="E1525" s="33">
        <f t="shared" si="53"/>
        <v>-1.9888623707243981E-4</v>
      </c>
    </row>
    <row r="1526" spans="1:5" x14ac:dyDescent="0.25">
      <c r="A1526" s="41">
        <v>43529</v>
      </c>
      <c r="B1526" s="29">
        <v>251.31</v>
      </c>
      <c r="C1526" s="37">
        <f t="shared" si="52"/>
        <v>41.884999999999998</v>
      </c>
      <c r="D1526" s="37">
        <v>6.0430000000000001</v>
      </c>
      <c r="E1526" s="33">
        <f t="shared" si="53"/>
        <v>-1.5914064054104653E-4</v>
      </c>
    </row>
    <row r="1527" spans="1:5" x14ac:dyDescent="0.25">
      <c r="A1527" s="41">
        <v>43529</v>
      </c>
      <c r="B1527" s="29">
        <v>251.27</v>
      </c>
      <c r="C1527" s="37">
        <f t="shared" si="52"/>
        <v>41.87833333333333</v>
      </c>
      <c r="D1527" s="37">
        <v>6.0430000000000001</v>
      </c>
      <c r="E1527" s="33">
        <f t="shared" si="53"/>
        <v>-1.5916597031551488E-4</v>
      </c>
    </row>
    <row r="1528" spans="1:5" x14ac:dyDescent="0.25">
      <c r="A1528" s="41">
        <v>43529</v>
      </c>
      <c r="B1528" s="29">
        <v>251.22</v>
      </c>
      <c r="C1528" s="37">
        <f t="shared" si="52"/>
        <v>41.87</v>
      </c>
      <c r="D1528" s="37">
        <v>6.0430000000000001</v>
      </c>
      <c r="E1528" s="33">
        <f t="shared" si="53"/>
        <v>-1.9898913519326368E-4</v>
      </c>
    </row>
    <row r="1529" spans="1:5" x14ac:dyDescent="0.25">
      <c r="A1529" s="41">
        <v>43529</v>
      </c>
      <c r="B1529" s="29">
        <v>251.22</v>
      </c>
      <c r="C1529" s="37">
        <f t="shared" si="52"/>
        <v>41.87</v>
      </c>
      <c r="D1529" s="37">
        <v>6.0430000000000001</v>
      </c>
      <c r="E1529" s="33">
        <f t="shared" si="53"/>
        <v>0</v>
      </c>
    </row>
    <row r="1530" spans="1:5" x14ac:dyDescent="0.25">
      <c r="A1530" s="41">
        <v>43529</v>
      </c>
      <c r="B1530" s="29">
        <v>251.13</v>
      </c>
      <c r="C1530" s="37">
        <f t="shared" si="52"/>
        <v>41.854999999999997</v>
      </c>
      <c r="D1530" s="37">
        <v>6.0430000000000001</v>
      </c>
      <c r="E1530" s="33">
        <f t="shared" si="53"/>
        <v>-3.582517315500494E-4</v>
      </c>
    </row>
    <row r="1531" spans="1:5" x14ac:dyDescent="0.25">
      <c r="A1531" s="41">
        <v>43529</v>
      </c>
      <c r="B1531" s="29">
        <v>251.09</v>
      </c>
      <c r="C1531" s="37">
        <f t="shared" si="52"/>
        <v>41.848333333333336</v>
      </c>
      <c r="D1531" s="37">
        <v>6.0430000000000001</v>
      </c>
      <c r="E1531" s="33">
        <f t="shared" si="53"/>
        <v>-1.5928005415518672E-4</v>
      </c>
    </row>
    <row r="1532" spans="1:5" x14ac:dyDescent="0.25">
      <c r="A1532" s="41">
        <v>43529</v>
      </c>
      <c r="B1532" s="29">
        <v>251.19</v>
      </c>
      <c r="C1532" s="37">
        <f t="shared" si="52"/>
        <v>41.865000000000002</v>
      </c>
      <c r="D1532" s="37">
        <v>6.0430000000000001</v>
      </c>
      <c r="E1532" s="33">
        <f t="shared" si="53"/>
        <v>3.9826357083115344E-4</v>
      </c>
    </row>
    <row r="1533" spans="1:5" x14ac:dyDescent="0.25">
      <c r="A1533" s="41">
        <v>43529</v>
      </c>
      <c r="B1533" s="29">
        <v>252.93</v>
      </c>
      <c r="C1533" s="37">
        <f t="shared" si="52"/>
        <v>42.155000000000001</v>
      </c>
      <c r="D1533" s="37">
        <v>6.0430000000000001</v>
      </c>
      <c r="E1533" s="33">
        <f t="shared" si="53"/>
        <v>6.9270273498149171E-3</v>
      </c>
    </row>
    <row r="1534" spans="1:5" x14ac:dyDescent="0.25">
      <c r="A1534" s="41">
        <v>43529</v>
      </c>
      <c r="B1534" s="29">
        <v>253.46</v>
      </c>
      <c r="C1534" s="37">
        <f t="shared" si="52"/>
        <v>42.243333333333332</v>
      </c>
      <c r="D1534" s="37">
        <v>6.0430000000000001</v>
      </c>
      <c r="E1534" s="33">
        <f t="shared" si="53"/>
        <v>2.0954414264816395E-3</v>
      </c>
    </row>
    <row r="1535" spans="1:5" x14ac:dyDescent="0.25">
      <c r="A1535" s="41">
        <v>43529</v>
      </c>
      <c r="B1535" s="29">
        <v>253.13</v>
      </c>
      <c r="C1535" s="37">
        <f t="shared" si="52"/>
        <v>42.188333333333333</v>
      </c>
      <c r="D1535" s="37">
        <v>6.0430000000000001</v>
      </c>
      <c r="E1535" s="33">
        <f t="shared" si="53"/>
        <v>-1.3019805886530912E-3</v>
      </c>
    </row>
    <row r="1536" spans="1:5" x14ac:dyDescent="0.25">
      <c r="A1536" s="41">
        <v>43529</v>
      </c>
      <c r="B1536" s="29">
        <v>252.54</v>
      </c>
      <c r="C1536" s="37">
        <f t="shared" si="52"/>
        <v>42.09</v>
      </c>
      <c r="D1536" s="37">
        <v>6.0430000000000001</v>
      </c>
      <c r="E1536" s="33">
        <f t="shared" si="53"/>
        <v>-2.3308181566784E-3</v>
      </c>
    </row>
    <row r="1537" spans="1:5" x14ac:dyDescent="0.25">
      <c r="A1537" s="41">
        <v>43529</v>
      </c>
      <c r="B1537" s="29">
        <v>251.25</v>
      </c>
      <c r="C1537" s="37">
        <f t="shared" si="52"/>
        <v>41.875</v>
      </c>
      <c r="D1537" s="37">
        <v>6.0430000000000001</v>
      </c>
      <c r="E1537" s="33">
        <f t="shared" si="53"/>
        <v>-5.108101686861456E-3</v>
      </c>
    </row>
    <row r="1538" spans="1:5" x14ac:dyDescent="0.25">
      <c r="A1538" s="41">
        <v>43530</v>
      </c>
      <c r="B1538" s="29">
        <v>252.47</v>
      </c>
      <c r="C1538" s="37">
        <f t="shared" si="52"/>
        <v>42.078333333333333</v>
      </c>
      <c r="D1538" s="37">
        <v>6.2359999999999998</v>
      </c>
      <c r="E1538" s="33">
        <f t="shared" si="53"/>
        <v>4.8557213930348212E-3</v>
      </c>
    </row>
    <row r="1539" spans="1:5" x14ac:dyDescent="0.25">
      <c r="A1539" s="41">
        <v>43530</v>
      </c>
      <c r="B1539" s="29">
        <v>251.59</v>
      </c>
      <c r="C1539" s="37">
        <f t="shared" ref="C1539:C1602" si="54">(B1539*100/600)</f>
        <v>41.931666666666665</v>
      </c>
      <c r="D1539" s="37">
        <v>6.2359999999999998</v>
      </c>
      <c r="E1539" s="33">
        <f t="shared" si="53"/>
        <v>-3.4855626411058561E-3</v>
      </c>
    </row>
    <row r="1540" spans="1:5" x14ac:dyDescent="0.25">
      <c r="A1540" s="41">
        <v>43530</v>
      </c>
      <c r="B1540" s="29">
        <v>251.19</v>
      </c>
      <c r="C1540" s="37">
        <f t="shared" si="54"/>
        <v>41.865000000000002</v>
      </c>
      <c r="D1540" s="37">
        <v>6.2359999999999998</v>
      </c>
      <c r="E1540" s="33">
        <f t="shared" ref="E1540:E1603" si="55">(B1540-B1539)/B1539</f>
        <v>-1.5898883103462207E-3</v>
      </c>
    </row>
    <row r="1541" spans="1:5" x14ac:dyDescent="0.25">
      <c r="A1541" s="41">
        <v>43530</v>
      </c>
      <c r="B1541" s="29">
        <v>250.84</v>
      </c>
      <c r="C1541" s="37">
        <f t="shared" si="54"/>
        <v>41.806666666666665</v>
      </c>
      <c r="D1541" s="37">
        <v>6.2359999999999998</v>
      </c>
      <c r="E1541" s="33">
        <f t="shared" si="55"/>
        <v>-1.3933675703650397E-3</v>
      </c>
    </row>
    <row r="1542" spans="1:5" x14ac:dyDescent="0.25">
      <c r="A1542" s="41">
        <v>43530</v>
      </c>
      <c r="B1542" s="29">
        <v>250.5</v>
      </c>
      <c r="C1542" s="37">
        <f t="shared" si="54"/>
        <v>41.75</v>
      </c>
      <c r="D1542" s="37">
        <v>6.2359999999999998</v>
      </c>
      <c r="E1542" s="33">
        <f t="shared" si="55"/>
        <v>-1.3554457024398158E-3</v>
      </c>
    </row>
    <row r="1543" spans="1:5" x14ac:dyDescent="0.25">
      <c r="A1543" s="41">
        <v>43530</v>
      </c>
      <c r="B1543" s="29">
        <v>251.13</v>
      </c>
      <c r="C1543" s="37">
        <f t="shared" si="54"/>
        <v>41.854999999999997</v>
      </c>
      <c r="D1543" s="37">
        <v>6.2359999999999998</v>
      </c>
      <c r="E1543" s="33">
        <f t="shared" si="55"/>
        <v>2.5149700598802215E-3</v>
      </c>
    </row>
    <row r="1544" spans="1:5" x14ac:dyDescent="0.25">
      <c r="A1544" s="41">
        <v>43530</v>
      </c>
      <c r="B1544" s="29">
        <v>251.56</v>
      </c>
      <c r="C1544" s="37">
        <f t="shared" si="54"/>
        <v>41.926666666666669</v>
      </c>
      <c r="D1544" s="37">
        <v>6.2359999999999998</v>
      </c>
      <c r="E1544" s="33">
        <f t="shared" si="55"/>
        <v>1.7122605821686251E-3</v>
      </c>
    </row>
    <row r="1545" spans="1:5" x14ac:dyDescent="0.25">
      <c r="A1545" s="41">
        <v>43530</v>
      </c>
      <c r="B1545" s="29">
        <v>252.76</v>
      </c>
      <c r="C1545" s="37">
        <f t="shared" si="54"/>
        <v>42.126666666666665</v>
      </c>
      <c r="D1545" s="37">
        <v>6.2359999999999998</v>
      </c>
      <c r="E1545" s="33">
        <f t="shared" si="55"/>
        <v>4.7702337414532864E-3</v>
      </c>
    </row>
    <row r="1546" spans="1:5" x14ac:dyDescent="0.25">
      <c r="A1546" s="41">
        <v>43530</v>
      </c>
      <c r="B1546" s="29">
        <v>253.6</v>
      </c>
      <c r="C1546" s="37">
        <f t="shared" si="54"/>
        <v>42.266666666666666</v>
      </c>
      <c r="D1546" s="37">
        <v>6.2359999999999998</v>
      </c>
      <c r="E1546" s="33">
        <f t="shared" si="55"/>
        <v>3.3233106504193836E-3</v>
      </c>
    </row>
    <row r="1547" spans="1:5" x14ac:dyDescent="0.25">
      <c r="A1547" s="41">
        <v>43530</v>
      </c>
      <c r="B1547" s="29">
        <v>255.09</v>
      </c>
      <c r="C1547" s="37">
        <f t="shared" si="54"/>
        <v>42.515000000000001</v>
      </c>
      <c r="D1547" s="37">
        <v>6.2359999999999998</v>
      </c>
      <c r="E1547" s="33">
        <f t="shared" si="55"/>
        <v>5.8753943217665977E-3</v>
      </c>
    </row>
    <row r="1548" spans="1:5" x14ac:dyDescent="0.25">
      <c r="A1548" s="41">
        <v>43530</v>
      </c>
      <c r="B1548" s="29">
        <v>256.08</v>
      </c>
      <c r="C1548" s="37">
        <f t="shared" si="54"/>
        <v>42.68</v>
      </c>
      <c r="D1548" s="37">
        <v>6.2359999999999998</v>
      </c>
      <c r="E1548" s="33">
        <f t="shared" si="55"/>
        <v>3.8809831824061338E-3</v>
      </c>
    </row>
    <row r="1549" spans="1:5" x14ac:dyDescent="0.25">
      <c r="A1549" s="41">
        <v>43530</v>
      </c>
      <c r="B1549" s="29">
        <v>256.47000000000003</v>
      </c>
      <c r="C1549" s="37">
        <f t="shared" si="54"/>
        <v>42.745000000000005</v>
      </c>
      <c r="D1549" s="37">
        <v>6.2359999999999998</v>
      </c>
      <c r="E1549" s="33">
        <f t="shared" si="55"/>
        <v>1.5229615745081351E-3</v>
      </c>
    </row>
    <row r="1550" spans="1:5" x14ac:dyDescent="0.25">
      <c r="A1550" s="41">
        <v>43530</v>
      </c>
      <c r="B1550" s="29">
        <v>256.17</v>
      </c>
      <c r="C1550" s="37">
        <f t="shared" si="54"/>
        <v>42.695</v>
      </c>
      <c r="D1550" s="37">
        <v>6.2359999999999998</v>
      </c>
      <c r="E1550" s="33">
        <f t="shared" si="55"/>
        <v>-1.1697274535033778E-3</v>
      </c>
    </row>
    <row r="1551" spans="1:5" x14ac:dyDescent="0.25">
      <c r="A1551" s="41">
        <v>43530</v>
      </c>
      <c r="B1551" s="29">
        <v>257.48</v>
      </c>
      <c r="C1551" s="37">
        <f t="shared" si="54"/>
        <v>42.913333333333334</v>
      </c>
      <c r="D1551" s="37">
        <v>6.2359999999999998</v>
      </c>
      <c r="E1551" s="33">
        <f t="shared" si="55"/>
        <v>5.113791622750526E-3</v>
      </c>
    </row>
    <row r="1552" spans="1:5" x14ac:dyDescent="0.25">
      <c r="A1552" s="41">
        <v>43530</v>
      </c>
      <c r="B1552" s="29">
        <v>257.77999999999997</v>
      </c>
      <c r="C1552" s="37">
        <f t="shared" si="54"/>
        <v>42.963333333333324</v>
      </c>
      <c r="D1552" s="37">
        <v>6.2359999999999998</v>
      </c>
      <c r="E1552" s="33">
        <f t="shared" si="55"/>
        <v>1.1651390399252544E-3</v>
      </c>
    </row>
    <row r="1553" spans="1:5" x14ac:dyDescent="0.25">
      <c r="A1553" s="41">
        <v>43530</v>
      </c>
      <c r="B1553" s="29">
        <v>257.83999999999997</v>
      </c>
      <c r="C1553" s="37">
        <f t="shared" si="54"/>
        <v>42.973333333333329</v>
      </c>
      <c r="D1553" s="37">
        <v>6.2359999999999998</v>
      </c>
      <c r="E1553" s="33">
        <f t="shared" si="55"/>
        <v>2.327566141671281E-4</v>
      </c>
    </row>
    <row r="1554" spans="1:5" x14ac:dyDescent="0.25">
      <c r="A1554" s="41">
        <v>43530</v>
      </c>
      <c r="B1554" s="29">
        <v>257.83999999999997</v>
      </c>
      <c r="C1554" s="37">
        <f t="shared" si="54"/>
        <v>42.973333333333329</v>
      </c>
      <c r="D1554" s="37">
        <v>6.2359999999999998</v>
      </c>
      <c r="E1554" s="33">
        <f t="shared" si="55"/>
        <v>0</v>
      </c>
    </row>
    <row r="1555" spans="1:5" x14ac:dyDescent="0.25">
      <c r="A1555" s="41">
        <v>43530</v>
      </c>
      <c r="B1555" s="29">
        <v>256.19</v>
      </c>
      <c r="C1555" s="37">
        <f t="shared" si="54"/>
        <v>42.698333333333331</v>
      </c>
      <c r="D1555" s="37">
        <v>6.2359999999999998</v>
      </c>
      <c r="E1555" s="33">
        <f t="shared" si="55"/>
        <v>-6.3993174061432569E-3</v>
      </c>
    </row>
    <row r="1556" spans="1:5" x14ac:dyDescent="0.25">
      <c r="A1556" s="41">
        <v>43530</v>
      </c>
      <c r="B1556" s="29">
        <v>255.41</v>
      </c>
      <c r="C1556" s="37">
        <f t="shared" si="54"/>
        <v>42.568333333333335</v>
      </c>
      <c r="D1556" s="37">
        <v>6.2359999999999998</v>
      </c>
      <c r="E1556" s="33">
        <f t="shared" si="55"/>
        <v>-3.0446153245638047E-3</v>
      </c>
    </row>
    <row r="1557" spans="1:5" x14ac:dyDescent="0.25">
      <c r="A1557" s="41">
        <v>43530</v>
      </c>
      <c r="B1557" s="29">
        <v>256.17</v>
      </c>
      <c r="C1557" s="37">
        <f t="shared" si="54"/>
        <v>42.695</v>
      </c>
      <c r="D1557" s="37">
        <v>6.2359999999999998</v>
      </c>
      <c r="E1557" s="33">
        <f t="shared" si="55"/>
        <v>2.9756078462081334E-3</v>
      </c>
    </row>
    <row r="1558" spans="1:5" x14ac:dyDescent="0.25">
      <c r="A1558" s="41">
        <v>43530</v>
      </c>
      <c r="B1558" s="29">
        <v>256.17</v>
      </c>
      <c r="C1558" s="37">
        <f t="shared" si="54"/>
        <v>42.695</v>
      </c>
      <c r="D1558" s="37">
        <v>6.2359999999999998</v>
      </c>
      <c r="E1558" s="33">
        <f t="shared" si="55"/>
        <v>0</v>
      </c>
    </row>
    <row r="1559" spans="1:5" x14ac:dyDescent="0.25">
      <c r="A1559" s="41">
        <v>43530</v>
      </c>
      <c r="B1559" s="29">
        <v>256.17</v>
      </c>
      <c r="C1559" s="37">
        <f t="shared" si="54"/>
        <v>42.695</v>
      </c>
      <c r="D1559" s="37">
        <v>6.2359999999999998</v>
      </c>
      <c r="E1559" s="33">
        <f t="shared" si="55"/>
        <v>0</v>
      </c>
    </row>
    <row r="1560" spans="1:5" x14ac:dyDescent="0.25">
      <c r="A1560" s="41">
        <v>43530</v>
      </c>
      <c r="B1560" s="29">
        <v>255.11</v>
      </c>
      <c r="C1560" s="37">
        <f t="shared" si="54"/>
        <v>42.518333333333331</v>
      </c>
      <c r="D1560" s="37">
        <v>6.2359999999999998</v>
      </c>
      <c r="E1560" s="33">
        <f t="shared" si="55"/>
        <v>-4.1378771909279079E-3</v>
      </c>
    </row>
    <row r="1561" spans="1:5" x14ac:dyDescent="0.25">
      <c r="A1561" s="41">
        <v>43530</v>
      </c>
      <c r="B1561" s="29">
        <v>253.16</v>
      </c>
      <c r="C1561" s="37">
        <f t="shared" si="54"/>
        <v>42.193333333333335</v>
      </c>
      <c r="D1561" s="37">
        <v>6.2359999999999998</v>
      </c>
      <c r="E1561" s="33">
        <f t="shared" si="55"/>
        <v>-7.6437615146408098E-3</v>
      </c>
    </row>
    <row r="1562" spans="1:5" x14ac:dyDescent="0.25">
      <c r="A1562" s="41">
        <v>43531</v>
      </c>
      <c r="B1562" s="29">
        <v>251.94</v>
      </c>
      <c r="C1562" s="37">
        <f t="shared" si="54"/>
        <v>41.99</v>
      </c>
      <c r="D1562" s="37">
        <v>7.8019999999999996</v>
      </c>
      <c r="E1562" s="33">
        <f t="shared" si="55"/>
        <v>-4.8190867435613793E-3</v>
      </c>
    </row>
    <row r="1563" spans="1:5" x14ac:dyDescent="0.25">
      <c r="A1563" s="41">
        <v>43531</v>
      </c>
      <c r="B1563" s="29">
        <v>251.9</v>
      </c>
      <c r="C1563" s="37">
        <f t="shared" si="54"/>
        <v>41.983333333333334</v>
      </c>
      <c r="D1563" s="37">
        <v>7.8019999999999996</v>
      </c>
      <c r="E1563" s="33">
        <f t="shared" si="55"/>
        <v>-1.5876796062551417E-4</v>
      </c>
    </row>
    <row r="1564" spans="1:5" x14ac:dyDescent="0.25">
      <c r="A1564" s="41">
        <v>43531</v>
      </c>
      <c r="B1564" s="29">
        <v>251.79</v>
      </c>
      <c r="C1564" s="37">
        <f t="shared" si="54"/>
        <v>41.965000000000003</v>
      </c>
      <c r="D1564" s="37">
        <v>7.8019999999999996</v>
      </c>
      <c r="E1564" s="33">
        <f t="shared" si="55"/>
        <v>-4.3668122270747775E-4</v>
      </c>
    </row>
    <row r="1565" spans="1:5" x14ac:dyDescent="0.25">
      <c r="A1565" s="41">
        <v>43531</v>
      </c>
      <c r="B1565" s="29">
        <v>251.32</v>
      </c>
      <c r="C1565" s="37">
        <f t="shared" si="54"/>
        <v>41.886666666666663</v>
      </c>
      <c r="D1565" s="37">
        <v>7.8019999999999996</v>
      </c>
      <c r="E1565" s="33">
        <f t="shared" si="55"/>
        <v>-1.8666348941578255E-3</v>
      </c>
    </row>
    <row r="1566" spans="1:5" x14ac:dyDescent="0.25">
      <c r="A1566" s="41">
        <v>43531</v>
      </c>
      <c r="B1566" s="29">
        <v>251.19</v>
      </c>
      <c r="C1566" s="37">
        <f t="shared" si="54"/>
        <v>41.865000000000002</v>
      </c>
      <c r="D1566" s="37">
        <v>7.8019999999999996</v>
      </c>
      <c r="E1566" s="33">
        <f t="shared" si="55"/>
        <v>-5.1726882062707094E-4</v>
      </c>
    </row>
    <row r="1567" spans="1:5" x14ac:dyDescent="0.25">
      <c r="A1567" s="41">
        <v>43531</v>
      </c>
      <c r="B1567" s="29">
        <v>251.72</v>
      </c>
      <c r="C1567" s="37">
        <f t="shared" si="54"/>
        <v>41.953333333333333</v>
      </c>
      <c r="D1567" s="37">
        <v>7.8019999999999996</v>
      </c>
      <c r="E1567" s="33">
        <f t="shared" si="55"/>
        <v>2.1099566065528133E-3</v>
      </c>
    </row>
    <row r="1568" spans="1:5" x14ac:dyDescent="0.25">
      <c r="A1568" s="41">
        <v>43531</v>
      </c>
      <c r="B1568" s="29">
        <v>251.68</v>
      </c>
      <c r="C1568" s="37">
        <f t="shared" si="54"/>
        <v>41.946666666666665</v>
      </c>
      <c r="D1568" s="37">
        <v>7.8019999999999996</v>
      </c>
      <c r="E1568" s="33">
        <f t="shared" si="55"/>
        <v>-1.5890672175429861E-4</v>
      </c>
    </row>
    <row r="1569" spans="1:5" x14ac:dyDescent="0.25">
      <c r="A1569" s="41">
        <v>43531</v>
      </c>
      <c r="B1569" s="29">
        <v>252.39</v>
      </c>
      <c r="C1569" s="37">
        <f t="shared" si="54"/>
        <v>42.064999999999998</v>
      </c>
      <c r="D1569" s="37">
        <v>7.8019999999999996</v>
      </c>
      <c r="E1569" s="33">
        <f t="shared" si="55"/>
        <v>2.8210425937697852E-3</v>
      </c>
    </row>
    <row r="1570" spans="1:5" x14ac:dyDescent="0.25">
      <c r="A1570" s="41">
        <v>43531</v>
      </c>
      <c r="B1570" s="29">
        <v>254.61</v>
      </c>
      <c r="C1570" s="37">
        <f t="shared" si="54"/>
        <v>42.435000000000002</v>
      </c>
      <c r="D1570" s="37">
        <v>7.8019999999999996</v>
      </c>
      <c r="E1570" s="33">
        <f t="shared" si="55"/>
        <v>8.795911089979902E-3</v>
      </c>
    </row>
    <row r="1571" spans="1:5" x14ac:dyDescent="0.25">
      <c r="A1571" s="41">
        <v>43531</v>
      </c>
      <c r="B1571" s="29">
        <v>255.49</v>
      </c>
      <c r="C1571" s="37">
        <f t="shared" si="54"/>
        <v>42.581666666666663</v>
      </c>
      <c r="D1571" s="37">
        <v>7.8019999999999996</v>
      </c>
      <c r="E1571" s="33">
        <f t="shared" si="55"/>
        <v>3.4562664467224203E-3</v>
      </c>
    </row>
    <row r="1572" spans="1:5" x14ac:dyDescent="0.25">
      <c r="A1572" s="41">
        <v>43531</v>
      </c>
      <c r="B1572" s="29">
        <v>256.39</v>
      </c>
      <c r="C1572" s="37">
        <f t="shared" si="54"/>
        <v>42.731666666666669</v>
      </c>
      <c r="D1572" s="37">
        <v>7.8019999999999996</v>
      </c>
      <c r="E1572" s="33">
        <f t="shared" si="55"/>
        <v>3.5226427648830765E-3</v>
      </c>
    </row>
    <row r="1573" spans="1:5" x14ac:dyDescent="0.25">
      <c r="A1573" s="41">
        <v>43531</v>
      </c>
      <c r="B1573" s="29">
        <v>256.45</v>
      </c>
      <c r="C1573" s="37">
        <f t="shared" si="54"/>
        <v>42.741666666666667</v>
      </c>
      <c r="D1573" s="37">
        <v>7.8019999999999996</v>
      </c>
      <c r="E1573" s="33">
        <f t="shared" si="55"/>
        <v>2.3401848746051825E-4</v>
      </c>
    </row>
    <row r="1574" spans="1:5" x14ac:dyDescent="0.25">
      <c r="A1574" s="41">
        <v>43531</v>
      </c>
      <c r="B1574" s="29">
        <v>255.49</v>
      </c>
      <c r="C1574" s="37">
        <f t="shared" si="54"/>
        <v>42.581666666666663</v>
      </c>
      <c r="D1574" s="37">
        <v>7.8019999999999996</v>
      </c>
      <c r="E1574" s="33">
        <f t="shared" si="55"/>
        <v>-3.7434197699355801E-3</v>
      </c>
    </row>
    <row r="1575" spans="1:5" x14ac:dyDescent="0.25">
      <c r="A1575" s="41">
        <v>43531</v>
      </c>
      <c r="B1575" s="29">
        <v>257.01</v>
      </c>
      <c r="C1575" s="37">
        <f t="shared" si="54"/>
        <v>42.835000000000001</v>
      </c>
      <c r="D1575" s="37">
        <v>7.8019999999999996</v>
      </c>
      <c r="E1575" s="33">
        <f t="shared" si="55"/>
        <v>5.9493522251359418E-3</v>
      </c>
    </row>
    <row r="1576" spans="1:5" x14ac:dyDescent="0.25">
      <c r="A1576" s="41">
        <v>43531</v>
      </c>
      <c r="B1576" s="29">
        <v>258.55</v>
      </c>
      <c r="C1576" s="37">
        <f t="shared" si="54"/>
        <v>43.091666666666669</v>
      </c>
      <c r="D1576" s="37">
        <v>7.8019999999999996</v>
      </c>
      <c r="E1576" s="33">
        <f t="shared" si="55"/>
        <v>5.9919847476752677E-3</v>
      </c>
    </row>
    <row r="1577" spans="1:5" x14ac:dyDescent="0.25">
      <c r="A1577" s="41">
        <v>43531</v>
      </c>
      <c r="B1577" s="29">
        <v>258.51</v>
      </c>
      <c r="C1577" s="37">
        <f t="shared" si="54"/>
        <v>43.085000000000001</v>
      </c>
      <c r="D1577" s="37">
        <v>7.8019999999999996</v>
      </c>
      <c r="E1577" s="33">
        <f t="shared" si="55"/>
        <v>-1.5470895378077919E-4</v>
      </c>
    </row>
    <row r="1578" spans="1:5" x14ac:dyDescent="0.25">
      <c r="A1578" s="41">
        <v>43531</v>
      </c>
      <c r="B1578" s="29">
        <v>257.41000000000003</v>
      </c>
      <c r="C1578" s="37">
        <f t="shared" si="54"/>
        <v>42.901666666666671</v>
      </c>
      <c r="D1578" s="37">
        <v>7.8019999999999996</v>
      </c>
      <c r="E1578" s="33">
        <f t="shared" si="55"/>
        <v>-4.2551545394760972E-3</v>
      </c>
    </row>
    <row r="1579" spans="1:5" x14ac:dyDescent="0.25">
      <c r="A1579" s="41">
        <v>43531</v>
      </c>
      <c r="B1579" s="29">
        <v>255.49</v>
      </c>
      <c r="C1579" s="37">
        <f t="shared" si="54"/>
        <v>42.581666666666663</v>
      </c>
      <c r="D1579" s="37">
        <v>7.8019999999999996</v>
      </c>
      <c r="E1579" s="33">
        <f t="shared" si="55"/>
        <v>-7.4589176799658742E-3</v>
      </c>
    </row>
    <row r="1580" spans="1:5" x14ac:dyDescent="0.25">
      <c r="A1580" s="41">
        <v>43531</v>
      </c>
      <c r="B1580" s="29">
        <v>254.76</v>
      </c>
      <c r="C1580" s="37">
        <f t="shared" si="54"/>
        <v>42.46</v>
      </c>
      <c r="D1580" s="37">
        <v>7.8019999999999996</v>
      </c>
      <c r="E1580" s="33">
        <f t="shared" si="55"/>
        <v>-2.8572546870719723E-3</v>
      </c>
    </row>
    <row r="1581" spans="1:5" x14ac:dyDescent="0.25">
      <c r="A1581" s="41">
        <v>43531</v>
      </c>
      <c r="B1581" s="29">
        <v>255.49</v>
      </c>
      <c r="C1581" s="37">
        <f t="shared" si="54"/>
        <v>42.581666666666663</v>
      </c>
      <c r="D1581" s="37">
        <v>7.8019999999999996</v>
      </c>
      <c r="E1581" s="33">
        <f t="shared" si="55"/>
        <v>2.8654419846130407E-3</v>
      </c>
    </row>
    <row r="1582" spans="1:5" x14ac:dyDescent="0.25">
      <c r="A1582" s="41">
        <v>43531</v>
      </c>
      <c r="B1582" s="29">
        <v>255.49</v>
      </c>
      <c r="C1582" s="37">
        <f t="shared" si="54"/>
        <v>42.581666666666663</v>
      </c>
      <c r="D1582" s="37">
        <v>7.8019999999999996</v>
      </c>
      <c r="E1582" s="33">
        <f t="shared" si="55"/>
        <v>0</v>
      </c>
    </row>
    <row r="1583" spans="1:5" x14ac:dyDescent="0.25">
      <c r="A1583" s="41">
        <v>43531</v>
      </c>
      <c r="B1583" s="29">
        <v>255.44</v>
      </c>
      <c r="C1583" s="37">
        <f t="shared" si="54"/>
        <v>42.573333333333331</v>
      </c>
      <c r="D1583" s="37">
        <v>7.8019999999999996</v>
      </c>
      <c r="E1583" s="33">
        <f t="shared" si="55"/>
        <v>-1.9570237582688702E-4</v>
      </c>
    </row>
    <row r="1584" spans="1:5" x14ac:dyDescent="0.25">
      <c r="A1584" s="41">
        <v>43531</v>
      </c>
      <c r="B1584" s="29">
        <v>254.38</v>
      </c>
      <c r="C1584" s="37">
        <f t="shared" si="54"/>
        <v>42.396666666666668</v>
      </c>
      <c r="D1584" s="37">
        <v>7.8019999999999996</v>
      </c>
      <c r="E1584" s="33">
        <f t="shared" si="55"/>
        <v>-4.1497024741622389E-3</v>
      </c>
    </row>
    <row r="1585" spans="1:5" x14ac:dyDescent="0.25">
      <c r="A1585" s="41">
        <v>43531</v>
      </c>
      <c r="B1585" s="29">
        <v>252.7</v>
      </c>
      <c r="C1585" s="37">
        <f t="shared" si="54"/>
        <v>42.116666666666667</v>
      </c>
      <c r="D1585" s="37">
        <v>7.8019999999999996</v>
      </c>
      <c r="E1585" s="33">
        <f t="shared" si="55"/>
        <v>-6.6042927903137306E-3</v>
      </c>
    </row>
    <row r="1586" spans="1:5" x14ac:dyDescent="0.25">
      <c r="A1586" s="41">
        <v>43532</v>
      </c>
      <c r="B1586" s="29">
        <v>252.53</v>
      </c>
      <c r="C1586" s="37">
        <f t="shared" si="54"/>
        <v>42.088333333333331</v>
      </c>
      <c r="D1586" s="37">
        <v>10.189</v>
      </c>
      <c r="E1586" s="33">
        <f t="shared" si="55"/>
        <v>-6.7273446774826875E-4</v>
      </c>
    </row>
    <row r="1587" spans="1:5" x14ac:dyDescent="0.25">
      <c r="A1587" s="41">
        <v>43532</v>
      </c>
      <c r="B1587" s="29">
        <v>251.38</v>
      </c>
      <c r="C1587" s="37">
        <f t="shared" si="54"/>
        <v>41.896666666666668</v>
      </c>
      <c r="D1587" s="37">
        <v>10.189</v>
      </c>
      <c r="E1587" s="33">
        <f t="shared" si="55"/>
        <v>-4.553914386409558E-3</v>
      </c>
    </row>
    <row r="1588" spans="1:5" x14ac:dyDescent="0.25">
      <c r="A1588" s="41">
        <v>43532</v>
      </c>
      <c r="B1588" s="29">
        <v>251.15</v>
      </c>
      <c r="C1588" s="37">
        <f t="shared" si="54"/>
        <v>41.858333333333334</v>
      </c>
      <c r="D1588" s="37">
        <v>10.189</v>
      </c>
      <c r="E1588" s="33">
        <f t="shared" si="55"/>
        <v>-9.1494947887656045E-4</v>
      </c>
    </row>
    <row r="1589" spans="1:5" x14ac:dyDescent="0.25">
      <c r="A1589" s="41">
        <v>43532</v>
      </c>
      <c r="B1589" s="29">
        <v>251.11</v>
      </c>
      <c r="C1589" s="37">
        <f t="shared" si="54"/>
        <v>41.851666666666667</v>
      </c>
      <c r="D1589" s="37">
        <v>10.189</v>
      </c>
      <c r="E1589" s="33">
        <f t="shared" si="55"/>
        <v>-1.5926737009751957E-4</v>
      </c>
    </row>
    <row r="1590" spans="1:5" x14ac:dyDescent="0.25">
      <c r="A1590" s="41">
        <v>43532</v>
      </c>
      <c r="B1590" s="29">
        <v>251.06</v>
      </c>
      <c r="C1590" s="37">
        <f t="shared" si="54"/>
        <v>41.843333333333334</v>
      </c>
      <c r="D1590" s="37">
        <v>10.189</v>
      </c>
      <c r="E1590" s="33">
        <f t="shared" si="55"/>
        <v>-1.991159252917501E-4</v>
      </c>
    </row>
    <row r="1591" spans="1:5" x14ac:dyDescent="0.25">
      <c r="A1591" s="41">
        <v>43532</v>
      </c>
      <c r="B1591" s="29">
        <v>251.36</v>
      </c>
      <c r="C1591" s="37">
        <f t="shared" si="54"/>
        <v>41.893333333333331</v>
      </c>
      <c r="D1591" s="37">
        <v>10.189</v>
      </c>
      <c r="E1591" s="33">
        <f t="shared" si="55"/>
        <v>1.194933482036212E-3</v>
      </c>
    </row>
    <row r="1592" spans="1:5" x14ac:dyDescent="0.25">
      <c r="A1592" s="41">
        <v>43532</v>
      </c>
      <c r="B1592" s="29">
        <v>252.44</v>
      </c>
      <c r="C1592" s="37">
        <f t="shared" si="54"/>
        <v>42.073333333333331</v>
      </c>
      <c r="D1592" s="37">
        <v>10.189</v>
      </c>
      <c r="E1592" s="33">
        <f t="shared" si="55"/>
        <v>4.2966263526415657E-3</v>
      </c>
    </row>
    <row r="1593" spans="1:5" x14ac:dyDescent="0.25">
      <c r="A1593" s="41">
        <v>43532</v>
      </c>
      <c r="B1593" s="29">
        <v>252.96</v>
      </c>
      <c r="C1593" s="37">
        <f t="shared" si="54"/>
        <v>42.16</v>
      </c>
      <c r="D1593" s="37">
        <v>10.189</v>
      </c>
      <c r="E1593" s="33">
        <f t="shared" si="55"/>
        <v>2.0598954206940668E-3</v>
      </c>
    </row>
    <row r="1594" spans="1:5" x14ac:dyDescent="0.25">
      <c r="A1594" s="41">
        <v>43532</v>
      </c>
      <c r="B1594" s="29">
        <v>256.37</v>
      </c>
      <c r="C1594" s="37">
        <f t="shared" si="54"/>
        <v>42.728333333333332</v>
      </c>
      <c r="D1594" s="37">
        <v>10.189</v>
      </c>
      <c r="E1594" s="33">
        <f t="shared" si="55"/>
        <v>1.3480392156862732E-2</v>
      </c>
    </row>
    <row r="1595" spans="1:5" x14ac:dyDescent="0.25">
      <c r="A1595" s="41">
        <v>43532</v>
      </c>
      <c r="B1595" s="29">
        <v>258.74</v>
      </c>
      <c r="C1595" s="37">
        <f t="shared" si="54"/>
        <v>43.123333333333335</v>
      </c>
      <c r="D1595" s="37">
        <v>10.189</v>
      </c>
      <c r="E1595" s="33">
        <f t="shared" si="55"/>
        <v>9.2444513788664997E-3</v>
      </c>
    </row>
    <row r="1596" spans="1:5" x14ac:dyDescent="0.25">
      <c r="A1596" s="41">
        <v>43532</v>
      </c>
      <c r="B1596" s="29">
        <v>260.43</v>
      </c>
      <c r="C1596" s="37">
        <f t="shared" si="54"/>
        <v>43.405000000000001</v>
      </c>
      <c r="D1596" s="37">
        <v>10.189</v>
      </c>
      <c r="E1596" s="33">
        <f t="shared" si="55"/>
        <v>6.5316533972327347E-3</v>
      </c>
    </row>
    <row r="1597" spans="1:5" x14ac:dyDescent="0.25">
      <c r="A1597" s="41">
        <v>43532</v>
      </c>
      <c r="B1597" s="29">
        <v>260.97000000000003</v>
      </c>
      <c r="C1597" s="37">
        <f t="shared" si="54"/>
        <v>43.495000000000005</v>
      </c>
      <c r="D1597" s="37">
        <v>10.189</v>
      </c>
      <c r="E1597" s="33">
        <f t="shared" si="55"/>
        <v>2.0734938371156182E-3</v>
      </c>
    </row>
    <row r="1598" spans="1:5" x14ac:dyDescent="0.25">
      <c r="A1598" s="41">
        <v>43532</v>
      </c>
      <c r="B1598" s="29">
        <v>260.3</v>
      </c>
      <c r="C1598" s="37">
        <f t="shared" si="54"/>
        <v>43.383333333333333</v>
      </c>
      <c r="D1598" s="37">
        <v>10.189</v>
      </c>
      <c r="E1598" s="33">
        <f t="shared" si="55"/>
        <v>-2.5673449055447595E-3</v>
      </c>
    </row>
    <row r="1599" spans="1:5" x14ac:dyDescent="0.25">
      <c r="A1599" s="41">
        <v>43532</v>
      </c>
      <c r="B1599" s="29">
        <v>261.08999999999997</v>
      </c>
      <c r="C1599" s="37">
        <f t="shared" si="54"/>
        <v>43.514999999999993</v>
      </c>
      <c r="D1599" s="37">
        <v>10.189</v>
      </c>
      <c r="E1599" s="33">
        <f t="shared" si="55"/>
        <v>3.0349596619284043E-3</v>
      </c>
    </row>
    <row r="1600" spans="1:5" x14ac:dyDescent="0.25">
      <c r="A1600" s="41">
        <v>43532</v>
      </c>
      <c r="B1600" s="29">
        <v>261.16000000000003</v>
      </c>
      <c r="C1600" s="37">
        <f t="shared" si="54"/>
        <v>43.526666666666671</v>
      </c>
      <c r="D1600" s="37">
        <v>10.189</v>
      </c>
      <c r="E1600" s="33">
        <f t="shared" si="55"/>
        <v>2.681067831018041E-4</v>
      </c>
    </row>
    <row r="1601" spans="1:5" x14ac:dyDescent="0.25">
      <c r="A1601" s="41">
        <v>43532</v>
      </c>
      <c r="B1601" s="29">
        <v>261.22000000000003</v>
      </c>
      <c r="C1601" s="37">
        <f t="shared" si="54"/>
        <v>43.536666666666676</v>
      </c>
      <c r="D1601" s="37">
        <v>10.189</v>
      </c>
      <c r="E1601" s="33">
        <f t="shared" si="55"/>
        <v>2.2974421810385308E-4</v>
      </c>
    </row>
    <row r="1602" spans="1:5" x14ac:dyDescent="0.25">
      <c r="A1602" s="41">
        <v>43532</v>
      </c>
      <c r="B1602" s="29">
        <v>261.08999999999997</v>
      </c>
      <c r="C1602" s="37">
        <f t="shared" si="54"/>
        <v>43.514999999999993</v>
      </c>
      <c r="D1602" s="37">
        <v>10.189</v>
      </c>
      <c r="E1602" s="33">
        <f t="shared" si="55"/>
        <v>-4.9766480361401223E-4</v>
      </c>
    </row>
    <row r="1603" spans="1:5" x14ac:dyDescent="0.25">
      <c r="A1603" s="41">
        <v>43532</v>
      </c>
      <c r="B1603" s="29">
        <v>258.38</v>
      </c>
      <c r="C1603" s="37">
        <f t="shared" ref="C1603:C1666" si="56">(B1603*100/600)</f>
        <v>43.063333333333333</v>
      </c>
      <c r="D1603" s="37">
        <v>10.189</v>
      </c>
      <c r="E1603" s="33">
        <f t="shared" si="55"/>
        <v>-1.0379562602933776E-2</v>
      </c>
    </row>
    <row r="1604" spans="1:5" x14ac:dyDescent="0.25">
      <c r="A1604" s="41">
        <v>43532</v>
      </c>
      <c r="B1604" s="29">
        <v>255.16</v>
      </c>
      <c r="C1604" s="37">
        <f t="shared" si="56"/>
        <v>42.526666666666664</v>
      </c>
      <c r="D1604" s="37">
        <v>10.189</v>
      </c>
      <c r="E1604" s="33">
        <f t="shared" ref="E1604:E1667" si="57">(B1604-B1603)/B1603</f>
        <v>-1.2462264881182751E-2</v>
      </c>
    </row>
    <row r="1605" spans="1:5" x14ac:dyDescent="0.25">
      <c r="A1605" s="41">
        <v>43532</v>
      </c>
      <c r="B1605" s="29">
        <v>257.29000000000002</v>
      </c>
      <c r="C1605" s="37">
        <f t="shared" si="56"/>
        <v>42.881666666666675</v>
      </c>
      <c r="D1605" s="37">
        <v>10.189</v>
      </c>
      <c r="E1605" s="33">
        <f t="shared" si="57"/>
        <v>8.3477034017872074E-3</v>
      </c>
    </row>
    <row r="1606" spans="1:5" x14ac:dyDescent="0.25">
      <c r="A1606" s="41">
        <v>43532</v>
      </c>
      <c r="B1606" s="29">
        <v>257.25</v>
      </c>
      <c r="C1606" s="37">
        <f t="shared" si="56"/>
        <v>42.875</v>
      </c>
      <c r="D1606" s="37">
        <v>10.189</v>
      </c>
      <c r="E1606" s="33">
        <f t="shared" si="57"/>
        <v>-1.5546659411566893E-4</v>
      </c>
    </row>
    <row r="1607" spans="1:5" x14ac:dyDescent="0.25">
      <c r="A1607" s="41">
        <v>43532</v>
      </c>
      <c r="B1607" s="29">
        <v>255.99</v>
      </c>
      <c r="C1607" s="37">
        <f t="shared" si="56"/>
        <v>42.664999999999999</v>
      </c>
      <c r="D1607" s="37">
        <v>10.189</v>
      </c>
      <c r="E1607" s="33">
        <f t="shared" si="57"/>
        <v>-4.8979591836734344E-3</v>
      </c>
    </row>
    <row r="1608" spans="1:5" x14ac:dyDescent="0.25">
      <c r="A1608" s="41">
        <v>43532</v>
      </c>
      <c r="B1608" s="29">
        <v>254.79</v>
      </c>
      <c r="C1608" s="37">
        <f t="shared" si="56"/>
        <v>42.465000000000003</v>
      </c>
      <c r="D1608" s="37">
        <v>10.189</v>
      </c>
      <c r="E1608" s="33">
        <f t="shared" si="57"/>
        <v>-4.6876831126216531E-3</v>
      </c>
    </row>
    <row r="1609" spans="1:5" x14ac:dyDescent="0.25">
      <c r="A1609" s="41">
        <v>43532</v>
      </c>
      <c r="B1609" s="29">
        <v>252.78</v>
      </c>
      <c r="C1609" s="37">
        <f t="shared" si="56"/>
        <v>42.13</v>
      </c>
      <c r="D1609" s="37">
        <v>10.189</v>
      </c>
      <c r="E1609" s="33">
        <f t="shared" si="57"/>
        <v>-7.8888496408806904E-3</v>
      </c>
    </row>
    <row r="1610" spans="1:5" x14ac:dyDescent="0.25">
      <c r="A1610" s="41">
        <v>43533</v>
      </c>
      <c r="B1610" s="29">
        <v>181.75</v>
      </c>
      <c r="C1610" s="37">
        <f t="shared" si="56"/>
        <v>30.291666666666668</v>
      </c>
      <c r="D1610" s="37">
        <v>10.962999999999999</v>
      </c>
      <c r="E1610" s="33">
        <f t="shared" si="57"/>
        <v>-0.28099533190917003</v>
      </c>
    </row>
    <row r="1611" spans="1:5" x14ac:dyDescent="0.25">
      <c r="A1611" s="41">
        <v>43533</v>
      </c>
      <c r="B1611" s="29">
        <v>177.94</v>
      </c>
      <c r="C1611" s="37">
        <f t="shared" si="56"/>
        <v>29.656666666666666</v>
      </c>
      <c r="D1611" s="37">
        <v>10.962999999999999</v>
      </c>
      <c r="E1611" s="33">
        <f t="shared" si="57"/>
        <v>-2.096286107290235E-2</v>
      </c>
    </row>
    <row r="1612" spans="1:5" x14ac:dyDescent="0.25">
      <c r="A1612" s="41">
        <v>43533</v>
      </c>
      <c r="B1612" s="29">
        <v>177.91</v>
      </c>
      <c r="C1612" s="37">
        <f t="shared" si="56"/>
        <v>29.651666666666667</v>
      </c>
      <c r="D1612" s="37">
        <v>10.962999999999999</v>
      </c>
      <c r="E1612" s="33">
        <f t="shared" si="57"/>
        <v>-1.6859615600764942E-4</v>
      </c>
    </row>
    <row r="1613" spans="1:5" x14ac:dyDescent="0.25">
      <c r="A1613" s="41">
        <v>43533</v>
      </c>
      <c r="B1613" s="29">
        <v>175.53</v>
      </c>
      <c r="C1613" s="37">
        <f t="shared" si="56"/>
        <v>29.254999999999999</v>
      </c>
      <c r="D1613" s="37">
        <v>10.962999999999999</v>
      </c>
      <c r="E1613" s="33">
        <f t="shared" si="57"/>
        <v>-1.3377550446855126E-2</v>
      </c>
    </row>
    <row r="1614" spans="1:5" x14ac:dyDescent="0.25">
      <c r="A1614" s="41">
        <v>43533</v>
      </c>
      <c r="B1614" s="29">
        <v>173.3</v>
      </c>
      <c r="C1614" s="37">
        <f t="shared" si="56"/>
        <v>28.883333333333333</v>
      </c>
      <c r="D1614" s="37">
        <v>10.962999999999999</v>
      </c>
      <c r="E1614" s="33">
        <f t="shared" si="57"/>
        <v>-1.270438101748983E-2</v>
      </c>
    </row>
    <row r="1615" spans="1:5" x14ac:dyDescent="0.25">
      <c r="A1615" s="41">
        <v>43533</v>
      </c>
      <c r="B1615" s="29">
        <v>174.32</v>
      </c>
      <c r="C1615" s="37">
        <f t="shared" si="56"/>
        <v>29.053333333333335</v>
      </c>
      <c r="D1615" s="37">
        <v>10.962999999999999</v>
      </c>
      <c r="E1615" s="33">
        <f t="shared" si="57"/>
        <v>5.8857472590881808E-3</v>
      </c>
    </row>
    <row r="1616" spans="1:5" x14ac:dyDescent="0.25">
      <c r="A1616" s="41">
        <v>43533</v>
      </c>
      <c r="B1616" s="29">
        <v>172.01</v>
      </c>
      <c r="C1616" s="37">
        <f t="shared" si="56"/>
        <v>28.668333333333333</v>
      </c>
      <c r="D1616" s="37">
        <v>10.962999999999999</v>
      </c>
      <c r="E1616" s="33">
        <f t="shared" si="57"/>
        <v>-1.3251491509866925E-2</v>
      </c>
    </row>
    <row r="1617" spans="1:5" x14ac:dyDescent="0.25">
      <c r="A1617" s="41">
        <v>43533</v>
      </c>
      <c r="B1617" s="29">
        <v>177.95</v>
      </c>
      <c r="C1617" s="37">
        <f t="shared" si="56"/>
        <v>29.658333333333335</v>
      </c>
      <c r="D1617" s="37">
        <v>10.962999999999999</v>
      </c>
      <c r="E1617" s="33">
        <f t="shared" si="57"/>
        <v>3.4532875995581643E-2</v>
      </c>
    </row>
    <row r="1618" spans="1:5" x14ac:dyDescent="0.25">
      <c r="A1618" s="41">
        <v>43533</v>
      </c>
      <c r="B1618" s="29">
        <v>179.95</v>
      </c>
      <c r="C1618" s="37">
        <f t="shared" si="56"/>
        <v>29.991666666666667</v>
      </c>
      <c r="D1618" s="37">
        <v>10.962999999999999</v>
      </c>
      <c r="E1618" s="33">
        <f t="shared" si="57"/>
        <v>1.12391121101433E-2</v>
      </c>
    </row>
    <row r="1619" spans="1:5" x14ac:dyDescent="0.25">
      <c r="A1619" s="41">
        <v>43533</v>
      </c>
      <c r="B1619" s="29">
        <v>181.31</v>
      </c>
      <c r="C1619" s="37">
        <f t="shared" si="56"/>
        <v>30.218333333333334</v>
      </c>
      <c r="D1619" s="37">
        <v>10.962999999999999</v>
      </c>
      <c r="E1619" s="33">
        <f t="shared" si="57"/>
        <v>7.5576549041401148E-3</v>
      </c>
    </row>
    <row r="1620" spans="1:5" x14ac:dyDescent="0.25">
      <c r="A1620" s="41">
        <v>43533</v>
      </c>
      <c r="B1620" s="29">
        <v>181.33</v>
      </c>
      <c r="C1620" s="37">
        <f t="shared" si="56"/>
        <v>30.221666666666668</v>
      </c>
      <c r="D1620" s="37">
        <v>10.962999999999999</v>
      </c>
      <c r="E1620" s="33">
        <f t="shared" si="57"/>
        <v>1.1030831173134538E-4</v>
      </c>
    </row>
    <row r="1621" spans="1:5" x14ac:dyDescent="0.25">
      <c r="A1621" s="41">
        <v>43533</v>
      </c>
      <c r="B1621" s="29">
        <v>181.28</v>
      </c>
      <c r="C1621" s="37">
        <f t="shared" si="56"/>
        <v>30.213333333333335</v>
      </c>
      <c r="D1621" s="37">
        <v>10.962999999999999</v>
      </c>
      <c r="E1621" s="33">
        <f t="shared" si="57"/>
        <v>-2.7574036287438024E-4</v>
      </c>
    </row>
    <row r="1622" spans="1:5" x14ac:dyDescent="0.25">
      <c r="A1622" s="41">
        <v>43533</v>
      </c>
      <c r="B1622" s="29">
        <v>181.23</v>
      </c>
      <c r="C1622" s="37">
        <f t="shared" si="56"/>
        <v>30.204999999999998</v>
      </c>
      <c r="D1622" s="37">
        <v>10.962999999999999</v>
      </c>
      <c r="E1622" s="33">
        <f t="shared" si="57"/>
        <v>-2.7581641659317832E-4</v>
      </c>
    </row>
    <row r="1623" spans="1:5" x14ac:dyDescent="0.25">
      <c r="A1623" s="41">
        <v>43533</v>
      </c>
      <c r="B1623" s="29">
        <v>181.18</v>
      </c>
      <c r="C1623" s="37">
        <f t="shared" si="56"/>
        <v>30.196666666666665</v>
      </c>
      <c r="D1623" s="37">
        <v>10.962999999999999</v>
      </c>
      <c r="E1623" s="33">
        <f t="shared" si="57"/>
        <v>-2.7589251227712271E-4</v>
      </c>
    </row>
    <row r="1624" spans="1:5" x14ac:dyDescent="0.25">
      <c r="A1624" s="41">
        <v>43533</v>
      </c>
      <c r="B1624" s="29">
        <v>181.13</v>
      </c>
      <c r="C1624" s="37">
        <f t="shared" si="56"/>
        <v>30.188333333333333</v>
      </c>
      <c r="D1624" s="37">
        <v>10.962999999999999</v>
      </c>
      <c r="E1624" s="33">
        <f t="shared" si="57"/>
        <v>-2.7596864996142715E-4</v>
      </c>
    </row>
    <row r="1625" spans="1:5" x14ac:dyDescent="0.25">
      <c r="A1625" s="41">
        <v>43533</v>
      </c>
      <c r="B1625" s="29">
        <v>181.08</v>
      </c>
      <c r="C1625" s="37">
        <f t="shared" si="56"/>
        <v>30.18</v>
      </c>
      <c r="D1625" s="37">
        <v>10.962999999999999</v>
      </c>
      <c r="E1625" s="33">
        <f t="shared" si="57"/>
        <v>-2.7604482968024592E-4</v>
      </c>
    </row>
    <row r="1626" spans="1:5" x14ac:dyDescent="0.25">
      <c r="A1626" s="41">
        <v>43533</v>
      </c>
      <c r="B1626" s="29">
        <v>181.03</v>
      </c>
      <c r="C1626" s="37">
        <f t="shared" si="56"/>
        <v>30.171666666666667</v>
      </c>
      <c r="D1626" s="37">
        <v>10.962999999999999</v>
      </c>
      <c r="E1626" s="33">
        <f t="shared" si="57"/>
        <v>-2.7612105146902673E-4</v>
      </c>
    </row>
    <row r="1627" spans="1:5" x14ac:dyDescent="0.25">
      <c r="A1627" s="41">
        <v>43533</v>
      </c>
      <c r="B1627" s="29">
        <v>181.02</v>
      </c>
      <c r="C1627" s="37">
        <f t="shared" si="56"/>
        <v>30.17</v>
      </c>
      <c r="D1627" s="37">
        <v>10.962999999999999</v>
      </c>
      <c r="E1627" s="33">
        <f t="shared" si="57"/>
        <v>-5.5239463072368697E-5</v>
      </c>
    </row>
    <row r="1628" spans="1:5" x14ac:dyDescent="0.25">
      <c r="A1628" s="41">
        <v>43533</v>
      </c>
      <c r="B1628" s="29">
        <v>184.46</v>
      </c>
      <c r="C1628" s="37">
        <f t="shared" si="56"/>
        <v>30.743333333333332</v>
      </c>
      <c r="D1628" s="37">
        <v>10.962999999999999</v>
      </c>
      <c r="E1628" s="33">
        <f t="shared" si="57"/>
        <v>1.9003425035907621E-2</v>
      </c>
    </row>
    <row r="1629" spans="1:5" x14ac:dyDescent="0.25">
      <c r="A1629" s="41">
        <v>43533</v>
      </c>
      <c r="B1629" s="29">
        <v>186.8</v>
      </c>
      <c r="C1629" s="37">
        <f t="shared" si="56"/>
        <v>31.133333333333333</v>
      </c>
      <c r="D1629" s="37">
        <v>10.962999999999999</v>
      </c>
      <c r="E1629" s="33">
        <f t="shared" si="57"/>
        <v>1.2685677111568922E-2</v>
      </c>
    </row>
    <row r="1630" spans="1:5" x14ac:dyDescent="0.25">
      <c r="A1630" s="41">
        <v>43533</v>
      </c>
      <c r="B1630" s="29">
        <v>186.77</v>
      </c>
      <c r="C1630" s="37">
        <f t="shared" si="56"/>
        <v>31.128333333333334</v>
      </c>
      <c r="D1630" s="37">
        <v>10.962999999999999</v>
      </c>
      <c r="E1630" s="33">
        <f t="shared" si="57"/>
        <v>-1.6059957173448144E-4</v>
      </c>
    </row>
    <row r="1631" spans="1:5" x14ac:dyDescent="0.25">
      <c r="A1631" s="41">
        <v>43533</v>
      </c>
      <c r="B1631" s="29">
        <v>182.95</v>
      </c>
      <c r="C1631" s="37">
        <f t="shared" si="56"/>
        <v>30.491666666666667</v>
      </c>
      <c r="D1631" s="37">
        <v>10.962999999999999</v>
      </c>
      <c r="E1631" s="33">
        <f t="shared" si="57"/>
        <v>-2.0452963538041557E-2</v>
      </c>
    </row>
    <row r="1632" spans="1:5" x14ac:dyDescent="0.25">
      <c r="A1632" s="41">
        <v>43533</v>
      </c>
      <c r="B1632" s="29">
        <v>180.87</v>
      </c>
      <c r="C1632" s="37">
        <f t="shared" si="56"/>
        <v>30.145</v>
      </c>
      <c r="D1632" s="37">
        <v>10.962999999999999</v>
      </c>
      <c r="E1632" s="33">
        <f t="shared" si="57"/>
        <v>-1.1369226564635061E-2</v>
      </c>
    </row>
    <row r="1633" spans="1:5" x14ac:dyDescent="0.25">
      <c r="A1633" s="41">
        <v>43533</v>
      </c>
      <c r="B1633" s="29">
        <v>180.68</v>
      </c>
      <c r="C1633" s="37">
        <f t="shared" si="56"/>
        <v>30.113333333333333</v>
      </c>
      <c r="D1633" s="37">
        <v>10.962999999999999</v>
      </c>
      <c r="E1633" s="33">
        <f t="shared" si="57"/>
        <v>-1.0504782440426701E-3</v>
      </c>
    </row>
    <row r="1634" spans="1:5" x14ac:dyDescent="0.25">
      <c r="A1634" s="41">
        <v>43534</v>
      </c>
      <c r="B1634" s="29">
        <v>228.36</v>
      </c>
      <c r="C1634" s="37">
        <f t="shared" si="56"/>
        <v>38.06</v>
      </c>
      <c r="D1634" s="37">
        <v>11.052</v>
      </c>
      <c r="E1634" s="33">
        <f t="shared" si="57"/>
        <v>0.26389196369271645</v>
      </c>
    </row>
    <row r="1635" spans="1:5" x14ac:dyDescent="0.25">
      <c r="A1635" s="41">
        <v>43534</v>
      </c>
      <c r="B1635" s="29">
        <v>227.44</v>
      </c>
      <c r="C1635" s="37">
        <f t="shared" si="56"/>
        <v>37.906666666666666</v>
      </c>
      <c r="D1635" s="37">
        <v>11.052</v>
      </c>
      <c r="E1635" s="33">
        <f t="shared" si="57"/>
        <v>-4.0287265720792423E-3</v>
      </c>
    </row>
    <row r="1636" spans="1:5" x14ac:dyDescent="0.25">
      <c r="A1636" s="41">
        <v>43534</v>
      </c>
      <c r="B1636" s="29">
        <v>227.04</v>
      </c>
      <c r="C1636" s="37">
        <f t="shared" si="56"/>
        <v>37.840000000000003</v>
      </c>
      <c r="D1636" s="37">
        <v>11.052</v>
      </c>
      <c r="E1636" s="33">
        <f t="shared" si="57"/>
        <v>-1.7587055926838097E-3</v>
      </c>
    </row>
    <row r="1637" spans="1:5" x14ac:dyDescent="0.25">
      <c r="A1637" s="41">
        <v>43534</v>
      </c>
      <c r="B1637" s="29">
        <v>222.06</v>
      </c>
      <c r="C1637" s="37">
        <f t="shared" si="56"/>
        <v>37.01</v>
      </c>
      <c r="D1637" s="37">
        <v>11.052</v>
      </c>
      <c r="E1637" s="33">
        <f t="shared" si="57"/>
        <v>-2.1934460887949217E-2</v>
      </c>
    </row>
    <row r="1638" spans="1:5" x14ac:dyDescent="0.25">
      <c r="A1638" s="41">
        <v>43534</v>
      </c>
      <c r="B1638" s="29">
        <v>221.77</v>
      </c>
      <c r="C1638" s="37">
        <f t="shared" si="56"/>
        <v>36.961666666666666</v>
      </c>
      <c r="D1638" s="37">
        <v>11.052</v>
      </c>
      <c r="E1638" s="33">
        <f t="shared" si="57"/>
        <v>-1.3059533459425022E-3</v>
      </c>
    </row>
    <row r="1639" spans="1:5" x14ac:dyDescent="0.25">
      <c r="A1639" s="41">
        <v>43534</v>
      </c>
      <c r="B1639" s="29">
        <v>219.45</v>
      </c>
      <c r="C1639" s="37">
        <f t="shared" si="56"/>
        <v>36.575000000000003</v>
      </c>
      <c r="D1639" s="37">
        <v>11.052</v>
      </c>
      <c r="E1639" s="33">
        <f t="shared" si="57"/>
        <v>-1.0461288722550487E-2</v>
      </c>
    </row>
    <row r="1640" spans="1:5" x14ac:dyDescent="0.25">
      <c r="A1640" s="41">
        <v>43534</v>
      </c>
      <c r="B1640" s="29">
        <v>210.4</v>
      </c>
      <c r="C1640" s="37">
        <f t="shared" si="56"/>
        <v>35.06666666666667</v>
      </c>
      <c r="D1640" s="37">
        <v>11.052</v>
      </c>
      <c r="E1640" s="33">
        <f t="shared" si="57"/>
        <v>-4.1239462292093798E-2</v>
      </c>
    </row>
    <row r="1641" spans="1:5" x14ac:dyDescent="0.25">
      <c r="A1641" s="41">
        <v>43534</v>
      </c>
      <c r="B1641" s="29">
        <v>212.68</v>
      </c>
      <c r="C1641" s="37">
        <f t="shared" si="56"/>
        <v>35.446666666666665</v>
      </c>
      <c r="D1641" s="37">
        <v>11.052</v>
      </c>
      <c r="E1641" s="33">
        <f t="shared" si="57"/>
        <v>1.083650190114069E-2</v>
      </c>
    </row>
    <row r="1642" spans="1:5" x14ac:dyDescent="0.25">
      <c r="A1642" s="41">
        <v>43534</v>
      </c>
      <c r="B1642" s="29">
        <v>221.85</v>
      </c>
      <c r="C1642" s="37">
        <f t="shared" si="56"/>
        <v>36.975000000000001</v>
      </c>
      <c r="D1642" s="37">
        <v>11.052</v>
      </c>
      <c r="E1642" s="33">
        <f t="shared" si="57"/>
        <v>4.3116419033289388E-2</v>
      </c>
    </row>
    <row r="1643" spans="1:5" x14ac:dyDescent="0.25">
      <c r="A1643" s="41">
        <v>43534</v>
      </c>
      <c r="B1643" s="29">
        <v>227.04</v>
      </c>
      <c r="C1643" s="37">
        <f t="shared" si="56"/>
        <v>37.840000000000003</v>
      </c>
      <c r="D1643" s="37">
        <v>11.052</v>
      </c>
      <c r="E1643" s="33">
        <f t="shared" si="57"/>
        <v>2.339418526031101E-2</v>
      </c>
    </row>
    <row r="1644" spans="1:5" x14ac:dyDescent="0.25">
      <c r="A1644" s="41">
        <v>43534</v>
      </c>
      <c r="B1644" s="29">
        <v>227.09</v>
      </c>
      <c r="C1644" s="37">
        <f t="shared" si="56"/>
        <v>37.848333333333336</v>
      </c>
      <c r="D1644" s="37">
        <v>11.052</v>
      </c>
      <c r="E1644" s="33">
        <f t="shared" si="57"/>
        <v>2.2022551092323541E-4</v>
      </c>
    </row>
    <row r="1645" spans="1:5" x14ac:dyDescent="0.25">
      <c r="A1645" s="41">
        <v>43534</v>
      </c>
      <c r="B1645" s="29">
        <v>227.05</v>
      </c>
      <c r="C1645" s="37">
        <f t="shared" si="56"/>
        <v>37.841666666666669</v>
      </c>
      <c r="D1645" s="37">
        <v>11.052</v>
      </c>
      <c r="E1645" s="33">
        <f t="shared" si="57"/>
        <v>-1.7614161786072501E-4</v>
      </c>
    </row>
    <row r="1646" spans="1:5" x14ac:dyDescent="0.25">
      <c r="A1646" s="41">
        <v>43534</v>
      </c>
      <c r="B1646" s="29">
        <v>227.01</v>
      </c>
      <c r="C1646" s="37">
        <f t="shared" si="56"/>
        <v>37.835000000000001</v>
      </c>
      <c r="D1646" s="37">
        <v>11.052</v>
      </c>
      <c r="E1646" s="33">
        <f t="shared" si="57"/>
        <v>-1.7617264919630239E-4</v>
      </c>
    </row>
    <row r="1647" spans="1:5" x14ac:dyDescent="0.25">
      <c r="A1647" s="41">
        <v>43534</v>
      </c>
      <c r="B1647" s="29">
        <v>226.97</v>
      </c>
      <c r="C1647" s="37">
        <f t="shared" si="56"/>
        <v>37.828333333333333</v>
      </c>
      <c r="D1647" s="37">
        <v>11.052</v>
      </c>
      <c r="E1647" s="33">
        <f t="shared" si="57"/>
        <v>-1.7620369146730119E-4</v>
      </c>
    </row>
    <row r="1648" spans="1:5" x14ac:dyDescent="0.25">
      <c r="A1648" s="41">
        <v>43534</v>
      </c>
      <c r="B1648" s="29">
        <v>227.01</v>
      </c>
      <c r="C1648" s="37">
        <f t="shared" si="56"/>
        <v>37.835000000000001</v>
      </c>
      <c r="D1648" s="37">
        <v>11.052</v>
      </c>
      <c r="E1648" s="33">
        <f t="shared" si="57"/>
        <v>1.7623474467987857E-4</v>
      </c>
    </row>
    <row r="1649" spans="1:5" x14ac:dyDescent="0.25">
      <c r="A1649" s="41">
        <v>43534</v>
      </c>
      <c r="B1649" s="29">
        <v>227.06</v>
      </c>
      <c r="C1649" s="37">
        <f t="shared" si="56"/>
        <v>37.843333333333334</v>
      </c>
      <c r="D1649" s="37">
        <v>11.052</v>
      </c>
      <c r="E1649" s="33">
        <f t="shared" si="57"/>
        <v>2.202546143342204E-4</v>
      </c>
    </row>
    <row r="1650" spans="1:5" x14ac:dyDescent="0.25">
      <c r="A1650" s="41">
        <v>43534</v>
      </c>
      <c r="B1650" s="29">
        <v>229.32</v>
      </c>
      <c r="C1650" s="37">
        <f t="shared" si="56"/>
        <v>38.22</v>
      </c>
      <c r="D1650" s="37">
        <v>11.052</v>
      </c>
      <c r="E1650" s="33">
        <f t="shared" si="57"/>
        <v>9.95331630406056E-3</v>
      </c>
    </row>
    <row r="1651" spans="1:5" x14ac:dyDescent="0.25">
      <c r="A1651" s="41">
        <v>43534</v>
      </c>
      <c r="B1651" s="29">
        <v>229.92</v>
      </c>
      <c r="C1651" s="37">
        <f t="shared" si="56"/>
        <v>38.32</v>
      </c>
      <c r="D1651" s="37">
        <v>11.052</v>
      </c>
      <c r="E1651" s="33">
        <f t="shared" si="57"/>
        <v>2.6164311878597345E-3</v>
      </c>
    </row>
    <row r="1652" spans="1:5" x14ac:dyDescent="0.25">
      <c r="A1652" s="41">
        <v>43534</v>
      </c>
      <c r="B1652" s="29">
        <v>236.98</v>
      </c>
      <c r="C1652" s="37">
        <f t="shared" si="56"/>
        <v>39.49666666666667</v>
      </c>
      <c r="D1652" s="37">
        <v>11.052</v>
      </c>
      <c r="E1652" s="33">
        <f t="shared" si="57"/>
        <v>3.0706332637439122E-2</v>
      </c>
    </row>
    <row r="1653" spans="1:5" x14ac:dyDescent="0.25">
      <c r="A1653" s="41">
        <v>43534</v>
      </c>
      <c r="B1653" s="29">
        <v>239.63</v>
      </c>
      <c r="C1653" s="37">
        <f t="shared" si="56"/>
        <v>39.938333333333333</v>
      </c>
      <c r="D1653" s="37">
        <v>11.052</v>
      </c>
      <c r="E1653" s="33">
        <f t="shared" si="57"/>
        <v>1.1182378259768781E-2</v>
      </c>
    </row>
    <row r="1654" spans="1:5" x14ac:dyDescent="0.25">
      <c r="A1654" s="41">
        <v>43534</v>
      </c>
      <c r="B1654" s="29">
        <v>239.66</v>
      </c>
      <c r="C1654" s="37">
        <f t="shared" si="56"/>
        <v>39.943333333333335</v>
      </c>
      <c r="D1654" s="37">
        <v>11.052</v>
      </c>
      <c r="E1654" s="33">
        <f t="shared" si="57"/>
        <v>1.2519300588407603E-4</v>
      </c>
    </row>
    <row r="1655" spans="1:5" x14ac:dyDescent="0.25">
      <c r="A1655" s="41">
        <v>43534</v>
      </c>
      <c r="B1655" s="29">
        <v>239.59</v>
      </c>
      <c r="C1655" s="37">
        <f t="shared" si="56"/>
        <v>39.931666666666665</v>
      </c>
      <c r="D1655" s="37">
        <v>11.052</v>
      </c>
      <c r="E1655" s="33">
        <f t="shared" si="57"/>
        <v>-2.9208044730031371E-4</v>
      </c>
    </row>
    <row r="1656" spans="1:5" x14ac:dyDescent="0.25">
      <c r="A1656" s="41">
        <v>43534</v>
      </c>
      <c r="B1656" s="29">
        <v>239.53</v>
      </c>
      <c r="C1656" s="37">
        <f t="shared" si="56"/>
        <v>39.921666666666667</v>
      </c>
      <c r="D1656" s="37">
        <v>11.052</v>
      </c>
      <c r="E1656" s="33">
        <f t="shared" si="57"/>
        <v>-2.5042781418257136E-4</v>
      </c>
    </row>
    <row r="1657" spans="1:5" x14ac:dyDescent="0.25">
      <c r="A1657" s="41">
        <v>43534</v>
      </c>
      <c r="B1657" s="29">
        <v>237.28</v>
      </c>
      <c r="C1657" s="37">
        <f t="shared" si="56"/>
        <v>39.546666666666667</v>
      </c>
      <c r="D1657" s="37">
        <v>11.052</v>
      </c>
      <c r="E1657" s="33">
        <f t="shared" si="57"/>
        <v>-9.3933953993236754E-3</v>
      </c>
    </row>
    <row r="1658" spans="1:5" x14ac:dyDescent="0.25">
      <c r="A1658" s="41">
        <v>43535</v>
      </c>
      <c r="B1658" s="29">
        <v>246.36</v>
      </c>
      <c r="C1658" s="37">
        <f t="shared" si="56"/>
        <v>41.06</v>
      </c>
      <c r="D1658" s="37">
        <v>10.829000000000001</v>
      </c>
      <c r="E1658" s="33">
        <f t="shared" si="57"/>
        <v>3.8267026298044557E-2</v>
      </c>
    </row>
    <row r="1659" spans="1:5" x14ac:dyDescent="0.25">
      <c r="A1659" s="41">
        <v>43535</v>
      </c>
      <c r="B1659" s="29">
        <v>245.81</v>
      </c>
      <c r="C1659" s="37">
        <f t="shared" si="56"/>
        <v>40.968333333333334</v>
      </c>
      <c r="D1659" s="37">
        <v>10.829000000000001</v>
      </c>
      <c r="E1659" s="33">
        <f t="shared" si="57"/>
        <v>-2.2325052768307004E-3</v>
      </c>
    </row>
    <row r="1660" spans="1:5" x14ac:dyDescent="0.25">
      <c r="A1660" s="41">
        <v>43535</v>
      </c>
      <c r="B1660" s="29">
        <v>245.26</v>
      </c>
      <c r="C1660" s="37">
        <f t="shared" si="56"/>
        <v>40.876666666666665</v>
      </c>
      <c r="D1660" s="37">
        <v>10.829000000000001</v>
      </c>
      <c r="E1660" s="33">
        <f t="shared" si="57"/>
        <v>-2.2375005085228891E-3</v>
      </c>
    </row>
    <row r="1661" spans="1:5" x14ac:dyDescent="0.25">
      <c r="A1661" s="41">
        <v>43535</v>
      </c>
      <c r="B1661" s="29">
        <v>245.26</v>
      </c>
      <c r="C1661" s="37">
        <f t="shared" si="56"/>
        <v>40.876666666666665</v>
      </c>
      <c r="D1661" s="37">
        <v>10.829000000000001</v>
      </c>
      <c r="E1661" s="33">
        <f t="shared" si="57"/>
        <v>0</v>
      </c>
    </row>
    <row r="1662" spans="1:5" x14ac:dyDescent="0.25">
      <c r="A1662" s="41">
        <v>43535</v>
      </c>
      <c r="B1662" s="29">
        <v>245.26</v>
      </c>
      <c r="C1662" s="37">
        <f t="shared" si="56"/>
        <v>40.876666666666665</v>
      </c>
      <c r="D1662" s="37">
        <v>10.829000000000001</v>
      </c>
      <c r="E1662" s="33">
        <f t="shared" si="57"/>
        <v>0</v>
      </c>
    </row>
    <row r="1663" spans="1:5" x14ac:dyDescent="0.25">
      <c r="A1663" s="41">
        <v>43535</v>
      </c>
      <c r="B1663" s="29">
        <v>246.23</v>
      </c>
      <c r="C1663" s="37">
        <f t="shared" si="56"/>
        <v>41.038333333333334</v>
      </c>
      <c r="D1663" s="37">
        <v>10.829000000000001</v>
      </c>
      <c r="E1663" s="33">
        <f t="shared" si="57"/>
        <v>3.9549865448911311E-3</v>
      </c>
    </row>
    <row r="1664" spans="1:5" x14ac:dyDescent="0.25">
      <c r="A1664" s="41">
        <v>43535</v>
      </c>
      <c r="B1664" s="29">
        <v>246.41</v>
      </c>
      <c r="C1664" s="37">
        <f t="shared" si="56"/>
        <v>41.068333333333335</v>
      </c>
      <c r="D1664" s="37">
        <v>10.829000000000001</v>
      </c>
      <c r="E1664" s="33">
        <f t="shared" si="57"/>
        <v>7.3102383949968258E-4</v>
      </c>
    </row>
    <row r="1665" spans="1:5" x14ac:dyDescent="0.25">
      <c r="A1665" s="41">
        <v>43535</v>
      </c>
      <c r="B1665" s="29">
        <v>246.8</v>
      </c>
      <c r="C1665" s="37">
        <f t="shared" si="56"/>
        <v>41.133333333333333</v>
      </c>
      <c r="D1665" s="37">
        <v>10.829000000000001</v>
      </c>
      <c r="E1665" s="33">
        <f t="shared" si="57"/>
        <v>1.5827279737024259E-3</v>
      </c>
    </row>
    <row r="1666" spans="1:5" x14ac:dyDescent="0.25">
      <c r="A1666" s="41">
        <v>43535</v>
      </c>
      <c r="B1666" s="29">
        <v>250</v>
      </c>
      <c r="C1666" s="37">
        <f t="shared" si="56"/>
        <v>41.666666666666664</v>
      </c>
      <c r="D1666" s="37">
        <v>10.829000000000001</v>
      </c>
      <c r="E1666" s="33">
        <f t="shared" si="57"/>
        <v>1.2965964343598008E-2</v>
      </c>
    </row>
    <row r="1667" spans="1:5" x14ac:dyDescent="0.25">
      <c r="A1667" s="41">
        <v>43535</v>
      </c>
      <c r="B1667" s="29">
        <v>250.36</v>
      </c>
      <c r="C1667" s="37">
        <f t="shared" ref="C1667:C1730" si="58">(B1667*100/600)</f>
        <v>41.726666666666667</v>
      </c>
      <c r="D1667" s="37">
        <v>10.829000000000001</v>
      </c>
      <c r="E1667" s="33">
        <f t="shared" si="57"/>
        <v>1.4400000000000545E-3</v>
      </c>
    </row>
    <row r="1668" spans="1:5" x14ac:dyDescent="0.25">
      <c r="A1668" s="41">
        <v>43535</v>
      </c>
      <c r="B1668" s="29">
        <v>252.13</v>
      </c>
      <c r="C1668" s="37">
        <f t="shared" si="58"/>
        <v>42.021666666666668</v>
      </c>
      <c r="D1668" s="37">
        <v>10.829000000000001</v>
      </c>
      <c r="E1668" s="33">
        <f t="shared" ref="E1668:E1731" si="59">(B1668-B1667)/B1667</f>
        <v>7.0698194599775593E-3</v>
      </c>
    </row>
    <row r="1669" spans="1:5" x14ac:dyDescent="0.25">
      <c r="A1669" s="41">
        <v>43535</v>
      </c>
      <c r="B1669" s="29">
        <v>252.58</v>
      </c>
      <c r="C1669" s="37">
        <f t="shared" si="58"/>
        <v>42.096666666666664</v>
      </c>
      <c r="D1669" s="37">
        <v>10.829000000000001</v>
      </c>
      <c r="E1669" s="33">
        <f t="shared" si="59"/>
        <v>1.784793558878424E-3</v>
      </c>
    </row>
    <row r="1670" spans="1:5" x14ac:dyDescent="0.25">
      <c r="A1670" s="41">
        <v>43535</v>
      </c>
      <c r="B1670" s="29">
        <v>251.58</v>
      </c>
      <c r="C1670" s="37">
        <f t="shared" si="58"/>
        <v>41.93</v>
      </c>
      <c r="D1670" s="37">
        <v>10.829000000000001</v>
      </c>
      <c r="E1670" s="33">
        <f t="shared" si="59"/>
        <v>-3.9591416580885266E-3</v>
      </c>
    </row>
    <row r="1671" spans="1:5" x14ac:dyDescent="0.25">
      <c r="A1671" s="41">
        <v>43535</v>
      </c>
      <c r="B1671" s="29">
        <v>252.83</v>
      </c>
      <c r="C1671" s="37">
        <f t="shared" si="58"/>
        <v>42.138333333333335</v>
      </c>
      <c r="D1671" s="37">
        <v>10.829000000000001</v>
      </c>
      <c r="E1671" s="33">
        <f t="shared" si="59"/>
        <v>4.9685984577470385E-3</v>
      </c>
    </row>
    <row r="1672" spans="1:5" x14ac:dyDescent="0.25">
      <c r="A1672" s="41">
        <v>43535</v>
      </c>
      <c r="B1672" s="29">
        <v>254.05</v>
      </c>
      <c r="C1672" s="37">
        <f t="shared" si="58"/>
        <v>42.341666666666669</v>
      </c>
      <c r="D1672" s="37">
        <v>10.829000000000001</v>
      </c>
      <c r="E1672" s="33">
        <f t="shared" si="59"/>
        <v>4.8253767353557677E-3</v>
      </c>
    </row>
    <row r="1673" spans="1:5" x14ac:dyDescent="0.25">
      <c r="A1673" s="41">
        <v>43535</v>
      </c>
      <c r="B1673" s="29">
        <v>253.95</v>
      </c>
      <c r="C1673" s="37">
        <f t="shared" si="58"/>
        <v>42.325000000000003</v>
      </c>
      <c r="D1673" s="37">
        <v>10.829000000000001</v>
      </c>
      <c r="E1673" s="33">
        <f t="shared" si="59"/>
        <v>-3.9362330249959743E-4</v>
      </c>
    </row>
    <row r="1674" spans="1:5" x14ac:dyDescent="0.25">
      <c r="A1674" s="41">
        <v>43535</v>
      </c>
      <c r="B1674" s="29">
        <v>252.72</v>
      </c>
      <c r="C1674" s="37">
        <f t="shared" si="58"/>
        <v>42.12</v>
      </c>
      <c r="D1674" s="37">
        <v>10.829000000000001</v>
      </c>
      <c r="E1674" s="33">
        <f t="shared" si="59"/>
        <v>-4.8434731246307927E-3</v>
      </c>
    </row>
    <row r="1675" spans="1:5" x14ac:dyDescent="0.25">
      <c r="A1675" s="41">
        <v>43535</v>
      </c>
      <c r="B1675" s="29">
        <v>250.3</v>
      </c>
      <c r="C1675" s="37">
        <f t="shared" si="58"/>
        <v>41.716666666666669</v>
      </c>
      <c r="D1675" s="37">
        <v>10.829000000000001</v>
      </c>
      <c r="E1675" s="33">
        <f t="shared" si="59"/>
        <v>-9.575815131370638E-3</v>
      </c>
    </row>
    <row r="1676" spans="1:5" x14ac:dyDescent="0.25">
      <c r="A1676" s="41">
        <v>43535</v>
      </c>
      <c r="B1676" s="29">
        <v>248.92</v>
      </c>
      <c r="C1676" s="37">
        <f t="shared" si="58"/>
        <v>41.486666666666665</v>
      </c>
      <c r="D1676" s="37">
        <v>10.829000000000001</v>
      </c>
      <c r="E1676" s="33">
        <f t="shared" si="59"/>
        <v>-5.5133839392729677E-3</v>
      </c>
    </row>
    <row r="1677" spans="1:5" x14ac:dyDescent="0.25">
      <c r="A1677" s="41">
        <v>43535</v>
      </c>
      <c r="B1677" s="29">
        <v>250.31</v>
      </c>
      <c r="C1677" s="37">
        <f t="shared" si="58"/>
        <v>41.718333333333334</v>
      </c>
      <c r="D1677" s="37">
        <v>10.829000000000001</v>
      </c>
      <c r="E1677" s="33">
        <f t="shared" si="59"/>
        <v>5.5841234131448455E-3</v>
      </c>
    </row>
    <row r="1678" spans="1:5" x14ac:dyDescent="0.25">
      <c r="A1678" s="41">
        <v>43535</v>
      </c>
      <c r="B1678" s="29">
        <v>250.31</v>
      </c>
      <c r="C1678" s="37">
        <f t="shared" si="58"/>
        <v>41.718333333333334</v>
      </c>
      <c r="D1678" s="37">
        <v>10.829000000000001</v>
      </c>
      <c r="E1678" s="33">
        <f t="shared" si="59"/>
        <v>0</v>
      </c>
    </row>
    <row r="1679" spans="1:5" x14ac:dyDescent="0.25">
      <c r="A1679" s="41">
        <v>43535</v>
      </c>
      <c r="B1679" s="29">
        <v>250.13</v>
      </c>
      <c r="C1679" s="37">
        <f t="shared" si="58"/>
        <v>41.688333333333333</v>
      </c>
      <c r="D1679" s="37">
        <v>10.829000000000001</v>
      </c>
      <c r="E1679" s="33">
        <f t="shared" si="59"/>
        <v>-7.1910830570095813E-4</v>
      </c>
    </row>
    <row r="1680" spans="1:5" x14ac:dyDescent="0.25">
      <c r="A1680" s="41">
        <v>43535</v>
      </c>
      <c r="B1680" s="29">
        <v>248.87</v>
      </c>
      <c r="C1680" s="37">
        <f t="shared" si="58"/>
        <v>41.478333333333332</v>
      </c>
      <c r="D1680" s="37">
        <v>10.829000000000001</v>
      </c>
      <c r="E1680" s="33">
        <f t="shared" si="59"/>
        <v>-5.0373805621076679E-3</v>
      </c>
    </row>
    <row r="1681" spans="1:5" x14ac:dyDescent="0.25">
      <c r="A1681" s="41">
        <v>43535</v>
      </c>
      <c r="B1681" s="29">
        <v>246.74</v>
      </c>
      <c r="C1681" s="37">
        <f t="shared" si="58"/>
        <v>41.123333333333335</v>
      </c>
      <c r="D1681" s="37">
        <v>10.829000000000001</v>
      </c>
      <c r="E1681" s="33">
        <f t="shared" si="59"/>
        <v>-8.5586852573632643E-3</v>
      </c>
    </row>
    <row r="1682" spans="1:5" x14ac:dyDescent="0.25">
      <c r="A1682" s="41">
        <v>43536</v>
      </c>
      <c r="B1682" s="29">
        <v>244.36</v>
      </c>
      <c r="C1682" s="37">
        <f t="shared" si="58"/>
        <v>40.726666666666667</v>
      </c>
      <c r="D1682" s="37">
        <v>11.971</v>
      </c>
      <c r="E1682" s="33">
        <f t="shared" si="59"/>
        <v>-9.645780984031755E-3</v>
      </c>
    </row>
    <row r="1683" spans="1:5" x14ac:dyDescent="0.25">
      <c r="A1683" s="41">
        <v>43536</v>
      </c>
      <c r="B1683" s="29">
        <v>244.3</v>
      </c>
      <c r="C1683" s="37">
        <f t="shared" si="58"/>
        <v>40.716666666666669</v>
      </c>
      <c r="D1683" s="37">
        <v>11.971</v>
      </c>
      <c r="E1683" s="33">
        <f t="shared" si="59"/>
        <v>-2.455393681453686E-4</v>
      </c>
    </row>
    <row r="1684" spans="1:5" x14ac:dyDescent="0.25">
      <c r="A1684" s="41">
        <v>43536</v>
      </c>
      <c r="B1684" s="29">
        <v>244.26</v>
      </c>
      <c r="C1684" s="37">
        <f t="shared" si="58"/>
        <v>40.71</v>
      </c>
      <c r="D1684" s="37">
        <v>11.971</v>
      </c>
      <c r="E1684" s="33">
        <f t="shared" si="59"/>
        <v>-1.6373311502259705E-4</v>
      </c>
    </row>
    <row r="1685" spans="1:5" x14ac:dyDescent="0.25">
      <c r="A1685" s="41">
        <v>43536</v>
      </c>
      <c r="B1685" s="29">
        <v>244.22</v>
      </c>
      <c r="C1685" s="37">
        <f t="shared" si="58"/>
        <v>40.703333333333333</v>
      </c>
      <c r="D1685" s="37">
        <v>11.971</v>
      </c>
      <c r="E1685" s="33">
        <f t="shared" si="59"/>
        <v>-1.6375992794559913E-4</v>
      </c>
    </row>
    <row r="1686" spans="1:5" x14ac:dyDescent="0.25">
      <c r="A1686" s="41">
        <v>43536</v>
      </c>
      <c r="B1686" s="29">
        <v>244.18</v>
      </c>
      <c r="C1686" s="37">
        <f t="shared" si="58"/>
        <v>40.696666666666665</v>
      </c>
      <c r="D1686" s="37">
        <v>11.971</v>
      </c>
      <c r="E1686" s="33">
        <f t="shared" si="59"/>
        <v>-1.6378674965192058E-4</v>
      </c>
    </row>
    <row r="1687" spans="1:5" x14ac:dyDescent="0.25">
      <c r="A1687" s="41">
        <v>43536</v>
      </c>
      <c r="B1687" s="29">
        <v>244.15</v>
      </c>
      <c r="C1687" s="37">
        <f t="shared" si="58"/>
        <v>40.69166666666667</v>
      </c>
      <c r="D1687" s="37">
        <v>11.971</v>
      </c>
      <c r="E1687" s="33">
        <f t="shared" si="59"/>
        <v>-1.2286018510935021E-4</v>
      </c>
    </row>
    <row r="1688" spans="1:5" x14ac:dyDescent="0.25">
      <c r="A1688" s="41">
        <v>43536</v>
      </c>
      <c r="B1688" s="29">
        <v>244.6</v>
      </c>
      <c r="C1688" s="37">
        <f t="shared" si="58"/>
        <v>40.766666666666666</v>
      </c>
      <c r="D1688" s="37">
        <v>11.971</v>
      </c>
      <c r="E1688" s="33">
        <f t="shared" si="59"/>
        <v>1.843129223837758E-3</v>
      </c>
    </row>
    <row r="1689" spans="1:5" x14ac:dyDescent="0.25">
      <c r="A1689" s="41">
        <v>43536</v>
      </c>
      <c r="B1689" s="29">
        <v>245.01</v>
      </c>
      <c r="C1689" s="37">
        <f t="shared" si="58"/>
        <v>40.835000000000001</v>
      </c>
      <c r="D1689" s="37">
        <v>11.971</v>
      </c>
      <c r="E1689" s="33">
        <f t="shared" si="59"/>
        <v>1.6762060506949983E-3</v>
      </c>
    </row>
    <row r="1690" spans="1:5" x14ac:dyDescent="0.25">
      <c r="A1690" s="41">
        <v>43536</v>
      </c>
      <c r="B1690" s="29">
        <v>248.71</v>
      </c>
      <c r="C1690" s="37">
        <f t="shared" si="58"/>
        <v>41.451666666666668</v>
      </c>
      <c r="D1690" s="37">
        <v>11.971</v>
      </c>
      <c r="E1690" s="33">
        <f t="shared" si="59"/>
        <v>1.5101424431655922E-2</v>
      </c>
    </row>
    <row r="1691" spans="1:5" x14ac:dyDescent="0.25">
      <c r="A1691" s="41">
        <v>43536</v>
      </c>
      <c r="B1691" s="29">
        <v>250.34</v>
      </c>
      <c r="C1691" s="37">
        <f t="shared" si="58"/>
        <v>41.723333333333336</v>
      </c>
      <c r="D1691" s="37">
        <v>11.971</v>
      </c>
      <c r="E1691" s="33">
        <f t="shared" si="59"/>
        <v>6.5538176993285169E-3</v>
      </c>
    </row>
    <row r="1692" spans="1:5" x14ac:dyDescent="0.25">
      <c r="A1692" s="41">
        <v>43536</v>
      </c>
      <c r="B1692" s="29">
        <v>252.45</v>
      </c>
      <c r="C1692" s="37">
        <f t="shared" si="58"/>
        <v>42.075000000000003</v>
      </c>
      <c r="D1692" s="37">
        <v>11.971</v>
      </c>
      <c r="E1692" s="33">
        <f t="shared" si="59"/>
        <v>8.4285371894223266E-3</v>
      </c>
    </row>
    <row r="1693" spans="1:5" x14ac:dyDescent="0.25">
      <c r="A1693" s="41">
        <v>43536</v>
      </c>
      <c r="B1693" s="29">
        <v>252.47</v>
      </c>
      <c r="C1693" s="37">
        <f t="shared" si="58"/>
        <v>42.078333333333333</v>
      </c>
      <c r="D1693" s="37">
        <v>11.971</v>
      </c>
      <c r="E1693" s="33">
        <f t="shared" si="59"/>
        <v>7.9223608635413875E-5</v>
      </c>
    </row>
    <row r="1694" spans="1:5" x14ac:dyDescent="0.25">
      <c r="A1694" s="41">
        <v>43536</v>
      </c>
      <c r="B1694" s="29">
        <v>251.1</v>
      </c>
      <c r="C1694" s="37">
        <f t="shared" si="58"/>
        <v>41.85</v>
      </c>
      <c r="D1694" s="37">
        <v>11.971</v>
      </c>
      <c r="E1694" s="33">
        <f t="shared" si="59"/>
        <v>-5.4263872935398447E-3</v>
      </c>
    </row>
    <row r="1695" spans="1:5" x14ac:dyDescent="0.25">
      <c r="A1695" s="41">
        <v>43536</v>
      </c>
      <c r="B1695" s="29">
        <v>252.52</v>
      </c>
      <c r="C1695" s="37">
        <f t="shared" si="58"/>
        <v>42.086666666666666</v>
      </c>
      <c r="D1695" s="37">
        <v>11.971</v>
      </c>
      <c r="E1695" s="33">
        <f t="shared" si="59"/>
        <v>5.6551174830745355E-3</v>
      </c>
    </row>
    <row r="1696" spans="1:5" x14ac:dyDescent="0.25">
      <c r="A1696" s="41">
        <v>43536</v>
      </c>
      <c r="B1696" s="29">
        <v>252.76</v>
      </c>
      <c r="C1696" s="37">
        <f t="shared" si="58"/>
        <v>42.126666666666665</v>
      </c>
      <c r="D1696" s="37">
        <v>11.971</v>
      </c>
      <c r="E1696" s="33">
        <f t="shared" si="59"/>
        <v>9.5041976873111304E-4</v>
      </c>
    </row>
    <row r="1697" spans="1:5" x14ac:dyDescent="0.25">
      <c r="A1697" s="41">
        <v>43536</v>
      </c>
      <c r="B1697" s="29">
        <v>252.68</v>
      </c>
      <c r="C1697" s="37">
        <f t="shared" si="58"/>
        <v>42.113333333333337</v>
      </c>
      <c r="D1697" s="37">
        <v>11.971</v>
      </c>
      <c r="E1697" s="33">
        <f t="shared" si="59"/>
        <v>-3.1650577623035323E-4</v>
      </c>
    </row>
    <row r="1698" spans="1:5" x14ac:dyDescent="0.25">
      <c r="A1698" s="41">
        <v>43536</v>
      </c>
      <c r="B1698" s="29">
        <v>252.59</v>
      </c>
      <c r="C1698" s="37">
        <f t="shared" si="58"/>
        <v>42.098333333333336</v>
      </c>
      <c r="D1698" s="37">
        <v>11.971</v>
      </c>
      <c r="E1698" s="33">
        <f t="shared" si="59"/>
        <v>-3.5618173183474516E-4</v>
      </c>
    </row>
    <row r="1699" spans="1:5" x14ac:dyDescent="0.25">
      <c r="A1699" s="41">
        <v>43536</v>
      </c>
      <c r="B1699" s="29">
        <v>250.35</v>
      </c>
      <c r="C1699" s="37">
        <f t="shared" si="58"/>
        <v>41.725000000000001</v>
      </c>
      <c r="D1699" s="37">
        <v>11.971</v>
      </c>
      <c r="E1699" s="33">
        <f t="shared" si="59"/>
        <v>-8.8681262124391657E-3</v>
      </c>
    </row>
    <row r="1700" spans="1:5" x14ac:dyDescent="0.25">
      <c r="A1700" s="41">
        <v>43536</v>
      </c>
      <c r="B1700" s="29">
        <v>249.11</v>
      </c>
      <c r="C1700" s="37">
        <f t="shared" si="58"/>
        <v>41.518333333333331</v>
      </c>
      <c r="D1700" s="37">
        <v>11.971</v>
      </c>
      <c r="E1700" s="33">
        <f t="shared" si="59"/>
        <v>-4.9530657080087102E-3</v>
      </c>
    </row>
    <row r="1701" spans="1:5" x14ac:dyDescent="0.25">
      <c r="A1701" s="41">
        <v>43536</v>
      </c>
      <c r="B1701" s="29">
        <v>250.11</v>
      </c>
      <c r="C1701" s="37">
        <f t="shared" si="58"/>
        <v>41.685000000000002</v>
      </c>
      <c r="D1701" s="37">
        <v>11.971</v>
      </c>
      <c r="E1701" s="33">
        <f t="shared" si="59"/>
        <v>4.0142908755168398E-3</v>
      </c>
    </row>
    <row r="1702" spans="1:5" x14ac:dyDescent="0.25">
      <c r="A1702" s="41">
        <v>43536</v>
      </c>
      <c r="B1702" s="29">
        <v>249.98</v>
      </c>
      <c r="C1702" s="37">
        <f t="shared" si="58"/>
        <v>41.663333333333334</v>
      </c>
      <c r="D1702" s="37">
        <v>11.971</v>
      </c>
      <c r="E1702" s="33">
        <f t="shared" si="59"/>
        <v>-5.1977130062781922E-4</v>
      </c>
    </row>
    <row r="1703" spans="1:5" x14ac:dyDescent="0.25">
      <c r="A1703" s="41">
        <v>43536</v>
      </c>
      <c r="B1703" s="29">
        <v>249.85</v>
      </c>
      <c r="C1703" s="37">
        <f t="shared" si="58"/>
        <v>41.641666666666666</v>
      </c>
      <c r="D1703" s="37">
        <v>11.971</v>
      </c>
      <c r="E1703" s="33">
        <f t="shared" si="59"/>
        <v>-5.200416033282481E-4</v>
      </c>
    </row>
    <row r="1704" spans="1:5" x14ac:dyDescent="0.25">
      <c r="A1704" s="41">
        <v>43536</v>
      </c>
      <c r="B1704" s="29">
        <v>248.54</v>
      </c>
      <c r="C1704" s="37">
        <f t="shared" si="58"/>
        <v>41.423333333333332</v>
      </c>
      <c r="D1704" s="37">
        <v>11.971</v>
      </c>
      <c r="E1704" s="33">
        <f t="shared" si="59"/>
        <v>-5.2431458875325286E-3</v>
      </c>
    </row>
    <row r="1705" spans="1:5" x14ac:dyDescent="0.25">
      <c r="A1705" s="41">
        <v>43536</v>
      </c>
      <c r="B1705" s="29">
        <v>246.1</v>
      </c>
      <c r="C1705" s="37">
        <f t="shared" si="58"/>
        <v>41.016666666666666</v>
      </c>
      <c r="D1705" s="37">
        <v>11.971</v>
      </c>
      <c r="E1705" s="33">
        <f t="shared" si="59"/>
        <v>-9.8173332260400644E-3</v>
      </c>
    </row>
    <row r="1706" spans="1:5" x14ac:dyDescent="0.25">
      <c r="A1706" s="41">
        <v>43537</v>
      </c>
      <c r="B1706" s="29">
        <v>242.1</v>
      </c>
      <c r="C1706" s="37">
        <f t="shared" si="58"/>
        <v>40.35</v>
      </c>
      <c r="D1706" s="37">
        <v>14.702999999999999</v>
      </c>
      <c r="E1706" s="33">
        <f t="shared" si="59"/>
        <v>-1.6253555465258026E-2</v>
      </c>
    </row>
    <row r="1707" spans="1:5" x14ac:dyDescent="0.25">
      <c r="A1707" s="41">
        <v>43537</v>
      </c>
      <c r="B1707" s="29">
        <v>242.02</v>
      </c>
      <c r="C1707" s="37">
        <f t="shared" si="58"/>
        <v>40.336666666666666</v>
      </c>
      <c r="D1707" s="37">
        <v>14.702999999999999</v>
      </c>
      <c r="E1707" s="33">
        <f t="shared" si="59"/>
        <v>-3.3044196612963273E-4</v>
      </c>
    </row>
    <row r="1708" spans="1:5" x14ac:dyDescent="0.25">
      <c r="A1708" s="41">
        <v>43537</v>
      </c>
      <c r="B1708" s="29">
        <v>240.99</v>
      </c>
      <c r="C1708" s="37">
        <f t="shared" si="58"/>
        <v>40.164999999999999</v>
      </c>
      <c r="D1708" s="37">
        <v>14.702999999999999</v>
      </c>
      <c r="E1708" s="33">
        <f t="shared" si="59"/>
        <v>-4.2558466242459342E-3</v>
      </c>
    </row>
    <row r="1709" spans="1:5" x14ac:dyDescent="0.25">
      <c r="A1709" s="41">
        <v>43537</v>
      </c>
      <c r="B1709" s="29">
        <v>240.83</v>
      </c>
      <c r="C1709" s="37">
        <f t="shared" si="58"/>
        <v>40.138333333333335</v>
      </c>
      <c r="D1709" s="37">
        <v>14.702999999999999</v>
      </c>
      <c r="E1709" s="33">
        <f t="shared" si="59"/>
        <v>-6.6392796381591177E-4</v>
      </c>
    </row>
    <row r="1710" spans="1:5" x14ac:dyDescent="0.25">
      <c r="A1710" s="41">
        <v>43537</v>
      </c>
      <c r="B1710" s="29">
        <v>240.86</v>
      </c>
      <c r="C1710" s="37">
        <f t="shared" si="58"/>
        <v>40.143333333333331</v>
      </c>
      <c r="D1710" s="37">
        <v>14.702999999999999</v>
      </c>
      <c r="E1710" s="33">
        <f t="shared" si="59"/>
        <v>1.2456919818959903E-4</v>
      </c>
    </row>
    <row r="1711" spans="1:5" x14ac:dyDescent="0.25">
      <c r="A1711" s="41">
        <v>43537</v>
      </c>
      <c r="B1711" s="29">
        <v>240.98</v>
      </c>
      <c r="C1711" s="37">
        <f t="shared" si="58"/>
        <v>40.163333333333334</v>
      </c>
      <c r="D1711" s="37">
        <v>14.702999999999999</v>
      </c>
      <c r="E1711" s="33">
        <f t="shared" si="59"/>
        <v>4.9821473054876739E-4</v>
      </c>
    </row>
    <row r="1712" spans="1:5" x14ac:dyDescent="0.25">
      <c r="A1712" s="41">
        <v>43537</v>
      </c>
      <c r="B1712" s="29">
        <v>242.13</v>
      </c>
      <c r="C1712" s="37">
        <f t="shared" si="58"/>
        <v>40.354999999999997</v>
      </c>
      <c r="D1712" s="37">
        <v>14.702999999999999</v>
      </c>
      <c r="E1712" s="33">
        <f t="shared" si="59"/>
        <v>4.7721802639223406E-3</v>
      </c>
    </row>
    <row r="1713" spans="1:5" x14ac:dyDescent="0.25">
      <c r="A1713" s="41">
        <v>43537</v>
      </c>
      <c r="B1713" s="29">
        <v>244.39</v>
      </c>
      <c r="C1713" s="37">
        <f t="shared" si="58"/>
        <v>40.731666666666669</v>
      </c>
      <c r="D1713" s="37">
        <v>14.702999999999999</v>
      </c>
      <c r="E1713" s="33">
        <f t="shared" si="59"/>
        <v>9.3338289348696615E-3</v>
      </c>
    </row>
    <row r="1714" spans="1:5" x14ac:dyDescent="0.25">
      <c r="A1714" s="41">
        <v>43537</v>
      </c>
      <c r="B1714" s="29">
        <v>245.08</v>
      </c>
      <c r="C1714" s="37">
        <f t="shared" si="58"/>
        <v>40.846666666666664</v>
      </c>
      <c r="D1714" s="37">
        <v>14.702999999999999</v>
      </c>
      <c r="E1714" s="33">
        <f t="shared" si="59"/>
        <v>2.8233561111339505E-3</v>
      </c>
    </row>
    <row r="1715" spans="1:5" x14ac:dyDescent="0.25">
      <c r="A1715" s="41">
        <v>43537</v>
      </c>
      <c r="B1715" s="29">
        <v>247.59</v>
      </c>
      <c r="C1715" s="37">
        <f t="shared" si="58"/>
        <v>41.265000000000001</v>
      </c>
      <c r="D1715" s="37">
        <v>14.702999999999999</v>
      </c>
      <c r="E1715" s="33">
        <f t="shared" si="59"/>
        <v>1.024155377835805E-2</v>
      </c>
    </row>
    <row r="1716" spans="1:5" x14ac:dyDescent="0.25">
      <c r="A1716" s="41">
        <v>43537</v>
      </c>
      <c r="B1716" s="29">
        <v>248.8</v>
      </c>
      <c r="C1716" s="37">
        <f t="shared" si="58"/>
        <v>41.466666666666669</v>
      </c>
      <c r="D1716" s="37">
        <v>14.702999999999999</v>
      </c>
      <c r="E1716" s="33">
        <f t="shared" si="59"/>
        <v>4.8871117573407973E-3</v>
      </c>
    </row>
    <row r="1717" spans="1:5" x14ac:dyDescent="0.25">
      <c r="A1717" s="41">
        <v>43537</v>
      </c>
      <c r="B1717" s="29">
        <v>248.98</v>
      </c>
      <c r="C1717" s="37">
        <f t="shared" si="58"/>
        <v>41.49666666666667</v>
      </c>
      <c r="D1717" s="37">
        <v>14.702999999999999</v>
      </c>
      <c r="E1717" s="33">
        <f t="shared" si="59"/>
        <v>7.2347266881020249E-4</v>
      </c>
    </row>
    <row r="1718" spans="1:5" x14ac:dyDescent="0.25">
      <c r="A1718" s="41">
        <v>43537</v>
      </c>
      <c r="B1718" s="29">
        <v>248.16</v>
      </c>
      <c r="C1718" s="37">
        <f t="shared" si="58"/>
        <v>41.36</v>
      </c>
      <c r="D1718" s="37">
        <v>14.702999999999999</v>
      </c>
      <c r="E1718" s="33">
        <f t="shared" si="59"/>
        <v>-3.2934372238733762E-3</v>
      </c>
    </row>
    <row r="1719" spans="1:5" x14ac:dyDescent="0.25">
      <c r="A1719" s="41">
        <v>43537</v>
      </c>
      <c r="B1719" s="29">
        <v>248.89</v>
      </c>
      <c r="C1719" s="37">
        <f t="shared" si="58"/>
        <v>41.481666666666669</v>
      </c>
      <c r="D1719" s="37">
        <v>14.702999999999999</v>
      </c>
      <c r="E1719" s="33">
        <f t="shared" si="59"/>
        <v>2.9416505480334854E-3</v>
      </c>
    </row>
    <row r="1720" spans="1:5" x14ac:dyDescent="0.25">
      <c r="A1720" s="41">
        <v>43537</v>
      </c>
      <c r="B1720" s="29">
        <v>249.07</v>
      </c>
      <c r="C1720" s="37">
        <f t="shared" si="58"/>
        <v>41.511666666666663</v>
      </c>
      <c r="D1720" s="37">
        <v>14.702999999999999</v>
      </c>
      <c r="E1720" s="33">
        <f t="shared" si="59"/>
        <v>7.2321105709352259E-4</v>
      </c>
    </row>
    <row r="1721" spans="1:5" x14ac:dyDescent="0.25">
      <c r="A1721" s="41">
        <v>43537</v>
      </c>
      <c r="B1721" s="29">
        <v>249.07</v>
      </c>
      <c r="C1721" s="37">
        <f t="shared" si="58"/>
        <v>41.511666666666663</v>
      </c>
      <c r="D1721" s="37">
        <v>14.702999999999999</v>
      </c>
      <c r="E1721" s="33">
        <f t="shared" si="59"/>
        <v>0</v>
      </c>
    </row>
    <row r="1722" spans="1:5" x14ac:dyDescent="0.25">
      <c r="A1722" s="41">
        <v>43537</v>
      </c>
      <c r="B1722" s="29">
        <v>248.81</v>
      </c>
      <c r="C1722" s="37">
        <f t="shared" si="58"/>
        <v>41.468333333333334</v>
      </c>
      <c r="D1722" s="37">
        <v>14.702999999999999</v>
      </c>
      <c r="E1722" s="33">
        <f t="shared" si="59"/>
        <v>-1.0438832456738704E-3</v>
      </c>
    </row>
    <row r="1723" spans="1:5" x14ac:dyDescent="0.25">
      <c r="A1723" s="41">
        <v>43537</v>
      </c>
      <c r="B1723" s="29">
        <v>247.24</v>
      </c>
      <c r="C1723" s="37">
        <f t="shared" si="58"/>
        <v>41.206666666666663</v>
      </c>
      <c r="D1723" s="37">
        <v>14.702999999999999</v>
      </c>
      <c r="E1723" s="33">
        <f t="shared" si="59"/>
        <v>-6.3100357702664412E-3</v>
      </c>
    </row>
    <row r="1724" spans="1:5" x14ac:dyDescent="0.25">
      <c r="A1724" s="41">
        <v>43537</v>
      </c>
      <c r="B1724" s="29">
        <v>246.05</v>
      </c>
      <c r="C1724" s="37">
        <f t="shared" si="58"/>
        <v>41.008333333333333</v>
      </c>
      <c r="D1724" s="37">
        <v>14.702999999999999</v>
      </c>
      <c r="E1724" s="33">
        <f t="shared" si="59"/>
        <v>-4.8131370328425727E-3</v>
      </c>
    </row>
    <row r="1725" spans="1:5" x14ac:dyDescent="0.25">
      <c r="A1725" s="41">
        <v>43537</v>
      </c>
      <c r="B1725" s="29">
        <v>247.26</v>
      </c>
      <c r="C1725" s="37">
        <f t="shared" si="58"/>
        <v>41.21</v>
      </c>
      <c r="D1725" s="37">
        <v>14.702999999999999</v>
      </c>
      <c r="E1725" s="33">
        <f t="shared" si="59"/>
        <v>4.9176996545416763E-3</v>
      </c>
    </row>
    <row r="1726" spans="1:5" x14ac:dyDescent="0.25">
      <c r="A1726" s="41">
        <v>43537</v>
      </c>
      <c r="B1726" s="29">
        <v>247.17</v>
      </c>
      <c r="C1726" s="37">
        <f t="shared" si="58"/>
        <v>41.195</v>
      </c>
      <c r="D1726" s="37">
        <v>14.702999999999999</v>
      </c>
      <c r="E1726" s="33">
        <f t="shared" si="59"/>
        <v>-3.6398932297987304E-4</v>
      </c>
    </row>
    <row r="1727" spans="1:5" x14ac:dyDescent="0.25">
      <c r="A1727" s="41">
        <v>43537</v>
      </c>
      <c r="B1727" s="29">
        <v>247.08</v>
      </c>
      <c r="C1727" s="37">
        <f t="shared" si="58"/>
        <v>41.18</v>
      </c>
      <c r="D1727" s="37">
        <v>14.702999999999999</v>
      </c>
      <c r="E1727" s="33">
        <f t="shared" si="59"/>
        <v>-3.6412185944886106E-4</v>
      </c>
    </row>
    <row r="1728" spans="1:5" x14ac:dyDescent="0.25">
      <c r="A1728" s="41">
        <v>43537</v>
      </c>
      <c r="B1728" s="29">
        <v>244.78</v>
      </c>
      <c r="C1728" s="37">
        <f t="shared" si="58"/>
        <v>40.796666666666667</v>
      </c>
      <c r="D1728" s="37">
        <v>14.702999999999999</v>
      </c>
      <c r="E1728" s="33">
        <f t="shared" si="59"/>
        <v>-9.3087259187308209E-3</v>
      </c>
    </row>
    <row r="1729" spans="1:5" x14ac:dyDescent="0.25">
      <c r="A1729" s="41">
        <v>43537</v>
      </c>
      <c r="B1729" s="29">
        <v>244.47</v>
      </c>
      <c r="C1729" s="37">
        <f t="shared" si="58"/>
        <v>40.744999999999997</v>
      </c>
      <c r="D1729" s="37">
        <v>14.702999999999999</v>
      </c>
      <c r="E1729" s="33">
        <f t="shared" si="59"/>
        <v>-1.2664433368739369E-3</v>
      </c>
    </row>
    <row r="1730" spans="1:5" x14ac:dyDescent="0.25">
      <c r="A1730" s="41">
        <v>43538</v>
      </c>
      <c r="B1730" s="29">
        <v>241.86</v>
      </c>
      <c r="C1730" s="37">
        <f t="shared" si="58"/>
        <v>40.31</v>
      </c>
      <c r="D1730" s="37">
        <v>14.198</v>
      </c>
      <c r="E1730" s="33">
        <f t="shared" si="59"/>
        <v>-1.0676156583629833E-2</v>
      </c>
    </row>
    <row r="1731" spans="1:5" x14ac:dyDescent="0.25">
      <c r="A1731" s="41">
        <v>43538</v>
      </c>
      <c r="B1731" s="29">
        <v>240.93</v>
      </c>
      <c r="C1731" s="37">
        <f t="shared" ref="C1731:C1794" si="60">(B1731*100/600)</f>
        <v>40.155000000000001</v>
      </c>
      <c r="D1731" s="37">
        <v>14.198</v>
      </c>
      <c r="E1731" s="33">
        <f t="shared" si="59"/>
        <v>-3.8451997023071479E-3</v>
      </c>
    </row>
    <row r="1732" spans="1:5" x14ac:dyDescent="0.25">
      <c r="A1732" s="41">
        <v>43538</v>
      </c>
      <c r="B1732" s="29">
        <v>240.6</v>
      </c>
      <c r="C1732" s="37">
        <f t="shared" si="60"/>
        <v>40.1</v>
      </c>
      <c r="D1732" s="37">
        <v>14.198</v>
      </c>
      <c r="E1732" s="33">
        <f t="shared" ref="E1732:E1795" si="61">(B1732-B1731)/B1731</f>
        <v>-1.3696924417881231E-3</v>
      </c>
    </row>
    <row r="1733" spans="1:5" x14ac:dyDescent="0.25">
      <c r="A1733" s="41">
        <v>43538</v>
      </c>
      <c r="B1733" s="29">
        <v>239.01</v>
      </c>
      <c r="C1733" s="37">
        <f t="shared" si="60"/>
        <v>39.835000000000001</v>
      </c>
      <c r="D1733" s="37">
        <v>14.198</v>
      </c>
      <c r="E1733" s="33">
        <f t="shared" si="61"/>
        <v>-6.6084788029925328E-3</v>
      </c>
    </row>
    <row r="1734" spans="1:5" x14ac:dyDescent="0.25">
      <c r="A1734" s="41">
        <v>43538</v>
      </c>
      <c r="B1734" s="29">
        <v>240.19</v>
      </c>
      <c r="C1734" s="37">
        <f t="shared" si="60"/>
        <v>40.031666666666666</v>
      </c>
      <c r="D1734" s="37">
        <v>14.198</v>
      </c>
      <c r="E1734" s="33">
        <f t="shared" si="61"/>
        <v>4.9370319233505164E-3</v>
      </c>
    </row>
    <row r="1735" spans="1:5" x14ac:dyDescent="0.25">
      <c r="A1735" s="41">
        <v>43538</v>
      </c>
      <c r="B1735" s="29">
        <v>240.87</v>
      </c>
      <c r="C1735" s="37">
        <f t="shared" si="60"/>
        <v>40.145000000000003</v>
      </c>
      <c r="D1735" s="37">
        <v>14.198</v>
      </c>
      <c r="E1735" s="33">
        <f t="shared" si="61"/>
        <v>2.8310920521254293E-3</v>
      </c>
    </row>
    <row r="1736" spans="1:5" x14ac:dyDescent="0.25">
      <c r="A1736" s="41">
        <v>43538</v>
      </c>
      <c r="B1736" s="29">
        <v>241.86</v>
      </c>
      <c r="C1736" s="37">
        <f t="shared" si="60"/>
        <v>40.31</v>
      </c>
      <c r="D1736" s="37">
        <v>14.198</v>
      </c>
      <c r="E1736" s="33">
        <f t="shared" si="61"/>
        <v>4.1101008842944703E-3</v>
      </c>
    </row>
    <row r="1737" spans="1:5" x14ac:dyDescent="0.25">
      <c r="A1737" s="41">
        <v>43538</v>
      </c>
      <c r="B1737" s="29">
        <v>243.31</v>
      </c>
      <c r="C1737" s="37">
        <f t="shared" si="60"/>
        <v>40.551666666666669</v>
      </c>
      <c r="D1737" s="37">
        <v>14.198</v>
      </c>
      <c r="E1737" s="33">
        <f t="shared" si="61"/>
        <v>5.995203836930408E-3</v>
      </c>
    </row>
    <row r="1738" spans="1:5" x14ac:dyDescent="0.25">
      <c r="A1738" s="41">
        <v>43538</v>
      </c>
      <c r="B1738" s="29">
        <v>247.29</v>
      </c>
      <c r="C1738" s="37">
        <f t="shared" si="60"/>
        <v>41.215000000000003</v>
      </c>
      <c r="D1738" s="37">
        <v>14.198</v>
      </c>
      <c r="E1738" s="33">
        <f t="shared" si="61"/>
        <v>1.6357732933294931E-2</v>
      </c>
    </row>
    <row r="1739" spans="1:5" x14ac:dyDescent="0.25">
      <c r="A1739" s="41">
        <v>43538</v>
      </c>
      <c r="B1739" s="29">
        <v>249.73</v>
      </c>
      <c r="C1739" s="37">
        <f t="shared" si="60"/>
        <v>41.62166666666667</v>
      </c>
      <c r="D1739" s="37">
        <v>14.198</v>
      </c>
      <c r="E1739" s="33">
        <f t="shared" si="61"/>
        <v>9.8669578227991335E-3</v>
      </c>
    </row>
    <row r="1740" spans="1:5" x14ac:dyDescent="0.25">
      <c r="A1740" s="41">
        <v>43538</v>
      </c>
      <c r="B1740" s="29">
        <v>250.21</v>
      </c>
      <c r="C1740" s="37">
        <f t="shared" si="60"/>
        <v>41.701666666666668</v>
      </c>
      <c r="D1740" s="37">
        <v>14.198</v>
      </c>
      <c r="E1740" s="33">
        <f t="shared" si="61"/>
        <v>1.9220758419093349E-3</v>
      </c>
    </row>
    <row r="1741" spans="1:5" x14ac:dyDescent="0.25">
      <c r="A1741" s="41">
        <v>43538</v>
      </c>
      <c r="B1741" s="29">
        <v>250.31</v>
      </c>
      <c r="C1741" s="37">
        <f t="shared" si="60"/>
        <v>41.718333333333334</v>
      </c>
      <c r="D1741" s="37">
        <v>14.198</v>
      </c>
      <c r="E1741" s="33">
        <f t="shared" si="61"/>
        <v>3.9966428200309464E-4</v>
      </c>
    </row>
    <row r="1742" spans="1:5" x14ac:dyDescent="0.25">
      <c r="A1742" s="41">
        <v>43538</v>
      </c>
      <c r="B1742" s="29">
        <v>249.87</v>
      </c>
      <c r="C1742" s="37">
        <f t="shared" si="60"/>
        <v>41.645000000000003</v>
      </c>
      <c r="D1742" s="37">
        <v>14.198</v>
      </c>
      <c r="E1742" s="33">
        <f t="shared" si="61"/>
        <v>-1.7578203028244886E-3</v>
      </c>
    </row>
    <row r="1743" spans="1:5" x14ac:dyDescent="0.25">
      <c r="A1743" s="41">
        <v>43538</v>
      </c>
      <c r="B1743" s="29">
        <v>250.39</v>
      </c>
      <c r="C1743" s="37">
        <f t="shared" si="60"/>
        <v>41.731666666666669</v>
      </c>
      <c r="D1743" s="37">
        <v>14.198</v>
      </c>
      <c r="E1743" s="33">
        <f t="shared" si="61"/>
        <v>2.0810821627245441E-3</v>
      </c>
    </row>
    <row r="1744" spans="1:5" x14ac:dyDescent="0.25">
      <c r="A1744" s="41">
        <v>43538</v>
      </c>
      <c r="B1744" s="29">
        <v>250.48</v>
      </c>
      <c r="C1744" s="37">
        <f t="shared" si="60"/>
        <v>41.74666666666667</v>
      </c>
      <c r="D1744" s="37">
        <v>14.198</v>
      </c>
      <c r="E1744" s="33">
        <f t="shared" si="61"/>
        <v>3.5943927473143262E-4</v>
      </c>
    </row>
    <row r="1745" spans="1:5" x14ac:dyDescent="0.25">
      <c r="A1745" s="41">
        <v>43538</v>
      </c>
      <c r="B1745" s="29">
        <v>250.54</v>
      </c>
      <c r="C1745" s="37">
        <f t="shared" si="60"/>
        <v>41.756666666666668</v>
      </c>
      <c r="D1745" s="37">
        <v>14.198</v>
      </c>
      <c r="E1745" s="33">
        <f t="shared" si="61"/>
        <v>2.3954008304057122E-4</v>
      </c>
    </row>
    <row r="1746" spans="1:5" x14ac:dyDescent="0.25">
      <c r="A1746" s="41">
        <v>43538</v>
      </c>
      <c r="B1746" s="29">
        <v>250.53</v>
      </c>
      <c r="C1746" s="37">
        <f t="shared" si="60"/>
        <v>41.755000000000003</v>
      </c>
      <c r="D1746" s="37">
        <v>14.198</v>
      </c>
      <c r="E1746" s="33">
        <f t="shared" si="61"/>
        <v>-3.9913786221724696E-5</v>
      </c>
    </row>
    <row r="1747" spans="1:5" x14ac:dyDescent="0.25">
      <c r="A1747" s="41">
        <v>43538</v>
      </c>
      <c r="B1747" s="29">
        <v>248.92</v>
      </c>
      <c r="C1747" s="37">
        <f t="shared" si="60"/>
        <v>41.486666666666665</v>
      </c>
      <c r="D1747" s="37">
        <v>14.198</v>
      </c>
      <c r="E1747" s="33">
        <f t="shared" si="61"/>
        <v>-6.4263760827047208E-3</v>
      </c>
    </row>
    <row r="1748" spans="1:5" x14ac:dyDescent="0.25">
      <c r="A1748" s="41">
        <v>43538</v>
      </c>
      <c r="B1748" s="29">
        <v>248.72</v>
      </c>
      <c r="C1748" s="37">
        <f t="shared" si="60"/>
        <v>41.453333333333333</v>
      </c>
      <c r="D1748" s="37">
        <v>14.198</v>
      </c>
      <c r="E1748" s="33">
        <f t="shared" si="61"/>
        <v>-8.0347099469704579E-4</v>
      </c>
    </row>
    <row r="1749" spans="1:5" x14ac:dyDescent="0.25">
      <c r="A1749" s="41">
        <v>43538</v>
      </c>
      <c r="B1749" s="29">
        <v>249.06</v>
      </c>
      <c r="C1749" s="37">
        <f t="shared" si="60"/>
        <v>41.51</v>
      </c>
      <c r="D1749" s="37">
        <v>14.198</v>
      </c>
      <c r="E1749" s="33">
        <f t="shared" si="61"/>
        <v>1.3669990350595185E-3</v>
      </c>
    </row>
    <row r="1750" spans="1:5" x14ac:dyDescent="0.25">
      <c r="A1750" s="41">
        <v>43538</v>
      </c>
      <c r="B1750" s="29">
        <v>248.97</v>
      </c>
      <c r="C1750" s="37">
        <f t="shared" si="60"/>
        <v>41.494999999999997</v>
      </c>
      <c r="D1750" s="37">
        <v>14.198</v>
      </c>
      <c r="E1750" s="33">
        <f t="shared" si="61"/>
        <v>-3.6135870874489442E-4</v>
      </c>
    </row>
    <row r="1751" spans="1:5" x14ac:dyDescent="0.25">
      <c r="A1751" s="41">
        <v>43538</v>
      </c>
      <c r="B1751" s="29">
        <v>248.88</v>
      </c>
      <c r="C1751" s="37">
        <f t="shared" si="60"/>
        <v>41.48</v>
      </c>
      <c r="D1751" s="37">
        <v>14.198</v>
      </c>
      <c r="E1751" s="33">
        <f t="shared" si="61"/>
        <v>-3.6148933606459981E-4</v>
      </c>
    </row>
    <row r="1752" spans="1:5" x14ac:dyDescent="0.25">
      <c r="A1752" s="41">
        <v>43538</v>
      </c>
      <c r="B1752" s="29">
        <v>248.28</v>
      </c>
      <c r="C1752" s="37">
        <f t="shared" si="60"/>
        <v>41.38</v>
      </c>
      <c r="D1752" s="37">
        <v>14.198</v>
      </c>
      <c r="E1752" s="33">
        <f t="shared" si="61"/>
        <v>-2.4108003857280388E-3</v>
      </c>
    </row>
    <row r="1753" spans="1:5" x14ac:dyDescent="0.25">
      <c r="A1753" s="41">
        <v>43538</v>
      </c>
      <c r="B1753" s="29">
        <v>245.34</v>
      </c>
      <c r="C1753" s="37">
        <f t="shared" si="60"/>
        <v>40.89</v>
      </c>
      <c r="D1753" s="37">
        <v>14.198</v>
      </c>
      <c r="E1753" s="33">
        <f t="shared" si="61"/>
        <v>-1.1841469308844844E-2</v>
      </c>
    </row>
    <row r="1754" spans="1:5" x14ac:dyDescent="0.25">
      <c r="A1754" s="41">
        <v>43539</v>
      </c>
      <c r="B1754" s="29">
        <v>243.5</v>
      </c>
      <c r="C1754" s="37">
        <f t="shared" si="60"/>
        <v>40.583333333333336</v>
      </c>
      <c r="D1754" s="37">
        <v>12.939</v>
      </c>
      <c r="E1754" s="33">
        <f t="shared" si="61"/>
        <v>-7.4997962011901986E-3</v>
      </c>
    </row>
    <row r="1755" spans="1:5" x14ac:dyDescent="0.25">
      <c r="A1755" s="41">
        <v>43539</v>
      </c>
      <c r="B1755" s="29">
        <v>241.46</v>
      </c>
      <c r="C1755" s="37">
        <f t="shared" si="60"/>
        <v>40.243333333333332</v>
      </c>
      <c r="D1755" s="37">
        <v>12.939</v>
      </c>
      <c r="E1755" s="33">
        <f t="shared" si="61"/>
        <v>-8.3778234086241965E-3</v>
      </c>
    </row>
    <row r="1756" spans="1:5" x14ac:dyDescent="0.25">
      <c r="A1756" s="41">
        <v>43539</v>
      </c>
      <c r="B1756" s="29">
        <v>241.09</v>
      </c>
      <c r="C1756" s="37">
        <f t="shared" si="60"/>
        <v>40.181666666666665</v>
      </c>
      <c r="D1756" s="37">
        <v>12.939</v>
      </c>
      <c r="E1756" s="33">
        <f t="shared" si="61"/>
        <v>-1.5323449018471156E-3</v>
      </c>
    </row>
    <row r="1757" spans="1:5" x14ac:dyDescent="0.25">
      <c r="A1757" s="41">
        <v>43539</v>
      </c>
      <c r="B1757" s="29">
        <v>241.01</v>
      </c>
      <c r="C1757" s="37">
        <f t="shared" si="60"/>
        <v>40.168333333333337</v>
      </c>
      <c r="D1757" s="37">
        <v>12.939</v>
      </c>
      <c r="E1757" s="33">
        <f t="shared" si="61"/>
        <v>-3.3182628893779298E-4</v>
      </c>
    </row>
    <row r="1758" spans="1:5" x14ac:dyDescent="0.25">
      <c r="A1758" s="41">
        <v>43539</v>
      </c>
      <c r="B1758" s="29">
        <v>240.99</v>
      </c>
      <c r="C1758" s="37">
        <f t="shared" si="60"/>
        <v>40.164999999999999</v>
      </c>
      <c r="D1758" s="37">
        <v>12.939</v>
      </c>
      <c r="E1758" s="33">
        <f t="shared" si="61"/>
        <v>-8.2984108543138497E-5</v>
      </c>
    </row>
    <row r="1759" spans="1:5" x14ac:dyDescent="0.25">
      <c r="A1759" s="41">
        <v>43539</v>
      </c>
      <c r="B1759" s="29">
        <v>241.31</v>
      </c>
      <c r="C1759" s="37">
        <f t="shared" si="60"/>
        <v>40.218333333333334</v>
      </c>
      <c r="D1759" s="37">
        <v>12.939</v>
      </c>
      <c r="E1759" s="33">
        <f t="shared" si="61"/>
        <v>1.3278559276318235E-3</v>
      </c>
    </row>
    <row r="1760" spans="1:5" x14ac:dyDescent="0.25">
      <c r="A1760" s="41">
        <v>43539</v>
      </c>
      <c r="B1760" s="29">
        <v>243.31</v>
      </c>
      <c r="C1760" s="37">
        <f t="shared" si="60"/>
        <v>40.551666666666669</v>
      </c>
      <c r="D1760" s="37">
        <v>12.939</v>
      </c>
      <c r="E1760" s="33">
        <f t="shared" si="61"/>
        <v>8.2880941527495745E-3</v>
      </c>
    </row>
    <row r="1761" spans="1:5" x14ac:dyDescent="0.25">
      <c r="A1761" s="41">
        <v>43539</v>
      </c>
      <c r="B1761" s="29">
        <v>245.87</v>
      </c>
      <c r="C1761" s="37">
        <f t="shared" si="60"/>
        <v>40.978333333333332</v>
      </c>
      <c r="D1761" s="37">
        <v>12.939</v>
      </c>
      <c r="E1761" s="33">
        <f t="shared" si="61"/>
        <v>1.0521556861616876E-2</v>
      </c>
    </row>
    <row r="1762" spans="1:5" x14ac:dyDescent="0.25">
      <c r="A1762" s="41">
        <v>43539</v>
      </c>
      <c r="B1762" s="29">
        <v>247.79</v>
      </c>
      <c r="C1762" s="37">
        <f t="shared" si="60"/>
        <v>41.298333333333332</v>
      </c>
      <c r="D1762" s="37">
        <v>12.939</v>
      </c>
      <c r="E1762" s="33">
        <f t="shared" si="61"/>
        <v>7.8090047586122239E-3</v>
      </c>
    </row>
    <row r="1763" spans="1:5" x14ac:dyDescent="0.25">
      <c r="A1763" s="41">
        <v>43539</v>
      </c>
      <c r="B1763" s="29">
        <v>248.6</v>
      </c>
      <c r="C1763" s="37">
        <f t="shared" si="60"/>
        <v>41.43333333333333</v>
      </c>
      <c r="D1763" s="37">
        <v>12.939</v>
      </c>
      <c r="E1763" s="33">
        <f t="shared" si="61"/>
        <v>3.2688970499213138E-3</v>
      </c>
    </row>
    <row r="1764" spans="1:5" x14ac:dyDescent="0.25">
      <c r="A1764" s="41">
        <v>43539</v>
      </c>
      <c r="B1764" s="29">
        <v>249.65</v>
      </c>
      <c r="C1764" s="37">
        <f t="shared" si="60"/>
        <v>41.608333333333334</v>
      </c>
      <c r="D1764" s="37">
        <v>12.939</v>
      </c>
      <c r="E1764" s="33">
        <f t="shared" si="61"/>
        <v>4.2236524537409949E-3</v>
      </c>
    </row>
    <row r="1765" spans="1:5" x14ac:dyDescent="0.25">
      <c r="A1765" s="41">
        <v>43539</v>
      </c>
      <c r="B1765" s="29">
        <v>249.67</v>
      </c>
      <c r="C1765" s="37">
        <f t="shared" si="60"/>
        <v>41.611666666666665</v>
      </c>
      <c r="D1765" s="37">
        <v>12.939</v>
      </c>
      <c r="E1765" s="33">
        <f t="shared" si="61"/>
        <v>8.01121570197549E-5</v>
      </c>
    </row>
    <row r="1766" spans="1:5" x14ac:dyDescent="0.25">
      <c r="A1766" s="41">
        <v>43539</v>
      </c>
      <c r="B1766" s="29">
        <v>249.19</v>
      </c>
      <c r="C1766" s="37">
        <f t="shared" si="60"/>
        <v>41.531666666666666</v>
      </c>
      <c r="D1766" s="37">
        <v>12.939</v>
      </c>
      <c r="E1766" s="33">
        <f t="shared" si="61"/>
        <v>-1.9225377498297343E-3</v>
      </c>
    </row>
    <row r="1767" spans="1:5" x14ac:dyDescent="0.25">
      <c r="A1767" s="41">
        <v>43539</v>
      </c>
      <c r="B1767" s="29">
        <v>249.77</v>
      </c>
      <c r="C1767" s="37">
        <f t="shared" si="60"/>
        <v>41.62833333333333</v>
      </c>
      <c r="D1767" s="37">
        <v>12.939</v>
      </c>
      <c r="E1767" s="33">
        <f t="shared" si="61"/>
        <v>2.3275412335969042E-3</v>
      </c>
    </row>
    <row r="1768" spans="1:5" x14ac:dyDescent="0.25">
      <c r="A1768" s="41">
        <v>43539</v>
      </c>
      <c r="B1768" s="29">
        <v>249.86</v>
      </c>
      <c r="C1768" s="37">
        <f t="shared" si="60"/>
        <v>41.643333333333331</v>
      </c>
      <c r="D1768" s="37">
        <v>12.939</v>
      </c>
      <c r="E1768" s="33">
        <f t="shared" si="61"/>
        <v>3.6033150498459947E-4</v>
      </c>
    </row>
    <row r="1769" spans="1:5" x14ac:dyDescent="0.25">
      <c r="A1769" s="41">
        <v>43539</v>
      </c>
      <c r="B1769" s="29">
        <v>249.9</v>
      </c>
      <c r="C1769" s="37">
        <f t="shared" si="60"/>
        <v>41.65</v>
      </c>
      <c r="D1769" s="37">
        <v>12.939</v>
      </c>
      <c r="E1769" s="33">
        <f t="shared" si="61"/>
        <v>1.6008965020408245E-4</v>
      </c>
    </row>
    <row r="1770" spans="1:5" x14ac:dyDescent="0.25">
      <c r="A1770" s="41">
        <v>43539</v>
      </c>
      <c r="B1770" s="29">
        <v>248.79</v>
      </c>
      <c r="C1770" s="37">
        <f t="shared" si="60"/>
        <v>41.465000000000003</v>
      </c>
      <c r="D1770" s="37">
        <v>12.939</v>
      </c>
      <c r="E1770" s="33">
        <f t="shared" si="61"/>
        <v>-4.4417767106843279E-3</v>
      </c>
    </row>
    <row r="1771" spans="1:5" x14ac:dyDescent="0.25">
      <c r="A1771" s="41">
        <v>43539</v>
      </c>
      <c r="B1771" s="29">
        <v>247.37</v>
      </c>
      <c r="C1771" s="37">
        <f t="shared" si="60"/>
        <v>41.228333333333332</v>
      </c>
      <c r="D1771" s="37">
        <v>12.939</v>
      </c>
      <c r="E1771" s="33">
        <f t="shared" si="61"/>
        <v>-5.7076249045379139E-3</v>
      </c>
    </row>
    <row r="1772" spans="1:5" x14ac:dyDescent="0.25">
      <c r="A1772" s="41">
        <v>43539</v>
      </c>
      <c r="B1772" s="29">
        <v>247.27</v>
      </c>
      <c r="C1772" s="37">
        <f t="shared" si="60"/>
        <v>41.211666666666666</v>
      </c>
      <c r="D1772" s="37">
        <v>12.939</v>
      </c>
      <c r="E1772" s="33">
        <f t="shared" si="61"/>
        <v>-4.0425273881228248E-4</v>
      </c>
    </row>
    <row r="1773" spans="1:5" x14ac:dyDescent="0.25">
      <c r="A1773" s="41">
        <v>43539</v>
      </c>
      <c r="B1773" s="29">
        <v>247.29</v>
      </c>
      <c r="C1773" s="37">
        <f t="shared" si="60"/>
        <v>41.215000000000003</v>
      </c>
      <c r="D1773" s="37">
        <v>12.939</v>
      </c>
      <c r="E1773" s="33">
        <f t="shared" si="61"/>
        <v>8.0883245035717267E-5</v>
      </c>
    </row>
    <row r="1774" spans="1:5" x14ac:dyDescent="0.25">
      <c r="A1774" s="41">
        <v>43539</v>
      </c>
      <c r="B1774" s="29">
        <v>247.24</v>
      </c>
      <c r="C1774" s="37">
        <f t="shared" si="60"/>
        <v>41.206666666666663</v>
      </c>
      <c r="D1774" s="37">
        <v>12.939</v>
      </c>
      <c r="E1774" s="33">
        <f t="shared" si="61"/>
        <v>-2.0219175866384789E-4</v>
      </c>
    </row>
    <row r="1775" spans="1:5" x14ac:dyDescent="0.25">
      <c r="A1775" s="41">
        <v>43539</v>
      </c>
      <c r="B1775" s="29">
        <v>247.2</v>
      </c>
      <c r="C1775" s="37">
        <f t="shared" si="60"/>
        <v>41.2</v>
      </c>
      <c r="D1775" s="37">
        <v>12.939</v>
      </c>
      <c r="E1775" s="33">
        <f t="shared" si="61"/>
        <v>-1.6178611875109392E-4</v>
      </c>
    </row>
    <row r="1776" spans="1:5" x14ac:dyDescent="0.25">
      <c r="A1776" s="41">
        <v>43539</v>
      </c>
      <c r="B1776" s="29">
        <v>246.51</v>
      </c>
      <c r="C1776" s="37">
        <f t="shared" si="60"/>
        <v>41.085000000000001</v>
      </c>
      <c r="D1776" s="37">
        <v>12.939</v>
      </c>
      <c r="E1776" s="33">
        <f t="shared" si="61"/>
        <v>-2.7912621359223212E-3</v>
      </c>
    </row>
    <row r="1777" spans="1:5" x14ac:dyDescent="0.25">
      <c r="A1777" s="41">
        <v>43539</v>
      </c>
      <c r="B1777" s="29">
        <v>246.21</v>
      </c>
      <c r="C1777" s="37">
        <f t="shared" si="60"/>
        <v>41.034999999999997</v>
      </c>
      <c r="D1777" s="37">
        <v>12.939</v>
      </c>
      <c r="E1777" s="33">
        <f t="shared" si="61"/>
        <v>-1.2169891687963286E-3</v>
      </c>
    </row>
    <row r="1778" spans="1:5" x14ac:dyDescent="0.25">
      <c r="A1778" s="41">
        <v>43540</v>
      </c>
      <c r="B1778" s="29">
        <v>181.75</v>
      </c>
      <c r="C1778" s="37">
        <f t="shared" si="60"/>
        <v>30.291666666666668</v>
      </c>
      <c r="D1778" s="37">
        <v>11.868</v>
      </c>
      <c r="E1778" s="33">
        <f t="shared" si="61"/>
        <v>-0.26180902481621382</v>
      </c>
    </row>
    <row r="1779" spans="1:5" x14ac:dyDescent="0.25">
      <c r="A1779" s="41">
        <v>43540</v>
      </c>
      <c r="B1779" s="29">
        <v>177.94</v>
      </c>
      <c r="C1779" s="37">
        <f t="shared" si="60"/>
        <v>29.656666666666666</v>
      </c>
      <c r="D1779" s="37">
        <v>11.868</v>
      </c>
      <c r="E1779" s="33">
        <f t="shared" si="61"/>
        <v>-2.096286107290235E-2</v>
      </c>
    </row>
    <row r="1780" spans="1:5" x14ac:dyDescent="0.25">
      <c r="A1780" s="41">
        <v>43540</v>
      </c>
      <c r="B1780" s="29">
        <v>177.91</v>
      </c>
      <c r="C1780" s="37">
        <f t="shared" si="60"/>
        <v>29.651666666666667</v>
      </c>
      <c r="D1780" s="37">
        <v>11.868</v>
      </c>
      <c r="E1780" s="33">
        <f t="shared" si="61"/>
        <v>-1.6859615600764942E-4</v>
      </c>
    </row>
    <row r="1781" spans="1:5" x14ac:dyDescent="0.25">
      <c r="A1781" s="41">
        <v>43540</v>
      </c>
      <c r="B1781" s="29">
        <v>175.53</v>
      </c>
      <c r="C1781" s="37">
        <f t="shared" si="60"/>
        <v>29.254999999999999</v>
      </c>
      <c r="D1781" s="37">
        <v>11.868</v>
      </c>
      <c r="E1781" s="33">
        <f t="shared" si="61"/>
        <v>-1.3377550446855126E-2</v>
      </c>
    </row>
    <row r="1782" spans="1:5" x14ac:dyDescent="0.25">
      <c r="A1782" s="41">
        <v>43540</v>
      </c>
      <c r="B1782" s="29">
        <v>173.3</v>
      </c>
      <c r="C1782" s="37">
        <f t="shared" si="60"/>
        <v>28.883333333333333</v>
      </c>
      <c r="D1782" s="37">
        <v>11.868</v>
      </c>
      <c r="E1782" s="33">
        <f t="shared" si="61"/>
        <v>-1.270438101748983E-2</v>
      </c>
    </row>
    <row r="1783" spans="1:5" x14ac:dyDescent="0.25">
      <c r="A1783" s="41">
        <v>43540</v>
      </c>
      <c r="B1783" s="29">
        <v>174.32</v>
      </c>
      <c r="C1783" s="37">
        <f t="shared" si="60"/>
        <v>29.053333333333335</v>
      </c>
      <c r="D1783" s="37">
        <v>11.868</v>
      </c>
      <c r="E1783" s="33">
        <f t="shared" si="61"/>
        <v>5.8857472590881808E-3</v>
      </c>
    </row>
    <row r="1784" spans="1:5" x14ac:dyDescent="0.25">
      <c r="A1784" s="41">
        <v>43540</v>
      </c>
      <c r="B1784" s="29">
        <v>172.01</v>
      </c>
      <c r="C1784" s="37">
        <f t="shared" si="60"/>
        <v>28.668333333333333</v>
      </c>
      <c r="D1784" s="37">
        <v>11.868</v>
      </c>
      <c r="E1784" s="33">
        <f t="shared" si="61"/>
        <v>-1.3251491509866925E-2</v>
      </c>
    </row>
    <row r="1785" spans="1:5" x14ac:dyDescent="0.25">
      <c r="A1785" s="41">
        <v>43540</v>
      </c>
      <c r="B1785" s="29">
        <v>177.95</v>
      </c>
      <c r="C1785" s="37">
        <f t="shared" si="60"/>
        <v>29.658333333333335</v>
      </c>
      <c r="D1785" s="37">
        <v>11.868</v>
      </c>
      <c r="E1785" s="33">
        <f t="shared" si="61"/>
        <v>3.4532875995581643E-2</v>
      </c>
    </row>
    <row r="1786" spans="1:5" x14ac:dyDescent="0.25">
      <c r="A1786" s="41">
        <v>43540</v>
      </c>
      <c r="B1786" s="29">
        <v>179.95</v>
      </c>
      <c r="C1786" s="37">
        <f t="shared" si="60"/>
        <v>29.991666666666667</v>
      </c>
      <c r="D1786" s="37">
        <v>11.868</v>
      </c>
      <c r="E1786" s="33">
        <f t="shared" si="61"/>
        <v>1.12391121101433E-2</v>
      </c>
    </row>
    <row r="1787" spans="1:5" x14ac:dyDescent="0.25">
      <c r="A1787" s="41">
        <v>43540</v>
      </c>
      <c r="B1787" s="29">
        <v>181.31</v>
      </c>
      <c r="C1787" s="37">
        <f t="shared" si="60"/>
        <v>30.218333333333334</v>
      </c>
      <c r="D1787" s="37">
        <v>11.868</v>
      </c>
      <c r="E1787" s="33">
        <f t="shared" si="61"/>
        <v>7.5576549041401148E-3</v>
      </c>
    </row>
    <row r="1788" spans="1:5" x14ac:dyDescent="0.25">
      <c r="A1788" s="41">
        <v>43540</v>
      </c>
      <c r="B1788" s="29">
        <v>181.33</v>
      </c>
      <c r="C1788" s="37">
        <f t="shared" si="60"/>
        <v>30.221666666666668</v>
      </c>
      <c r="D1788" s="37">
        <v>11.868</v>
      </c>
      <c r="E1788" s="33">
        <f t="shared" si="61"/>
        <v>1.1030831173134538E-4</v>
      </c>
    </row>
    <row r="1789" spans="1:5" x14ac:dyDescent="0.25">
      <c r="A1789" s="41">
        <v>43540</v>
      </c>
      <c r="B1789" s="29">
        <v>181.28</v>
      </c>
      <c r="C1789" s="37">
        <f t="shared" si="60"/>
        <v>30.213333333333335</v>
      </c>
      <c r="D1789" s="37">
        <v>11.868</v>
      </c>
      <c r="E1789" s="33">
        <f t="shared" si="61"/>
        <v>-2.7574036287438024E-4</v>
      </c>
    </row>
    <row r="1790" spans="1:5" x14ac:dyDescent="0.25">
      <c r="A1790" s="41">
        <v>43540</v>
      </c>
      <c r="B1790" s="29">
        <v>181.23</v>
      </c>
      <c r="C1790" s="37">
        <f t="shared" si="60"/>
        <v>30.204999999999998</v>
      </c>
      <c r="D1790" s="37">
        <v>11.868</v>
      </c>
      <c r="E1790" s="33">
        <f t="shared" si="61"/>
        <v>-2.7581641659317832E-4</v>
      </c>
    </row>
    <row r="1791" spans="1:5" x14ac:dyDescent="0.25">
      <c r="A1791" s="41">
        <v>43540</v>
      </c>
      <c r="B1791" s="29">
        <v>181.18</v>
      </c>
      <c r="C1791" s="37">
        <f t="shared" si="60"/>
        <v>30.196666666666665</v>
      </c>
      <c r="D1791" s="37">
        <v>11.868</v>
      </c>
      <c r="E1791" s="33">
        <f t="shared" si="61"/>
        <v>-2.7589251227712271E-4</v>
      </c>
    </row>
    <row r="1792" spans="1:5" x14ac:dyDescent="0.25">
      <c r="A1792" s="41">
        <v>43540</v>
      </c>
      <c r="B1792" s="29">
        <v>181.13</v>
      </c>
      <c r="C1792" s="37">
        <f t="shared" si="60"/>
        <v>30.188333333333333</v>
      </c>
      <c r="D1792" s="37">
        <v>11.868</v>
      </c>
      <c r="E1792" s="33">
        <f t="shared" si="61"/>
        <v>-2.7596864996142715E-4</v>
      </c>
    </row>
    <row r="1793" spans="1:5" x14ac:dyDescent="0.25">
      <c r="A1793" s="41">
        <v>43540</v>
      </c>
      <c r="B1793" s="29">
        <v>181.08</v>
      </c>
      <c r="C1793" s="37">
        <f t="shared" si="60"/>
        <v>30.18</v>
      </c>
      <c r="D1793" s="37">
        <v>11.868</v>
      </c>
      <c r="E1793" s="33">
        <f t="shared" si="61"/>
        <v>-2.7604482968024592E-4</v>
      </c>
    </row>
    <row r="1794" spans="1:5" x14ac:dyDescent="0.25">
      <c r="A1794" s="41">
        <v>43540</v>
      </c>
      <c r="B1794" s="29">
        <v>181.03</v>
      </c>
      <c r="C1794" s="37">
        <f t="shared" si="60"/>
        <v>30.171666666666667</v>
      </c>
      <c r="D1794" s="37">
        <v>11.868</v>
      </c>
      <c r="E1794" s="33">
        <f t="shared" si="61"/>
        <v>-2.7612105146902673E-4</v>
      </c>
    </row>
    <row r="1795" spans="1:5" x14ac:dyDescent="0.25">
      <c r="A1795" s="41">
        <v>43540</v>
      </c>
      <c r="B1795" s="29">
        <v>181.02</v>
      </c>
      <c r="C1795" s="37">
        <f t="shared" ref="C1795:C1858" si="62">(B1795*100/600)</f>
        <v>30.17</v>
      </c>
      <c r="D1795" s="37">
        <v>11.868</v>
      </c>
      <c r="E1795" s="33">
        <f t="shared" si="61"/>
        <v>-5.5239463072368697E-5</v>
      </c>
    </row>
    <row r="1796" spans="1:5" x14ac:dyDescent="0.25">
      <c r="A1796" s="41">
        <v>43540</v>
      </c>
      <c r="B1796" s="29">
        <v>184.46</v>
      </c>
      <c r="C1796" s="37">
        <f t="shared" si="62"/>
        <v>30.743333333333332</v>
      </c>
      <c r="D1796" s="37">
        <v>11.868</v>
      </c>
      <c r="E1796" s="33">
        <f t="shared" ref="E1796:E1859" si="63">(B1796-B1795)/B1795</f>
        <v>1.9003425035907621E-2</v>
      </c>
    </row>
    <row r="1797" spans="1:5" x14ac:dyDescent="0.25">
      <c r="A1797" s="41">
        <v>43540</v>
      </c>
      <c r="B1797" s="29">
        <v>186.8</v>
      </c>
      <c r="C1797" s="37">
        <f t="shared" si="62"/>
        <v>31.133333333333333</v>
      </c>
      <c r="D1797" s="37">
        <v>11.868</v>
      </c>
      <c r="E1797" s="33">
        <f t="shared" si="63"/>
        <v>1.2685677111568922E-2</v>
      </c>
    </row>
    <row r="1798" spans="1:5" x14ac:dyDescent="0.25">
      <c r="A1798" s="41">
        <v>43540</v>
      </c>
      <c r="B1798" s="29">
        <v>186.77</v>
      </c>
      <c r="C1798" s="37">
        <f t="shared" si="62"/>
        <v>31.128333333333334</v>
      </c>
      <c r="D1798" s="37">
        <v>11.868</v>
      </c>
      <c r="E1798" s="33">
        <f t="shared" si="63"/>
        <v>-1.6059957173448144E-4</v>
      </c>
    </row>
    <row r="1799" spans="1:5" x14ac:dyDescent="0.25">
      <c r="A1799" s="41">
        <v>43540</v>
      </c>
      <c r="B1799" s="29">
        <v>182.95</v>
      </c>
      <c r="C1799" s="37">
        <f t="shared" si="62"/>
        <v>30.491666666666667</v>
      </c>
      <c r="D1799" s="37">
        <v>11.868</v>
      </c>
      <c r="E1799" s="33">
        <f t="shared" si="63"/>
        <v>-2.0452963538041557E-2</v>
      </c>
    </row>
    <row r="1800" spans="1:5" x14ac:dyDescent="0.25">
      <c r="A1800" s="41">
        <v>43540</v>
      </c>
      <c r="B1800" s="29">
        <v>180.87</v>
      </c>
      <c r="C1800" s="37">
        <f t="shared" si="62"/>
        <v>30.145</v>
      </c>
      <c r="D1800" s="37">
        <v>11.868</v>
      </c>
      <c r="E1800" s="33">
        <f t="shared" si="63"/>
        <v>-1.1369226564635061E-2</v>
      </c>
    </row>
    <row r="1801" spans="1:5" x14ac:dyDescent="0.25">
      <c r="A1801" s="41">
        <v>43540</v>
      </c>
      <c r="B1801" s="29">
        <v>180.68</v>
      </c>
      <c r="C1801" s="37">
        <f t="shared" si="62"/>
        <v>30.113333333333333</v>
      </c>
      <c r="D1801" s="37">
        <v>11.868</v>
      </c>
      <c r="E1801" s="33">
        <f t="shared" si="63"/>
        <v>-1.0504782440426701E-3</v>
      </c>
    </row>
    <row r="1802" spans="1:5" x14ac:dyDescent="0.25">
      <c r="A1802" s="41">
        <v>43541</v>
      </c>
      <c r="B1802" s="29">
        <v>158.44</v>
      </c>
      <c r="C1802" s="37">
        <f t="shared" si="62"/>
        <v>26.406666666666666</v>
      </c>
      <c r="D1802" s="37">
        <v>11.864000000000001</v>
      </c>
      <c r="E1802" s="33">
        <f t="shared" si="63"/>
        <v>-0.12309054682311273</v>
      </c>
    </row>
    <row r="1803" spans="1:5" x14ac:dyDescent="0.25">
      <c r="A1803" s="41">
        <v>43541</v>
      </c>
      <c r="B1803" s="29">
        <v>155.44999999999999</v>
      </c>
      <c r="C1803" s="37">
        <f t="shared" si="62"/>
        <v>25.908333333333331</v>
      </c>
      <c r="D1803" s="37">
        <v>11.864000000000001</v>
      </c>
      <c r="E1803" s="33">
        <f t="shared" si="63"/>
        <v>-1.8871497096692811E-2</v>
      </c>
    </row>
    <row r="1804" spans="1:5" x14ac:dyDescent="0.25">
      <c r="A1804" s="41">
        <v>43541</v>
      </c>
      <c r="B1804" s="29">
        <v>155.41999999999999</v>
      </c>
      <c r="C1804" s="37">
        <f t="shared" si="62"/>
        <v>25.903333333333329</v>
      </c>
      <c r="D1804" s="37">
        <v>11.864000000000001</v>
      </c>
      <c r="E1804" s="33">
        <f t="shared" si="63"/>
        <v>-1.9298809906723153E-4</v>
      </c>
    </row>
    <row r="1805" spans="1:5" x14ac:dyDescent="0.25">
      <c r="A1805" s="41">
        <v>43541</v>
      </c>
      <c r="B1805" s="29">
        <v>155.38999999999999</v>
      </c>
      <c r="C1805" s="37">
        <f t="shared" si="62"/>
        <v>25.89833333333333</v>
      </c>
      <c r="D1805" s="37">
        <v>11.864000000000001</v>
      </c>
      <c r="E1805" s="33">
        <f t="shared" si="63"/>
        <v>-1.9302535066272771E-4</v>
      </c>
    </row>
    <row r="1806" spans="1:5" x14ac:dyDescent="0.25">
      <c r="A1806" s="41">
        <v>43541</v>
      </c>
      <c r="B1806" s="29">
        <v>155.37</v>
      </c>
      <c r="C1806" s="37">
        <f t="shared" si="62"/>
        <v>25.895</v>
      </c>
      <c r="D1806" s="37">
        <v>11.864000000000001</v>
      </c>
      <c r="E1806" s="33">
        <f t="shared" si="63"/>
        <v>-1.28708411094548E-4</v>
      </c>
    </row>
    <row r="1807" spans="1:5" x14ac:dyDescent="0.25">
      <c r="A1807" s="41">
        <v>43541</v>
      </c>
      <c r="B1807" s="29">
        <v>155.34</v>
      </c>
      <c r="C1807" s="37">
        <f t="shared" si="62"/>
        <v>25.89</v>
      </c>
      <c r="D1807" s="37">
        <v>11.864000000000001</v>
      </c>
      <c r="E1807" s="33">
        <f t="shared" si="63"/>
        <v>-1.9308746862329367E-4</v>
      </c>
    </row>
    <row r="1808" spans="1:5" x14ac:dyDescent="0.25">
      <c r="A1808" s="41">
        <v>43541</v>
      </c>
      <c r="B1808" s="29">
        <v>154.57</v>
      </c>
      <c r="C1808" s="37">
        <f t="shared" si="62"/>
        <v>25.761666666666667</v>
      </c>
      <c r="D1808" s="37">
        <v>11.864000000000001</v>
      </c>
      <c r="E1808" s="33">
        <f t="shared" si="63"/>
        <v>-4.9568688039140609E-3</v>
      </c>
    </row>
    <row r="1809" spans="1:5" x14ac:dyDescent="0.25">
      <c r="A1809" s="41">
        <v>43541</v>
      </c>
      <c r="B1809" s="29">
        <v>154.71</v>
      </c>
      <c r="C1809" s="37">
        <f t="shared" si="62"/>
        <v>25.785</v>
      </c>
      <c r="D1809" s="37">
        <v>11.864000000000001</v>
      </c>
      <c r="E1809" s="33">
        <f t="shared" si="63"/>
        <v>9.0573850035592153E-4</v>
      </c>
    </row>
    <row r="1810" spans="1:5" x14ac:dyDescent="0.25">
      <c r="A1810" s="41">
        <v>43541</v>
      </c>
      <c r="B1810" s="29">
        <v>155.26</v>
      </c>
      <c r="C1810" s="37">
        <f t="shared" si="62"/>
        <v>25.876666666666665</v>
      </c>
      <c r="D1810" s="37">
        <v>11.864000000000001</v>
      </c>
      <c r="E1810" s="33">
        <f t="shared" si="63"/>
        <v>3.5550384590523104E-3</v>
      </c>
    </row>
    <row r="1811" spans="1:5" x14ac:dyDescent="0.25">
      <c r="A1811" s="41">
        <v>43541</v>
      </c>
      <c r="B1811" s="29">
        <v>155.22999999999999</v>
      </c>
      <c r="C1811" s="37">
        <f t="shared" si="62"/>
        <v>25.871666666666663</v>
      </c>
      <c r="D1811" s="37">
        <v>11.864000000000001</v>
      </c>
      <c r="E1811" s="33">
        <f t="shared" si="63"/>
        <v>-1.9322426896818974E-4</v>
      </c>
    </row>
    <row r="1812" spans="1:5" x14ac:dyDescent="0.25">
      <c r="A1812" s="41">
        <v>43541</v>
      </c>
      <c r="B1812" s="29">
        <v>155.26</v>
      </c>
      <c r="C1812" s="37">
        <f t="shared" si="62"/>
        <v>25.876666666666665</v>
      </c>
      <c r="D1812" s="37">
        <v>11.864000000000001</v>
      </c>
      <c r="E1812" s="33">
        <f t="shared" si="63"/>
        <v>1.9326161180184976E-4</v>
      </c>
    </row>
    <row r="1813" spans="1:5" x14ac:dyDescent="0.25">
      <c r="A1813" s="41">
        <v>43541</v>
      </c>
      <c r="B1813" s="29">
        <v>155.41</v>
      </c>
      <c r="C1813" s="37">
        <f t="shared" si="62"/>
        <v>25.901666666666667</v>
      </c>
      <c r="D1813" s="37">
        <v>11.864000000000001</v>
      </c>
      <c r="E1813" s="33">
        <f t="shared" si="63"/>
        <v>9.6612134484094867E-4</v>
      </c>
    </row>
    <row r="1814" spans="1:5" x14ac:dyDescent="0.25">
      <c r="A1814" s="41">
        <v>43541</v>
      </c>
      <c r="B1814" s="29">
        <v>155.41</v>
      </c>
      <c r="C1814" s="37">
        <f t="shared" si="62"/>
        <v>25.901666666666667</v>
      </c>
      <c r="D1814" s="37">
        <v>11.864000000000001</v>
      </c>
      <c r="E1814" s="33">
        <f t="shared" si="63"/>
        <v>0</v>
      </c>
    </row>
    <row r="1815" spans="1:5" x14ac:dyDescent="0.25">
      <c r="A1815" s="41">
        <v>43541</v>
      </c>
      <c r="B1815" s="29">
        <v>155.41</v>
      </c>
      <c r="C1815" s="37">
        <f t="shared" si="62"/>
        <v>25.901666666666667</v>
      </c>
      <c r="D1815" s="37">
        <v>11.864000000000001</v>
      </c>
      <c r="E1815" s="33">
        <f t="shared" si="63"/>
        <v>0</v>
      </c>
    </row>
    <row r="1816" spans="1:5" x14ac:dyDescent="0.25">
      <c r="A1816" s="41">
        <v>43541</v>
      </c>
      <c r="B1816" s="29">
        <v>155.41</v>
      </c>
      <c r="C1816" s="37">
        <f t="shared" si="62"/>
        <v>25.901666666666667</v>
      </c>
      <c r="D1816" s="37">
        <v>11.864000000000001</v>
      </c>
      <c r="E1816" s="33">
        <f t="shared" si="63"/>
        <v>0</v>
      </c>
    </row>
    <row r="1817" spans="1:5" x14ac:dyDescent="0.25">
      <c r="A1817" s="41">
        <v>43541</v>
      </c>
      <c r="B1817" s="29">
        <v>155.46</v>
      </c>
      <c r="C1817" s="37">
        <f t="shared" si="62"/>
        <v>25.91</v>
      </c>
      <c r="D1817" s="37">
        <v>11.864000000000001</v>
      </c>
      <c r="E1817" s="33">
        <f t="shared" si="63"/>
        <v>3.217296184287457E-4</v>
      </c>
    </row>
    <row r="1818" spans="1:5" x14ac:dyDescent="0.25">
      <c r="A1818" s="41">
        <v>43541</v>
      </c>
      <c r="B1818" s="29">
        <v>158.46</v>
      </c>
      <c r="C1818" s="37">
        <f t="shared" si="62"/>
        <v>26.41</v>
      </c>
      <c r="D1818" s="37">
        <v>11.864000000000001</v>
      </c>
      <c r="E1818" s="33">
        <f t="shared" si="63"/>
        <v>1.9297568506368195E-2</v>
      </c>
    </row>
    <row r="1819" spans="1:5" x14ac:dyDescent="0.25">
      <c r="A1819" s="41">
        <v>43541</v>
      </c>
      <c r="B1819" s="29">
        <v>160.72999999999999</v>
      </c>
      <c r="C1819" s="37">
        <f t="shared" si="62"/>
        <v>26.78833333333333</v>
      </c>
      <c r="D1819" s="37">
        <v>11.864000000000001</v>
      </c>
      <c r="E1819" s="33">
        <f t="shared" si="63"/>
        <v>1.4325381799823183E-2</v>
      </c>
    </row>
    <row r="1820" spans="1:5" x14ac:dyDescent="0.25">
      <c r="A1820" s="41">
        <v>43541</v>
      </c>
      <c r="B1820" s="29">
        <v>163.87</v>
      </c>
      <c r="C1820" s="37">
        <f t="shared" si="62"/>
        <v>27.311666666666667</v>
      </c>
      <c r="D1820" s="37">
        <v>11.864000000000001</v>
      </c>
      <c r="E1820" s="33">
        <f t="shared" si="63"/>
        <v>1.9535867604056584E-2</v>
      </c>
    </row>
    <row r="1821" spans="1:5" x14ac:dyDescent="0.25">
      <c r="A1821" s="41">
        <v>43541</v>
      </c>
      <c r="B1821" s="29">
        <v>164.79</v>
      </c>
      <c r="C1821" s="37">
        <f t="shared" si="62"/>
        <v>27.465</v>
      </c>
      <c r="D1821" s="37">
        <v>11.864000000000001</v>
      </c>
      <c r="E1821" s="33">
        <f t="shared" si="63"/>
        <v>5.6142063831084851E-3</v>
      </c>
    </row>
    <row r="1822" spans="1:5" x14ac:dyDescent="0.25">
      <c r="A1822" s="41">
        <v>43541</v>
      </c>
      <c r="B1822" s="29">
        <v>163.9</v>
      </c>
      <c r="C1822" s="37">
        <f t="shared" si="62"/>
        <v>27.316666666666666</v>
      </c>
      <c r="D1822" s="37">
        <v>11.864000000000001</v>
      </c>
      <c r="E1822" s="33">
        <f t="shared" si="63"/>
        <v>-5.400813156138033E-3</v>
      </c>
    </row>
    <row r="1823" spans="1:5" x14ac:dyDescent="0.25">
      <c r="A1823" s="41">
        <v>43541</v>
      </c>
      <c r="B1823" s="29">
        <v>163.72999999999999</v>
      </c>
      <c r="C1823" s="37">
        <f t="shared" si="62"/>
        <v>27.28833333333333</v>
      </c>
      <c r="D1823" s="37">
        <v>11.864000000000001</v>
      </c>
      <c r="E1823" s="33">
        <f t="shared" si="63"/>
        <v>-1.0372178157414028E-3</v>
      </c>
    </row>
    <row r="1824" spans="1:5" x14ac:dyDescent="0.25">
      <c r="A1824" s="41">
        <v>43541</v>
      </c>
      <c r="B1824" s="29">
        <v>163.69</v>
      </c>
      <c r="C1824" s="37">
        <f t="shared" si="62"/>
        <v>27.281666666666666</v>
      </c>
      <c r="D1824" s="37">
        <v>11.864000000000001</v>
      </c>
      <c r="E1824" s="33">
        <f t="shared" si="63"/>
        <v>-2.4430464789587761E-4</v>
      </c>
    </row>
    <row r="1825" spans="1:5" x14ac:dyDescent="0.25">
      <c r="A1825" s="41">
        <v>43541</v>
      </c>
      <c r="B1825" s="29">
        <v>162.94999999999999</v>
      </c>
      <c r="C1825" s="37">
        <f t="shared" si="62"/>
        <v>27.158333333333331</v>
      </c>
      <c r="D1825" s="37">
        <v>11.864000000000001</v>
      </c>
      <c r="E1825" s="33">
        <f t="shared" si="63"/>
        <v>-4.5207404239721981E-3</v>
      </c>
    </row>
    <row r="1826" spans="1:5" x14ac:dyDescent="0.25">
      <c r="A1826" s="41">
        <v>43542</v>
      </c>
      <c r="B1826" s="29">
        <v>189.85</v>
      </c>
      <c r="C1826" s="37">
        <f t="shared" si="62"/>
        <v>31.641666666666666</v>
      </c>
      <c r="D1826" s="37">
        <v>12.57</v>
      </c>
      <c r="E1826" s="33">
        <f t="shared" si="63"/>
        <v>0.16508131328628417</v>
      </c>
    </row>
    <row r="1827" spans="1:5" x14ac:dyDescent="0.25">
      <c r="A1827" s="41">
        <v>43542</v>
      </c>
      <c r="B1827" s="29">
        <v>188.4</v>
      </c>
      <c r="C1827" s="37">
        <f t="shared" si="62"/>
        <v>31.4</v>
      </c>
      <c r="D1827" s="37">
        <v>12.57</v>
      </c>
      <c r="E1827" s="33">
        <f t="shared" si="63"/>
        <v>-7.6376086383986765E-3</v>
      </c>
    </row>
    <row r="1828" spans="1:5" x14ac:dyDescent="0.25">
      <c r="A1828" s="41">
        <v>43542</v>
      </c>
      <c r="B1828" s="29">
        <v>188.3</v>
      </c>
      <c r="C1828" s="37">
        <f t="shared" si="62"/>
        <v>31.383333333333333</v>
      </c>
      <c r="D1828" s="37">
        <v>12.57</v>
      </c>
      <c r="E1828" s="33">
        <f t="shared" si="63"/>
        <v>-5.3078556263266624E-4</v>
      </c>
    </row>
    <row r="1829" spans="1:5" x14ac:dyDescent="0.25">
      <c r="A1829" s="41">
        <v>43542</v>
      </c>
      <c r="B1829" s="29">
        <v>188.3</v>
      </c>
      <c r="C1829" s="37">
        <f t="shared" si="62"/>
        <v>31.383333333333333</v>
      </c>
      <c r="D1829" s="37">
        <v>12.57</v>
      </c>
      <c r="E1829" s="33">
        <f t="shared" si="63"/>
        <v>0</v>
      </c>
    </row>
    <row r="1830" spans="1:5" x14ac:dyDescent="0.25">
      <c r="A1830" s="41">
        <v>43542</v>
      </c>
      <c r="B1830" s="29">
        <v>188.36</v>
      </c>
      <c r="C1830" s="37">
        <f t="shared" si="62"/>
        <v>31.393333333333334</v>
      </c>
      <c r="D1830" s="37">
        <v>12.57</v>
      </c>
      <c r="E1830" s="33">
        <f t="shared" si="63"/>
        <v>3.1864046733936417E-4</v>
      </c>
    </row>
    <row r="1831" spans="1:5" x14ac:dyDescent="0.25">
      <c r="A1831" s="41">
        <v>43542</v>
      </c>
      <c r="B1831" s="29">
        <v>189.82</v>
      </c>
      <c r="C1831" s="37">
        <f t="shared" si="62"/>
        <v>31.636666666666667</v>
      </c>
      <c r="D1831" s="37">
        <v>12.57</v>
      </c>
      <c r="E1831" s="33">
        <f t="shared" si="63"/>
        <v>7.7511148863876585E-3</v>
      </c>
    </row>
    <row r="1832" spans="1:5" x14ac:dyDescent="0.25">
      <c r="A1832" s="41">
        <v>43542</v>
      </c>
      <c r="B1832" s="29">
        <v>189.85</v>
      </c>
      <c r="C1832" s="37">
        <f t="shared" si="62"/>
        <v>31.641666666666666</v>
      </c>
      <c r="D1832" s="37">
        <v>12.57</v>
      </c>
      <c r="E1832" s="33">
        <f t="shared" si="63"/>
        <v>1.5804446317564606E-4</v>
      </c>
    </row>
    <row r="1833" spans="1:5" x14ac:dyDescent="0.25">
      <c r="A1833" s="41">
        <v>43542</v>
      </c>
      <c r="B1833" s="29">
        <v>193.58</v>
      </c>
      <c r="C1833" s="37">
        <f t="shared" si="62"/>
        <v>32.263333333333335</v>
      </c>
      <c r="D1833" s="37">
        <v>12.57</v>
      </c>
      <c r="E1833" s="33">
        <f t="shared" si="63"/>
        <v>1.9647089807743053E-2</v>
      </c>
    </row>
    <row r="1834" spans="1:5" x14ac:dyDescent="0.25">
      <c r="A1834" s="41">
        <v>43542</v>
      </c>
      <c r="B1834" s="29">
        <v>198.8</v>
      </c>
      <c r="C1834" s="37">
        <f t="shared" si="62"/>
        <v>33.133333333333333</v>
      </c>
      <c r="D1834" s="37">
        <v>12.57</v>
      </c>
      <c r="E1834" s="33">
        <f t="shared" si="63"/>
        <v>2.6965595619382159E-2</v>
      </c>
    </row>
    <row r="1835" spans="1:5" x14ac:dyDescent="0.25">
      <c r="A1835" s="41">
        <v>43542</v>
      </c>
      <c r="B1835" s="29">
        <v>200.59</v>
      </c>
      <c r="C1835" s="37">
        <f t="shared" si="62"/>
        <v>33.431666666666665</v>
      </c>
      <c r="D1835" s="37">
        <v>12.57</v>
      </c>
      <c r="E1835" s="33">
        <f t="shared" si="63"/>
        <v>9.004024144869175E-3</v>
      </c>
    </row>
    <row r="1836" spans="1:5" x14ac:dyDescent="0.25">
      <c r="A1836" s="41">
        <v>43542</v>
      </c>
      <c r="B1836" s="29">
        <v>200.59</v>
      </c>
      <c r="C1836" s="37">
        <f t="shared" si="62"/>
        <v>33.431666666666665</v>
      </c>
      <c r="D1836" s="37">
        <v>12.57</v>
      </c>
      <c r="E1836" s="33">
        <f t="shared" si="63"/>
        <v>0</v>
      </c>
    </row>
    <row r="1837" spans="1:5" x14ac:dyDescent="0.25">
      <c r="A1837" s="41">
        <v>43542</v>
      </c>
      <c r="B1837" s="29">
        <v>200.53</v>
      </c>
      <c r="C1837" s="37">
        <f t="shared" si="62"/>
        <v>33.421666666666667</v>
      </c>
      <c r="D1837" s="37">
        <v>12.57</v>
      </c>
      <c r="E1837" s="33">
        <f t="shared" si="63"/>
        <v>-2.9911760307095207E-4</v>
      </c>
    </row>
    <row r="1838" spans="1:5" x14ac:dyDescent="0.25">
      <c r="A1838" s="41">
        <v>43542</v>
      </c>
      <c r="B1838" s="29">
        <v>200.38</v>
      </c>
      <c r="C1838" s="37">
        <f t="shared" si="62"/>
        <v>33.396666666666668</v>
      </c>
      <c r="D1838" s="37">
        <v>12.57</v>
      </c>
      <c r="E1838" s="33">
        <f t="shared" si="63"/>
        <v>-7.480177529546985E-4</v>
      </c>
    </row>
    <row r="1839" spans="1:5" x14ac:dyDescent="0.25">
      <c r="A1839" s="41">
        <v>43542</v>
      </c>
      <c r="B1839" s="29">
        <v>200.42</v>
      </c>
      <c r="C1839" s="37">
        <f t="shared" si="62"/>
        <v>33.403333333333336</v>
      </c>
      <c r="D1839" s="37">
        <v>12.57</v>
      </c>
      <c r="E1839" s="33">
        <f t="shared" si="63"/>
        <v>1.9962072063076176E-4</v>
      </c>
    </row>
    <row r="1840" spans="1:5" x14ac:dyDescent="0.25">
      <c r="A1840" s="41">
        <v>43542</v>
      </c>
      <c r="B1840" s="29">
        <v>200.37</v>
      </c>
      <c r="C1840" s="37">
        <f t="shared" si="62"/>
        <v>33.395000000000003</v>
      </c>
      <c r="D1840" s="37">
        <v>12.57</v>
      </c>
      <c r="E1840" s="33">
        <f t="shared" si="63"/>
        <v>-2.4947610018951678E-4</v>
      </c>
    </row>
    <row r="1841" spans="1:5" x14ac:dyDescent="0.25">
      <c r="A1841" s="41">
        <v>43542</v>
      </c>
      <c r="B1841" s="29">
        <v>200.7</v>
      </c>
      <c r="C1841" s="37">
        <f t="shared" si="62"/>
        <v>33.450000000000003</v>
      </c>
      <c r="D1841" s="37">
        <v>12.57</v>
      </c>
      <c r="E1841" s="33">
        <f t="shared" si="63"/>
        <v>1.6469531366970309E-3</v>
      </c>
    </row>
    <row r="1842" spans="1:5" x14ac:dyDescent="0.25">
      <c r="A1842" s="41">
        <v>43542</v>
      </c>
      <c r="B1842" s="29">
        <v>200.26</v>
      </c>
      <c r="C1842" s="37">
        <f t="shared" si="62"/>
        <v>33.376666666666665</v>
      </c>
      <c r="D1842" s="37">
        <v>12.57</v>
      </c>
      <c r="E1842" s="33">
        <f t="shared" si="63"/>
        <v>-2.1923268560039748E-3</v>
      </c>
    </row>
    <row r="1843" spans="1:5" x14ac:dyDescent="0.25">
      <c r="A1843" s="41">
        <v>43542</v>
      </c>
      <c r="B1843" s="29">
        <v>200.14</v>
      </c>
      <c r="C1843" s="37">
        <f t="shared" si="62"/>
        <v>33.356666666666669</v>
      </c>
      <c r="D1843" s="37">
        <v>12.57</v>
      </c>
      <c r="E1843" s="33">
        <f t="shared" si="63"/>
        <v>-5.9922101268353417E-4</v>
      </c>
    </row>
    <row r="1844" spans="1:5" x14ac:dyDescent="0.25">
      <c r="A1844" s="41">
        <v>43542</v>
      </c>
      <c r="B1844" s="29">
        <v>200.08</v>
      </c>
      <c r="C1844" s="37">
        <f t="shared" si="62"/>
        <v>33.346666666666664</v>
      </c>
      <c r="D1844" s="37">
        <v>12.57</v>
      </c>
      <c r="E1844" s="33">
        <f t="shared" si="63"/>
        <v>-2.9979014689704133E-4</v>
      </c>
    </row>
    <row r="1845" spans="1:5" x14ac:dyDescent="0.25">
      <c r="A1845" s="41">
        <v>43542</v>
      </c>
      <c r="B1845" s="29">
        <v>200.05</v>
      </c>
      <c r="C1845" s="37">
        <f t="shared" si="62"/>
        <v>33.341666666666669</v>
      </c>
      <c r="D1845" s="37">
        <v>12.57</v>
      </c>
      <c r="E1845" s="33">
        <f t="shared" si="63"/>
        <v>-1.499400239904095E-4</v>
      </c>
    </row>
    <row r="1846" spans="1:5" x14ac:dyDescent="0.25">
      <c r="A1846" s="41">
        <v>43542</v>
      </c>
      <c r="B1846" s="29">
        <v>199.99</v>
      </c>
      <c r="C1846" s="37">
        <f t="shared" si="62"/>
        <v>33.331666666666663</v>
      </c>
      <c r="D1846" s="37">
        <v>12.57</v>
      </c>
      <c r="E1846" s="33">
        <f t="shared" si="63"/>
        <v>-2.9992501874532499E-4</v>
      </c>
    </row>
    <row r="1847" spans="1:5" x14ac:dyDescent="0.25">
      <c r="A1847" s="41">
        <v>43542</v>
      </c>
      <c r="B1847" s="29">
        <v>199.92</v>
      </c>
      <c r="C1847" s="37">
        <f t="shared" si="62"/>
        <v>33.32</v>
      </c>
      <c r="D1847" s="37">
        <v>12.57</v>
      </c>
      <c r="E1847" s="33">
        <f t="shared" si="63"/>
        <v>-3.5001750087515173E-4</v>
      </c>
    </row>
    <row r="1848" spans="1:5" x14ac:dyDescent="0.25">
      <c r="A1848" s="41">
        <v>43542</v>
      </c>
      <c r="B1848" s="29">
        <v>199.76</v>
      </c>
      <c r="C1848" s="37">
        <f t="shared" si="62"/>
        <v>33.293333333333337</v>
      </c>
      <c r="D1848" s="37">
        <v>12.57</v>
      </c>
      <c r="E1848" s="33">
        <f t="shared" si="63"/>
        <v>-8.0032012805120352E-4</v>
      </c>
    </row>
    <row r="1849" spans="1:5" x14ac:dyDescent="0.25">
      <c r="A1849" s="41">
        <v>43542</v>
      </c>
      <c r="B1849" s="29">
        <v>195.77</v>
      </c>
      <c r="C1849" s="37">
        <f t="shared" si="62"/>
        <v>32.62833333333333</v>
      </c>
      <c r="D1849" s="37">
        <v>12.57</v>
      </c>
      <c r="E1849" s="33">
        <f t="shared" si="63"/>
        <v>-1.9973968762514921E-2</v>
      </c>
    </row>
    <row r="1850" spans="1:5" x14ac:dyDescent="0.25">
      <c r="A1850" s="41">
        <v>43543</v>
      </c>
      <c r="B1850" s="29">
        <v>189.54</v>
      </c>
      <c r="C1850" s="37">
        <f t="shared" si="62"/>
        <v>31.59</v>
      </c>
      <c r="D1850" s="37">
        <v>13.695</v>
      </c>
      <c r="E1850" s="33">
        <f t="shared" si="63"/>
        <v>-3.182305766971455E-2</v>
      </c>
    </row>
    <row r="1851" spans="1:5" x14ac:dyDescent="0.25">
      <c r="A1851" s="41">
        <v>43543</v>
      </c>
      <c r="B1851" s="29">
        <v>187.72</v>
      </c>
      <c r="C1851" s="37">
        <f t="shared" si="62"/>
        <v>31.286666666666665</v>
      </c>
      <c r="D1851" s="37">
        <v>13.695</v>
      </c>
      <c r="E1851" s="33">
        <f t="shared" si="63"/>
        <v>-9.602194787379937E-3</v>
      </c>
    </row>
    <row r="1852" spans="1:5" x14ac:dyDescent="0.25">
      <c r="A1852" s="41">
        <v>43543</v>
      </c>
      <c r="B1852" s="29">
        <v>187.7</v>
      </c>
      <c r="C1852" s="37">
        <f t="shared" si="62"/>
        <v>31.283333333333335</v>
      </c>
      <c r="D1852" s="37">
        <v>13.695</v>
      </c>
      <c r="E1852" s="33">
        <f t="shared" si="63"/>
        <v>-1.0654165778824969E-4</v>
      </c>
    </row>
    <row r="1853" spans="1:5" x14ac:dyDescent="0.25">
      <c r="A1853" s="41">
        <v>43543</v>
      </c>
      <c r="B1853" s="29">
        <v>187.72</v>
      </c>
      <c r="C1853" s="37">
        <f t="shared" si="62"/>
        <v>31.286666666666665</v>
      </c>
      <c r="D1853" s="37">
        <v>13.695</v>
      </c>
      <c r="E1853" s="33">
        <f t="shared" si="63"/>
        <v>1.0655301012259048E-4</v>
      </c>
    </row>
    <row r="1854" spans="1:5" x14ac:dyDescent="0.25">
      <c r="A1854" s="41">
        <v>43543</v>
      </c>
      <c r="B1854" s="29">
        <v>187.72</v>
      </c>
      <c r="C1854" s="37">
        <f t="shared" si="62"/>
        <v>31.286666666666665</v>
      </c>
      <c r="D1854" s="37">
        <v>13.695</v>
      </c>
      <c r="E1854" s="33">
        <f t="shared" si="63"/>
        <v>0</v>
      </c>
    </row>
    <row r="1855" spans="1:5" x14ac:dyDescent="0.25">
      <c r="A1855" s="41">
        <v>43543</v>
      </c>
      <c r="B1855" s="29">
        <v>188.04</v>
      </c>
      <c r="C1855" s="37">
        <f t="shared" si="62"/>
        <v>31.34</v>
      </c>
      <c r="D1855" s="37">
        <v>13.695</v>
      </c>
      <c r="E1855" s="33">
        <f t="shared" si="63"/>
        <v>1.7046665246110866E-3</v>
      </c>
    </row>
    <row r="1856" spans="1:5" x14ac:dyDescent="0.25">
      <c r="A1856" s="41">
        <v>43543</v>
      </c>
      <c r="B1856" s="29">
        <v>189.54</v>
      </c>
      <c r="C1856" s="37">
        <f t="shared" si="62"/>
        <v>31.59</v>
      </c>
      <c r="D1856" s="37">
        <v>13.695</v>
      </c>
      <c r="E1856" s="33">
        <f t="shared" si="63"/>
        <v>7.9770261646458212E-3</v>
      </c>
    </row>
    <row r="1857" spans="1:5" x14ac:dyDescent="0.25">
      <c r="A1857" s="41">
        <v>43543</v>
      </c>
      <c r="B1857" s="29">
        <v>191.63</v>
      </c>
      <c r="C1857" s="37">
        <f t="shared" si="62"/>
        <v>31.938333333333333</v>
      </c>
      <c r="D1857" s="37">
        <v>13.695</v>
      </c>
      <c r="E1857" s="33">
        <f t="shared" si="63"/>
        <v>1.1026696211881416E-2</v>
      </c>
    </row>
    <row r="1858" spans="1:5" x14ac:dyDescent="0.25">
      <c r="A1858" s="41">
        <v>43543</v>
      </c>
      <c r="B1858" s="29">
        <v>194.02</v>
      </c>
      <c r="C1858" s="37">
        <f t="shared" si="62"/>
        <v>32.336666666666666</v>
      </c>
      <c r="D1858" s="37">
        <v>13.695</v>
      </c>
      <c r="E1858" s="33">
        <f t="shared" si="63"/>
        <v>1.2471951155873375E-2</v>
      </c>
    </row>
    <row r="1859" spans="1:5" x14ac:dyDescent="0.25">
      <c r="A1859" s="41">
        <v>43543</v>
      </c>
      <c r="B1859" s="29">
        <v>196.45</v>
      </c>
      <c r="C1859" s="37">
        <f t="shared" ref="C1859:C1922" si="64">(B1859*100/600)</f>
        <v>32.741666666666667</v>
      </c>
      <c r="D1859" s="37">
        <v>13.695</v>
      </c>
      <c r="E1859" s="33">
        <f t="shared" si="63"/>
        <v>1.2524482012163583E-2</v>
      </c>
    </row>
    <row r="1860" spans="1:5" x14ac:dyDescent="0.25">
      <c r="A1860" s="41">
        <v>43543</v>
      </c>
      <c r="B1860" s="29">
        <v>198.05</v>
      </c>
      <c r="C1860" s="37">
        <f t="shared" si="64"/>
        <v>33.008333333333333</v>
      </c>
      <c r="D1860" s="37">
        <v>13.695</v>
      </c>
      <c r="E1860" s="33">
        <f t="shared" ref="E1860:E1923" si="65">(B1860-B1859)/B1859</f>
        <v>8.1445660473404066E-3</v>
      </c>
    </row>
    <row r="1861" spans="1:5" x14ac:dyDescent="0.25">
      <c r="A1861" s="41">
        <v>43543</v>
      </c>
      <c r="B1861" s="29">
        <v>198.16</v>
      </c>
      <c r="C1861" s="37">
        <f t="shared" si="64"/>
        <v>33.026666666666664</v>
      </c>
      <c r="D1861" s="37">
        <v>13.695</v>
      </c>
      <c r="E1861" s="33">
        <f t="shared" si="65"/>
        <v>5.5541529916680241E-4</v>
      </c>
    </row>
    <row r="1862" spans="1:5" x14ac:dyDescent="0.25">
      <c r="A1862" s="41">
        <v>43543</v>
      </c>
      <c r="B1862" s="29">
        <v>197.69</v>
      </c>
      <c r="C1862" s="37">
        <f t="shared" si="64"/>
        <v>32.948333333333331</v>
      </c>
      <c r="D1862" s="37">
        <v>13.695</v>
      </c>
      <c r="E1862" s="33">
        <f t="shared" si="65"/>
        <v>-2.3718207509083513E-3</v>
      </c>
    </row>
    <row r="1863" spans="1:5" x14ac:dyDescent="0.25">
      <c r="A1863" s="41">
        <v>43543</v>
      </c>
      <c r="B1863" s="29">
        <v>198.18</v>
      </c>
      <c r="C1863" s="37">
        <f t="shared" si="64"/>
        <v>33.03</v>
      </c>
      <c r="D1863" s="37">
        <v>13.695</v>
      </c>
      <c r="E1863" s="33">
        <f t="shared" si="65"/>
        <v>2.4786281551925191E-3</v>
      </c>
    </row>
    <row r="1864" spans="1:5" x14ac:dyDescent="0.25">
      <c r="A1864" s="41">
        <v>43543</v>
      </c>
      <c r="B1864" s="29">
        <v>198.54</v>
      </c>
      <c r="C1864" s="37">
        <f t="shared" si="64"/>
        <v>33.090000000000003</v>
      </c>
      <c r="D1864" s="37">
        <v>13.695</v>
      </c>
      <c r="E1864" s="33">
        <f t="shared" si="65"/>
        <v>1.8165304268845757E-3</v>
      </c>
    </row>
    <row r="1865" spans="1:5" x14ac:dyDescent="0.25">
      <c r="A1865" s="41">
        <v>43543</v>
      </c>
      <c r="B1865" s="29">
        <v>198.43</v>
      </c>
      <c r="C1865" s="37">
        <f t="shared" si="64"/>
        <v>33.071666666666665</v>
      </c>
      <c r="D1865" s="37">
        <v>13.695</v>
      </c>
      <c r="E1865" s="33">
        <f t="shared" si="65"/>
        <v>-5.5404452503266454E-4</v>
      </c>
    </row>
    <row r="1866" spans="1:5" x14ac:dyDescent="0.25">
      <c r="A1866" s="41">
        <v>43543</v>
      </c>
      <c r="B1866" s="29">
        <v>198.21</v>
      </c>
      <c r="C1866" s="37">
        <f t="shared" si="64"/>
        <v>33.034999999999997</v>
      </c>
      <c r="D1866" s="37">
        <v>13.695</v>
      </c>
      <c r="E1866" s="33">
        <f t="shared" si="65"/>
        <v>-1.108703321070397E-3</v>
      </c>
    </row>
    <row r="1867" spans="1:5" x14ac:dyDescent="0.25">
      <c r="A1867" s="41">
        <v>43543</v>
      </c>
      <c r="B1867" s="29">
        <v>195.97</v>
      </c>
      <c r="C1867" s="37">
        <f t="shared" si="64"/>
        <v>32.661666666666669</v>
      </c>
      <c r="D1867" s="37">
        <v>13.695</v>
      </c>
      <c r="E1867" s="33">
        <f t="shared" si="65"/>
        <v>-1.1301145249987432E-2</v>
      </c>
    </row>
    <row r="1868" spans="1:5" x14ac:dyDescent="0.25">
      <c r="A1868" s="41">
        <v>43543</v>
      </c>
      <c r="B1868" s="29">
        <v>195.43</v>
      </c>
      <c r="C1868" s="37">
        <f t="shared" si="64"/>
        <v>32.571666666666665</v>
      </c>
      <c r="D1868" s="37">
        <v>13.695</v>
      </c>
      <c r="E1868" s="33">
        <f t="shared" si="65"/>
        <v>-2.7555238046639385E-3</v>
      </c>
    </row>
    <row r="1869" spans="1:5" x14ac:dyDescent="0.25">
      <c r="A1869" s="41">
        <v>43543</v>
      </c>
      <c r="B1869" s="29">
        <v>195.98</v>
      </c>
      <c r="C1869" s="37">
        <f t="shared" si="64"/>
        <v>32.663333333333334</v>
      </c>
      <c r="D1869" s="37">
        <v>13.695</v>
      </c>
      <c r="E1869" s="33">
        <f t="shared" si="65"/>
        <v>2.8143069129610752E-3</v>
      </c>
    </row>
    <row r="1870" spans="1:5" x14ac:dyDescent="0.25">
      <c r="A1870" s="41">
        <v>43543</v>
      </c>
      <c r="B1870" s="29">
        <v>195.91</v>
      </c>
      <c r="C1870" s="37">
        <f t="shared" si="64"/>
        <v>32.651666666666664</v>
      </c>
      <c r="D1870" s="37">
        <v>13.695</v>
      </c>
      <c r="E1870" s="33">
        <f t="shared" si="65"/>
        <v>-3.5717930401057854E-4</v>
      </c>
    </row>
    <row r="1871" spans="1:5" x14ac:dyDescent="0.25">
      <c r="A1871" s="41">
        <v>43543</v>
      </c>
      <c r="B1871" s="29">
        <v>195.84</v>
      </c>
      <c r="C1871" s="37">
        <f t="shared" si="64"/>
        <v>32.64</v>
      </c>
      <c r="D1871" s="37">
        <v>13.695</v>
      </c>
      <c r="E1871" s="33">
        <f t="shared" si="65"/>
        <v>-3.5730692664995756E-4</v>
      </c>
    </row>
    <row r="1872" spans="1:5" x14ac:dyDescent="0.25">
      <c r="A1872" s="41">
        <v>43543</v>
      </c>
      <c r="B1872" s="29">
        <v>195.66</v>
      </c>
      <c r="C1872" s="37">
        <f t="shared" si="64"/>
        <v>32.61</v>
      </c>
      <c r="D1872" s="37">
        <v>13.695</v>
      </c>
      <c r="E1872" s="33">
        <f t="shared" si="65"/>
        <v>-9.1911764705885832E-4</v>
      </c>
    </row>
    <row r="1873" spans="1:5" x14ac:dyDescent="0.25">
      <c r="A1873" s="41">
        <v>43543</v>
      </c>
      <c r="B1873" s="29">
        <v>192.76</v>
      </c>
      <c r="C1873" s="37">
        <f t="shared" si="64"/>
        <v>32.126666666666665</v>
      </c>
      <c r="D1873" s="37">
        <v>13.695</v>
      </c>
      <c r="E1873" s="33">
        <f t="shared" si="65"/>
        <v>-1.482162935704797E-2</v>
      </c>
    </row>
    <row r="1874" spans="1:5" x14ac:dyDescent="0.25">
      <c r="A1874" s="41">
        <v>43544</v>
      </c>
      <c r="B1874" s="29">
        <v>192.05</v>
      </c>
      <c r="C1874" s="37">
        <f t="shared" si="64"/>
        <v>32.008333333333333</v>
      </c>
      <c r="D1874" s="37">
        <v>13.074</v>
      </c>
      <c r="E1874" s="33">
        <f t="shared" si="65"/>
        <v>-3.6833367918654263E-3</v>
      </c>
    </row>
    <row r="1875" spans="1:5" x14ac:dyDescent="0.25">
      <c r="A1875" s="41">
        <v>43544</v>
      </c>
      <c r="B1875" s="29">
        <v>190.23</v>
      </c>
      <c r="C1875" s="37">
        <f t="shared" si="64"/>
        <v>31.704999999999998</v>
      </c>
      <c r="D1875" s="37">
        <v>13.074</v>
      </c>
      <c r="E1875" s="33">
        <f t="shared" si="65"/>
        <v>-9.4766987763604347E-3</v>
      </c>
    </row>
    <row r="1876" spans="1:5" x14ac:dyDescent="0.25">
      <c r="A1876" s="41">
        <v>43544</v>
      </c>
      <c r="B1876" s="29">
        <v>190.18</v>
      </c>
      <c r="C1876" s="37">
        <f t="shared" si="64"/>
        <v>31.696666666666665</v>
      </c>
      <c r="D1876" s="37">
        <v>13.074</v>
      </c>
      <c r="E1876" s="33">
        <f t="shared" si="65"/>
        <v>-2.6283972033844792E-4</v>
      </c>
    </row>
    <row r="1877" spans="1:5" x14ac:dyDescent="0.25">
      <c r="A1877" s="41">
        <v>43544</v>
      </c>
      <c r="B1877" s="29">
        <v>190.15</v>
      </c>
      <c r="C1877" s="37">
        <f t="shared" si="64"/>
        <v>31.691666666666666</v>
      </c>
      <c r="D1877" s="37">
        <v>13.074</v>
      </c>
      <c r="E1877" s="33">
        <f t="shared" si="65"/>
        <v>-1.5774529393207032E-4</v>
      </c>
    </row>
    <row r="1878" spans="1:5" x14ac:dyDescent="0.25">
      <c r="A1878" s="41">
        <v>43544</v>
      </c>
      <c r="B1878" s="29">
        <v>190.13</v>
      </c>
      <c r="C1878" s="37">
        <f t="shared" si="64"/>
        <v>31.688333333333333</v>
      </c>
      <c r="D1878" s="37">
        <v>13.074</v>
      </c>
      <c r="E1878" s="33">
        <f t="shared" si="65"/>
        <v>-1.051801209571929E-4</v>
      </c>
    </row>
    <row r="1879" spans="1:5" x14ac:dyDescent="0.25">
      <c r="A1879" s="41">
        <v>43544</v>
      </c>
      <c r="B1879" s="29">
        <v>190.13</v>
      </c>
      <c r="C1879" s="37">
        <f t="shared" si="64"/>
        <v>31.688333333333333</v>
      </c>
      <c r="D1879" s="37">
        <v>13.074</v>
      </c>
      <c r="E1879" s="33">
        <f t="shared" si="65"/>
        <v>0</v>
      </c>
    </row>
    <row r="1880" spans="1:5" x14ac:dyDescent="0.25">
      <c r="A1880" s="41">
        <v>43544</v>
      </c>
      <c r="B1880" s="29">
        <v>190.3</v>
      </c>
      <c r="C1880" s="37">
        <f t="shared" si="64"/>
        <v>31.716666666666665</v>
      </c>
      <c r="D1880" s="37">
        <v>13.074</v>
      </c>
      <c r="E1880" s="33">
        <f t="shared" si="65"/>
        <v>8.9412507231902345E-4</v>
      </c>
    </row>
    <row r="1881" spans="1:5" x14ac:dyDescent="0.25">
      <c r="A1881" s="41">
        <v>43544</v>
      </c>
      <c r="B1881" s="29">
        <v>193.82</v>
      </c>
      <c r="C1881" s="37">
        <f t="shared" si="64"/>
        <v>32.303333333333335</v>
      </c>
      <c r="D1881" s="37">
        <v>13.074</v>
      </c>
      <c r="E1881" s="33">
        <f t="shared" si="65"/>
        <v>1.8497109826589499E-2</v>
      </c>
    </row>
    <row r="1882" spans="1:5" x14ac:dyDescent="0.25">
      <c r="A1882" s="41">
        <v>43544</v>
      </c>
      <c r="B1882" s="29">
        <v>199.71</v>
      </c>
      <c r="C1882" s="37">
        <f t="shared" si="64"/>
        <v>33.284999999999997</v>
      </c>
      <c r="D1882" s="37">
        <v>13.074</v>
      </c>
      <c r="E1882" s="33">
        <f t="shared" si="65"/>
        <v>3.0389020740893689E-2</v>
      </c>
    </row>
    <row r="1883" spans="1:5" x14ac:dyDescent="0.25">
      <c r="A1883" s="41">
        <v>43544</v>
      </c>
      <c r="B1883" s="29">
        <v>200.67</v>
      </c>
      <c r="C1883" s="37">
        <f t="shared" si="64"/>
        <v>33.445</v>
      </c>
      <c r="D1883" s="37">
        <v>13.074</v>
      </c>
      <c r="E1883" s="33">
        <f t="shared" si="65"/>
        <v>4.806970106654547E-3</v>
      </c>
    </row>
    <row r="1884" spans="1:5" x14ac:dyDescent="0.25">
      <c r="A1884" s="41">
        <v>43544</v>
      </c>
      <c r="B1884" s="29">
        <v>200.77</v>
      </c>
      <c r="C1884" s="37">
        <f t="shared" si="64"/>
        <v>33.461666666666666</v>
      </c>
      <c r="D1884" s="37">
        <v>13.074</v>
      </c>
      <c r="E1884" s="33">
        <f t="shared" si="65"/>
        <v>4.983305925151878E-4</v>
      </c>
    </row>
    <row r="1885" spans="1:5" x14ac:dyDescent="0.25">
      <c r="A1885" s="41">
        <v>43544</v>
      </c>
      <c r="B1885" s="29">
        <v>200.71</v>
      </c>
      <c r="C1885" s="37">
        <f t="shared" si="64"/>
        <v>33.451666666666668</v>
      </c>
      <c r="D1885" s="37">
        <v>13.074</v>
      </c>
      <c r="E1885" s="33">
        <f t="shared" si="65"/>
        <v>-2.9884942969568296E-4</v>
      </c>
    </row>
    <row r="1886" spans="1:5" x14ac:dyDescent="0.25">
      <c r="A1886" s="41">
        <v>43544</v>
      </c>
      <c r="B1886" s="29">
        <v>200.64</v>
      </c>
      <c r="C1886" s="37">
        <f t="shared" si="64"/>
        <v>33.44</v>
      </c>
      <c r="D1886" s="37">
        <v>13.074</v>
      </c>
      <c r="E1886" s="33">
        <f t="shared" si="65"/>
        <v>-3.4876189527189276E-4</v>
      </c>
    </row>
    <row r="1887" spans="1:5" x14ac:dyDescent="0.25">
      <c r="A1887" s="41">
        <v>43544</v>
      </c>
      <c r="B1887" s="29">
        <v>200.6</v>
      </c>
      <c r="C1887" s="37">
        <f t="shared" si="64"/>
        <v>33.43333333333333</v>
      </c>
      <c r="D1887" s="37">
        <v>13.074</v>
      </c>
      <c r="E1887" s="33">
        <f t="shared" si="65"/>
        <v>-1.9936204146726497E-4</v>
      </c>
    </row>
    <row r="1888" spans="1:5" x14ac:dyDescent="0.25">
      <c r="A1888" s="41">
        <v>43544</v>
      </c>
      <c r="B1888" s="29">
        <v>200.69</v>
      </c>
      <c r="C1888" s="37">
        <f t="shared" si="64"/>
        <v>33.448333333333331</v>
      </c>
      <c r="D1888" s="37">
        <v>13.074</v>
      </c>
      <c r="E1888" s="33">
        <f t="shared" si="65"/>
        <v>4.48654037886358E-4</v>
      </c>
    </row>
    <row r="1889" spans="1:5" x14ac:dyDescent="0.25">
      <c r="A1889" s="41">
        <v>43544</v>
      </c>
      <c r="B1889" s="29">
        <v>200.73</v>
      </c>
      <c r="C1889" s="37">
        <f t="shared" si="64"/>
        <v>33.454999999999998</v>
      </c>
      <c r="D1889" s="37">
        <v>13.074</v>
      </c>
      <c r="E1889" s="33">
        <f t="shared" si="65"/>
        <v>1.9931237231547185E-4</v>
      </c>
    </row>
    <row r="1890" spans="1:5" x14ac:dyDescent="0.25">
      <c r="A1890" s="41">
        <v>43544</v>
      </c>
      <c r="B1890" s="29">
        <v>200.44</v>
      </c>
      <c r="C1890" s="37">
        <f t="shared" si="64"/>
        <v>33.406666666666666</v>
      </c>
      <c r="D1890" s="37">
        <v>13.074</v>
      </c>
      <c r="E1890" s="33">
        <f t="shared" si="65"/>
        <v>-1.4447267473720524E-3</v>
      </c>
    </row>
    <row r="1891" spans="1:5" x14ac:dyDescent="0.25">
      <c r="A1891" s="41">
        <v>43544</v>
      </c>
      <c r="B1891" s="29">
        <v>200.24</v>
      </c>
      <c r="C1891" s="37">
        <f t="shared" si="64"/>
        <v>33.373333333333335</v>
      </c>
      <c r="D1891" s="37">
        <v>13.074</v>
      </c>
      <c r="E1891" s="33">
        <f t="shared" si="65"/>
        <v>-9.9780482937531748E-4</v>
      </c>
    </row>
    <row r="1892" spans="1:5" x14ac:dyDescent="0.25">
      <c r="A1892" s="41">
        <v>43544</v>
      </c>
      <c r="B1892" s="29">
        <v>200.08</v>
      </c>
      <c r="C1892" s="37">
        <f t="shared" si="64"/>
        <v>33.346666666666664</v>
      </c>
      <c r="D1892" s="37">
        <v>13.074</v>
      </c>
      <c r="E1892" s="33">
        <f t="shared" si="65"/>
        <v>-7.9904115061923985E-4</v>
      </c>
    </row>
    <row r="1893" spans="1:5" x14ac:dyDescent="0.25">
      <c r="A1893" s="41">
        <v>43544</v>
      </c>
      <c r="B1893" s="29">
        <v>200.25</v>
      </c>
      <c r="C1893" s="37">
        <f t="shared" si="64"/>
        <v>33.375</v>
      </c>
      <c r="D1893" s="37">
        <v>13.074</v>
      </c>
      <c r="E1893" s="33">
        <f t="shared" si="65"/>
        <v>8.4966013594555919E-4</v>
      </c>
    </row>
    <row r="1894" spans="1:5" x14ac:dyDescent="0.25">
      <c r="A1894" s="41">
        <v>43544</v>
      </c>
      <c r="B1894" s="29">
        <v>200.18</v>
      </c>
      <c r="C1894" s="37">
        <f t="shared" si="64"/>
        <v>33.363333333333337</v>
      </c>
      <c r="D1894" s="37">
        <v>13.074</v>
      </c>
      <c r="E1894" s="33">
        <f t="shared" si="65"/>
        <v>-3.4956304619222561E-4</v>
      </c>
    </row>
    <row r="1895" spans="1:5" x14ac:dyDescent="0.25">
      <c r="A1895" s="41">
        <v>43544</v>
      </c>
      <c r="B1895" s="29">
        <v>200.11</v>
      </c>
      <c r="C1895" s="37">
        <f t="shared" si="64"/>
        <v>33.351666666666667</v>
      </c>
      <c r="D1895" s="37">
        <v>13.074</v>
      </c>
      <c r="E1895" s="33">
        <f t="shared" si="65"/>
        <v>-3.4968528324504534E-4</v>
      </c>
    </row>
    <row r="1896" spans="1:5" x14ac:dyDescent="0.25">
      <c r="A1896" s="41">
        <v>43544</v>
      </c>
      <c r="B1896" s="29">
        <v>199.02</v>
      </c>
      <c r="C1896" s="37">
        <f t="shared" si="64"/>
        <v>33.17</v>
      </c>
      <c r="D1896" s="37">
        <v>13.074</v>
      </c>
      <c r="E1896" s="33">
        <f t="shared" si="65"/>
        <v>-5.4470041477187713E-3</v>
      </c>
    </row>
    <row r="1897" spans="1:5" x14ac:dyDescent="0.25">
      <c r="A1897" s="41">
        <v>43544</v>
      </c>
      <c r="B1897" s="29">
        <v>194.94</v>
      </c>
      <c r="C1897" s="37">
        <f t="shared" si="64"/>
        <v>32.49</v>
      </c>
      <c r="D1897" s="37">
        <v>13.074</v>
      </c>
      <c r="E1897" s="33">
        <f t="shared" si="65"/>
        <v>-2.0500452215857765E-2</v>
      </c>
    </row>
    <row r="1898" spans="1:5" x14ac:dyDescent="0.25">
      <c r="A1898" s="41">
        <v>43545</v>
      </c>
      <c r="B1898" s="29">
        <v>187.6</v>
      </c>
      <c r="C1898" s="37">
        <f t="shared" si="64"/>
        <v>31.266666666666666</v>
      </c>
      <c r="D1898" s="37">
        <v>11.629</v>
      </c>
      <c r="E1898" s="33">
        <f t="shared" si="65"/>
        <v>-3.7652611059813296E-2</v>
      </c>
    </row>
    <row r="1899" spans="1:5" x14ac:dyDescent="0.25">
      <c r="A1899" s="41">
        <v>43545</v>
      </c>
      <c r="B1899" s="29">
        <v>187.06</v>
      </c>
      <c r="C1899" s="37">
        <f t="shared" si="64"/>
        <v>31.176666666666666</v>
      </c>
      <c r="D1899" s="37">
        <v>11.629</v>
      </c>
      <c r="E1899" s="33">
        <f t="shared" si="65"/>
        <v>-2.878464818763284E-3</v>
      </c>
    </row>
    <row r="1900" spans="1:5" x14ac:dyDescent="0.25">
      <c r="A1900" s="41">
        <v>43545</v>
      </c>
      <c r="B1900" s="29">
        <v>185.42</v>
      </c>
      <c r="C1900" s="37">
        <f t="shared" si="64"/>
        <v>30.903333333333332</v>
      </c>
      <c r="D1900" s="37">
        <v>11.629</v>
      </c>
      <c r="E1900" s="33">
        <f t="shared" si="65"/>
        <v>-8.7672404576072636E-3</v>
      </c>
    </row>
    <row r="1901" spans="1:5" x14ac:dyDescent="0.25">
      <c r="A1901" s="41">
        <v>43545</v>
      </c>
      <c r="B1901" s="29">
        <v>185.39</v>
      </c>
      <c r="C1901" s="37">
        <f t="shared" si="64"/>
        <v>30.898333333333333</v>
      </c>
      <c r="D1901" s="37">
        <v>11.629</v>
      </c>
      <c r="E1901" s="33">
        <f t="shared" si="65"/>
        <v>-1.6179484413763963E-4</v>
      </c>
    </row>
    <row r="1902" spans="1:5" x14ac:dyDescent="0.25">
      <c r="A1902" s="41">
        <v>43545</v>
      </c>
      <c r="B1902" s="29">
        <v>185.36</v>
      </c>
      <c r="C1902" s="37">
        <f t="shared" si="64"/>
        <v>30.893333333333334</v>
      </c>
      <c r="D1902" s="37">
        <v>11.629</v>
      </c>
      <c r="E1902" s="33">
        <f t="shared" si="65"/>
        <v>-1.6182102594515733E-4</v>
      </c>
    </row>
    <row r="1903" spans="1:5" x14ac:dyDescent="0.25">
      <c r="A1903" s="41">
        <v>43545</v>
      </c>
      <c r="B1903" s="29">
        <v>185.37</v>
      </c>
      <c r="C1903" s="37">
        <f t="shared" si="64"/>
        <v>30.895</v>
      </c>
      <c r="D1903" s="37">
        <v>11.629</v>
      </c>
      <c r="E1903" s="33">
        <f t="shared" si="65"/>
        <v>5.394907207591122E-5</v>
      </c>
    </row>
    <row r="1904" spans="1:5" x14ac:dyDescent="0.25">
      <c r="A1904" s="41">
        <v>43545</v>
      </c>
      <c r="B1904" s="29">
        <v>187.01</v>
      </c>
      <c r="C1904" s="37">
        <f t="shared" si="64"/>
        <v>31.168333333333333</v>
      </c>
      <c r="D1904" s="37">
        <v>11.629</v>
      </c>
      <c r="E1904" s="33">
        <f t="shared" si="65"/>
        <v>8.847170523817156E-3</v>
      </c>
    </row>
    <row r="1905" spans="1:5" x14ac:dyDescent="0.25">
      <c r="A1905" s="41">
        <v>43545</v>
      </c>
      <c r="B1905" s="29">
        <v>191.09</v>
      </c>
      <c r="C1905" s="37">
        <f t="shared" si="64"/>
        <v>31.848333333333333</v>
      </c>
      <c r="D1905" s="37">
        <v>11.629</v>
      </c>
      <c r="E1905" s="33">
        <f t="shared" si="65"/>
        <v>2.1817015132880663E-2</v>
      </c>
    </row>
    <row r="1906" spans="1:5" x14ac:dyDescent="0.25">
      <c r="A1906" s="41">
        <v>43545</v>
      </c>
      <c r="B1906" s="29">
        <v>195.4</v>
      </c>
      <c r="C1906" s="37">
        <f t="shared" si="64"/>
        <v>32.56666666666667</v>
      </c>
      <c r="D1906" s="37">
        <v>11.629</v>
      </c>
      <c r="E1906" s="33">
        <f t="shared" si="65"/>
        <v>2.2554817101889172E-2</v>
      </c>
    </row>
    <row r="1907" spans="1:5" x14ac:dyDescent="0.25">
      <c r="A1907" s="41">
        <v>43545</v>
      </c>
      <c r="B1907" s="29">
        <v>195.79</v>
      </c>
      <c r="C1907" s="37">
        <f t="shared" si="64"/>
        <v>32.631666666666668</v>
      </c>
      <c r="D1907" s="37">
        <v>11.629</v>
      </c>
      <c r="E1907" s="33">
        <f t="shared" si="65"/>
        <v>1.9959058341862145E-3</v>
      </c>
    </row>
    <row r="1908" spans="1:5" x14ac:dyDescent="0.25">
      <c r="A1908" s="41">
        <v>43545</v>
      </c>
      <c r="B1908" s="29">
        <v>195.74</v>
      </c>
      <c r="C1908" s="37">
        <f t="shared" si="64"/>
        <v>32.623333333333335</v>
      </c>
      <c r="D1908" s="37">
        <v>11.629</v>
      </c>
      <c r="E1908" s="33">
        <f t="shared" si="65"/>
        <v>-2.5537565759223122E-4</v>
      </c>
    </row>
    <row r="1909" spans="1:5" x14ac:dyDescent="0.25">
      <c r="A1909" s="41">
        <v>43545</v>
      </c>
      <c r="B1909" s="29">
        <v>195.69</v>
      </c>
      <c r="C1909" s="37">
        <f t="shared" si="64"/>
        <v>32.615000000000002</v>
      </c>
      <c r="D1909" s="37">
        <v>11.629</v>
      </c>
      <c r="E1909" s="33">
        <f t="shared" si="65"/>
        <v>-2.5544089097788582E-4</v>
      </c>
    </row>
    <row r="1910" spans="1:5" x14ac:dyDescent="0.25">
      <c r="A1910" s="41">
        <v>43545</v>
      </c>
      <c r="B1910" s="29">
        <v>195.63</v>
      </c>
      <c r="C1910" s="37">
        <f t="shared" si="64"/>
        <v>32.604999999999997</v>
      </c>
      <c r="D1910" s="37">
        <v>11.629</v>
      </c>
      <c r="E1910" s="33">
        <f t="shared" si="65"/>
        <v>-3.0660738923809225E-4</v>
      </c>
    </row>
    <row r="1911" spans="1:5" x14ac:dyDescent="0.25">
      <c r="A1911" s="41">
        <v>43545</v>
      </c>
      <c r="B1911" s="29">
        <v>195.84</v>
      </c>
      <c r="C1911" s="37">
        <f t="shared" si="64"/>
        <v>32.64</v>
      </c>
      <c r="D1911" s="37">
        <v>11.629</v>
      </c>
      <c r="E1911" s="33">
        <f t="shared" si="65"/>
        <v>1.0734549915657515E-3</v>
      </c>
    </row>
    <row r="1912" spans="1:5" x14ac:dyDescent="0.25">
      <c r="A1912" s="41">
        <v>43545</v>
      </c>
      <c r="B1912" s="29">
        <v>196.26</v>
      </c>
      <c r="C1912" s="37">
        <f t="shared" si="64"/>
        <v>32.71</v>
      </c>
      <c r="D1912" s="37">
        <v>11.629</v>
      </c>
      <c r="E1912" s="33">
        <f t="shared" si="65"/>
        <v>2.1446078431371909E-3</v>
      </c>
    </row>
    <row r="1913" spans="1:5" x14ac:dyDescent="0.25">
      <c r="A1913" s="41">
        <v>43545</v>
      </c>
      <c r="B1913" s="29">
        <v>196.28</v>
      </c>
      <c r="C1913" s="37">
        <f t="shared" si="64"/>
        <v>32.713333333333331</v>
      </c>
      <c r="D1913" s="37">
        <v>11.629</v>
      </c>
      <c r="E1913" s="33">
        <f t="shared" si="65"/>
        <v>1.0190563538168874E-4</v>
      </c>
    </row>
    <row r="1914" spans="1:5" x14ac:dyDescent="0.25">
      <c r="A1914" s="41">
        <v>43545</v>
      </c>
      <c r="B1914" s="29">
        <v>196.29</v>
      </c>
      <c r="C1914" s="37">
        <f t="shared" si="64"/>
        <v>32.715000000000003</v>
      </c>
      <c r="D1914" s="37">
        <v>11.629</v>
      </c>
      <c r="E1914" s="33">
        <f t="shared" si="65"/>
        <v>5.0947625840589488E-5</v>
      </c>
    </row>
    <row r="1915" spans="1:5" x14ac:dyDescent="0.25">
      <c r="A1915" s="41">
        <v>43545</v>
      </c>
      <c r="B1915" s="29">
        <v>195.36</v>
      </c>
      <c r="C1915" s="37">
        <f t="shared" si="64"/>
        <v>32.56</v>
      </c>
      <c r="D1915" s="37">
        <v>11.629</v>
      </c>
      <c r="E1915" s="33">
        <f t="shared" si="65"/>
        <v>-4.7378878190431429E-3</v>
      </c>
    </row>
    <row r="1916" spans="1:5" x14ac:dyDescent="0.25">
      <c r="A1916" s="41">
        <v>43545</v>
      </c>
      <c r="B1916" s="29">
        <v>195.29</v>
      </c>
      <c r="C1916" s="37">
        <f t="shared" si="64"/>
        <v>32.548333333333332</v>
      </c>
      <c r="D1916" s="37">
        <v>11.629</v>
      </c>
      <c r="E1916" s="33">
        <f t="shared" si="65"/>
        <v>-3.5831285831296883E-4</v>
      </c>
    </row>
    <row r="1917" spans="1:5" x14ac:dyDescent="0.25">
      <c r="A1917" s="41">
        <v>43545</v>
      </c>
      <c r="B1917" s="29">
        <v>195.25</v>
      </c>
      <c r="C1917" s="37">
        <f t="shared" si="64"/>
        <v>32.541666666666664</v>
      </c>
      <c r="D1917" s="37">
        <v>11.629</v>
      </c>
      <c r="E1917" s="33">
        <f t="shared" si="65"/>
        <v>-2.048235956781814E-4</v>
      </c>
    </row>
    <row r="1918" spans="1:5" x14ac:dyDescent="0.25">
      <c r="A1918" s="41">
        <v>43545</v>
      </c>
      <c r="B1918" s="29">
        <v>195.2</v>
      </c>
      <c r="C1918" s="37">
        <f t="shared" si="64"/>
        <v>32.533333333333331</v>
      </c>
      <c r="D1918" s="37">
        <v>11.629</v>
      </c>
      <c r="E1918" s="33">
        <f t="shared" si="65"/>
        <v>-2.5608194622284949E-4</v>
      </c>
    </row>
    <row r="1919" spans="1:5" x14ac:dyDescent="0.25">
      <c r="A1919" s="41">
        <v>43545</v>
      </c>
      <c r="B1919" s="29">
        <v>195.15</v>
      </c>
      <c r="C1919" s="37">
        <f t="shared" si="64"/>
        <v>32.524999999999999</v>
      </c>
      <c r="D1919" s="37">
        <v>11.629</v>
      </c>
      <c r="E1919" s="33">
        <f t="shared" si="65"/>
        <v>-2.5614754098351918E-4</v>
      </c>
    </row>
    <row r="1920" spans="1:5" x14ac:dyDescent="0.25">
      <c r="A1920" s="41">
        <v>43545</v>
      </c>
      <c r="B1920" s="29">
        <v>195.09</v>
      </c>
      <c r="C1920" s="37">
        <f t="shared" si="64"/>
        <v>32.515000000000001</v>
      </c>
      <c r="D1920" s="37">
        <v>11.629</v>
      </c>
      <c r="E1920" s="33">
        <f t="shared" si="65"/>
        <v>-3.0745580322829756E-4</v>
      </c>
    </row>
    <row r="1921" spans="1:5" x14ac:dyDescent="0.25">
      <c r="A1921" s="41">
        <v>43545</v>
      </c>
      <c r="B1921" s="29">
        <v>191.7</v>
      </c>
      <c r="C1921" s="37">
        <f t="shared" si="64"/>
        <v>31.95</v>
      </c>
      <c r="D1921" s="37">
        <v>11.629</v>
      </c>
      <c r="E1921" s="33">
        <f t="shared" si="65"/>
        <v>-1.7376595417499693E-2</v>
      </c>
    </row>
    <row r="1922" spans="1:5" x14ac:dyDescent="0.25">
      <c r="A1922" s="41">
        <v>43546</v>
      </c>
      <c r="B1922" s="29">
        <v>185.99</v>
      </c>
      <c r="C1922" s="37">
        <f t="shared" si="64"/>
        <v>30.998333333333335</v>
      </c>
      <c r="D1922" s="37">
        <v>10.220000000000001</v>
      </c>
      <c r="E1922" s="33">
        <f t="shared" si="65"/>
        <v>-2.9786124152321229E-2</v>
      </c>
    </row>
    <row r="1923" spans="1:5" x14ac:dyDescent="0.25">
      <c r="A1923" s="41">
        <v>43546</v>
      </c>
      <c r="B1923" s="29">
        <v>184.56</v>
      </c>
      <c r="C1923" s="37">
        <f t="shared" ref="C1923:C1986" si="66">(B1923*100/600)</f>
        <v>30.76</v>
      </c>
      <c r="D1923" s="37">
        <v>10.220000000000001</v>
      </c>
      <c r="E1923" s="33">
        <f t="shared" si="65"/>
        <v>-7.6885854078176611E-3</v>
      </c>
    </row>
    <row r="1924" spans="1:5" x14ac:dyDescent="0.25">
      <c r="A1924" s="41">
        <v>43546</v>
      </c>
      <c r="B1924" s="29">
        <v>184.31</v>
      </c>
      <c r="C1924" s="37">
        <f t="shared" si="66"/>
        <v>30.718333333333334</v>
      </c>
      <c r="D1924" s="37">
        <v>10.220000000000001</v>
      </c>
      <c r="E1924" s="33">
        <f t="shared" ref="E1924:E1987" si="67">(B1924-B1923)/B1923</f>
        <v>-1.3545730385782402E-3</v>
      </c>
    </row>
    <row r="1925" spans="1:5" x14ac:dyDescent="0.25">
      <c r="A1925" s="41">
        <v>43546</v>
      </c>
      <c r="B1925" s="29">
        <v>184.16</v>
      </c>
      <c r="C1925" s="37">
        <f t="shared" si="66"/>
        <v>30.693333333333332</v>
      </c>
      <c r="D1925" s="37">
        <v>10.220000000000001</v>
      </c>
      <c r="E1925" s="33">
        <f t="shared" si="67"/>
        <v>-8.1384623731759365E-4</v>
      </c>
    </row>
    <row r="1926" spans="1:5" x14ac:dyDescent="0.25">
      <c r="A1926" s="41">
        <v>43546</v>
      </c>
      <c r="B1926" s="29">
        <v>184.29</v>
      </c>
      <c r="C1926" s="37">
        <f t="shared" si="66"/>
        <v>30.715</v>
      </c>
      <c r="D1926" s="37">
        <v>10.220000000000001</v>
      </c>
      <c r="E1926" s="33">
        <f t="shared" si="67"/>
        <v>7.0590790616852442E-4</v>
      </c>
    </row>
    <row r="1927" spans="1:5" x14ac:dyDescent="0.25">
      <c r="A1927" s="41">
        <v>43546</v>
      </c>
      <c r="B1927" s="29">
        <v>184.43</v>
      </c>
      <c r="C1927" s="37">
        <f t="shared" si="66"/>
        <v>30.738333333333333</v>
      </c>
      <c r="D1927" s="37">
        <v>10.220000000000001</v>
      </c>
      <c r="E1927" s="33">
        <f t="shared" si="67"/>
        <v>7.5967225568405658E-4</v>
      </c>
    </row>
    <row r="1928" spans="1:5" x14ac:dyDescent="0.25">
      <c r="A1928" s="41">
        <v>43546</v>
      </c>
      <c r="B1928" s="29">
        <v>184.87</v>
      </c>
      <c r="C1928" s="37">
        <f t="shared" si="66"/>
        <v>30.811666666666667</v>
      </c>
      <c r="D1928" s="37">
        <v>10.220000000000001</v>
      </c>
      <c r="E1928" s="33">
        <f t="shared" si="67"/>
        <v>2.3857290028737065E-3</v>
      </c>
    </row>
    <row r="1929" spans="1:5" x14ac:dyDescent="0.25">
      <c r="A1929" s="41">
        <v>43546</v>
      </c>
      <c r="B1929" s="29">
        <v>189.72</v>
      </c>
      <c r="C1929" s="37">
        <f t="shared" si="66"/>
        <v>31.62</v>
      </c>
      <c r="D1929" s="37">
        <v>10.220000000000001</v>
      </c>
      <c r="E1929" s="33">
        <f t="shared" si="67"/>
        <v>2.6234651376643017E-2</v>
      </c>
    </row>
    <row r="1930" spans="1:5" x14ac:dyDescent="0.25">
      <c r="A1930" s="41">
        <v>43546</v>
      </c>
      <c r="B1930" s="29">
        <v>194.31</v>
      </c>
      <c r="C1930" s="37">
        <f t="shared" si="66"/>
        <v>32.384999999999998</v>
      </c>
      <c r="D1930" s="37">
        <v>10.220000000000001</v>
      </c>
      <c r="E1930" s="33">
        <f t="shared" si="67"/>
        <v>2.4193548387096791E-2</v>
      </c>
    </row>
    <row r="1931" spans="1:5" x14ac:dyDescent="0.25">
      <c r="A1931" s="41">
        <v>43546</v>
      </c>
      <c r="B1931" s="29">
        <v>194.83</v>
      </c>
      <c r="C1931" s="37">
        <f t="shared" si="66"/>
        <v>32.471666666666664</v>
      </c>
      <c r="D1931" s="37">
        <v>10.220000000000001</v>
      </c>
      <c r="E1931" s="33">
        <f t="shared" si="67"/>
        <v>2.6761360712264435E-3</v>
      </c>
    </row>
    <row r="1932" spans="1:5" x14ac:dyDescent="0.25">
      <c r="A1932" s="41">
        <v>43546</v>
      </c>
      <c r="B1932" s="29">
        <v>194.8</v>
      </c>
      <c r="C1932" s="37">
        <f t="shared" si="66"/>
        <v>32.466666666666669</v>
      </c>
      <c r="D1932" s="37">
        <v>10.220000000000001</v>
      </c>
      <c r="E1932" s="33">
        <f t="shared" si="67"/>
        <v>-1.5398039316327636E-4</v>
      </c>
    </row>
    <row r="1933" spans="1:5" x14ac:dyDescent="0.25">
      <c r="A1933" s="41">
        <v>43546</v>
      </c>
      <c r="B1933" s="29">
        <v>194.74</v>
      </c>
      <c r="C1933" s="37">
        <f t="shared" si="66"/>
        <v>32.456666666666663</v>
      </c>
      <c r="D1933" s="37">
        <v>10.220000000000001</v>
      </c>
      <c r="E1933" s="33">
        <f t="shared" si="67"/>
        <v>-3.0800821355237307E-4</v>
      </c>
    </row>
    <row r="1934" spans="1:5" x14ac:dyDescent="0.25">
      <c r="A1934" s="41">
        <v>43546</v>
      </c>
      <c r="B1934" s="29">
        <v>194.52</v>
      </c>
      <c r="C1934" s="37">
        <f t="shared" si="66"/>
        <v>32.42</v>
      </c>
      <c r="D1934" s="37">
        <v>10.220000000000001</v>
      </c>
      <c r="E1934" s="33">
        <f t="shared" si="67"/>
        <v>-1.129711410085236E-3</v>
      </c>
    </row>
    <row r="1935" spans="1:5" x14ac:dyDescent="0.25">
      <c r="A1935" s="41">
        <v>43546</v>
      </c>
      <c r="B1935" s="29">
        <v>194.62</v>
      </c>
      <c r="C1935" s="37">
        <f t="shared" si="66"/>
        <v>32.436666666666667</v>
      </c>
      <c r="D1935" s="37">
        <v>10.220000000000001</v>
      </c>
      <c r="E1935" s="33">
        <f t="shared" si="67"/>
        <v>5.1408595517167543E-4</v>
      </c>
    </row>
    <row r="1936" spans="1:5" x14ac:dyDescent="0.25">
      <c r="A1936" s="41">
        <v>43546</v>
      </c>
      <c r="B1936" s="29">
        <v>194.58</v>
      </c>
      <c r="C1936" s="37">
        <f t="shared" si="66"/>
        <v>32.43</v>
      </c>
      <c r="D1936" s="37">
        <v>10.220000000000001</v>
      </c>
      <c r="E1936" s="33">
        <f t="shared" si="67"/>
        <v>-2.0552872263894791E-4</v>
      </c>
    </row>
    <row r="1937" spans="1:5" x14ac:dyDescent="0.25">
      <c r="A1937" s="41">
        <v>43546</v>
      </c>
      <c r="B1937" s="29">
        <v>194.53</v>
      </c>
      <c r="C1937" s="37">
        <f t="shared" si="66"/>
        <v>32.421666666666667</v>
      </c>
      <c r="D1937" s="37">
        <v>10.220000000000001</v>
      </c>
      <c r="E1937" s="33">
        <f t="shared" si="67"/>
        <v>-2.569637167232571E-4</v>
      </c>
    </row>
    <row r="1938" spans="1:5" x14ac:dyDescent="0.25">
      <c r="A1938" s="41">
        <v>43546</v>
      </c>
      <c r="B1938" s="29">
        <v>194.48</v>
      </c>
      <c r="C1938" s="37">
        <f t="shared" si="66"/>
        <v>32.413333333333334</v>
      </c>
      <c r="D1938" s="37">
        <v>10.220000000000001</v>
      </c>
      <c r="E1938" s="33">
        <f t="shared" si="67"/>
        <v>-2.5702976404673504E-4</v>
      </c>
    </row>
    <row r="1939" spans="1:5" x14ac:dyDescent="0.25">
      <c r="A1939" s="41">
        <v>43546</v>
      </c>
      <c r="B1939" s="29">
        <v>193.86</v>
      </c>
      <c r="C1939" s="37">
        <f t="shared" si="66"/>
        <v>32.31</v>
      </c>
      <c r="D1939" s="37">
        <v>10.220000000000001</v>
      </c>
      <c r="E1939" s="33">
        <f t="shared" si="67"/>
        <v>-3.1879884821060067E-3</v>
      </c>
    </row>
    <row r="1940" spans="1:5" x14ac:dyDescent="0.25">
      <c r="A1940" s="41">
        <v>43546</v>
      </c>
      <c r="B1940" s="29">
        <v>193.1</v>
      </c>
      <c r="C1940" s="37">
        <f t="shared" si="66"/>
        <v>32.18333333333333</v>
      </c>
      <c r="D1940" s="37">
        <v>10.220000000000001</v>
      </c>
      <c r="E1940" s="33">
        <f t="shared" si="67"/>
        <v>-3.9203548952853572E-3</v>
      </c>
    </row>
    <row r="1941" spans="1:5" x14ac:dyDescent="0.25">
      <c r="A1941" s="41">
        <v>43546</v>
      </c>
      <c r="B1941" s="29">
        <v>193.45</v>
      </c>
      <c r="C1941" s="37">
        <f t="shared" si="66"/>
        <v>32.241666666666667</v>
      </c>
      <c r="D1941" s="37">
        <v>10.220000000000001</v>
      </c>
      <c r="E1941" s="33">
        <f t="shared" si="67"/>
        <v>1.8125323666493751E-3</v>
      </c>
    </row>
    <row r="1942" spans="1:5" x14ac:dyDescent="0.25">
      <c r="A1942" s="41">
        <v>43546</v>
      </c>
      <c r="B1942" s="29">
        <v>193.24</v>
      </c>
      <c r="C1942" s="37">
        <f t="shared" si="66"/>
        <v>32.206666666666663</v>
      </c>
      <c r="D1942" s="37">
        <v>10.220000000000001</v>
      </c>
      <c r="E1942" s="33">
        <f t="shared" si="67"/>
        <v>-1.0855518221761671E-3</v>
      </c>
    </row>
    <row r="1943" spans="1:5" x14ac:dyDescent="0.25">
      <c r="A1943" s="41">
        <v>43546</v>
      </c>
      <c r="B1943" s="29">
        <v>193.05</v>
      </c>
      <c r="C1943" s="37">
        <f t="shared" si="66"/>
        <v>32.174999999999997</v>
      </c>
      <c r="D1943" s="37">
        <v>10.220000000000001</v>
      </c>
      <c r="E1943" s="33">
        <f t="shared" si="67"/>
        <v>-9.8323328503414258E-4</v>
      </c>
    </row>
    <row r="1944" spans="1:5" x14ac:dyDescent="0.25">
      <c r="A1944" s="41">
        <v>43546</v>
      </c>
      <c r="B1944" s="29">
        <v>191.28</v>
      </c>
      <c r="C1944" s="37">
        <f t="shared" si="66"/>
        <v>31.88</v>
      </c>
      <c r="D1944" s="37">
        <v>10.220000000000001</v>
      </c>
      <c r="E1944" s="33">
        <f t="shared" si="67"/>
        <v>-9.1686091686092215E-3</v>
      </c>
    </row>
    <row r="1945" spans="1:5" x14ac:dyDescent="0.25">
      <c r="A1945" s="41">
        <v>43546</v>
      </c>
      <c r="B1945" s="29">
        <v>187.46</v>
      </c>
      <c r="C1945" s="37">
        <f t="shared" si="66"/>
        <v>31.243333333333332</v>
      </c>
      <c r="D1945" s="37">
        <v>10.220000000000001</v>
      </c>
      <c r="E1945" s="33">
        <f t="shared" si="67"/>
        <v>-1.9970723546633172E-2</v>
      </c>
    </row>
    <row r="1946" spans="1:5" x14ac:dyDescent="0.25">
      <c r="A1946" s="41">
        <v>43547</v>
      </c>
      <c r="B1946" s="29">
        <v>160.78</v>
      </c>
      <c r="C1946" s="37">
        <f t="shared" si="66"/>
        <v>26.796666666666667</v>
      </c>
      <c r="D1946" s="37">
        <v>9.3420000000000005</v>
      </c>
      <c r="E1946" s="33">
        <f t="shared" si="67"/>
        <v>-0.14232369572175402</v>
      </c>
    </row>
    <row r="1947" spans="1:5" x14ac:dyDescent="0.25">
      <c r="A1947" s="41">
        <v>43547</v>
      </c>
      <c r="B1947" s="29">
        <v>158</v>
      </c>
      <c r="C1947" s="37">
        <f t="shared" si="66"/>
        <v>26.333333333333332</v>
      </c>
      <c r="D1947" s="37">
        <v>9.3420000000000005</v>
      </c>
      <c r="E1947" s="33">
        <f t="shared" si="67"/>
        <v>-1.7290707799477553E-2</v>
      </c>
    </row>
    <row r="1948" spans="1:5" x14ac:dyDescent="0.25">
      <c r="A1948" s="41">
        <v>43547</v>
      </c>
      <c r="B1948" s="29">
        <v>157.97</v>
      </c>
      <c r="C1948" s="37">
        <f t="shared" si="66"/>
        <v>26.328333333333333</v>
      </c>
      <c r="D1948" s="37">
        <v>9.3420000000000005</v>
      </c>
      <c r="E1948" s="33">
        <f t="shared" si="67"/>
        <v>-1.898734177215262E-4</v>
      </c>
    </row>
    <row r="1949" spans="1:5" x14ac:dyDescent="0.25">
      <c r="A1949" s="41">
        <v>43547</v>
      </c>
      <c r="B1949" s="29">
        <v>157.94</v>
      </c>
      <c r="C1949" s="37">
        <f t="shared" si="66"/>
        <v>26.323333333333334</v>
      </c>
      <c r="D1949" s="37">
        <v>9.3420000000000005</v>
      </c>
      <c r="E1949" s="33">
        <f t="shared" si="67"/>
        <v>-1.8990947648288368E-4</v>
      </c>
    </row>
    <row r="1950" spans="1:5" x14ac:dyDescent="0.25">
      <c r="A1950" s="41">
        <v>43547</v>
      </c>
      <c r="B1950" s="29">
        <v>157.91</v>
      </c>
      <c r="C1950" s="37">
        <f t="shared" si="66"/>
        <v>26.318333333333332</v>
      </c>
      <c r="D1950" s="37">
        <v>9.3420000000000005</v>
      </c>
      <c r="E1950" s="33">
        <f t="shared" si="67"/>
        <v>-1.8994554894264363E-4</v>
      </c>
    </row>
    <row r="1951" spans="1:5" x14ac:dyDescent="0.25">
      <c r="A1951" s="41">
        <v>43547</v>
      </c>
      <c r="B1951" s="29">
        <v>157.88999999999999</v>
      </c>
      <c r="C1951" s="37">
        <f t="shared" si="66"/>
        <v>26.314999999999998</v>
      </c>
      <c r="D1951" s="37">
        <v>9.3420000000000005</v>
      </c>
      <c r="E1951" s="33">
        <f t="shared" si="67"/>
        <v>-1.2665442340580225E-4</v>
      </c>
    </row>
    <row r="1952" spans="1:5" x14ac:dyDescent="0.25">
      <c r="A1952" s="41">
        <v>43547</v>
      </c>
      <c r="B1952" s="29">
        <v>157.86000000000001</v>
      </c>
      <c r="C1952" s="37">
        <f t="shared" si="66"/>
        <v>26.310000000000002</v>
      </c>
      <c r="D1952" s="37">
        <v>9.3420000000000005</v>
      </c>
      <c r="E1952" s="33">
        <f t="shared" si="67"/>
        <v>-1.9000570017083235E-4</v>
      </c>
    </row>
    <row r="1953" spans="1:5" x14ac:dyDescent="0.25">
      <c r="A1953" s="41">
        <v>43547</v>
      </c>
      <c r="B1953" s="29">
        <v>157.83000000000001</v>
      </c>
      <c r="C1953" s="37">
        <f t="shared" si="66"/>
        <v>26.305000000000003</v>
      </c>
      <c r="D1953" s="37">
        <v>9.3420000000000005</v>
      </c>
      <c r="E1953" s="33">
        <f t="shared" si="67"/>
        <v>-1.9004180919803074E-4</v>
      </c>
    </row>
    <row r="1954" spans="1:5" x14ac:dyDescent="0.25">
      <c r="A1954" s="41">
        <v>43547</v>
      </c>
      <c r="B1954" s="29">
        <v>159.55000000000001</v>
      </c>
      <c r="C1954" s="37">
        <f t="shared" si="66"/>
        <v>26.591666666666669</v>
      </c>
      <c r="D1954" s="37">
        <v>9.3420000000000005</v>
      </c>
      <c r="E1954" s="33">
        <f t="shared" si="67"/>
        <v>1.0897801431920413E-2</v>
      </c>
    </row>
    <row r="1955" spans="1:5" x14ac:dyDescent="0.25">
      <c r="A1955" s="41">
        <v>43547</v>
      </c>
      <c r="B1955" s="29">
        <v>162.6</v>
      </c>
      <c r="C1955" s="37">
        <f t="shared" si="66"/>
        <v>27.1</v>
      </c>
      <c r="D1955" s="37">
        <v>9.3420000000000005</v>
      </c>
      <c r="E1955" s="33">
        <f t="shared" si="67"/>
        <v>1.9116264493888955E-2</v>
      </c>
    </row>
    <row r="1956" spans="1:5" x14ac:dyDescent="0.25">
      <c r="A1956" s="41">
        <v>43547</v>
      </c>
      <c r="B1956" s="29">
        <v>164.76</v>
      </c>
      <c r="C1956" s="37">
        <f t="shared" si="66"/>
        <v>27.46</v>
      </c>
      <c r="D1956" s="37">
        <v>9.3420000000000005</v>
      </c>
      <c r="E1956" s="33">
        <f t="shared" si="67"/>
        <v>1.3284132841328393E-2</v>
      </c>
    </row>
    <row r="1957" spans="1:5" x14ac:dyDescent="0.25">
      <c r="A1957" s="41">
        <v>43547</v>
      </c>
      <c r="B1957" s="29">
        <v>164.79</v>
      </c>
      <c r="C1957" s="37">
        <f t="shared" si="66"/>
        <v>27.465</v>
      </c>
      <c r="D1957" s="37">
        <v>9.3420000000000005</v>
      </c>
      <c r="E1957" s="33">
        <f t="shared" si="67"/>
        <v>1.8208302986162382E-4</v>
      </c>
    </row>
    <row r="1958" spans="1:5" x14ac:dyDescent="0.25">
      <c r="A1958" s="41">
        <v>43547</v>
      </c>
      <c r="B1958" s="29">
        <v>164.79</v>
      </c>
      <c r="C1958" s="37">
        <f t="shared" si="66"/>
        <v>27.465</v>
      </c>
      <c r="D1958" s="37">
        <v>9.3420000000000005</v>
      </c>
      <c r="E1958" s="33">
        <f t="shared" si="67"/>
        <v>0</v>
      </c>
    </row>
    <row r="1959" spans="1:5" x14ac:dyDescent="0.25">
      <c r="A1959" s="41">
        <v>43547</v>
      </c>
      <c r="B1959" s="29">
        <v>164.79</v>
      </c>
      <c r="C1959" s="37">
        <f t="shared" si="66"/>
        <v>27.465</v>
      </c>
      <c r="D1959" s="37">
        <v>9.3420000000000005</v>
      </c>
      <c r="E1959" s="33">
        <f t="shared" si="67"/>
        <v>0</v>
      </c>
    </row>
    <row r="1960" spans="1:5" x14ac:dyDescent="0.25">
      <c r="A1960" s="41">
        <v>43547</v>
      </c>
      <c r="B1960" s="29">
        <v>164.79</v>
      </c>
      <c r="C1960" s="37">
        <f t="shared" si="66"/>
        <v>27.465</v>
      </c>
      <c r="D1960" s="37">
        <v>9.3420000000000005</v>
      </c>
      <c r="E1960" s="33">
        <f t="shared" si="67"/>
        <v>0</v>
      </c>
    </row>
    <row r="1961" spans="1:5" x14ac:dyDescent="0.25">
      <c r="A1961" s="41">
        <v>43547</v>
      </c>
      <c r="B1961" s="29">
        <v>164.79</v>
      </c>
      <c r="C1961" s="37">
        <f t="shared" si="66"/>
        <v>27.465</v>
      </c>
      <c r="D1961" s="37">
        <v>9.3420000000000005</v>
      </c>
      <c r="E1961" s="33">
        <f t="shared" si="67"/>
        <v>0</v>
      </c>
    </row>
    <row r="1962" spans="1:5" x14ac:dyDescent="0.25">
      <c r="A1962" s="41">
        <v>43547</v>
      </c>
      <c r="B1962" s="29">
        <v>164.79</v>
      </c>
      <c r="C1962" s="37">
        <f t="shared" si="66"/>
        <v>27.465</v>
      </c>
      <c r="D1962" s="37">
        <v>9.3420000000000005</v>
      </c>
      <c r="E1962" s="33">
        <f t="shared" si="67"/>
        <v>0</v>
      </c>
    </row>
    <row r="1963" spans="1:5" x14ac:dyDescent="0.25">
      <c r="A1963" s="41">
        <v>43547</v>
      </c>
      <c r="B1963" s="29">
        <v>164.79</v>
      </c>
      <c r="C1963" s="37">
        <f t="shared" si="66"/>
        <v>27.465</v>
      </c>
      <c r="D1963" s="37">
        <v>9.3420000000000005</v>
      </c>
      <c r="E1963" s="33">
        <f t="shared" si="67"/>
        <v>0</v>
      </c>
    </row>
    <row r="1964" spans="1:5" x14ac:dyDescent="0.25">
      <c r="A1964" s="41">
        <v>43547</v>
      </c>
      <c r="B1964" s="29">
        <v>166.45</v>
      </c>
      <c r="C1964" s="37">
        <f t="shared" si="66"/>
        <v>27.741666666666667</v>
      </c>
      <c r="D1964" s="37">
        <v>9.3420000000000005</v>
      </c>
      <c r="E1964" s="33">
        <f t="shared" si="67"/>
        <v>1.0073426785605903E-2</v>
      </c>
    </row>
    <row r="1965" spans="1:5" x14ac:dyDescent="0.25">
      <c r="A1965" s="41">
        <v>43547</v>
      </c>
      <c r="B1965" s="29">
        <v>166.45</v>
      </c>
      <c r="C1965" s="37">
        <f t="shared" si="66"/>
        <v>27.741666666666667</v>
      </c>
      <c r="D1965" s="37">
        <v>9.3420000000000005</v>
      </c>
      <c r="E1965" s="33">
        <f t="shared" si="67"/>
        <v>0</v>
      </c>
    </row>
    <row r="1966" spans="1:5" x14ac:dyDescent="0.25">
      <c r="A1966" s="41">
        <v>43547</v>
      </c>
      <c r="B1966" s="29">
        <v>166.38</v>
      </c>
      <c r="C1966" s="37">
        <f t="shared" si="66"/>
        <v>27.73</v>
      </c>
      <c r="D1966" s="37">
        <v>9.3420000000000005</v>
      </c>
      <c r="E1966" s="33">
        <f t="shared" si="67"/>
        <v>-4.2054671072390019E-4</v>
      </c>
    </row>
    <row r="1967" spans="1:5" x14ac:dyDescent="0.25">
      <c r="A1967" s="41">
        <v>43547</v>
      </c>
      <c r="B1967" s="29">
        <v>166.32</v>
      </c>
      <c r="C1967" s="37">
        <f t="shared" si="66"/>
        <v>27.72</v>
      </c>
      <c r="D1967" s="37">
        <v>9.3420000000000005</v>
      </c>
      <c r="E1967" s="33">
        <f t="shared" si="67"/>
        <v>-3.6062026685901115E-4</v>
      </c>
    </row>
    <row r="1968" spans="1:5" x14ac:dyDescent="0.25">
      <c r="A1968" s="41">
        <v>43547</v>
      </c>
      <c r="B1968" s="29">
        <v>166.27</v>
      </c>
      <c r="C1968" s="37">
        <f t="shared" si="66"/>
        <v>27.711666666666666</v>
      </c>
      <c r="D1968" s="37">
        <v>9.3420000000000005</v>
      </c>
      <c r="E1968" s="33">
        <f t="shared" si="67"/>
        <v>-3.0062530062519813E-4</v>
      </c>
    </row>
    <row r="1969" spans="1:5" x14ac:dyDescent="0.25">
      <c r="A1969" s="41">
        <v>43547</v>
      </c>
      <c r="B1969" s="29">
        <v>161.51</v>
      </c>
      <c r="C1969" s="37">
        <f t="shared" si="66"/>
        <v>26.918333333333333</v>
      </c>
      <c r="D1969" s="37">
        <v>9.3420000000000005</v>
      </c>
      <c r="E1969" s="33">
        <f t="shared" si="67"/>
        <v>-2.862813496120779E-2</v>
      </c>
    </row>
    <row r="1970" spans="1:5" x14ac:dyDescent="0.25">
      <c r="A1970" s="41">
        <v>43548</v>
      </c>
      <c r="B1970" s="29">
        <v>95</v>
      </c>
      <c r="C1970" s="37">
        <f t="shared" si="66"/>
        <v>15.833333333333334</v>
      </c>
      <c r="D1970" s="37">
        <v>8.5069999999999997</v>
      </c>
      <c r="E1970" s="33">
        <f t="shared" si="67"/>
        <v>-0.41180112686520953</v>
      </c>
    </row>
    <row r="1971" spans="1:5" x14ac:dyDescent="0.25">
      <c r="A1971" s="41">
        <v>43548</v>
      </c>
      <c r="B1971" s="29">
        <v>91.73</v>
      </c>
      <c r="C1971" s="37">
        <f t="shared" si="66"/>
        <v>15.288333333333334</v>
      </c>
      <c r="D1971" s="37">
        <v>8.5069999999999997</v>
      </c>
      <c r="E1971" s="33">
        <f t="shared" si="67"/>
        <v>-3.4421052631578908E-2</v>
      </c>
    </row>
    <row r="1972" spans="1:5" x14ac:dyDescent="0.25">
      <c r="A1972" s="41">
        <v>43548</v>
      </c>
      <c r="B1972" s="29">
        <v>72.400000000000006</v>
      </c>
      <c r="C1972" s="37">
        <f t="shared" si="66"/>
        <v>12.066666666666668</v>
      </c>
      <c r="D1972" s="37">
        <v>8.5069999999999997</v>
      </c>
      <c r="E1972" s="33">
        <f t="shared" si="67"/>
        <v>-0.21072713398015913</v>
      </c>
    </row>
    <row r="1973" spans="1:5" x14ac:dyDescent="0.25">
      <c r="A1973" s="41">
        <v>43548</v>
      </c>
      <c r="B1973" s="29">
        <v>49.37</v>
      </c>
      <c r="C1973" s="37">
        <f t="shared" si="66"/>
        <v>8.2283333333333335</v>
      </c>
      <c r="D1973" s="37">
        <v>8.5069999999999997</v>
      </c>
      <c r="E1973" s="33">
        <f t="shared" si="67"/>
        <v>-0.31809392265193381</v>
      </c>
    </row>
    <row r="1974" spans="1:5" x14ac:dyDescent="0.25">
      <c r="A1974" s="41">
        <v>43548</v>
      </c>
      <c r="B1974" s="29">
        <v>44.01</v>
      </c>
      <c r="C1974" s="37">
        <f t="shared" si="66"/>
        <v>7.335</v>
      </c>
      <c r="D1974" s="37">
        <v>8.5069999999999997</v>
      </c>
      <c r="E1974" s="33">
        <f t="shared" si="67"/>
        <v>-0.10856795624873404</v>
      </c>
    </row>
    <row r="1975" spans="1:5" x14ac:dyDescent="0.25">
      <c r="A1975" s="41">
        <v>43548</v>
      </c>
      <c r="B1975" s="29">
        <v>42.35</v>
      </c>
      <c r="C1975" s="37">
        <f t="shared" si="66"/>
        <v>7.0583333333333336</v>
      </c>
      <c r="D1975" s="37">
        <v>8.5069999999999997</v>
      </c>
      <c r="E1975" s="33">
        <f t="shared" si="67"/>
        <v>-3.7718700295387333E-2</v>
      </c>
    </row>
    <row r="1976" spans="1:5" x14ac:dyDescent="0.25">
      <c r="A1976" s="41">
        <v>43548</v>
      </c>
      <c r="B1976" s="29">
        <v>42.35</v>
      </c>
      <c r="C1976" s="37">
        <f t="shared" si="66"/>
        <v>7.0583333333333336</v>
      </c>
      <c r="D1976" s="37">
        <v>8.5069999999999997</v>
      </c>
      <c r="E1976" s="33">
        <f t="shared" si="67"/>
        <v>0</v>
      </c>
    </row>
    <row r="1977" spans="1:5" x14ac:dyDescent="0.25">
      <c r="A1977" s="41">
        <v>43548</v>
      </c>
      <c r="B1977" s="29">
        <v>42.35</v>
      </c>
      <c r="C1977" s="37">
        <f t="shared" si="66"/>
        <v>7.0583333333333336</v>
      </c>
      <c r="D1977" s="37">
        <v>8.5069999999999997</v>
      </c>
      <c r="E1977" s="33">
        <f t="shared" si="67"/>
        <v>0</v>
      </c>
    </row>
    <row r="1978" spans="1:5" x14ac:dyDescent="0.25">
      <c r="A1978" s="41">
        <v>43548</v>
      </c>
      <c r="B1978" s="29">
        <v>51.62</v>
      </c>
      <c r="C1978" s="37">
        <f t="shared" si="66"/>
        <v>8.6033333333333335</v>
      </c>
      <c r="D1978" s="37">
        <v>8.5069999999999997</v>
      </c>
      <c r="E1978" s="33">
        <f t="shared" si="67"/>
        <v>0.21889020070838242</v>
      </c>
    </row>
    <row r="1979" spans="1:5" x14ac:dyDescent="0.25">
      <c r="A1979" s="41">
        <v>43548</v>
      </c>
      <c r="B1979" s="29">
        <v>91.95</v>
      </c>
      <c r="C1979" s="37">
        <f t="shared" si="66"/>
        <v>15.324999999999999</v>
      </c>
      <c r="D1979" s="37">
        <v>8.5069999999999997</v>
      </c>
      <c r="E1979" s="33">
        <f t="shared" si="67"/>
        <v>0.78128632313056967</v>
      </c>
    </row>
    <row r="1980" spans="1:5" x14ac:dyDescent="0.25">
      <c r="A1980" s="41">
        <v>43548</v>
      </c>
      <c r="B1980" s="29">
        <v>94.81</v>
      </c>
      <c r="C1980" s="37">
        <f t="shared" si="66"/>
        <v>15.801666666666666</v>
      </c>
      <c r="D1980" s="37">
        <v>8.5069999999999997</v>
      </c>
      <c r="E1980" s="33">
        <f t="shared" si="67"/>
        <v>3.1103860793909727E-2</v>
      </c>
    </row>
    <row r="1981" spans="1:5" x14ac:dyDescent="0.25">
      <c r="A1981" s="41">
        <v>43548</v>
      </c>
      <c r="B1981" s="29">
        <v>94.82</v>
      </c>
      <c r="C1981" s="37">
        <f t="shared" si="66"/>
        <v>15.803333333333333</v>
      </c>
      <c r="D1981" s="37">
        <v>8.5069999999999997</v>
      </c>
      <c r="E1981" s="33">
        <f t="shared" si="67"/>
        <v>1.0547410610685482E-4</v>
      </c>
    </row>
    <row r="1982" spans="1:5" x14ac:dyDescent="0.25">
      <c r="A1982" s="41">
        <v>43548</v>
      </c>
      <c r="B1982" s="29">
        <v>94.81</v>
      </c>
      <c r="C1982" s="37">
        <f t="shared" si="66"/>
        <v>15.801666666666666</v>
      </c>
      <c r="D1982" s="37">
        <v>8.5069999999999997</v>
      </c>
      <c r="E1982" s="33">
        <f t="shared" si="67"/>
        <v>-1.05462982493049E-4</v>
      </c>
    </row>
    <row r="1983" spans="1:5" x14ac:dyDescent="0.25">
      <c r="A1983" s="41">
        <v>43548</v>
      </c>
      <c r="B1983" s="29">
        <v>94.79</v>
      </c>
      <c r="C1983" s="37">
        <f t="shared" si="66"/>
        <v>15.798333333333334</v>
      </c>
      <c r="D1983" s="37">
        <v>8.5069999999999997</v>
      </c>
      <c r="E1983" s="33">
        <f t="shared" si="67"/>
        <v>-2.1094821221385952E-4</v>
      </c>
    </row>
    <row r="1984" spans="1:5" x14ac:dyDescent="0.25">
      <c r="A1984" s="41">
        <v>43548</v>
      </c>
      <c r="B1984" s="29">
        <v>94.77</v>
      </c>
      <c r="C1984" s="37">
        <f t="shared" si="66"/>
        <v>15.795</v>
      </c>
      <c r="D1984" s="37">
        <v>8.5069999999999997</v>
      </c>
      <c r="E1984" s="33">
        <f t="shared" si="67"/>
        <v>-2.1099272075124202E-4</v>
      </c>
    </row>
    <row r="1985" spans="1:5" x14ac:dyDescent="0.25">
      <c r="A1985" s="41">
        <v>43548</v>
      </c>
      <c r="B1985" s="29">
        <v>94.76</v>
      </c>
      <c r="C1985" s="37">
        <f t="shared" si="66"/>
        <v>15.793333333333333</v>
      </c>
      <c r="D1985" s="37">
        <v>8.5069999999999997</v>
      </c>
      <c r="E1985" s="33">
        <f t="shared" si="67"/>
        <v>-1.0551862403704659E-4</v>
      </c>
    </row>
    <row r="1986" spans="1:5" x14ac:dyDescent="0.25">
      <c r="A1986" s="41">
        <v>43548</v>
      </c>
      <c r="B1986" s="29">
        <v>94.74</v>
      </c>
      <c r="C1986" s="37">
        <f t="shared" si="66"/>
        <v>15.79</v>
      </c>
      <c r="D1986" s="37">
        <v>8.5069999999999997</v>
      </c>
      <c r="E1986" s="33">
        <f t="shared" si="67"/>
        <v>-2.1105951878440512E-4</v>
      </c>
    </row>
    <row r="1987" spans="1:5" x14ac:dyDescent="0.25">
      <c r="A1987" s="41">
        <v>43548</v>
      </c>
      <c r="B1987" s="29">
        <v>94.8</v>
      </c>
      <c r="C1987" s="37">
        <f t="shared" ref="C1987:C2050" si="68">(B1987*100/600)</f>
        <v>15.8</v>
      </c>
      <c r="D1987" s="37">
        <v>8.5069999999999997</v>
      </c>
      <c r="E1987" s="33">
        <f t="shared" si="67"/>
        <v>6.3331222292592655E-4</v>
      </c>
    </row>
    <row r="1988" spans="1:5" x14ac:dyDescent="0.25">
      <c r="A1988" s="41">
        <v>43548</v>
      </c>
      <c r="B1988" s="29">
        <v>103.15</v>
      </c>
      <c r="C1988" s="37">
        <f t="shared" si="68"/>
        <v>17.191666666666666</v>
      </c>
      <c r="D1988" s="37">
        <v>8.5069999999999997</v>
      </c>
      <c r="E1988" s="33">
        <f t="shared" ref="E1988:E2051" si="69">(B1988-B1987)/B1987</f>
        <v>8.8080168776371398E-2</v>
      </c>
    </row>
    <row r="1989" spans="1:5" x14ac:dyDescent="0.25">
      <c r="A1989" s="41">
        <v>43548</v>
      </c>
      <c r="B1989" s="29">
        <v>108.5</v>
      </c>
      <c r="C1989" s="37">
        <f t="shared" si="68"/>
        <v>18.083333333333332</v>
      </c>
      <c r="D1989" s="37">
        <v>8.5069999999999997</v>
      </c>
      <c r="E1989" s="33">
        <f t="shared" si="69"/>
        <v>5.1866214251090587E-2</v>
      </c>
    </row>
    <row r="1990" spans="1:5" x14ac:dyDescent="0.25">
      <c r="A1990" s="41">
        <v>43548</v>
      </c>
      <c r="B1990" s="29">
        <v>108.47</v>
      </c>
      <c r="C1990" s="37">
        <f t="shared" si="68"/>
        <v>18.078333333333333</v>
      </c>
      <c r="D1990" s="37">
        <v>8.5069999999999997</v>
      </c>
      <c r="E1990" s="33">
        <f t="shared" si="69"/>
        <v>-2.7649769585254502E-4</v>
      </c>
    </row>
    <row r="1991" spans="1:5" x14ac:dyDescent="0.25">
      <c r="A1991" s="41">
        <v>43548</v>
      </c>
      <c r="B1991" s="29">
        <v>108.44</v>
      </c>
      <c r="C1991" s="37">
        <f t="shared" si="68"/>
        <v>18.073333333333334</v>
      </c>
      <c r="D1991" s="37">
        <v>8.5069999999999997</v>
      </c>
      <c r="E1991" s="33">
        <f t="shared" si="69"/>
        <v>-2.7657416797272186E-4</v>
      </c>
    </row>
    <row r="1992" spans="1:5" x14ac:dyDescent="0.25">
      <c r="A1992" s="41">
        <v>43548</v>
      </c>
      <c r="B1992" s="29">
        <v>108.41</v>
      </c>
      <c r="C1992" s="37">
        <f t="shared" si="68"/>
        <v>18.068333333333332</v>
      </c>
      <c r="D1992" s="37">
        <v>8.5069999999999997</v>
      </c>
      <c r="E1992" s="33">
        <f t="shared" si="69"/>
        <v>-2.766506824050271E-4</v>
      </c>
    </row>
    <row r="1993" spans="1:5" x14ac:dyDescent="0.25">
      <c r="A1993" s="41">
        <v>43548</v>
      </c>
      <c r="B1993" s="29">
        <v>105.59</v>
      </c>
      <c r="C1993" s="37">
        <f t="shared" si="68"/>
        <v>17.598333333333333</v>
      </c>
      <c r="D1993" s="37">
        <v>8.5069999999999997</v>
      </c>
      <c r="E1993" s="33">
        <f t="shared" si="69"/>
        <v>-2.6012360483350181E-2</v>
      </c>
    </row>
    <row r="1994" spans="1:5" x14ac:dyDescent="0.25">
      <c r="A1994" s="41">
        <v>43549</v>
      </c>
      <c r="B1994" s="29">
        <v>220.04</v>
      </c>
      <c r="C1994" s="37">
        <f t="shared" si="68"/>
        <v>36.673333333333332</v>
      </c>
      <c r="D1994" s="37">
        <v>7.718</v>
      </c>
      <c r="E1994" s="33">
        <f t="shared" si="69"/>
        <v>1.0839094611232123</v>
      </c>
    </row>
    <row r="1995" spans="1:5" x14ac:dyDescent="0.25">
      <c r="A1995" s="41">
        <v>43549</v>
      </c>
      <c r="B1995" s="29">
        <v>213.89</v>
      </c>
      <c r="C1995" s="37">
        <f t="shared" si="68"/>
        <v>35.648333333333333</v>
      </c>
      <c r="D1995" s="37">
        <v>7.718</v>
      </c>
      <c r="E1995" s="33">
        <f t="shared" si="69"/>
        <v>-2.7949463733866597E-2</v>
      </c>
    </row>
    <row r="1996" spans="1:5" x14ac:dyDescent="0.25">
      <c r="A1996" s="41">
        <v>43549</v>
      </c>
      <c r="B1996" s="29">
        <v>211.07</v>
      </c>
      <c r="C1996" s="37">
        <f t="shared" si="68"/>
        <v>35.178333333333335</v>
      </c>
      <c r="D1996" s="37">
        <v>7.718</v>
      </c>
      <c r="E1996" s="33">
        <f t="shared" si="69"/>
        <v>-1.3184347094300778E-2</v>
      </c>
    </row>
    <row r="1997" spans="1:5" x14ac:dyDescent="0.25">
      <c r="A1997" s="41">
        <v>43549</v>
      </c>
      <c r="B1997" s="29">
        <v>185.22</v>
      </c>
      <c r="C1997" s="37">
        <f t="shared" si="68"/>
        <v>30.87</v>
      </c>
      <c r="D1997" s="37">
        <v>7.718</v>
      </c>
      <c r="E1997" s="33">
        <f t="shared" si="69"/>
        <v>-0.12247121807931016</v>
      </c>
    </row>
    <row r="1998" spans="1:5" x14ac:dyDescent="0.25">
      <c r="A1998" s="41">
        <v>43549</v>
      </c>
      <c r="B1998" s="29">
        <v>208.87</v>
      </c>
      <c r="C1998" s="37">
        <f t="shared" si="68"/>
        <v>34.811666666666667</v>
      </c>
      <c r="D1998" s="37">
        <v>7.718</v>
      </c>
      <c r="E1998" s="33">
        <f t="shared" si="69"/>
        <v>0.12768599503293385</v>
      </c>
    </row>
    <row r="1999" spans="1:5" x14ac:dyDescent="0.25">
      <c r="A1999" s="41">
        <v>43549</v>
      </c>
      <c r="B1999" s="29">
        <v>218.79</v>
      </c>
      <c r="C1999" s="37">
        <f t="shared" si="68"/>
        <v>36.465000000000003</v>
      </c>
      <c r="D1999" s="37">
        <v>7.718</v>
      </c>
      <c r="E1999" s="33">
        <f t="shared" si="69"/>
        <v>4.7493656341264838E-2</v>
      </c>
    </row>
    <row r="2000" spans="1:5" x14ac:dyDescent="0.25">
      <c r="A2000" s="41">
        <v>43549</v>
      </c>
      <c r="B2000" s="29">
        <v>223.18</v>
      </c>
      <c r="C2000" s="37">
        <f t="shared" si="68"/>
        <v>37.196666666666665</v>
      </c>
      <c r="D2000" s="37">
        <v>7.718</v>
      </c>
      <c r="E2000" s="33">
        <f t="shared" si="69"/>
        <v>2.0064902417843661E-2</v>
      </c>
    </row>
    <row r="2001" spans="1:5" x14ac:dyDescent="0.25">
      <c r="A2001" s="41">
        <v>43549</v>
      </c>
      <c r="B2001" s="29">
        <v>225.74</v>
      </c>
      <c r="C2001" s="37">
        <f t="shared" si="68"/>
        <v>37.623333333333335</v>
      </c>
      <c r="D2001" s="37">
        <v>7.718</v>
      </c>
      <c r="E2001" s="33">
        <f t="shared" si="69"/>
        <v>1.1470561878304517E-2</v>
      </c>
    </row>
    <row r="2002" spans="1:5" x14ac:dyDescent="0.25">
      <c r="A2002" s="41">
        <v>43549</v>
      </c>
      <c r="B2002" s="29">
        <v>228.91</v>
      </c>
      <c r="C2002" s="37">
        <f t="shared" si="68"/>
        <v>38.151666666666664</v>
      </c>
      <c r="D2002" s="37">
        <v>7.718</v>
      </c>
      <c r="E2002" s="33">
        <f t="shared" si="69"/>
        <v>1.4042703995747264E-2</v>
      </c>
    </row>
    <row r="2003" spans="1:5" x14ac:dyDescent="0.25">
      <c r="A2003" s="41">
        <v>43549</v>
      </c>
      <c r="B2003" s="29">
        <v>230.16</v>
      </c>
      <c r="C2003" s="37">
        <f t="shared" si="68"/>
        <v>38.36</v>
      </c>
      <c r="D2003" s="37">
        <v>7.718</v>
      </c>
      <c r="E2003" s="33">
        <f t="shared" si="69"/>
        <v>5.4606613953081997E-3</v>
      </c>
    </row>
    <row r="2004" spans="1:5" x14ac:dyDescent="0.25">
      <c r="A2004" s="41">
        <v>43549</v>
      </c>
      <c r="B2004" s="29">
        <v>230.68</v>
      </c>
      <c r="C2004" s="37">
        <f t="shared" si="68"/>
        <v>38.446666666666665</v>
      </c>
      <c r="D2004" s="37">
        <v>7.718</v>
      </c>
      <c r="E2004" s="33">
        <f t="shared" si="69"/>
        <v>2.2592978797358805E-3</v>
      </c>
    </row>
    <row r="2005" spans="1:5" x14ac:dyDescent="0.25">
      <c r="A2005" s="41">
        <v>43549</v>
      </c>
      <c r="B2005" s="29">
        <v>230.72</v>
      </c>
      <c r="C2005" s="37">
        <f t="shared" si="68"/>
        <v>38.453333333333333</v>
      </c>
      <c r="D2005" s="37">
        <v>7.718</v>
      </c>
      <c r="E2005" s="33">
        <f t="shared" si="69"/>
        <v>1.7340038148080475E-4</v>
      </c>
    </row>
    <row r="2006" spans="1:5" x14ac:dyDescent="0.25">
      <c r="A2006" s="41">
        <v>43549</v>
      </c>
      <c r="B2006" s="29">
        <v>230.21</v>
      </c>
      <c r="C2006" s="37">
        <f t="shared" si="68"/>
        <v>38.368333333333332</v>
      </c>
      <c r="D2006" s="37">
        <v>7.718</v>
      </c>
      <c r="E2006" s="33">
        <f t="shared" si="69"/>
        <v>-2.2104715672676442E-3</v>
      </c>
    </row>
    <row r="2007" spans="1:5" x14ac:dyDescent="0.25">
      <c r="A2007" s="41">
        <v>43549</v>
      </c>
      <c r="B2007" s="29">
        <v>230.8</v>
      </c>
      <c r="C2007" s="37">
        <f t="shared" si="68"/>
        <v>38.466666666666669</v>
      </c>
      <c r="D2007" s="37">
        <v>7.718</v>
      </c>
      <c r="E2007" s="33">
        <f t="shared" si="69"/>
        <v>2.5628773728335144E-3</v>
      </c>
    </row>
    <row r="2008" spans="1:5" x14ac:dyDescent="0.25">
      <c r="A2008" s="41">
        <v>43549</v>
      </c>
      <c r="B2008" s="29">
        <v>231.32</v>
      </c>
      <c r="C2008" s="37">
        <f t="shared" si="68"/>
        <v>38.553333333333335</v>
      </c>
      <c r="D2008" s="37">
        <v>7.718</v>
      </c>
      <c r="E2008" s="33">
        <f t="shared" si="69"/>
        <v>2.2530329289427286E-3</v>
      </c>
    </row>
    <row r="2009" spans="1:5" x14ac:dyDescent="0.25">
      <c r="A2009" s="41">
        <v>43549</v>
      </c>
      <c r="B2009" s="29">
        <v>231.3</v>
      </c>
      <c r="C2009" s="37">
        <f t="shared" si="68"/>
        <v>38.549999999999997</v>
      </c>
      <c r="D2009" s="37">
        <v>7.718</v>
      </c>
      <c r="E2009" s="33">
        <f t="shared" si="69"/>
        <v>-8.6460314715466926E-5</v>
      </c>
    </row>
    <row r="2010" spans="1:5" x14ac:dyDescent="0.25">
      <c r="A2010" s="41">
        <v>43549</v>
      </c>
      <c r="B2010" s="29">
        <v>230.82</v>
      </c>
      <c r="C2010" s="37">
        <f t="shared" si="68"/>
        <v>38.47</v>
      </c>
      <c r="D2010" s="37">
        <v>7.718</v>
      </c>
      <c r="E2010" s="33">
        <f t="shared" si="69"/>
        <v>-2.0752269779507919E-3</v>
      </c>
    </row>
    <row r="2011" spans="1:5" x14ac:dyDescent="0.25">
      <c r="A2011" s="41">
        <v>43549</v>
      </c>
      <c r="B2011" s="29">
        <v>230.19</v>
      </c>
      <c r="C2011" s="37">
        <f t="shared" si="68"/>
        <v>38.365000000000002</v>
      </c>
      <c r="D2011" s="37">
        <v>7.718</v>
      </c>
      <c r="E2011" s="33">
        <f t="shared" si="69"/>
        <v>-2.7293995321029177E-3</v>
      </c>
    </row>
    <row r="2012" spans="1:5" x14ac:dyDescent="0.25">
      <c r="A2012" s="41">
        <v>43549</v>
      </c>
      <c r="B2012" s="29">
        <v>230.26</v>
      </c>
      <c r="C2012" s="37">
        <f t="shared" si="68"/>
        <v>38.376666666666665</v>
      </c>
      <c r="D2012" s="37">
        <v>7.718</v>
      </c>
      <c r="E2012" s="33">
        <f t="shared" si="69"/>
        <v>3.0409661583905983E-4</v>
      </c>
    </row>
    <row r="2013" spans="1:5" x14ac:dyDescent="0.25">
      <c r="A2013" s="41">
        <v>43549</v>
      </c>
      <c r="B2013" s="29">
        <v>230.81</v>
      </c>
      <c r="C2013" s="37">
        <f t="shared" si="68"/>
        <v>38.468333333333334</v>
      </c>
      <c r="D2013" s="37">
        <v>7.718</v>
      </c>
      <c r="E2013" s="33">
        <f t="shared" si="69"/>
        <v>2.388604186571751E-3</v>
      </c>
    </row>
    <row r="2014" spans="1:5" x14ac:dyDescent="0.25">
      <c r="A2014" s="41">
        <v>43549</v>
      </c>
      <c r="B2014" s="29">
        <v>230.53</v>
      </c>
      <c r="C2014" s="37">
        <f t="shared" si="68"/>
        <v>38.421666666666667</v>
      </c>
      <c r="D2014" s="37">
        <v>7.718</v>
      </c>
      <c r="E2014" s="33">
        <f t="shared" si="69"/>
        <v>-1.2131190156405751E-3</v>
      </c>
    </row>
    <row r="2015" spans="1:5" x14ac:dyDescent="0.25">
      <c r="A2015" s="41">
        <v>43549</v>
      </c>
      <c r="B2015" s="29">
        <v>230.32</v>
      </c>
      <c r="C2015" s="37">
        <f t="shared" si="68"/>
        <v>38.386666666666663</v>
      </c>
      <c r="D2015" s="37">
        <v>7.718</v>
      </c>
      <c r="E2015" s="33">
        <f t="shared" si="69"/>
        <v>-9.1094434563834619E-4</v>
      </c>
    </row>
    <row r="2016" spans="1:5" x14ac:dyDescent="0.25">
      <c r="A2016" s="41">
        <v>43549</v>
      </c>
      <c r="B2016" s="29">
        <v>230.04</v>
      </c>
      <c r="C2016" s="37">
        <f t="shared" si="68"/>
        <v>38.340000000000003</v>
      </c>
      <c r="D2016" s="37">
        <v>7.718</v>
      </c>
      <c r="E2016" s="33">
        <f t="shared" si="69"/>
        <v>-1.2156998957971567E-3</v>
      </c>
    </row>
    <row r="2017" spans="1:5" x14ac:dyDescent="0.25">
      <c r="A2017" s="41">
        <v>43549</v>
      </c>
      <c r="B2017" s="29">
        <v>227.11</v>
      </c>
      <c r="C2017" s="37">
        <f t="shared" si="68"/>
        <v>37.851666666666667</v>
      </c>
      <c r="D2017" s="37">
        <v>7.718</v>
      </c>
      <c r="E2017" s="33">
        <f t="shared" si="69"/>
        <v>-1.273691531907485E-2</v>
      </c>
    </row>
    <row r="2018" spans="1:5" x14ac:dyDescent="0.25">
      <c r="A2018" s="41">
        <v>43550</v>
      </c>
      <c r="B2018" s="29">
        <v>228.56</v>
      </c>
      <c r="C2018" s="37">
        <f t="shared" si="68"/>
        <v>38.093333333333334</v>
      </c>
      <c r="D2018" s="37">
        <v>7.1479999999999997</v>
      </c>
      <c r="E2018" s="33">
        <f t="shared" si="69"/>
        <v>6.3845713530887608E-3</v>
      </c>
    </row>
    <row r="2019" spans="1:5" x14ac:dyDescent="0.25">
      <c r="A2019" s="41">
        <v>43550</v>
      </c>
      <c r="B2019" s="29">
        <v>226.36</v>
      </c>
      <c r="C2019" s="37">
        <f t="shared" si="68"/>
        <v>37.726666666666667</v>
      </c>
      <c r="D2019" s="37">
        <v>7.1479999999999997</v>
      </c>
      <c r="E2019" s="33">
        <f t="shared" si="69"/>
        <v>-9.6254812740636537E-3</v>
      </c>
    </row>
    <row r="2020" spans="1:5" x14ac:dyDescent="0.25">
      <c r="A2020" s="41">
        <v>43550</v>
      </c>
      <c r="B2020" s="29">
        <v>223.05</v>
      </c>
      <c r="C2020" s="37">
        <f t="shared" si="68"/>
        <v>37.174999999999997</v>
      </c>
      <c r="D2020" s="37">
        <v>7.1479999999999997</v>
      </c>
      <c r="E2020" s="33">
        <f t="shared" si="69"/>
        <v>-1.4622724863050019E-2</v>
      </c>
    </row>
    <row r="2021" spans="1:5" x14ac:dyDescent="0.25">
      <c r="A2021" s="41">
        <v>43550</v>
      </c>
      <c r="B2021" s="29">
        <v>221.88</v>
      </c>
      <c r="C2021" s="37">
        <f t="shared" si="68"/>
        <v>36.979999999999997</v>
      </c>
      <c r="D2021" s="37">
        <v>7.1479999999999997</v>
      </c>
      <c r="E2021" s="33">
        <f t="shared" si="69"/>
        <v>-5.2454606590451279E-3</v>
      </c>
    </row>
    <row r="2022" spans="1:5" x14ac:dyDescent="0.25">
      <c r="A2022" s="41">
        <v>43550</v>
      </c>
      <c r="B2022" s="29">
        <v>222.4</v>
      </c>
      <c r="C2022" s="37">
        <f t="shared" si="68"/>
        <v>37.06666666666667</v>
      </c>
      <c r="D2022" s="37">
        <v>7.1479999999999997</v>
      </c>
      <c r="E2022" s="33">
        <f t="shared" si="69"/>
        <v>2.3436091581035255E-3</v>
      </c>
    </row>
    <row r="2023" spans="1:5" x14ac:dyDescent="0.25">
      <c r="A2023" s="41">
        <v>43550</v>
      </c>
      <c r="B2023" s="29">
        <v>224.48</v>
      </c>
      <c r="C2023" s="37">
        <f t="shared" si="68"/>
        <v>37.413333333333334</v>
      </c>
      <c r="D2023" s="37">
        <v>7.1479999999999997</v>
      </c>
      <c r="E2023" s="33">
        <f t="shared" si="69"/>
        <v>9.3525179856114391E-3</v>
      </c>
    </row>
    <row r="2024" spans="1:5" x14ac:dyDescent="0.25">
      <c r="A2024" s="41">
        <v>43550</v>
      </c>
      <c r="B2024" s="29">
        <v>228.5</v>
      </c>
      <c r="C2024" s="37">
        <f t="shared" si="68"/>
        <v>38.083333333333336</v>
      </c>
      <c r="D2024" s="37">
        <v>7.1479999999999997</v>
      </c>
      <c r="E2024" s="33">
        <f t="shared" si="69"/>
        <v>1.7908054169636541E-2</v>
      </c>
    </row>
    <row r="2025" spans="1:5" x14ac:dyDescent="0.25">
      <c r="A2025" s="41">
        <v>43550</v>
      </c>
      <c r="B2025" s="29">
        <v>230.18</v>
      </c>
      <c r="C2025" s="37">
        <f t="shared" si="68"/>
        <v>38.363333333333337</v>
      </c>
      <c r="D2025" s="37">
        <v>7.1479999999999997</v>
      </c>
      <c r="E2025" s="33">
        <f t="shared" si="69"/>
        <v>7.3522975929978416E-3</v>
      </c>
    </row>
    <row r="2026" spans="1:5" x14ac:dyDescent="0.25">
      <c r="A2026" s="41">
        <v>43550</v>
      </c>
      <c r="B2026" s="29">
        <v>230.83</v>
      </c>
      <c r="C2026" s="37">
        <f t="shared" si="68"/>
        <v>38.471666666666664</v>
      </c>
      <c r="D2026" s="37">
        <v>7.1479999999999997</v>
      </c>
      <c r="E2026" s="33">
        <f t="shared" si="69"/>
        <v>2.8238769658528355E-3</v>
      </c>
    </row>
    <row r="2027" spans="1:5" x14ac:dyDescent="0.25">
      <c r="A2027" s="41">
        <v>43550</v>
      </c>
      <c r="B2027" s="29">
        <v>231.61</v>
      </c>
      <c r="C2027" s="37">
        <f t="shared" si="68"/>
        <v>38.601666666666667</v>
      </c>
      <c r="D2027" s="37">
        <v>7.1479999999999997</v>
      </c>
      <c r="E2027" s="33">
        <f t="shared" si="69"/>
        <v>3.3791101676558552E-3</v>
      </c>
    </row>
    <row r="2028" spans="1:5" x14ac:dyDescent="0.25">
      <c r="A2028" s="41">
        <v>43550</v>
      </c>
      <c r="B2028" s="29">
        <v>232.14</v>
      </c>
      <c r="C2028" s="37">
        <f t="shared" si="68"/>
        <v>38.69</v>
      </c>
      <c r="D2028" s="37">
        <v>7.1479999999999997</v>
      </c>
      <c r="E2028" s="33">
        <f t="shared" si="69"/>
        <v>2.288329519450683E-3</v>
      </c>
    </row>
    <row r="2029" spans="1:5" x14ac:dyDescent="0.25">
      <c r="A2029" s="41">
        <v>43550</v>
      </c>
      <c r="B2029" s="29">
        <v>232.16</v>
      </c>
      <c r="C2029" s="37">
        <f t="shared" si="68"/>
        <v>38.693333333333335</v>
      </c>
      <c r="D2029" s="37">
        <v>7.1479999999999997</v>
      </c>
      <c r="E2029" s="33">
        <f t="shared" si="69"/>
        <v>8.6154906521970502E-5</v>
      </c>
    </row>
    <row r="2030" spans="1:5" x14ac:dyDescent="0.25">
      <c r="A2030" s="41">
        <v>43550</v>
      </c>
      <c r="B2030" s="29">
        <v>231.91</v>
      </c>
      <c r="C2030" s="37">
        <f t="shared" si="68"/>
        <v>38.651666666666664</v>
      </c>
      <c r="D2030" s="37">
        <v>7.1479999999999997</v>
      </c>
      <c r="E2030" s="33">
        <f t="shared" si="69"/>
        <v>-1.07684355616816E-3</v>
      </c>
    </row>
    <row r="2031" spans="1:5" x14ac:dyDescent="0.25">
      <c r="A2031" s="41">
        <v>43550</v>
      </c>
      <c r="B2031" s="29">
        <v>232.16</v>
      </c>
      <c r="C2031" s="37">
        <f t="shared" si="68"/>
        <v>38.693333333333335</v>
      </c>
      <c r="D2031" s="37">
        <v>7.1479999999999997</v>
      </c>
      <c r="E2031" s="33">
        <f t="shared" si="69"/>
        <v>1.0780043982579449E-3</v>
      </c>
    </row>
    <row r="2032" spans="1:5" x14ac:dyDescent="0.25">
      <c r="A2032" s="41">
        <v>43550</v>
      </c>
      <c r="B2032" s="29">
        <v>233.84</v>
      </c>
      <c r="C2032" s="37">
        <f t="shared" si="68"/>
        <v>38.973333333333336</v>
      </c>
      <c r="D2032" s="37">
        <v>7.1479999999999997</v>
      </c>
      <c r="E2032" s="33">
        <f t="shared" si="69"/>
        <v>7.2363886974500637E-3</v>
      </c>
    </row>
    <row r="2033" spans="1:5" x14ac:dyDescent="0.25">
      <c r="A2033" s="41">
        <v>43550</v>
      </c>
      <c r="B2033" s="29">
        <v>233.84</v>
      </c>
      <c r="C2033" s="37">
        <f t="shared" si="68"/>
        <v>38.973333333333336</v>
      </c>
      <c r="D2033" s="37">
        <v>7.1479999999999997</v>
      </c>
      <c r="E2033" s="33">
        <f t="shared" si="69"/>
        <v>0</v>
      </c>
    </row>
    <row r="2034" spans="1:5" x14ac:dyDescent="0.25">
      <c r="A2034" s="41">
        <v>43550</v>
      </c>
      <c r="B2034" s="29">
        <v>233.14</v>
      </c>
      <c r="C2034" s="37">
        <f t="shared" si="68"/>
        <v>38.856666666666669</v>
      </c>
      <c r="D2034" s="37">
        <v>7.1479999999999997</v>
      </c>
      <c r="E2034" s="33">
        <f t="shared" si="69"/>
        <v>-2.9934998289429396E-3</v>
      </c>
    </row>
    <row r="2035" spans="1:5" x14ac:dyDescent="0.25">
      <c r="A2035" s="41">
        <v>43550</v>
      </c>
      <c r="B2035" s="29">
        <v>231.46</v>
      </c>
      <c r="C2035" s="37">
        <f t="shared" si="68"/>
        <v>38.576666666666668</v>
      </c>
      <c r="D2035" s="37">
        <v>7.1479999999999997</v>
      </c>
      <c r="E2035" s="33">
        <f t="shared" si="69"/>
        <v>-7.2059706614050721E-3</v>
      </c>
    </row>
    <row r="2036" spans="1:5" x14ac:dyDescent="0.25">
      <c r="A2036" s="41">
        <v>43550</v>
      </c>
      <c r="B2036" s="29">
        <v>231.35</v>
      </c>
      <c r="C2036" s="37">
        <f t="shared" si="68"/>
        <v>38.55833333333333</v>
      </c>
      <c r="D2036" s="37">
        <v>7.1479999999999997</v>
      </c>
      <c r="E2036" s="33">
        <f t="shared" si="69"/>
        <v>-4.7524410265278508E-4</v>
      </c>
    </row>
    <row r="2037" spans="1:5" x14ac:dyDescent="0.25">
      <c r="A2037" s="41">
        <v>43550</v>
      </c>
      <c r="B2037" s="29">
        <v>231.48</v>
      </c>
      <c r="C2037" s="37">
        <f t="shared" si="68"/>
        <v>38.58</v>
      </c>
      <c r="D2037" s="37">
        <v>7.1479999999999997</v>
      </c>
      <c r="E2037" s="33">
        <f t="shared" si="69"/>
        <v>5.619191700885907E-4</v>
      </c>
    </row>
    <row r="2038" spans="1:5" x14ac:dyDescent="0.25">
      <c r="A2038" s="41">
        <v>43550</v>
      </c>
      <c r="B2038" s="29">
        <v>231.48</v>
      </c>
      <c r="C2038" s="37">
        <f t="shared" si="68"/>
        <v>38.58</v>
      </c>
      <c r="D2038" s="37">
        <v>7.1479999999999997</v>
      </c>
      <c r="E2038" s="33">
        <f t="shared" si="69"/>
        <v>0</v>
      </c>
    </row>
    <row r="2039" spans="1:5" x14ac:dyDescent="0.25">
      <c r="A2039" s="41">
        <v>43550</v>
      </c>
      <c r="B2039" s="29">
        <v>231.23</v>
      </c>
      <c r="C2039" s="37">
        <f t="shared" si="68"/>
        <v>38.538333333333334</v>
      </c>
      <c r="D2039" s="37">
        <v>7.1479999999999997</v>
      </c>
      <c r="E2039" s="33">
        <f t="shared" si="69"/>
        <v>-1.0800069120442371E-3</v>
      </c>
    </row>
    <row r="2040" spans="1:5" x14ac:dyDescent="0.25">
      <c r="A2040" s="41">
        <v>43550</v>
      </c>
      <c r="B2040" s="29">
        <v>230.98</v>
      </c>
      <c r="C2040" s="37">
        <f t="shared" si="68"/>
        <v>38.49666666666667</v>
      </c>
      <c r="D2040" s="37">
        <v>7.1479999999999997</v>
      </c>
      <c r="E2040" s="33">
        <f t="shared" si="69"/>
        <v>-1.0811745880724821E-3</v>
      </c>
    </row>
    <row r="2041" spans="1:5" x14ac:dyDescent="0.25">
      <c r="A2041" s="41">
        <v>43550</v>
      </c>
      <c r="B2041" s="29">
        <v>229.48</v>
      </c>
      <c r="C2041" s="37">
        <f t="shared" si="68"/>
        <v>38.24666666666667</v>
      </c>
      <c r="D2041" s="37">
        <v>7.1479999999999997</v>
      </c>
      <c r="E2041" s="33">
        <f t="shared" si="69"/>
        <v>-6.494068750541173E-3</v>
      </c>
    </row>
    <row r="2042" spans="1:5" x14ac:dyDescent="0.25">
      <c r="A2042" s="41">
        <v>43551</v>
      </c>
      <c r="B2042" s="29">
        <v>227.08</v>
      </c>
      <c r="C2042" s="37">
        <f t="shared" si="68"/>
        <v>37.846666666666664</v>
      </c>
      <c r="D2042" s="37">
        <v>6.6429999999999998</v>
      </c>
      <c r="E2042" s="33">
        <f t="shared" si="69"/>
        <v>-1.0458427749694865E-2</v>
      </c>
    </row>
    <row r="2043" spans="1:5" x14ac:dyDescent="0.25">
      <c r="A2043" s="41">
        <v>43551</v>
      </c>
      <c r="B2043" s="29">
        <v>225.53</v>
      </c>
      <c r="C2043" s="37">
        <f t="shared" si="68"/>
        <v>37.588333333333331</v>
      </c>
      <c r="D2043" s="37">
        <v>6.6429999999999998</v>
      </c>
      <c r="E2043" s="33">
        <f t="shared" si="69"/>
        <v>-6.8257882684516968E-3</v>
      </c>
    </row>
    <row r="2044" spans="1:5" x14ac:dyDescent="0.25">
      <c r="A2044" s="41">
        <v>43551</v>
      </c>
      <c r="B2044" s="29">
        <v>221.38</v>
      </c>
      <c r="C2044" s="37">
        <f t="shared" si="68"/>
        <v>36.896666666666668</v>
      </c>
      <c r="D2044" s="37">
        <v>6.6429999999999998</v>
      </c>
      <c r="E2044" s="33">
        <f t="shared" si="69"/>
        <v>-1.8401099631978033E-2</v>
      </c>
    </row>
    <row r="2045" spans="1:5" x14ac:dyDescent="0.25">
      <c r="A2045" s="41">
        <v>43551</v>
      </c>
      <c r="B2045" s="29">
        <v>220.35</v>
      </c>
      <c r="C2045" s="37">
        <f t="shared" si="68"/>
        <v>36.725000000000001</v>
      </c>
      <c r="D2045" s="37">
        <v>6.6429999999999998</v>
      </c>
      <c r="E2045" s="33">
        <f t="shared" si="69"/>
        <v>-4.6526334808925885E-3</v>
      </c>
    </row>
    <row r="2046" spans="1:5" x14ac:dyDescent="0.25">
      <c r="A2046" s="41">
        <v>43551</v>
      </c>
      <c r="B2046" s="29">
        <v>220.47</v>
      </c>
      <c r="C2046" s="37">
        <f t="shared" si="68"/>
        <v>36.744999999999997</v>
      </c>
      <c r="D2046" s="37">
        <v>6.6429999999999998</v>
      </c>
      <c r="E2046" s="33">
        <f t="shared" si="69"/>
        <v>5.4458815520764484E-4</v>
      </c>
    </row>
    <row r="2047" spans="1:5" x14ac:dyDescent="0.25">
      <c r="A2047" s="41">
        <v>43551</v>
      </c>
      <c r="B2047" s="29">
        <v>222.32</v>
      </c>
      <c r="C2047" s="37">
        <f t="shared" si="68"/>
        <v>37.053333333333335</v>
      </c>
      <c r="D2047" s="37">
        <v>6.6429999999999998</v>
      </c>
      <c r="E2047" s="33">
        <f t="shared" si="69"/>
        <v>8.3911643307479217E-3</v>
      </c>
    </row>
    <row r="2048" spans="1:5" x14ac:dyDescent="0.25">
      <c r="A2048" s="41">
        <v>43551</v>
      </c>
      <c r="B2048" s="29">
        <v>226.84</v>
      </c>
      <c r="C2048" s="37">
        <f t="shared" si="68"/>
        <v>37.806666666666665</v>
      </c>
      <c r="D2048" s="37">
        <v>6.6429999999999998</v>
      </c>
      <c r="E2048" s="33">
        <f t="shared" si="69"/>
        <v>2.0331054336092166E-2</v>
      </c>
    </row>
    <row r="2049" spans="1:5" x14ac:dyDescent="0.25">
      <c r="A2049" s="41">
        <v>43551</v>
      </c>
      <c r="B2049" s="29">
        <v>226.81</v>
      </c>
      <c r="C2049" s="37">
        <f t="shared" si="68"/>
        <v>37.801666666666669</v>
      </c>
      <c r="D2049" s="37">
        <v>6.6429999999999998</v>
      </c>
      <c r="E2049" s="33">
        <f t="shared" si="69"/>
        <v>-1.3225180744137337E-4</v>
      </c>
    </row>
    <row r="2050" spans="1:5" x14ac:dyDescent="0.25">
      <c r="A2050" s="41">
        <v>43551</v>
      </c>
      <c r="B2050" s="29">
        <v>229.43</v>
      </c>
      <c r="C2050" s="37">
        <f t="shared" si="68"/>
        <v>38.238333333333337</v>
      </c>
      <c r="D2050" s="37">
        <v>6.6429999999999998</v>
      </c>
      <c r="E2050" s="33">
        <f t="shared" si="69"/>
        <v>1.1551518892465079E-2</v>
      </c>
    </row>
    <row r="2051" spans="1:5" x14ac:dyDescent="0.25">
      <c r="A2051" s="41">
        <v>43551</v>
      </c>
      <c r="B2051" s="29">
        <v>230.47</v>
      </c>
      <c r="C2051" s="37">
        <f t="shared" ref="C2051:C2114" si="70">(B2051*100/600)</f>
        <v>38.411666666666669</v>
      </c>
      <c r="D2051" s="37">
        <v>6.6429999999999998</v>
      </c>
      <c r="E2051" s="33">
        <f t="shared" si="69"/>
        <v>4.5329730200932396E-3</v>
      </c>
    </row>
    <row r="2052" spans="1:5" x14ac:dyDescent="0.25">
      <c r="A2052" s="41">
        <v>43551</v>
      </c>
      <c r="B2052" s="29">
        <v>231.73</v>
      </c>
      <c r="C2052" s="37">
        <f t="shared" si="70"/>
        <v>38.62166666666667</v>
      </c>
      <c r="D2052" s="37">
        <v>6.6429999999999998</v>
      </c>
      <c r="E2052" s="33">
        <f t="shared" ref="E2052:E2115" si="71">(B2052-B2051)/B2051</f>
        <v>5.4670889920596646E-3</v>
      </c>
    </row>
    <row r="2053" spans="1:5" x14ac:dyDescent="0.25">
      <c r="A2053" s="41">
        <v>43551</v>
      </c>
      <c r="B2053" s="29">
        <v>231.8</v>
      </c>
      <c r="C2053" s="37">
        <f t="shared" si="70"/>
        <v>38.633333333333333</v>
      </c>
      <c r="D2053" s="37">
        <v>6.6429999999999998</v>
      </c>
      <c r="E2053" s="33">
        <f t="shared" si="71"/>
        <v>3.0207569153765847E-4</v>
      </c>
    </row>
    <row r="2054" spans="1:5" x14ac:dyDescent="0.25">
      <c r="A2054" s="41">
        <v>43551</v>
      </c>
      <c r="B2054" s="29">
        <v>231.09</v>
      </c>
      <c r="C2054" s="37">
        <f t="shared" si="70"/>
        <v>38.515000000000001</v>
      </c>
      <c r="D2054" s="37">
        <v>6.6429999999999998</v>
      </c>
      <c r="E2054" s="33">
        <f t="shared" si="71"/>
        <v>-3.0629853321829507E-3</v>
      </c>
    </row>
    <row r="2055" spans="1:5" x14ac:dyDescent="0.25">
      <c r="A2055" s="41">
        <v>43551</v>
      </c>
      <c r="B2055" s="29">
        <v>231.73</v>
      </c>
      <c r="C2055" s="37">
        <f t="shared" si="70"/>
        <v>38.62166666666667</v>
      </c>
      <c r="D2055" s="37">
        <v>6.6429999999999998</v>
      </c>
      <c r="E2055" s="33">
        <f t="shared" si="71"/>
        <v>2.769483750919496E-3</v>
      </c>
    </row>
    <row r="2056" spans="1:5" x14ac:dyDescent="0.25">
      <c r="A2056" s="41">
        <v>43551</v>
      </c>
      <c r="B2056" s="29">
        <v>232.04</v>
      </c>
      <c r="C2056" s="37">
        <f t="shared" si="70"/>
        <v>38.673333333333332</v>
      </c>
      <c r="D2056" s="37">
        <v>6.6429999999999998</v>
      </c>
      <c r="E2056" s="33">
        <f t="shared" si="71"/>
        <v>1.3377637768092275E-3</v>
      </c>
    </row>
    <row r="2057" spans="1:5" x14ac:dyDescent="0.25">
      <c r="A2057" s="41">
        <v>43551</v>
      </c>
      <c r="B2057" s="29">
        <v>232.06</v>
      </c>
      <c r="C2057" s="37">
        <f t="shared" si="70"/>
        <v>38.676666666666669</v>
      </c>
      <c r="D2057" s="37">
        <v>6.6429999999999998</v>
      </c>
      <c r="E2057" s="33">
        <f t="shared" si="71"/>
        <v>8.6192035855931008E-5</v>
      </c>
    </row>
    <row r="2058" spans="1:5" x14ac:dyDescent="0.25">
      <c r="A2058" s="41">
        <v>43551</v>
      </c>
      <c r="B2058" s="29">
        <v>231.71</v>
      </c>
      <c r="C2058" s="37">
        <f t="shared" si="70"/>
        <v>38.618333333333332</v>
      </c>
      <c r="D2058" s="37">
        <v>6.6429999999999998</v>
      </c>
      <c r="E2058" s="33">
        <f t="shared" si="71"/>
        <v>-1.5082306300094558E-3</v>
      </c>
    </row>
    <row r="2059" spans="1:5" x14ac:dyDescent="0.25">
      <c r="A2059" s="41">
        <v>43551</v>
      </c>
      <c r="B2059" s="29">
        <v>230.53</v>
      </c>
      <c r="C2059" s="37">
        <f t="shared" si="70"/>
        <v>38.421666666666667</v>
      </c>
      <c r="D2059" s="37">
        <v>6.6429999999999998</v>
      </c>
      <c r="E2059" s="33">
        <f t="shared" si="71"/>
        <v>-5.0925726123171502E-3</v>
      </c>
    </row>
    <row r="2060" spans="1:5" x14ac:dyDescent="0.25">
      <c r="A2060" s="41">
        <v>43551</v>
      </c>
      <c r="B2060" s="29">
        <v>230.44</v>
      </c>
      <c r="C2060" s="37">
        <f t="shared" si="70"/>
        <v>38.406666666666666</v>
      </c>
      <c r="D2060" s="37">
        <v>6.6429999999999998</v>
      </c>
      <c r="E2060" s="33">
        <f t="shared" si="71"/>
        <v>-3.9040471955929123E-4</v>
      </c>
    </row>
    <row r="2061" spans="1:5" x14ac:dyDescent="0.25">
      <c r="A2061" s="41">
        <v>43551</v>
      </c>
      <c r="B2061" s="29">
        <v>230.53</v>
      </c>
      <c r="C2061" s="37">
        <f t="shared" si="70"/>
        <v>38.421666666666667</v>
      </c>
      <c r="D2061" s="37">
        <v>6.6429999999999998</v>
      </c>
      <c r="E2061" s="33">
        <f t="shared" si="71"/>
        <v>3.905571949314503E-4</v>
      </c>
    </row>
    <row r="2062" spans="1:5" x14ac:dyDescent="0.25">
      <c r="A2062" s="41">
        <v>43551</v>
      </c>
      <c r="B2062" s="29">
        <v>230.48</v>
      </c>
      <c r="C2062" s="37">
        <f t="shared" si="70"/>
        <v>38.413333333333334</v>
      </c>
      <c r="D2062" s="37">
        <v>6.6429999999999998</v>
      </c>
      <c r="E2062" s="33">
        <f t="shared" si="71"/>
        <v>-2.1689151086631402E-4</v>
      </c>
    </row>
    <row r="2063" spans="1:5" x14ac:dyDescent="0.25">
      <c r="A2063" s="41">
        <v>43551</v>
      </c>
      <c r="B2063" s="29">
        <v>230.34</v>
      </c>
      <c r="C2063" s="37">
        <f t="shared" si="70"/>
        <v>38.39</v>
      </c>
      <c r="D2063" s="37">
        <v>6.6429999999999998</v>
      </c>
      <c r="E2063" s="33">
        <f t="shared" si="71"/>
        <v>-6.074279763970252E-4</v>
      </c>
    </row>
    <row r="2064" spans="1:5" x14ac:dyDescent="0.25">
      <c r="A2064" s="41">
        <v>43551</v>
      </c>
      <c r="B2064" s="29">
        <v>228.71</v>
      </c>
      <c r="C2064" s="37">
        <f t="shared" si="70"/>
        <v>38.118333333333332</v>
      </c>
      <c r="D2064" s="37">
        <v>6.6429999999999998</v>
      </c>
      <c r="E2064" s="33">
        <f t="shared" si="71"/>
        <v>-7.0764956151775438E-3</v>
      </c>
    </row>
    <row r="2065" spans="1:5" x14ac:dyDescent="0.25">
      <c r="A2065" s="41">
        <v>43551</v>
      </c>
      <c r="B2065" s="29">
        <v>226.06</v>
      </c>
      <c r="C2065" s="37">
        <f t="shared" si="70"/>
        <v>37.676666666666669</v>
      </c>
      <c r="D2065" s="37">
        <v>6.6429999999999998</v>
      </c>
      <c r="E2065" s="33">
        <f t="shared" si="71"/>
        <v>-1.158672554763677E-2</v>
      </c>
    </row>
    <row r="2066" spans="1:5" x14ac:dyDescent="0.25">
      <c r="A2066" s="41">
        <v>43552</v>
      </c>
      <c r="B2066" s="29">
        <v>219.98</v>
      </c>
      <c r="C2066" s="37">
        <f t="shared" si="70"/>
        <v>36.663333333333334</v>
      </c>
      <c r="D2066" s="37">
        <v>6.2750000000000004</v>
      </c>
      <c r="E2066" s="33">
        <f t="shared" si="71"/>
        <v>-2.6895514465186288E-2</v>
      </c>
    </row>
    <row r="2067" spans="1:5" x14ac:dyDescent="0.25">
      <c r="A2067" s="41">
        <v>43552</v>
      </c>
      <c r="B2067" s="29">
        <v>211.46</v>
      </c>
      <c r="C2067" s="37">
        <f t="shared" si="70"/>
        <v>35.243333333333332</v>
      </c>
      <c r="D2067" s="37">
        <v>6.2750000000000004</v>
      </c>
      <c r="E2067" s="33">
        <f t="shared" si="71"/>
        <v>-3.8730793708518875E-2</v>
      </c>
    </row>
    <row r="2068" spans="1:5" x14ac:dyDescent="0.25">
      <c r="A2068" s="41">
        <v>43552</v>
      </c>
      <c r="B2068" s="29">
        <v>177.87</v>
      </c>
      <c r="C2068" s="37">
        <f t="shared" si="70"/>
        <v>29.645</v>
      </c>
      <c r="D2068" s="37">
        <v>6.2750000000000004</v>
      </c>
      <c r="E2068" s="33">
        <f t="shared" si="71"/>
        <v>-0.1588480090797314</v>
      </c>
    </row>
    <row r="2069" spans="1:5" x14ac:dyDescent="0.25">
      <c r="A2069" s="41">
        <v>43552</v>
      </c>
      <c r="B2069" s="29">
        <v>164.38</v>
      </c>
      <c r="C2069" s="37">
        <f t="shared" si="70"/>
        <v>27.396666666666668</v>
      </c>
      <c r="D2069" s="37">
        <v>6.2750000000000004</v>
      </c>
      <c r="E2069" s="33">
        <f t="shared" si="71"/>
        <v>-7.584190701073823E-2</v>
      </c>
    </row>
    <row r="2070" spans="1:5" x14ac:dyDescent="0.25">
      <c r="A2070" s="41">
        <v>43552</v>
      </c>
      <c r="B2070" s="29">
        <v>164.38</v>
      </c>
      <c r="C2070" s="37">
        <f t="shared" si="70"/>
        <v>27.396666666666668</v>
      </c>
      <c r="D2070" s="37">
        <v>6.2750000000000004</v>
      </c>
      <c r="E2070" s="33">
        <f t="shared" si="71"/>
        <v>0</v>
      </c>
    </row>
    <row r="2071" spans="1:5" x14ac:dyDescent="0.25">
      <c r="A2071" s="41">
        <v>43552</v>
      </c>
      <c r="B2071" s="29">
        <v>171.23</v>
      </c>
      <c r="C2071" s="37">
        <f t="shared" si="70"/>
        <v>28.538333333333334</v>
      </c>
      <c r="D2071" s="37">
        <v>6.2750000000000004</v>
      </c>
      <c r="E2071" s="33">
        <f t="shared" si="71"/>
        <v>4.1671736220951418E-2</v>
      </c>
    </row>
    <row r="2072" spans="1:5" x14ac:dyDescent="0.25">
      <c r="A2072" s="41">
        <v>43552</v>
      </c>
      <c r="B2072" s="29">
        <v>214.32</v>
      </c>
      <c r="C2072" s="37">
        <f t="shared" si="70"/>
        <v>35.72</v>
      </c>
      <c r="D2072" s="37">
        <v>6.2750000000000004</v>
      </c>
      <c r="E2072" s="33">
        <f t="shared" si="71"/>
        <v>0.2516498277171057</v>
      </c>
    </row>
    <row r="2073" spans="1:5" x14ac:dyDescent="0.25">
      <c r="A2073" s="41">
        <v>43552</v>
      </c>
      <c r="B2073" s="29">
        <v>219.37</v>
      </c>
      <c r="C2073" s="37">
        <f t="shared" si="70"/>
        <v>36.561666666666667</v>
      </c>
      <c r="D2073" s="37">
        <v>6.2750000000000004</v>
      </c>
      <c r="E2073" s="33">
        <f t="shared" si="71"/>
        <v>2.3562896603210207E-2</v>
      </c>
    </row>
    <row r="2074" spans="1:5" x14ac:dyDescent="0.25">
      <c r="A2074" s="41">
        <v>43552</v>
      </c>
      <c r="B2074" s="29">
        <v>220.46</v>
      </c>
      <c r="C2074" s="37">
        <f t="shared" si="70"/>
        <v>36.743333333333332</v>
      </c>
      <c r="D2074" s="37">
        <v>6.2750000000000004</v>
      </c>
      <c r="E2074" s="33">
        <f t="shared" si="71"/>
        <v>4.9687742170761882E-3</v>
      </c>
    </row>
    <row r="2075" spans="1:5" x14ac:dyDescent="0.25">
      <c r="A2075" s="41">
        <v>43552</v>
      </c>
      <c r="B2075" s="29">
        <v>223.83</v>
      </c>
      <c r="C2075" s="37">
        <f t="shared" si="70"/>
        <v>37.305</v>
      </c>
      <c r="D2075" s="37">
        <v>6.2750000000000004</v>
      </c>
      <c r="E2075" s="33">
        <f t="shared" si="71"/>
        <v>1.5286219722398641E-2</v>
      </c>
    </row>
    <row r="2076" spans="1:5" x14ac:dyDescent="0.25">
      <c r="A2076" s="41">
        <v>43552</v>
      </c>
      <c r="B2076" s="29">
        <v>225.55</v>
      </c>
      <c r="C2076" s="37">
        <f t="shared" si="70"/>
        <v>37.591666666666669</v>
      </c>
      <c r="D2076" s="37">
        <v>6.2750000000000004</v>
      </c>
      <c r="E2076" s="33">
        <f t="shared" si="71"/>
        <v>7.684403341821913E-3</v>
      </c>
    </row>
    <row r="2077" spans="1:5" x14ac:dyDescent="0.25">
      <c r="A2077" s="41">
        <v>43552</v>
      </c>
      <c r="B2077" s="29">
        <v>225.26</v>
      </c>
      <c r="C2077" s="37">
        <f t="shared" si="70"/>
        <v>37.543333333333337</v>
      </c>
      <c r="D2077" s="37">
        <v>6.2750000000000004</v>
      </c>
      <c r="E2077" s="33">
        <f t="shared" si="71"/>
        <v>-1.2857459543339413E-3</v>
      </c>
    </row>
    <row r="2078" spans="1:5" x14ac:dyDescent="0.25">
      <c r="A2078" s="41">
        <v>43552</v>
      </c>
      <c r="B2078" s="29">
        <v>223.87</v>
      </c>
      <c r="C2078" s="37">
        <f t="shared" si="70"/>
        <v>37.311666666666667</v>
      </c>
      <c r="D2078" s="37">
        <v>6.2750000000000004</v>
      </c>
      <c r="E2078" s="33">
        <f t="shared" si="71"/>
        <v>-6.1706472520642206E-3</v>
      </c>
    </row>
    <row r="2079" spans="1:5" x14ac:dyDescent="0.25">
      <c r="A2079" s="41">
        <v>43552</v>
      </c>
      <c r="B2079" s="29">
        <v>225.98</v>
      </c>
      <c r="C2079" s="37">
        <f t="shared" si="70"/>
        <v>37.663333333333334</v>
      </c>
      <c r="D2079" s="37">
        <v>6.2750000000000004</v>
      </c>
      <c r="E2079" s="33">
        <f t="shared" si="71"/>
        <v>9.425112788671931E-3</v>
      </c>
    </row>
    <row r="2080" spans="1:5" x14ac:dyDescent="0.25">
      <c r="A2080" s="41">
        <v>43552</v>
      </c>
      <c r="B2080" s="29">
        <v>227.41</v>
      </c>
      <c r="C2080" s="37">
        <f t="shared" si="70"/>
        <v>37.901666666666664</v>
      </c>
      <c r="D2080" s="37">
        <v>6.2750000000000004</v>
      </c>
      <c r="E2080" s="33">
        <f t="shared" si="71"/>
        <v>6.3279936277546994E-3</v>
      </c>
    </row>
    <row r="2081" spans="1:5" x14ac:dyDescent="0.25">
      <c r="A2081" s="41">
        <v>43552</v>
      </c>
      <c r="B2081" s="29">
        <v>227.68</v>
      </c>
      <c r="C2081" s="37">
        <f t="shared" si="70"/>
        <v>37.946666666666665</v>
      </c>
      <c r="D2081" s="37">
        <v>6.2750000000000004</v>
      </c>
      <c r="E2081" s="33">
        <f t="shared" si="71"/>
        <v>1.1872828811398367E-3</v>
      </c>
    </row>
    <row r="2082" spans="1:5" x14ac:dyDescent="0.25">
      <c r="A2082" s="41">
        <v>43552</v>
      </c>
      <c r="B2082" s="29">
        <v>226.12</v>
      </c>
      <c r="C2082" s="37">
        <f t="shared" si="70"/>
        <v>37.686666666666667</v>
      </c>
      <c r="D2082" s="37">
        <v>6.2750000000000004</v>
      </c>
      <c r="E2082" s="33">
        <f t="shared" si="71"/>
        <v>-6.8517217146872901E-3</v>
      </c>
    </row>
    <row r="2083" spans="1:5" x14ac:dyDescent="0.25">
      <c r="A2083" s="41">
        <v>43552</v>
      </c>
      <c r="B2083" s="29">
        <v>222.79</v>
      </c>
      <c r="C2083" s="37">
        <f t="shared" si="70"/>
        <v>37.131666666666668</v>
      </c>
      <c r="D2083" s="37">
        <v>6.2750000000000004</v>
      </c>
      <c r="E2083" s="33">
        <f t="shared" si="71"/>
        <v>-1.4726693790907538E-2</v>
      </c>
    </row>
    <row r="2084" spans="1:5" x14ac:dyDescent="0.25">
      <c r="A2084" s="41">
        <v>43552</v>
      </c>
      <c r="B2084" s="29">
        <v>222.71</v>
      </c>
      <c r="C2084" s="37">
        <f t="shared" si="70"/>
        <v>37.118333333333332</v>
      </c>
      <c r="D2084" s="37">
        <v>6.2750000000000004</v>
      </c>
      <c r="E2084" s="33">
        <f t="shared" si="71"/>
        <v>-3.5908254409975352E-4</v>
      </c>
    </row>
    <row r="2085" spans="1:5" x14ac:dyDescent="0.25">
      <c r="A2085" s="41">
        <v>43552</v>
      </c>
      <c r="B2085" s="29">
        <v>223.44</v>
      </c>
      <c r="C2085" s="37">
        <f t="shared" si="70"/>
        <v>37.24</v>
      </c>
      <c r="D2085" s="37">
        <v>6.2750000000000004</v>
      </c>
      <c r="E2085" s="33">
        <f t="shared" si="71"/>
        <v>3.2778052175474371E-3</v>
      </c>
    </row>
    <row r="2086" spans="1:5" x14ac:dyDescent="0.25">
      <c r="A2086" s="41">
        <v>43552</v>
      </c>
      <c r="B2086" s="29">
        <v>223.5</v>
      </c>
      <c r="C2086" s="37">
        <f t="shared" si="70"/>
        <v>37.25</v>
      </c>
      <c r="D2086" s="37">
        <v>6.2750000000000004</v>
      </c>
      <c r="E2086" s="33">
        <f t="shared" si="71"/>
        <v>2.6852846401719601E-4</v>
      </c>
    </row>
    <row r="2087" spans="1:5" x14ac:dyDescent="0.25">
      <c r="A2087" s="41">
        <v>43552</v>
      </c>
      <c r="B2087" s="29">
        <v>222.17</v>
      </c>
      <c r="C2087" s="37">
        <f t="shared" si="70"/>
        <v>37.028333333333336</v>
      </c>
      <c r="D2087" s="37">
        <v>6.2750000000000004</v>
      </c>
      <c r="E2087" s="33">
        <f t="shared" si="71"/>
        <v>-5.9507829977629191E-3</v>
      </c>
    </row>
    <row r="2088" spans="1:5" x14ac:dyDescent="0.25">
      <c r="A2088" s="41">
        <v>43552</v>
      </c>
      <c r="B2088" s="29">
        <v>220.08</v>
      </c>
      <c r="C2088" s="37">
        <f t="shared" si="70"/>
        <v>36.68</v>
      </c>
      <c r="D2088" s="37">
        <v>6.2750000000000004</v>
      </c>
      <c r="E2088" s="33">
        <f t="shared" si="71"/>
        <v>-9.407210694513099E-3</v>
      </c>
    </row>
    <row r="2089" spans="1:5" x14ac:dyDescent="0.25">
      <c r="A2089" s="41">
        <v>43552</v>
      </c>
      <c r="B2089" s="29">
        <v>219.19</v>
      </c>
      <c r="C2089" s="37">
        <f t="shared" si="70"/>
        <v>36.531666666666666</v>
      </c>
      <c r="D2089" s="37">
        <v>6.2750000000000004</v>
      </c>
      <c r="E2089" s="33">
        <f t="shared" si="71"/>
        <v>-4.0439840058161336E-3</v>
      </c>
    </row>
    <row r="2090" spans="1:5" x14ac:dyDescent="0.25">
      <c r="A2090" s="41">
        <v>43553</v>
      </c>
      <c r="B2090" s="29">
        <v>218.62</v>
      </c>
      <c r="C2090" s="37">
        <f t="shared" si="70"/>
        <v>36.436666666666667</v>
      </c>
      <c r="D2090" s="37">
        <v>5.8730000000000002</v>
      </c>
      <c r="E2090" s="33">
        <f t="shared" si="71"/>
        <v>-2.6004835987042895E-3</v>
      </c>
    </row>
    <row r="2091" spans="1:5" x14ac:dyDescent="0.25">
      <c r="A2091" s="41">
        <v>43553</v>
      </c>
      <c r="B2091" s="29">
        <v>190.95</v>
      </c>
      <c r="C2091" s="37">
        <f t="shared" si="70"/>
        <v>31.824999999999999</v>
      </c>
      <c r="D2091" s="37">
        <v>5.8730000000000002</v>
      </c>
      <c r="E2091" s="33">
        <f t="shared" si="71"/>
        <v>-0.12656664532064776</v>
      </c>
    </row>
    <row r="2092" spans="1:5" x14ac:dyDescent="0.25">
      <c r="A2092" s="41">
        <v>43553</v>
      </c>
      <c r="B2092" s="29">
        <v>165.82</v>
      </c>
      <c r="C2092" s="37">
        <f t="shared" si="70"/>
        <v>27.636666666666667</v>
      </c>
      <c r="D2092" s="37">
        <v>5.8730000000000002</v>
      </c>
      <c r="E2092" s="33">
        <f t="shared" si="71"/>
        <v>-0.13160513223356898</v>
      </c>
    </row>
    <row r="2093" spans="1:5" x14ac:dyDescent="0.25">
      <c r="A2093" s="41">
        <v>43553</v>
      </c>
      <c r="B2093" s="29">
        <v>165.82</v>
      </c>
      <c r="C2093" s="37">
        <f t="shared" si="70"/>
        <v>27.636666666666667</v>
      </c>
      <c r="D2093" s="37">
        <v>5.8730000000000002</v>
      </c>
      <c r="E2093" s="33">
        <f t="shared" si="71"/>
        <v>0</v>
      </c>
    </row>
    <row r="2094" spans="1:5" x14ac:dyDescent="0.25">
      <c r="A2094" s="41">
        <v>43553</v>
      </c>
      <c r="B2094" s="29">
        <v>165.65</v>
      </c>
      <c r="C2094" s="37">
        <f t="shared" si="70"/>
        <v>27.608333333333334</v>
      </c>
      <c r="D2094" s="37">
        <v>5.8730000000000002</v>
      </c>
      <c r="E2094" s="33">
        <f t="shared" si="71"/>
        <v>-1.0252080569291249E-3</v>
      </c>
    </row>
    <row r="2095" spans="1:5" x14ac:dyDescent="0.25">
      <c r="A2095" s="41">
        <v>43553</v>
      </c>
      <c r="B2095" s="29">
        <v>186.2</v>
      </c>
      <c r="C2095" s="37">
        <f t="shared" si="70"/>
        <v>31.033333333333335</v>
      </c>
      <c r="D2095" s="37">
        <v>5.8730000000000002</v>
      </c>
      <c r="E2095" s="33">
        <f t="shared" si="71"/>
        <v>0.12405674615152419</v>
      </c>
    </row>
    <row r="2096" spans="1:5" x14ac:dyDescent="0.25">
      <c r="A2096" s="41">
        <v>43553</v>
      </c>
      <c r="B2096" s="29">
        <v>215.8</v>
      </c>
      <c r="C2096" s="37">
        <f t="shared" si="70"/>
        <v>35.966666666666669</v>
      </c>
      <c r="D2096" s="37">
        <v>5.8730000000000002</v>
      </c>
      <c r="E2096" s="33">
        <f t="shared" si="71"/>
        <v>0.15896885069817412</v>
      </c>
    </row>
    <row r="2097" spans="1:5" x14ac:dyDescent="0.25">
      <c r="A2097" s="41">
        <v>43553</v>
      </c>
      <c r="B2097" s="29">
        <v>220.85</v>
      </c>
      <c r="C2097" s="37">
        <f t="shared" si="70"/>
        <v>36.80833333333333</v>
      </c>
      <c r="D2097" s="37">
        <v>5.8730000000000002</v>
      </c>
      <c r="E2097" s="33">
        <f t="shared" si="71"/>
        <v>2.3401297497682959E-2</v>
      </c>
    </row>
    <row r="2098" spans="1:5" x14ac:dyDescent="0.25">
      <c r="A2098" s="41">
        <v>43553</v>
      </c>
      <c r="B2098" s="29">
        <v>222.92</v>
      </c>
      <c r="C2098" s="37">
        <f t="shared" si="70"/>
        <v>37.153333333333336</v>
      </c>
      <c r="D2098" s="37">
        <v>5.8730000000000002</v>
      </c>
      <c r="E2098" s="33">
        <f t="shared" si="71"/>
        <v>9.3728775186778055E-3</v>
      </c>
    </row>
    <row r="2099" spans="1:5" x14ac:dyDescent="0.25">
      <c r="A2099" s="41">
        <v>43553</v>
      </c>
      <c r="B2099" s="29">
        <v>226.24</v>
      </c>
      <c r="C2099" s="37">
        <f t="shared" si="70"/>
        <v>37.706666666666663</v>
      </c>
      <c r="D2099" s="37">
        <v>5.8730000000000002</v>
      </c>
      <c r="E2099" s="33">
        <f t="shared" si="71"/>
        <v>1.4893235241342282E-2</v>
      </c>
    </row>
    <row r="2100" spans="1:5" x14ac:dyDescent="0.25">
      <c r="A2100" s="41">
        <v>43553</v>
      </c>
      <c r="B2100" s="29">
        <v>228.33</v>
      </c>
      <c r="C2100" s="37">
        <f t="shared" si="70"/>
        <v>38.055</v>
      </c>
      <c r="D2100" s="37">
        <v>5.8730000000000002</v>
      </c>
      <c r="E2100" s="33">
        <f t="shared" si="71"/>
        <v>9.2379773691655034E-3</v>
      </c>
    </row>
    <row r="2101" spans="1:5" x14ac:dyDescent="0.25">
      <c r="A2101" s="41">
        <v>43553</v>
      </c>
      <c r="B2101" s="29">
        <v>228.34</v>
      </c>
      <c r="C2101" s="37">
        <f t="shared" si="70"/>
        <v>38.056666666666665</v>
      </c>
      <c r="D2101" s="37">
        <v>5.8730000000000002</v>
      </c>
      <c r="E2101" s="33">
        <f t="shared" si="71"/>
        <v>4.3796259799373297E-5</v>
      </c>
    </row>
    <row r="2102" spans="1:5" x14ac:dyDescent="0.25">
      <c r="A2102" s="41">
        <v>43553</v>
      </c>
      <c r="B2102" s="29">
        <v>227.05</v>
      </c>
      <c r="C2102" s="37">
        <f t="shared" si="70"/>
        <v>37.841666666666669</v>
      </c>
      <c r="D2102" s="37">
        <v>5.8730000000000002</v>
      </c>
      <c r="E2102" s="33">
        <f t="shared" si="71"/>
        <v>-5.6494700884645354E-3</v>
      </c>
    </row>
    <row r="2103" spans="1:5" x14ac:dyDescent="0.25">
      <c r="A2103" s="41">
        <v>43553</v>
      </c>
      <c r="B2103" s="29">
        <v>228.37</v>
      </c>
      <c r="C2103" s="37">
        <f t="shared" si="70"/>
        <v>38.061666666666667</v>
      </c>
      <c r="D2103" s="37">
        <v>5.8730000000000002</v>
      </c>
      <c r="E2103" s="33">
        <f t="shared" si="71"/>
        <v>5.8136974234749752E-3</v>
      </c>
    </row>
    <row r="2104" spans="1:5" x14ac:dyDescent="0.25">
      <c r="A2104" s="41">
        <v>43553</v>
      </c>
      <c r="B2104" s="29">
        <v>228.96</v>
      </c>
      <c r="C2104" s="37">
        <f t="shared" si="70"/>
        <v>38.159999999999997</v>
      </c>
      <c r="D2104" s="37">
        <v>5.8730000000000002</v>
      </c>
      <c r="E2104" s="33">
        <f t="shared" si="71"/>
        <v>2.5835267329334124E-3</v>
      </c>
    </row>
    <row r="2105" spans="1:5" x14ac:dyDescent="0.25">
      <c r="A2105" s="41">
        <v>43553</v>
      </c>
      <c r="B2105" s="29">
        <v>228.92</v>
      </c>
      <c r="C2105" s="37">
        <f t="shared" si="70"/>
        <v>38.153333333333336</v>
      </c>
      <c r="D2105" s="37">
        <v>5.8730000000000002</v>
      </c>
      <c r="E2105" s="33">
        <f t="shared" si="71"/>
        <v>-1.7470300489177352E-4</v>
      </c>
    </row>
    <row r="2106" spans="1:5" x14ac:dyDescent="0.25">
      <c r="A2106" s="41">
        <v>43553</v>
      </c>
      <c r="B2106" s="29">
        <v>228.37</v>
      </c>
      <c r="C2106" s="37">
        <f t="shared" si="70"/>
        <v>38.061666666666667</v>
      </c>
      <c r="D2106" s="37">
        <v>5.8730000000000002</v>
      </c>
      <c r="E2106" s="33">
        <f t="shared" si="71"/>
        <v>-2.4025860562641227E-3</v>
      </c>
    </row>
    <row r="2107" spans="1:5" x14ac:dyDescent="0.25">
      <c r="A2107" s="41">
        <v>43553</v>
      </c>
      <c r="B2107" s="29">
        <v>226.36</v>
      </c>
      <c r="C2107" s="37">
        <f t="shared" si="70"/>
        <v>37.726666666666667</v>
      </c>
      <c r="D2107" s="37">
        <v>5.8730000000000002</v>
      </c>
      <c r="E2107" s="33">
        <f t="shared" si="71"/>
        <v>-8.801506327451027E-3</v>
      </c>
    </row>
    <row r="2108" spans="1:5" x14ac:dyDescent="0.25">
      <c r="A2108" s="41">
        <v>43553</v>
      </c>
      <c r="B2108" s="29">
        <v>226.46</v>
      </c>
      <c r="C2108" s="37">
        <f t="shared" si="70"/>
        <v>37.743333333333332</v>
      </c>
      <c r="D2108" s="37">
        <v>5.8730000000000002</v>
      </c>
      <c r="E2108" s="33">
        <f t="shared" si="71"/>
        <v>4.4177416504680291E-4</v>
      </c>
    </row>
    <row r="2109" spans="1:5" x14ac:dyDescent="0.25">
      <c r="A2109" s="41">
        <v>43553</v>
      </c>
      <c r="B2109" s="29">
        <v>226.72</v>
      </c>
      <c r="C2109" s="37">
        <f t="shared" si="70"/>
        <v>37.786666666666669</v>
      </c>
      <c r="D2109" s="37">
        <v>5.8730000000000002</v>
      </c>
      <c r="E2109" s="33">
        <f t="shared" si="71"/>
        <v>1.1481056257175257E-3</v>
      </c>
    </row>
    <row r="2110" spans="1:5" x14ac:dyDescent="0.25">
      <c r="A2110" s="41">
        <v>43553</v>
      </c>
      <c r="B2110" s="29">
        <v>226.36</v>
      </c>
      <c r="C2110" s="37">
        <f t="shared" si="70"/>
        <v>37.726666666666667</v>
      </c>
      <c r="D2110" s="37">
        <v>5.8730000000000002</v>
      </c>
      <c r="E2110" s="33">
        <f t="shared" si="71"/>
        <v>-1.5878616796047337E-3</v>
      </c>
    </row>
    <row r="2111" spans="1:5" x14ac:dyDescent="0.25">
      <c r="A2111" s="41">
        <v>43553</v>
      </c>
      <c r="B2111" s="29">
        <v>222.17</v>
      </c>
      <c r="C2111" s="37">
        <f t="shared" si="70"/>
        <v>37.028333333333336</v>
      </c>
      <c r="D2111" s="37">
        <v>5.8730000000000002</v>
      </c>
      <c r="E2111" s="33">
        <f t="shared" si="71"/>
        <v>-1.8510337515462209E-2</v>
      </c>
    </row>
    <row r="2112" spans="1:5" x14ac:dyDescent="0.25">
      <c r="A2112" s="41">
        <v>43553</v>
      </c>
      <c r="B2112" s="29">
        <v>221.16</v>
      </c>
      <c r="C2112" s="37">
        <f t="shared" si="70"/>
        <v>36.86</v>
      </c>
      <c r="D2112" s="37">
        <v>5.8730000000000002</v>
      </c>
      <c r="E2112" s="33">
        <f t="shared" si="71"/>
        <v>-4.5460683260565822E-3</v>
      </c>
    </row>
    <row r="2113" spans="1:5" x14ac:dyDescent="0.25">
      <c r="A2113" s="41">
        <v>43553</v>
      </c>
      <c r="B2113" s="29">
        <v>216.14</v>
      </c>
      <c r="C2113" s="37">
        <f t="shared" si="70"/>
        <v>36.023333333333333</v>
      </c>
      <c r="D2113" s="37">
        <v>5.8730000000000002</v>
      </c>
      <c r="E2113" s="33">
        <f t="shared" si="71"/>
        <v>-2.2698498824380586E-2</v>
      </c>
    </row>
    <row r="2114" spans="1:5" x14ac:dyDescent="0.25">
      <c r="A2114" s="41">
        <v>43554</v>
      </c>
      <c r="B2114" s="29">
        <v>161.29</v>
      </c>
      <c r="C2114" s="37">
        <f t="shared" si="70"/>
        <v>26.881666666666668</v>
      </c>
      <c r="D2114" s="37">
        <v>5.4880000000000004</v>
      </c>
      <c r="E2114" s="33">
        <f t="shared" si="71"/>
        <v>-0.25377070417322106</v>
      </c>
    </row>
    <row r="2115" spans="1:5" x14ac:dyDescent="0.25">
      <c r="A2115" s="41">
        <v>43554</v>
      </c>
      <c r="B2115" s="29">
        <v>158.86000000000001</v>
      </c>
      <c r="C2115" s="37">
        <f t="shared" ref="C2115:C2178" si="72">(B2115*100/600)</f>
        <v>26.47666666666667</v>
      </c>
      <c r="D2115" s="37">
        <v>5.4880000000000004</v>
      </c>
      <c r="E2115" s="33">
        <f t="shared" si="71"/>
        <v>-1.5066030132060131E-2</v>
      </c>
    </row>
    <row r="2116" spans="1:5" x14ac:dyDescent="0.25">
      <c r="A2116" s="41">
        <v>43554</v>
      </c>
      <c r="B2116" s="29">
        <v>154.19999999999999</v>
      </c>
      <c r="C2116" s="37">
        <f t="shared" si="72"/>
        <v>25.699999999999996</v>
      </c>
      <c r="D2116" s="37">
        <v>5.4880000000000004</v>
      </c>
      <c r="E2116" s="33">
        <f t="shared" ref="E2116:E2179" si="73">(B2116-B2115)/B2115</f>
        <v>-2.9334004784086772E-2</v>
      </c>
    </row>
    <row r="2117" spans="1:5" x14ac:dyDescent="0.25">
      <c r="A2117" s="41">
        <v>43554</v>
      </c>
      <c r="B2117" s="29">
        <v>152.94999999999999</v>
      </c>
      <c r="C2117" s="37">
        <f t="shared" si="72"/>
        <v>25.491666666666664</v>
      </c>
      <c r="D2117" s="37">
        <v>5.4880000000000004</v>
      </c>
      <c r="E2117" s="33">
        <f t="shared" si="73"/>
        <v>-8.1063553826199748E-3</v>
      </c>
    </row>
    <row r="2118" spans="1:5" x14ac:dyDescent="0.25">
      <c r="A2118" s="41">
        <v>43554</v>
      </c>
      <c r="B2118" s="29">
        <v>152.18</v>
      </c>
      <c r="C2118" s="37">
        <f t="shared" si="72"/>
        <v>25.363333333333333</v>
      </c>
      <c r="D2118" s="37">
        <v>5.4880000000000004</v>
      </c>
      <c r="E2118" s="33">
        <f t="shared" si="73"/>
        <v>-5.0343249427916431E-3</v>
      </c>
    </row>
    <row r="2119" spans="1:5" x14ac:dyDescent="0.25">
      <c r="A2119" s="41">
        <v>43554</v>
      </c>
      <c r="B2119" s="29">
        <v>152.94</v>
      </c>
      <c r="C2119" s="37">
        <f t="shared" si="72"/>
        <v>25.49</v>
      </c>
      <c r="D2119" s="37">
        <v>5.4880000000000004</v>
      </c>
      <c r="E2119" s="33">
        <f t="shared" si="73"/>
        <v>4.9940859508476208E-3</v>
      </c>
    </row>
    <row r="2120" spans="1:5" x14ac:dyDescent="0.25">
      <c r="A2120" s="41">
        <v>43554</v>
      </c>
      <c r="B2120" s="29">
        <v>140.52000000000001</v>
      </c>
      <c r="C2120" s="37">
        <f t="shared" si="72"/>
        <v>23.42</v>
      </c>
      <c r="D2120" s="37">
        <v>5.4880000000000004</v>
      </c>
      <c r="E2120" s="33">
        <f t="shared" si="73"/>
        <v>-8.1208316987053664E-2</v>
      </c>
    </row>
    <row r="2121" spans="1:5" x14ac:dyDescent="0.25">
      <c r="A2121" s="41">
        <v>43554</v>
      </c>
      <c r="B2121" s="29">
        <v>153.65</v>
      </c>
      <c r="C2121" s="37">
        <f t="shared" si="72"/>
        <v>25.608333333333334</v>
      </c>
      <c r="D2121" s="37">
        <v>5.4880000000000004</v>
      </c>
      <c r="E2121" s="33">
        <f t="shared" si="73"/>
        <v>9.3438656419015054E-2</v>
      </c>
    </row>
    <row r="2122" spans="1:5" x14ac:dyDescent="0.25">
      <c r="A2122" s="41">
        <v>43554</v>
      </c>
      <c r="B2122" s="29">
        <v>161.07</v>
      </c>
      <c r="C2122" s="37">
        <f t="shared" si="72"/>
        <v>26.844999999999999</v>
      </c>
      <c r="D2122" s="37">
        <v>5.4880000000000004</v>
      </c>
      <c r="E2122" s="33">
        <f t="shared" si="73"/>
        <v>4.8291571753986247E-2</v>
      </c>
    </row>
    <row r="2123" spans="1:5" x14ac:dyDescent="0.25">
      <c r="A2123" s="41">
        <v>43554</v>
      </c>
      <c r="B2123" s="29">
        <v>161.53</v>
      </c>
      <c r="C2123" s="37">
        <f t="shared" si="72"/>
        <v>26.921666666666667</v>
      </c>
      <c r="D2123" s="37">
        <v>5.4880000000000004</v>
      </c>
      <c r="E2123" s="33">
        <f t="shared" si="73"/>
        <v>2.8559011609859564E-3</v>
      </c>
    </row>
    <row r="2124" spans="1:5" x14ac:dyDescent="0.25">
      <c r="A2124" s="41">
        <v>43554</v>
      </c>
      <c r="B2124" s="29">
        <v>162.27000000000001</v>
      </c>
      <c r="C2124" s="37">
        <f t="shared" si="72"/>
        <v>27.045000000000002</v>
      </c>
      <c r="D2124" s="37">
        <v>5.4880000000000004</v>
      </c>
      <c r="E2124" s="33">
        <f t="shared" si="73"/>
        <v>4.581192348170675E-3</v>
      </c>
    </row>
    <row r="2125" spans="1:5" x14ac:dyDescent="0.25">
      <c r="A2125" s="41">
        <v>43554</v>
      </c>
      <c r="B2125" s="29">
        <v>162.41</v>
      </c>
      <c r="C2125" s="37">
        <f t="shared" si="72"/>
        <v>27.068333333333332</v>
      </c>
      <c r="D2125" s="37">
        <v>5.4880000000000004</v>
      </c>
      <c r="E2125" s="33">
        <f t="shared" si="73"/>
        <v>8.6275959820044583E-4</v>
      </c>
    </row>
    <row r="2126" spans="1:5" x14ac:dyDescent="0.25">
      <c r="A2126" s="41">
        <v>43554</v>
      </c>
      <c r="B2126" s="29">
        <v>162.47999999999999</v>
      </c>
      <c r="C2126" s="37">
        <f t="shared" si="72"/>
        <v>27.08</v>
      </c>
      <c r="D2126" s="37">
        <v>5.4880000000000004</v>
      </c>
      <c r="E2126" s="33">
        <f t="shared" si="73"/>
        <v>4.3100794286061929E-4</v>
      </c>
    </row>
    <row r="2127" spans="1:5" x14ac:dyDescent="0.25">
      <c r="A2127" s="41">
        <v>43554</v>
      </c>
      <c r="B2127" s="29">
        <v>162.22999999999999</v>
      </c>
      <c r="C2127" s="37">
        <f t="shared" si="72"/>
        <v>27.03833333333333</v>
      </c>
      <c r="D2127" s="37">
        <v>5.4880000000000004</v>
      </c>
      <c r="E2127" s="33">
        <f t="shared" si="73"/>
        <v>-1.5386509108813392E-3</v>
      </c>
    </row>
    <row r="2128" spans="1:5" x14ac:dyDescent="0.25">
      <c r="A2128" s="41">
        <v>43554</v>
      </c>
      <c r="B2128" s="29">
        <v>162.22999999999999</v>
      </c>
      <c r="C2128" s="37">
        <f t="shared" si="72"/>
        <v>27.03833333333333</v>
      </c>
      <c r="D2128" s="37">
        <v>5.4880000000000004</v>
      </c>
      <c r="E2128" s="33">
        <f t="shared" si="73"/>
        <v>0</v>
      </c>
    </row>
    <row r="2129" spans="1:5" x14ac:dyDescent="0.25">
      <c r="A2129" s="41">
        <v>43554</v>
      </c>
      <c r="B2129" s="29">
        <v>162.27000000000001</v>
      </c>
      <c r="C2129" s="37">
        <f t="shared" si="72"/>
        <v>27.045000000000002</v>
      </c>
      <c r="D2129" s="37">
        <v>5.4880000000000004</v>
      </c>
      <c r="E2129" s="33">
        <f t="shared" si="73"/>
        <v>2.4656352092720501E-4</v>
      </c>
    </row>
    <row r="2130" spans="1:5" x14ac:dyDescent="0.25">
      <c r="A2130" s="41">
        <v>43554</v>
      </c>
      <c r="B2130" s="29">
        <v>162.44</v>
      </c>
      <c r="C2130" s="37">
        <f t="shared" si="72"/>
        <v>27.073333333333334</v>
      </c>
      <c r="D2130" s="37">
        <v>5.4880000000000004</v>
      </c>
      <c r="E2130" s="33">
        <f t="shared" si="73"/>
        <v>1.0476366549577092E-3</v>
      </c>
    </row>
    <row r="2131" spans="1:5" x14ac:dyDescent="0.25">
      <c r="A2131" s="41">
        <v>43554</v>
      </c>
      <c r="B2131" s="29">
        <v>164.1</v>
      </c>
      <c r="C2131" s="37">
        <f t="shared" si="72"/>
        <v>27.35</v>
      </c>
      <c r="D2131" s="37">
        <v>5.4880000000000004</v>
      </c>
      <c r="E2131" s="33">
        <f t="shared" si="73"/>
        <v>1.0219157842895817E-2</v>
      </c>
    </row>
    <row r="2132" spans="1:5" x14ac:dyDescent="0.25">
      <c r="A2132" s="41">
        <v>43554</v>
      </c>
      <c r="B2132" s="29">
        <v>205.89</v>
      </c>
      <c r="C2132" s="37">
        <f t="shared" si="72"/>
        <v>34.314999999999998</v>
      </c>
      <c r="D2132" s="37">
        <v>5.4880000000000004</v>
      </c>
      <c r="E2132" s="33">
        <f t="shared" si="73"/>
        <v>0.25466179159049357</v>
      </c>
    </row>
    <row r="2133" spans="1:5" x14ac:dyDescent="0.25">
      <c r="A2133" s="41">
        <v>43554</v>
      </c>
      <c r="B2133" s="29">
        <v>209.06</v>
      </c>
      <c r="C2133" s="37">
        <f t="shared" si="72"/>
        <v>34.843333333333334</v>
      </c>
      <c r="D2133" s="37">
        <v>5.4880000000000004</v>
      </c>
      <c r="E2133" s="33">
        <f t="shared" si="73"/>
        <v>1.5396570984506369E-2</v>
      </c>
    </row>
    <row r="2134" spans="1:5" x14ac:dyDescent="0.25">
      <c r="A2134" s="41">
        <v>43554</v>
      </c>
      <c r="B2134" s="29">
        <v>206.02</v>
      </c>
      <c r="C2134" s="37">
        <f t="shared" si="72"/>
        <v>34.336666666666666</v>
      </c>
      <c r="D2134" s="37">
        <v>5.4880000000000004</v>
      </c>
      <c r="E2134" s="33">
        <f t="shared" si="73"/>
        <v>-1.4541280015306572E-2</v>
      </c>
    </row>
    <row r="2135" spans="1:5" x14ac:dyDescent="0.25">
      <c r="A2135" s="41">
        <v>43554</v>
      </c>
      <c r="B2135" s="29">
        <v>180.95</v>
      </c>
      <c r="C2135" s="37">
        <f t="shared" si="72"/>
        <v>30.158333333333335</v>
      </c>
      <c r="D2135" s="37">
        <v>5.4880000000000004</v>
      </c>
      <c r="E2135" s="33">
        <f t="shared" si="73"/>
        <v>-0.12168721483351141</v>
      </c>
    </row>
    <row r="2136" spans="1:5" x14ac:dyDescent="0.25">
      <c r="A2136" s="41">
        <v>43554</v>
      </c>
      <c r="B2136" s="29">
        <v>160.6</v>
      </c>
      <c r="C2136" s="37">
        <f t="shared" si="72"/>
        <v>26.766666666666666</v>
      </c>
      <c r="D2136" s="37">
        <v>5.4880000000000004</v>
      </c>
      <c r="E2136" s="33">
        <f t="shared" si="73"/>
        <v>-0.11246200607902733</v>
      </c>
    </row>
    <row r="2137" spans="1:5" x14ac:dyDescent="0.25">
      <c r="A2137" s="41">
        <v>43554</v>
      </c>
      <c r="B2137" s="29">
        <v>160.57</v>
      </c>
      <c r="C2137" s="37">
        <f t="shared" si="72"/>
        <v>26.761666666666667</v>
      </c>
      <c r="D2137" s="37">
        <v>5.4880000000000004</v>
      </c>
      <c r="E2137" s="33">
        <f t="shared" si="73"/>
        <v>-1.867995018680021E-4</v>
      </c>
    </row>
    <row r="2138" spans="1:5" x14ac:dyDescent="0.25">
      <c r="A2138" s="41">
        <v>43555</v>
      </c>
      <c r="B2138" s="29">
        <v>95</v>
      </c>
      <c r="C2138" s="37">
        <f t="shared" si="72"/>
        <v>15.833333333333334</v>
      </c>
      <c r="D2138" s="37">
        <v>5.133</v>
      </c>
      <c r="E2138" s="33">
        <f t="shared" si="73"/>
        <v>-0.40835772560254091</v>
      </c>
    </row>
    <row r="2139" spans="1:5" x14ac:dyDescent="0.25">
      <c r="A2139" s="41">
        <v>43555</v>
      </c>
      <c r="B2139" s="29">
        <v>91.73</v>
      </c>
      <c r="C2139" s="37">
        <f t="shared" si="72"/>
        <v>15.288333333333334</v>
      </c>
      <c r="D2139" s="37">
        <v>5.133</v>
      </c>
      <c r="E2139" s="33">
        <f t="shared" si="73"/>
        <v>-3.4421052631578908E-2</v>
      </c>
    </row>
    <row r="2140" spans="1:5" x14ac:dyDescent="0.25">
      <c r="A2140" s="41">
        <v>43555</v>
      </c>
      <c r="B2140" s="29">
        <v>72.400000000000006</v>
      </c>
      <c r="C2140" s="37">
        <f t="shared" si="72"/>
        <v>12.066666666666668</v>
      </c>
      <c r="D2140" s="37">
        <v>5.133</v>
      </c>
      <c r="E2140" s="33">
        <f t="shared" si="73"/>
        <v>-0.21072713398015913</v>
      </c>
    </row>
    <row r="2141" spans="1:5" x14ac:dyDescent="0.25">
      <c r="A2141" s="41">
        <v>43555</v>
      </c>
      <c r="B2141" s="29">
        <v>49.37</v>
      </c>
      <c r="C2141" s="37">
        <f t="shared" si="72"/>
        <v>8.2283333333333335</v>
      </c>
      <c r="D2141" s="37">
        <v>5.133</v>
      </c>
      <c r="E2141" s="33">
        <f t="shared" si="73"/>
        <v>-0.31809392265193381</v>
      </c>
    </row>
    <row r="2142" spans="1:5" x14ac:dyDescent="0.25">
      <c r="A2142" s="41">
        <v>43555</v>
      </c>
      <c r="B2142" s="29">
        <v>44.01</v>
      </c>
      <c r="C2142" s="37">
        <f t="shared" si="72"/>
        <v>7.335</v>
      </c>
      <c r="D2142" s="37">
        <v>5.133</v>
      </c>
      <c r="E2142" s="33">
        <f t="shared" si="73"/>
        <v>-0.10856795624873404</v>
      </c>
    </row>
    <row r="2143" spans="1:5" x14ac:dyDescent="0.25">
      <c r="A2143" s="41">
        <v>43555</v>
      </c>
      <c r="B2143" s="29">
        <v>42.35</v>
      </c>
      <c r="C2143" s="37">
        <f t="shared" si="72"/>
        <v>7.0583333333333336</v>
      </c>
      <c r="D2143" s="37">
        <v>5.133</v>
      </c>
      <c r="E2143" s="33">
        <f t="shared" si="73"/>
        <v>-3.7718700295387333E-2</v>
      </c>
    </row>
    <row r="2144" spans="1:5" x14ac:dyDescent="0.25">
      <c r="A2144" s="41">
        <v>43555</v>
      </c>
      <c r="B2144" s="29">
        <v>42.35</v>
      </c>
      <c r="C2144" s="37">
        <f t="shared" si="72"/>
        <v>7.0583333333333336</v>
      </c>
      <c r="D2144" s="37">
        <v>5.133</v>
      </c>
      <c r="E2144" s="33">
        <f t="shared" si="73"/>
        <v>0</v>
      </c>
    </row>
    <row r="2145" spans="1:5" x14ac:dyDescent="0.25">
      <c r="A2145" s="41">
        <v>43555</v>
      </c>
      <c r="B2145" s="29">
        <v>42.35</v>
      </c>
      <c r="C2145" s="37">
        <f t="shared" si="72"/>
        <v>7.0583333333333336</v>
      </c>
      <c r="D2145" s="37">
        <v>5.133</v>
      </c>
      <c r="E2145" s="33">
        <f t="shared" si="73"/>
        <v>0</v>
      </c>
    </row>
    <row r="2146" spans="1:5" x14ac:dyDescent="0.25">
      <c r="A2146" s="41">
        <v>43555</v>
      </c>
      <c r="B2146" s="29">
        <v>51.62</v>
      </c>
      <c r="C2146" s="37">
        <f t="shared" si="72"/>
        <v>8.6033333333333335</v>
      </c>
      <c r="D2146" s="37">
        <v>5.133</v>
      </c>
      <c r="E2146" s="33">
        <f t="shared" si="73"/>
        <v>0.21889020070838242</v>
      </c>
    </row>
    <row r="2147" spans="1:5" x14ac:dyDescent="0.25">
      <c r="A2147" s="41">
        <v>43555</v>
      </c>
      <c r="B2147" s="29">
        <v>91.95</v>
      </c>
      <c r="C2147" s="37">
        <f t="shared" si="72"/>
        <v>15.324999999999999</v>
      </c>
      <c r="D2147" s="37">
        <v>5.133</v>
      </c>
      <c r="E2147" s="33">
        <f t="shared" si="73"/>
        <v>0.78128632313056967</v>
      </c>
    </row>
    <row r="2148" spans="1:5" x14ac:dyDescent="0.25">
      <c r="A2148" s="41">
        <v>43555</v>
      </c>
      <c r="B2148" s="29">
        <v>94.81</v>
      </c>
      <c r="C2148" s="37">
        <f t="shared" si="72"/>
        <v>15.801666666666666</v>
      </c>
      <c r="D2148" s="37">
        <v>5.133</v>
      </c>
      <c r="E2148" s="33">
        <f t="shared" si="73"/>
        <v>3.1103860793909727E-2</v>
      </c>
    </row>
    <row r="2149" spans="1:5" x14ac:dyDescent="0.25">
      <c r="A2149" s="41">
        <v>43555</v>
      </c>
      <c r="B2149" s="29">
        <v>94.82</v>
      </c>
      <c r="C2149" s="37">
        <f t="shared" si="72"/>
        <v>15.803333333333333</v>
      </c>
      <c r="D2149" s="37">
        <v>5.133</v>
      </c>
      <c r="E2149" s="33">
        <f t="shared" si="73"/>
        <v>1.0547410610685482E-4</v>
      </c>
    </row>
    <row r="2150" spans="1:5" x14ac:dyDescent="0.25">
      <c r="A2150" s="41">
        <v>43555</v>
      </c>
      <c r="B2150" s="29">
        <v>94.81</v>
      </c>
      <c r="C2150" s="37">
        <f t="shared" si="72"/>
        <v>15.801666666666666</v>
      </c>
      <c r="D2150" s="37">
        <v>5.133</v>
      </c>
      <c r="E2150" s="33">
        <f t="shared" si="73"/>
        <v>-1.05462982493049E-4</v>
      </c>
    </row>
    <row r="2151" spans="1:5" x14ac:dyDescent="0.25">
      <c r="A2151" s="41">
        <v>43555</v>
      </c>
      <c r="B2151" s="29">
        <v>94.79</v>
      </c>
      <c r="C2151" s="37">
        <f t="shared" si="72"/>
        <v>15.798333333333334</v>
      </c>
      <c r="D2151" s="37">
        <v>5.133</v>
      </c>
      <c r="E2151" s="33">
        <f t="shared" si="73"/>
        <v>-2.1094821221385952E-4</v>
      </c>
    </row>
    <row r="2152" spans="1:5" x14ac:dyDescent="0.25">
      <c r="A2152" s="41">
        <v>43555</v>
      </c>
      <c r="B2152" s="29">
        <v>94.77</v>
      </c>
      <c r="C2152" s="37">
        <f t="shared" si="72"/>
        <v>15.795</v>
      </c>
      <c r="D2152" s="37">
        <v>5.133</v>
      </c>
      <c r="E2152" s="33">
        <f t="shared" si="73"/>
        <v>-2.1099272075124202E-4</v>
      </c>
    </row>
    <row r="2153" spans="1:5" x14ac:dyDescent="0.25">
      <c r="A2153" s="41">
        <v>43555</v>
      </c>
      <c r="B2153" s="29">
        <v>94.76</v>
      </c>
      <c r="C2153" s="37">
        <f t="shared" si="72"/>
        <v>15.793333333333333</v>
      </c>
      <c r="D2153" s="37">
        <v>5.133</v>
      </c>
      <c r="E2153" s="33">
        <f t="shared" si="73"/>
        <v>-1.0551862403704659E-4</v>
      </c>
    </row>
    <row r="2154" spans="1:5" x14ac:dyDescent="0.25">
      <c r="A2154" s="41">
        <v>43555</v>
      </c>
      <c r="B2154" s="29">
        <v>94.74</v>
      </c>
      <c r="C2154" s="37">
        <f t="shared" si="72"/>
        <v>15.79</v>
      </c>
      <c r="D2154" s="37">
        <v>5.133</v>
      </c>
      <c r="E2154" s="33">
        <f t="shared" si="73"/>
        <v>-2.1105951878440512E-4</v>
      </c>
    </row>
    <row r="2155" spans="1:5" x14ac:dyDescent="0.25">
      <c r="A2155" s="41">
        <v>43555</v>
      </c>
      <c r="B2155" s="29">
        <v>94.8</v>
      </c>
      <c r="C2155" s="37">
        <f t="shared" si="72"/>
        <v>15.8</v>
      </c>
      <c r="D2155" s="37">
        <v>5.133</v>
      </c>
      <c r="E2155" s="33">
        <f t="shared" si="73"/>
        <v>6.3331222292592655E-4</v>
      </c>
    </row>
    <row r="2156" spans="1:5" x14ac:dyDescent="0.25">
      <c r="A2156" s="41">
        <v>43555</v>
      </c>
      <c r="B2156" s="29">
        <v>103.15</v>
      </c>
      <c r="C2156" s="37">
        <f t="shared" si="72"/>
        <v>17.191666666666666</v>
      </c>
      <c r="D2156" s="37">
        <v>5.133</v>
      </c>
      <c r="E2156" s="33">
        <f t="shared" si="73"/>
        <v>8.8080168776371398E-2</v>
      </c>
    </row>
    <row r="2157" spans="1:5" x14ac:dyDescent="0.25">
      <c r="A2157" s="41">
        <v>43555</v>
      </c>
      <c r="B2157" s="29">
        <v>108.5</v>
      </c>
      <c r="C2157" s="37">
        <f t="shared" si="72"/>
        <v>18.083333333333332</v>
      </c>
      <c r="D2157" s="37">
        <v>5.133</v>
      </c>
      <c r="E2157" s="33">
        <f t="shared" si="73"/>
        <v>5.1866214251090587E-2</v>
      </c>
    </row>
    <row r="2158" spans="1:5" x14ac:dyDescent="0.25">
      <c r="A2158" s="41">
        <v>43555</v>
      </c>
      <c r="B2158" s="29">
        <v>108.47</v>
      </c>
      <c r="C2158" s="37">
        <f t="shared" si="72"/>
        <v>18.078333333333333</v>
      </c>
      <c r="D2158" s="37">
        <v>5.133</v>
      </c>
      <c r="E2158" s="33">
        <f t="shared" si="73"/>
        <v>-2.7649769585254502E-4</v>
      </c>
    </row>
    <row r="2159" spans="1:5" x14ac:dyDescent="0.25">
      <c r="A2159" s="41">
        <v>43555</v>
      </c>
      <c r="B2159" s="29">
        <v>108.44</v>
      </c>
      <c r="C2159" s="37">
        <f t="shared" si="72"/>
        <v>18.073333333333334</v>
      </c>
      <c r="D2159" s="37">
        <v>5.133</v>
      </c>
      <c r="E2159" s="33">
        <f t="shared" si="73"/>
        <v>-2.7657416797272186E-4</v>
      </c>
    </row>
    <row r="2160" spans="1:5" x14ac:dyDescent="0.25">
      <c r="A2160" s="41">
        <v>43555</v>
      </c>
      <c r="B2160" s="29">
        <v>108.41</v>
      </c>
      <c r="C2160" s="37">
        <f t="shared" si="72"/>
        <v>18.068333333333332</v>
      </c>
      <c r="D2160" s="37">
        <v>5.133</v>
      </c>
      <c r="E2160" s="33">
        <f t="shared" si="73"/>
        <v>-2.766506824050271E-4</v>
      </c>
    </row>
    <row r="2161" spans="1:5" x14ac:dyDescent="0.25">
      <c r="A2161" s="41">
        <v>43555</v>
      </c>
      <c r="B2161" s="29">
        <v>105.59</v>
      </c>
      <c r="C2161" s="37">
        <f t="shared" si="72"/>
        <v>17.598333333333333</v>
      </c>
      <c r="D2161" s="37">
        <v>5.133</v>
      </c>
      <c r="E2161" s="33">
        <f t="shared" si="73"/>
        <v>-2.6012360483350181E-2</v>
      </c>
    </row>
    <row r="2162" spans="1:5" x14ac:dyDescent="0.25">
      <c r="A2162" s="41">
        <v>43556</v>
      </c>
      <c r="B2162" s="29">
        <v>209.8</v>
      </c>
      <c r="C2162" s="37">
        <f t="shared" si="72"/>
        <v>34.966666666666669</v>
      </c>
      <c r="D2162" s="37">
        <v>4.8410000000000002</v>
      </c>
      <c r="E2162" s="33">
        <f t="shared" si="73"/>
        <v>0.98693058054740035</v>
      </c>
    </row>
    <row r="2163" spans="1:5" x14ac:dyDescent="0.25">
      <c r="A2163" s="41">
        <v>43556</v>
      </c>
      <c r="B2163" s="29">
        <v>208.24</v>
      </c>
      <c r="C2163" s="37">
        <f t="shared" si="72"/>
        <v>34.706666666666663</v>
      </c>
      <c r="D2163" s="37">
        <v>4.8410000000000002</v>
      </c>
      <c r="E2163" s="33">
        <f t="shared" si="73"/>
        <v>-7.4356530028598768E-3</v>
      </c>
    </row>
    <row r="2164" spans="1:5" x14ac:dyDescent="0.25">
      <c r="A2164" s="41">
        <v>43556</v>
      </c>
      <c r="B2164" s="29">
        <v>203.87</v>
      </c>
      <c r="C2164" s="37">
        <f t="shared" si="72"/>
        <v>33.978333333333332</v>
      </c>
      <c r="D2164" s="37">
        <v>4.8410000000000002</v>
      </c>
      <c r="E2164" s="33">
        <f t="shared" si="73"/>
        <v>-2.0985401459854034E-2</v>
      </c>
    </row>
    <row r="2165" spans="1:5" x14ac:dyDescent="0.25">
      <c r="A2165" s="41">
        <v>43556</v>
      </c>
      <c r="B2165" s="29">
        <v>203.41</v>
      </c>
      <c r="C2165" s="37">
        <f t="shared" si="72"/>
        <v>33.901666666666664</v>
      </c>
      <c r="D2165" s="37">
        <v>4.8410000000000002</v>
      </c>
      <c r="E2165" s="33">
        <f t="shared" si="73"/>
        <v>-2.2563398243979397E-3</v>
      </c>
    </row>
    <row r="2166" spans="1:5" x14ac:dyDescent="0.25">
      <c r="A2166" s="41">
        <v>43556</v>
      </c>
      <c r="B2166" s="29">
        <v>204.03</v>
      </c>
      <c r="C2166" s="37">
        <f t="shared" si="72"/>
        <v>34.005000000000003</v>
      </c>
      <c r="D2166" s="37">
        <v>4.8410000000000002</v>
      </c>
      <c r="E2166" s="33">
        <f t="shared" si="73"/>
        <v>3.0480310702522225E-3</v>
      </c>
    </row>
    <row r="2167" spans="1:5" x14ac:dyDescent="0.25">
      <c r="A2167" s="41">
        <v>43556</v>
      </c>
      <c r="B2167" s="29">
        <v>209.51</v>
      </c>
      <c r="C2167" s="37">
        <f t="shared" si="72"/>
        <v>34.918333333333337</v>
      </c>
      <c r="D2167" s="37">
        <v>4.8410000000000002</v>
      </c>
      <c r="E2167" s="33">
        <f t="shared" si="73"/>
        <v>2.6858795275204576E-2</v>
      </c>
    </row>
    <row r="2168" spans="1:5" x14ac:dyDescent="0.25">
      <c r="A2168" s="41">
        <v>43556</v>
      </c>
      <c r="B2168" s="29">
        <v>210.67</v>
      </c>
      <c r="C2168" s="37">
        <f t="shared" si="72"/>
        <v>35.111666666666665</v>
      </c>
      <c r="D2168" s="37">
        <v>4.8410000000000002</v>
      </c>
      <c r="E2168" s="33">
        <f t="shared" si="73"/>
        <v>5.5367285571094301E-3</v>
      </c>
    </row>
    <row r="2169" spans="1:5" x14ac:dyDescent="0.25">
      <c r="A2169" s="41">
        <v>43556</v>
      </c>
      <c r="B2169" s="29">
        <v>212.67</v>
      </c>
      <c r="C2169" s="37">
        <f t="shared" si="72"/>
        <v>35.445</v>
      </c>
      <c r="D2169" s="37">
        <v>4.8410000000000002</v>
      </c>
      <c r="E2169" s="33">
        <f t="shared" si="73"/>
        <v>9.4935206721412646E-3</v>
      </c>
    </row>
    <row r="2170" spans="1:5" x14ac:dyDescent="0.25">
      <c r="A2170" s="41">
        <v>43556</v>
      </c>
      <c r="B2170" s="29">
        <v>213.96</v>
      </c>
      <c r="C2170" s="37">
        <f t="shared" si="72"/>
        <v>35.659999999999997</v>
      </c>
      <c r="D2170" s="37">
        <v>4.8410000000000002</v>
      </c>
      <c r="E2170" s="33">
        <f t="shared" si="73"/>
        <v>6.0657356467767928E-3</v>
      </c>
    </row>
    <row r="2171" spans="1:5" x14ac:dyDescent="0.25">
      <c r="A2171" s="41">
        <v>43556</v>
      </c>
      <c r="B2171" s="29">
        <v>214.83</v>
      </c>
      <c r="C2171" s="37">
        <f t="shared" si="72"/>
        <v>35.805</v>
      </c>
      <c r="D2171" s="37">
        <v>4.8410000000000002</v>
      </c>
      <c r="E2171" s="33">
        <f t="shared" si="73"/>
        <v>4.0661805945036667E-3</v>
      </c>
    </row>
    <row r="2172" spans="1:5" x14ac:dyDescent="0.25">
      <c r="A2172" s="41">
        <v>43556</v>
      </c>
      <c r="B2172" s="29">
        <v>215.12</v>
      </c>
      <c r="C2172" s="37">
        <f t="shared" si="72"/>
        <v>35.853333333333332</v>
      </c>
      <c r="D2172" s="37">
        <v>4.8410000000000002</v>
      </c>
      <c r="E2172" s="33">
        <f t="shared" si="73"/>
        <v>1.3499045757109902E-3</v>
      </c>
    </row>
    <row r="2173" spans="1:5" x14ac:dyDescent="0.25">
      <c r="A2173" s="41">
        <v>43556</v>
      </c>
      <c r="B2173" s="29">
        <v>215.2</v>
      </c>
      <c r="C2173" s="37">
        <f t="shared" si="72"/>
        <v>35.866666666666667</v>
      </c>
      <c r="D2173" s="37">
        <v>4.8410000000000002</v>
      </c>
      <c r="E2173" s="33">
        <f t="shared" si="73"/>
        <v>3.718854592784682E-4</v>
      </c>
    </row>
    <row r="2174" spans="1:5" x14ac:dyDescent="0.25">
      <c r="A2174" s="41">
        <v>43556</v>
      </c>
      <c r="B2174" s="29">
        <v>214.91</v>
      </c>
      <c r="C2174" s="37">
        <f t="shared" si="72"/>
        <v>35.818333333333335</v>
      </c>
      <c r="D2174" s="37">
        <v>4.8410000000000002</v>
      </c>
      <c r="E2174" s="33">
        <f t="shared" si="73"/>
        <v>-1.3475836431226396E-3</v>
      </c>
    </row>
    <row r="2175" spans="1:5" x14ac:dyDescent="0.25">
      <c r="A2175" s="41">
        <v>43556</v>
      </c>
      <c r="B2175" s="29">
        <v>215.13</v>
      </c>
      <c r="C2175" s="37">
        <f t="shared" si="72"/>
        <v>35.854999999999997</v>
      </c>
      <c r="D2175" s="37">
        <v>4.8410000000000002</v>
      </c>
      <c r="E2175" s="33">
        <f t="shared" si="73"/>
        <v>1.0236843329765896E-3</v>
      </c>
    </row>
    <row r="2176" spans="1:5" x14ac:dyDescent="0.25">
      <c r="A2176" s="41">
        <v>43556</v>
      </c>
      <c r="B2176" s="29">
        <v>215.09</v>
      </c>
      <c r="C2176" s="37">
        <f t="shared" si="72"/>
        <v>35.848333333333336</v>
      </c>
      <c r="D2176" s="37">
        <v>4.8410000000000002</v>
      </c>
      <c r="E2176" s="33">
        <f t="shared" si="73"/>
        <v>-1.8593408636634613E-4</v>
      </c>
    </row>
    <row r="2177" spans="1:5" x14ac:dyDescent="0.25">
      <c r="A2177" s="41">
        <v>43556</v>
      </c>
      <c r="B2177" s="29">
        <v>215.05</v>
      </c>
      <c r="C2177" s="37">
        <f t="shared" si="72"/>
        <v>35.841666666666669</v>
      </c>
      <c r="D2177" s="37">
        <v>4.8410000000000002</v>
      </c>
      <c r="E2177" s="33">
        <f t="shared" si="73"/>
        <v>-1.8596866428003181E-4</v>
      </c>
    </row>
    <row r="2178" spans="1:5" x14ac:dyDescent="0.25">
      <c r="A2178" s="41">
        <v>43556</v>
      </c>
      <c r="B2178" s="29">
        <v>215.02</v>
      </c>
      <c r="C2178" s="37">
        <f t="shared" si="72"/>
        <v>35.836666666666666</v>
      </c>
      <c r="D2178" s="37">
        <v>4.8410000000000002</v>
      </c>
      <c r="E2178" s="33">
        <f t="shared" si="73"/>
        <v>-1.395024412927279E-4</v>
      </c>
    </row>
    <row r="2179" spans="1:5" x14ac:dyDescent="0.25">
      <c r="A2179" s="41">
        <v>43556</v>
      </c>
      <c r="B2179" s="29">
        <v>214.78</v>
      </c>
      <c r="C2179" s="37">
        <f t="shared" ref="C2179:C2242" si="74">(B2179*100/600)</f>
        <v>35.796666666666667</v>
      </c>
      <c r="D2179" s="37">
        <v>4.8410000000000002</v>
      </c>
      <c r="E2179" s="33">
        <f t="shared" si="73"/>
        <v>-1.1161752395126457E-3</v>
      </c>
    </row>
    <row r="2180" spans="1:5" x14ac:dyDescent="0.25">
      <c r="A2180" s="41">
        <v>43556</v>
      </c>
      <c r="B2180" s="29">
        <v>214.73</v>
      </c>
      <c r="C2180" s="37">
        <f t="shared" si="74"/>
        <v>35.788333333333334</v>
      </c>
      <c r="D2180" s="37">
        <v>4.8410000000000002</v>
      </c>
      <c r="E2180" s="33">
        <f t="shared" ref="E2180:E2243" si="75">(B2180-B2179)/B2179</f>
        <v>-2.3279634975328879E-4</v>
      </c>
    </row>
    <row r="2181" spans="1:5" x14ac:dyDescent="0.25">
      <c r="A2181" s="41">
        <v>43556</v>
      </c>
      <c r="B2181" s="29">
        <v>214.68</v>
      </c>
      <c r="C2181" s="37">
        <f t="shared" si="74"/>
        <v>35.78</v>
      </c>
      <c r="D2181" s="37">
        <v>4.8410000000000002</v>
      </c>
      <c r="E2181" s="33">
        <f t="shared" si="75"/>
        <v>-2.3285055651275067E-4</v>
      </c>
    </row>
    <row r="2182" spans="1:5" x14ac:dyDescent="0.25">
      <c r="A2182" s="41">
        <v>43556</v>
      </c>
      <c r="B2182" s="29">
        <v>214.6</v>
      </c>
      <c r="C2182" s="37">
        <f t="shared" si="74"/>
        <v>35.766666666666666</v>
      </c>
      <c r="D2182" s="37">
        <v>4.8410000000000002</v>
      </c>
      <c r="E2182" s="33">
        <f t="shared" si="75"/>
        <v>-3.726476616359815E-4</v>
      </c>
    </row>
    <row r="2183" spans="1:5" x14ac:dyDescent="0.25">
      <c r="A2183" s="41">
        <v>43556</v>
      </c>
      <c r="B2183" s="29">
        <v>214.52</v>
      </c>
      <c r="C2183" s="37">
        <f t="shared" si="74"/>
        <v>35.75333333333333</v>
      </c>
      <c r="D2183" s="37">
        <v>4.8410000000000002</v>
      </c>
      <c r="E2183" s="33">
        <f t="shared" si="75"/>
        <v>-3.7278657968305726E-4</v>
      </c>
    </row>
    <row r="2184" spans="1:5" x14ac:dyDescent="0.25">
      <c r="A2184" s="41">
        <v>43556</v>
      </c>
      <c r="B2184" s="29">
        <v>214.42</v>
      </c>
      <c r="C2184" s="37">
        <f t="shared" si="74"/>
        <v>35.736666666666665</v>
      </c>
      <c r="D2184" s="37">
        <v>4.8410000000000002</v>
      </c>
      <c r="E2184" s="33">
        <f t="shared" si="75"/>
        <v>-4.6615700167827116E-4</v>
      </c>
    </row>
    <row r="2185" spans="1:5" x14ac:dyDescent="0.25">
      <c r="A2185" s="41">
        <v>43556</v>
      </c>
      <c r="B2185" s="29">
        <v>213.59</v>
      </c>
      <c r="C2185" s="37">
        <f t="shared" si="74"/>
        <v>35.598333333333336</v>
      </c>
      <c r="D2185" s="37">
        <v>4.8410000000000002</v>
      </c>
      <c r="E2185" s="33">
        <f t="shared" si="75"/>
        <v>-3.8709075645927812E-3</v>
      </c>
    </row>
    <row r="2186" spans="1:5" x14ac:dyDescent="0.25">
      <c r="A2186" s="41">
        <v>43557</v>
      </c>
      <c r="B2186" s="29">
        <v>212.29</v>
      </c>
      <c r="C2186" s="37">
        <f t="shared" si="74"/>
        <v>35.381666666666668</v>
      </c>
      <c r="D2186" s="37">
        <v>4.6429999999999998</v>
      </c>
      <c r="E2186" s="33">
        <f t="shared" si="75"/>
        <v>-6.0864272671942105E-3</v>
      </c>
    </row>
    <row r="2187" spans="1:5" x14ac:dyDescent="0.25">
      <c r="A2187" s="41">
        <v>43557</v>
      </c>
      <c r="B2187" s="29">
        <v>210.92</v>
      </c>
      <c r="C2187" s="37">
        <f t="shared" si="74"/>
        <v>35.153333333333336</v>
      </c>
      <c r="D2187" s="37">
        <v>4.6429999999999998</v>
      </c>
      <c r="E2187" s="33">
        <f t="shared" si="75"/>
        <v>-6.4534363370860829E-3</v>
      </c>
    </row>
    <row r="2188" spans="1:5" x14ac:dyDescent="0.25">
      <c r="A2188" s="41">
        <v>43557</v>
      </c>
      <c r="B2188" s="29">
        <v>209.98</v>
      </c>
      <c r="C2188" s="37">
        <f t="shared" si="74"/>
        <v>34.99666666666667</v>
      </c>
      <c r="D2188" s="37">
        <v>4.6429999999999998</v>
      </c>
      <c r="E2188" s="33">
        <f t="shared" si="75"/>
        <v>-4.4566660345154458E-3</v>
      </c>
    </row>
    <row r="2189" spans="1:5" x14ac:dyDescent="0.25">
      <c r="A2189" s="41">
        <v>43557</v>
      </c>
      <c r="B2189" s="29">
        <v>209.47</v>
      </c>
      <c r="C2189" s="37">
        <f t="shared" si="74"/>
        <v>34.911666666666669</v>
      </c>
      <c r="D2189" s="37">
        <v>4.6429999999999998</v>
      </c>
      <c r="E2189" s="33">
        <f t="shared" si="75"/>
        <v>-2.4288027431183488E-3</v>
      </c>
    </row>
    <row r="2190" spans="1:5" x14ac:dyDescent="0.25">
      <c r="A2190" s="41">
        <v>43557</v>
      </c>
      <c r="B2190" s="29">
        <v>209.58</v>
      </c>
      <c r="C2190" s="37">
        <f t="shared" si="74"/>
        <v>34.93</v>
      </c>
      <c r="D2190" s="37">
        <v>4.6429999999999998</v>
      </c>
      <c r="E2190" s="33">
        <f t="shared" si="75"/>
        <v>5.2513486418109346E-4</v>
      </c>
    </row>
    <row r="2191" spans="1:5" x14ac:dyDescent="0.25">
      <c r="A2191" s="41">
        <v>43557</v>
      </c>
      <c r="B2191" s="29">
        <v>210.8</v>
      </c>
      <c r="C2191" s="37">
        <f t="shared" si="74"/>
        <v>35.133333333333333</v>
      </c>
      <c r="D2191" s="37">
        <v>4.6429999999999998</v>
      </c>
      <c r="E2191" s="33">
        <f t="shared" si="75"/>
        <v>5.8211661418074183E-3</v>
      </c>
    </row>
    <row r="2192" spans="1:5" x14ac:dyDescent="0.25">
      <c r="A2192" s="41">
        <v>43557</v>
      </c>
      <c r="B2192" s="29">
        <v>212.28</v>
      </c>
      <c r="C2192" s="37">
        <f t="shared" si="74"/>
        <v>35.380000000000003</v>
      </c>
      <c r="D2192" s="37">
        <v>4.6429999999999998</v>
      </c>
      <c r="E2192" s="33">
        <f t="shared" si="75"/>
        <v>7.0208728652750938E-3</v>
      </c>
    </row>
    <row r="2193" spans="1:5" x14ac:dyDescent="0.25">
      <c r="A2193" s="41">
        <v>43557</v>
      </c>
      <c r="B2193" s="29">
        <v>213.67</v>
      </c>
      <c r="C2193" s="37">
        <f t="shared" si="74"/>
        <v>35.611666666666665</v>
      </c>
      <c r="D2193" s="37">
        <v>4.6429999999999998</v>
      </c>
      <c r="E2193" s="33">
        <f t="shared" si="75"/>
        <v>6.5479555304314412E-3</v>
      </c>
    </row>
    <row r="2194" spans="1:5" x14ac:dyDescent="0.25">
      <c r="A2194" s="41">
        <v>43557</v>
      </c>
      <c r="B2194" s="29">
        <v>215.64</v>
      </c>
      <c r="C2194" s="37">
        <f t="shared" si="74"/>
        <v>35.94</v>
      </c>
      <c r="D2194" s="37">
        <v>4.6429999999999998</v>
      </c>
      <c r="E2194" s="33">
        <f t="shared" si="75"/>
        <v>9.2198249637291101E-3</v>
      </c>
    </row>
    <row r="2195" spans="1:5" x14ac:dyDescent="0.25">
      <c r="A2195" s="41">
        <v>43557</v>
      </c>
      <c r="B2195" s="29">
        <v>216.3</v>
      </c>
      <c r="C2195" s="37">
        <f t="shared" si="74"/>
        <v>36.049999999999997</v>
      </c>
      <c r="D2195" s="37">
        <v>4.6429999999999998</v>
      </c>
      <c r="E2195" s="33">
        <f t="shared" si="75"/>
        <v>3.0606566499722918E-3</v>
      </c>
    </row>
    <row r="2196" spans="1:5" x14ac:dyDescent="0.25">
      <c r="A2196" s="41">
        <v>43557</v>
      </c>
      <c r="B2196" s="29">
        <v>216.4</v>
      </c>
      <c r="C2196" s="37">
        <f t="shared" si="74"/>
        <v>36.06666666666667</v>
      </c>
      <c r="D2196" s="37">
        <v>4.6429999999999998</v>
      </c>
      <c r="E2196" s="33">
        <f t="shared" si="75"/>
        <v>4.6232085067033892E-4</v>
      </c>
    </row>
    <row r="2197" spans="1:5" x14ac:dyDescent="0.25">
      <c r="A2197" s="41">
        <v>43557</v>
      </c>
      <c r="B2197" s="29">
        <v>216.6</v>
      </c>
      <c r="C2197" s="37">
        <f t="shared" si="74"/>
        <v>36.1</v>
      </c>
      <c r="D2197" s="37">
        <v>4.6429999999999998</v>
      </c>
      <c r="E2197" s="33">
        <f t="shared" si="75"/>
        <v>9.2421441774486422E-4</v>
      </c>
    </row>
    <row r="2198" spans="1:5" x14ac:dyDescent="0.25">
      <c r="A2198" s="41">
        <v>43557</v>
      </c>
      <c r="B2198" s="29">
        <v>216.41</v>
      </c>
      <c r="C2198" s="37">
        <f t="shared" si="74"/>
        <v>36.068333333333335</v>
      </c>
      <c r="D2198" s="37">
        <v>4.6429999999999998</v>
      </c>
      <c r="E2198" s="33">
        <f t="shared" si="75"/>
        <v>-8.7719298245612985E-4</v>
      </c>
    </row>
    <row r="2199" spans="1:5" x14ac:dyDescent="0.25">
      <c r="A2199" s="41">
        <v>43557</v>
      </c>
      <c r="B2199" s="29">
        <v>216.62</v>
      </c>
      <c r="C2199" s="37">
        <f t="shared" si="74"/>
        <v>36.103333333333332</v>
      </c>
      <c r="D2199" s="37">
        <v>4.6429999999999998</v>
      </c>
      <c r="E2199" s="33">
        <f t="shared" si="75"/>
        <v>9.7038029665915608E-4</v>
      </c>
    </row>
    <row r="2200" spans="1:5" x14ac:dyDescent="0.25">
      <c r="A2200" s="41">
        <v>43557</v>
      </c>
      <c r="B2200" s="29">
        <v>216.61</v>
      </c>
      <c r="C2200" s="37">
        <f t="shared" si="74"/>
        <v>36.101666666666667</v>
      </c>
      <c r="D2200" s="37">
        <v>4.6429999999999998</v>
      </c>
      <c r="E2200" s="33">
        <f t="shared" si="75"/>
        <v>-4.6163789123769298E-5</v>
      </c>
    </row>
    <row r="2201" spans="1:5" x14ac:dyDescent="0.25">
      <c r="A2201" s="41">
        <v>43557</v>
      </c>
      <c r="B2201" s="29">
        <v>216.57</v>
      </c>
      <c r="C2201" s="37">
        <f t="shared" si="74"/>
        <v>36.094999999999999</v>
      </c>
      <c r="D2201" s="37">
        <v>4.6429999999999998</v>
      </c>
      <c r="E2201" s="33">
        <f t="shared" si="75"/>
        <v>-1.8466368127058059E-4</v>
      </c>
    </row>
    <row r="2202" spans="1:5" x14ac:dyDescent="0.25">
      <c r="A2202" s="41">
        <v>43557</v>
      </c>
      <c r="B2202" s="29">
        <v>216.53</v>
      </c>
      <c r="C2202" s="37">
        <f t="shared" si="74"/>
        <v>36.088333333333331</v>
      </c>
      <c r="D2202" s="37">
        <v>4.6429999999999998</v>
      </c>
      <c r="E2202" s="33">
        <f t="shared" si="75"/>
        <v>-1.8469778824394903E-4</v>
      </c>
    </row>
    <row r="2203" spans="1:5" x14ac:dyDescent="0.25">
      <c r="A2203" s="41">
        <v>43557</v>
      </c>
      <c r="B2203" s="29">
        <v>216.39</v>
      </c>
      <c r="C2203" s="37">
        <f t="shared" si="74"/>
        <v>36.064999999999998</v>
      </c>
      <c r="D2203" s="37">
        <v>4.6429999999999998</v>
      </c>
      <c r="E2203" s="33">
        <f t="shared" si="75"/>
        <v>-6.465616773657912E-4</v>
      </c>
    </row>
    <row r="2204" spans="1:5" x14ac:dyDescent="0.25">
      <c r="A2204" s="41">
        <v>43557</v>
      </c>
      <c r="B2204" s="29">
        <v>216.41</v>
      </c>
      <c r="C2204" s="37">
        <f t="shared" si="74"/>
        <v>36.068333333333335</v>
      </c>
      <c r="D2204" s="37">
        <v>4.6429999999999998</v>
      </c>
      <c r="E2204" s="33">
        <f t="shared" si="75"/>
        <v>9.242571283335751E-5</v>
      </c>
    </row>
    <row r="2205" spans="1:5" x14ac:dyDescent="0.25">
      <c r="A2205" s="41">
        <v>43557</v>
      </c>
      <c r="B2205" s="29">
        <v>216.42</v>
      </c>
      <c r="C2205" s="37">
        <f t="shared" si="74"/>
        <v>36.07</v>
      </c>
      <c r="D2205" s="37">
        <v>4.6429999999999998</v>
      </c>
      <c r="E2205" s="33">
        <f t="shared" si="75"/>
        <v>4.6208585555154131E-5</v>
      </c>
    </row>
    <row r="2206" spans="1:5" x14ac:dyDescent="0.25">
      <c r="A2206" s="41">
        <v>43557</v>
      </c>
      <c r="B2206" s="29">
        <v>216.39</v>
      </c>
      <c r="C2206" s="37">
        <f t="shared" si="74"/>
        <v>36.064999999999998</v>
      </c>
      <c r="D2206" s="37">
        <v>4.6429999999999998</v>
      </c>
      <c r="E2206" s="33">
        <f t="shared" si="75"/>
        <v>-1.3861935126144136E-4</v>
      </c>
    </row>
    <row r="2207" spans="1:5" x14ac:dyDescent="0.25">
      <c r="A2207" s="41">
        <v>43557</v>
      </c>
      <c r="B2207" s="29">
        <v>216.35</v>
      </c>
      <c r="C2207" s="37">
        <f t="shared" si="74"/>
        <v>36.05833333333333</v>
      </c>
      <c r="D2207" s="37">
        <v>4.6429999999999998</v>
      </c>
      <c r="E2207" s="33">
        <f t="shared" si="75"/>
        <v>-1.848514256665837E-4</v>
      </c>
    </row>
    <row r="2208" spans="1:5" x14ac:dyDescent="0.25">
      <c r="A2208" s="41">
        <v>43557</v>
      </c>
      <c r="B2208" s="29">
        <v>216.02</v>
      </c>
      <c r="C2208" s="37">
        <f t="shared" si="74"/>
        <v>36.00333333333333</v>
      </c>
      <c r="D2208" s="37">
        <v>4.6429999999999998</v>
      </c>
      <c r="E2208" s="33">
        <f t="shared" si="75"/>
        <v>-1.5253062167782949E-3</v>
      </c>
    </row>
    <row r="2209" spans="1:5" x14ac:dyDescent="0.25">
      <c r="A2209" s="41">
        <v>43557</v>
      </c>
      <c r="B2209" s="29">
        <v>214.28</v>
      </c>
      <c r="C2209" s="37">
        <f t="shared" si="74"/>
        <v>35.713333333333331</v>
      </c>
      <c r="D2209" s="37">
        <v>4.6429999999999998</v>
      </c>
      <c r="E2209" s="33">
        <f t="shared" si="75"/>
        <v>-8.0548097398389449E-3</v>
      </c>
    </row>
    <row r="2210" spans="1:5" x14ac:dyDescent="0.25">
      <c r="A2210" s="41">
        <v>43558</v>
      </c>
      <c r="B2210" s="29">
        <v>214.48</v>
      </c>
      <c r="C2210" s="37">
        <f t="shared" si="74"/>
        <v>35.74666666666667</v>
      </c>
      <c r="D2210" s="37">
        <v>4.5529999999999999</v>
      </c>
      <c r="E2210" s="33">
        <f t="shared" si="75"/>
        <v>9.3335822288589053E-4</v>
      </c>
    </row>
    <row r="2211" spans="1:5" x14ac:dyDescent="0.25">
      <c r="A2211" s="41">
        <v>43558</v>
      </c>
      <c r="B2211" s="29">
        <v>214.09</v>
      </c>
      <c r="C2211" s="37">
        <f t="shared" si="74"/>
        <v>35.681666666666665</v>
      </c>
      <c r="D2211" s="37">
        <v>4.5529999999999999</v>
      </c>
      <c r="E2211" s="33">
        <f t="shared" si="75"/>
        <v>-1.8183513614322378E-3</v>
      </c>
    </row>
    <row r="2212" spans="1:5" x14ac:dyDescent="0.25">
      <c r="A2212" s="41">
        <v>43558</v>
      </c>
      <c r="B2212" s="29">
        <v>213.92</v>
      </c>
      <c r="C2212" s="37">
        <f t="shared" si="74"/>
        <v>35.653333333333336</v>
      </c>
      <c r="D2212" s="37">
        <v>4.5529999999999999</v>
      </c>
      <c r="E2212" s="33">
        <f t="shared" si="75"/>
        <v>-7.9405857349720171E-4</v>
      </c>
    </row>
    <row r="2213" spans="1:5" x14ac:dyDescent="0.25">
      <c r="A2213" s="41">
        <v>43558</v>
      </c>
      <c r="B2213" s="29">
        <v>213.94</v>
      </c>
      <c r="C2213" s="37">
        <f t="shared" si="74"/>
        <v>35.656666666666666</v>
      </c>
      <c r="D2213" s="37">
        <v>4.5529999999999999</v>
      </c>
      <c r="E2213" s="33">
        <f t="shared" si="75"/>
        <v>9.3492894540062797E-5</v>
      </c>
    </row>
    <row r="2214" spans="1:5" x14ac:dyDescent="0.25">
      <c r="A2214" s="41">
        <v>43558</v>
      </c>
      <c r="B2214" s="29">
        <v>213.98</v>
      </c>
      <c r="C2214" s="37">
        <f t="shared" si="74"/>
        <v>35.663333333333334</v>
      </c>
      <c r="D2214" s="37">
        <v>4.5529999999999999</v>
      </c>
      <c r="E2214" s="33">
        <f t="shared" si="75"/>
        <v>1.8696830887160906E-4</v>
      </c>
    </row>
    <row r="2215" spans="1:5" x14ac:dyDescent="0.25">
      <c r="A2215" s="41">
        <v>43558</v>
      </c>
      <c r="B2215" s="29">
        <v>214.02</v>
      </c>
      <c r="C2215" s="37">
        <f t="shared" si="74"/>
        <v>35.67</v>
      </c>
      <c r="D2215" s="37">
        <v>4.5529999999999999</v>
      </c>
      <c r="E2215" s="33">
        <f t="shared" si="75"/>
        <v>1.8693335825787675E-4</v>
      </c>
    </row>
    <row r="2216" spans="1:5" x14ac:dyDescent="0.25">
      <c r="A2216" s="41">
        <v>43558</v>
      </c>
      <c r="B2216" s="29">
        <v>214.25</v>
      </c>
      <c r="C2216" s="37">
        <f t="shared" si="74"/>
        <v>35.708333333333336</v>
      </c>
      <c r="D2216" s="37">
        <v>4.5529999999999999</v>
      </c>
      <c r="E2216" s="33">
        <f t="shared" si="75"/>
        <v>1.0746659190729361E-3</v>
      </c>
    </row>
    <row r="2217" spans="1:5" x14ac:dyDescent="0.25">
      <c r="A2217" s="41">
        <v>43558</v>
      </c>
      <c r="B2217" s="29">
        <v>214.47</v>
      </c>
      <c r="C2217" s="37">
        <f t="shared" si="74"/>
        <v>35.744999999999997</v>
      </c>
      <c r="D2217" s="37">
        <v>4.5529999999999999</v>
      </c>
      <c r="E2217" s="33">
        <f t="shared" si="75"/>
        <v>1.0268378063010449E-3</v>
      </c>
    </row>
    <row r="2218" spans="1:5" x14ac:dyDescent="0.25">
      <c r="A2218" s="41">
        <v>43558</v>
      </c>
      <c r="B2218" s="29">
        <v>216.5</v>
      </c>
      <c r="C2218" s="37">
        <f t="shared" si="74"/>
        <v>36.083333333333336</v>
      </c>
      <c r="D2218" s="37">
        <v>4.5529999999999999</v>
      </c>
      <c r="E2218" s="33">
        <f t="shared" si="75"/>
        <v>9.4651932671236116E-3</v>
      </c>
    </row>
    <row r="2219" spans="1:5" x14ac:dyDescent="0.25">
      <c r="A2219" s="41">
        <v>43558</v>
      </c>
      <c r="B2219" s="29">
        <v>217.95</v>
      </c>
      <c r="C2219" s="37">
        <f t="shared" si="74"/>
        <v>36.325000000000003</v>
      </c>
      <c r="D2219" s="37">
        <v>4.5529999999999999</v>
      </c>
      <c r="E2219" s="33">
        <f t="shared" si="75"/>
        <v>6.6974595842955592E-3</v>
      </c>
    </row>
    <row r="2220" spans="1:5" x14ac:dyDescent="0.25">
      <c r="A2220" s="41">
        <v>43558</v>
      </c>
      <c r="B2220" s="29">
        <v>220.28</v>
      </c>
      <c r="C2220" s="37">
        <f t="shared" si="74"/>
        <v>36.713333333333331</v>
      </c>
      <c r="D2220" s="37">
        <v>4.5529999999999999</v>
      </c>
      <c r="E2220" s="33">
        <f t="shared" si="75"/>
        <v>1.0690525349850941E-2</v>
      </c>
    </row>
    <row r="2221" spans="1:5" x14ac:dyDescent="0.25">
      <c r="A2221" s="41">
        <v>43558</v>
      </c>
      <c r="B2221" s="29">
        <v>220.88</v>
      </c>
      <c r="C2221" s="37">
        <f t="shared" si="74"/>
        <v>36.813333333333333</v>
      </c>
      <c r="D2221" s="37">
        <v>4.5529999999999999</v>
      </c>
      <c r="E2221" s="33">
        <f t="shared" si="75"/>
        <v>2.7238060650081456E-3</v>
      </c>
    </row>
    <row r="2222" spans="1:5" x14ac:dyDescent="0.25">
      <c r="A2222" s="41">
        <v>43558</v>
      </c>
      <c r="B2222" s="29">
        <v>219.57</v>
      </c>
      <c r="C2222" s="37">
        <f t="shared" si="74"/>
        <v>36.594999999999999</v>
      </c>
      <c r="D2222" s="37">
        <v>4.5529999999999999</v>
      </c>
      <c r="E2222" s="33">
        <f t="shared" si="75"/>
        <v>-5.9308221658819372E-3</v>
      </c>
    </row>
    <row r="2223" spans="1:5" x14ac:dyDescent="0.25">
      <c r="A2223" s="41">
        <v>43558</v>
      </c>
      <c r="B2223" s="29">
        <v>221.3</v>
      </c>
      <c r="C2223" s="37">
        <f t="shared" si="74"/>
        <v>36.883333333333333</v>
      </c>
      <c r="D2223" s="37">
        <v>4.5529999999999999</v>
      </c>
      <c r="E2223" s="33">
        <f t="shared" si="75"/>
        <v>7.8790362982193302E-3</v>
      </c>
    </row>
    <row r="2224" spans="1:5" x14ac:dyDescent="0.25">
      <c r="A2224" s="41">
        <v>43558</v>
      </c>
      <c r="B2224" s="29">
        <v>223.87</v>
      </c>
      <c r="C2224" s="37">
        <f t="shared" si="74"/>
        <v>37.311666666666667</v>
      </c>
      <c r="D2224" s="37">
        <v>4.5529999999999999</v>
      </c>
      <c r="E2224" s="33">
        <f t="shared" si="75"/>
        <v>1.1613194758246693E-2</v>
      </c>
    </row>
    <row r="2225" spans="1:5" x14ac:dyDescent="0.25">
      <c r="A2225" s="41">
        <v>43558</v>
      </c>
      <c r="B2225" s="29">
        <v>223.89</v>
      </c>
      <c r="C2225" s="37">
        <f t="shared" si="74"/>
        <v>37.314999999999998</v>
      </c>
      <c r="D2225" s="37">
        <v>4.5529999999999999</v>
      </c>
      <c r="E2225" s="33">
        <f t="shared" si="75"/>
        <v>8.9337561977852371E-5</v>
      </c>
    </row>
    <row r="2226" spans="1:5" x14ac:dyDescent="0.25">
      <c r="A2226" s="41">
        <v>43558</v>
      </c>
      <c r="B2226" s="29">
        <v>222.24</v>
      </c>
      <c r="C2226" s="37">
        <f t="shared" si="74"/>
        <v>37.04</v>
      </c>
      <c r="D2226" s="37">
        <v>4.5529999999999999</v>
      </c>
      <c r="E2226" s="33">
        <f t="shared" si="75"/>
        <v>-7.3696904730000332E-3</v>
      </c>
    </row>
    <row r="2227" spans="1:5" x14ac:dyDescent="0.25">
      <c r="A2227" s="41">
        <v>43558</v>
      </c>
      <c r="B2227" s="29">
        <v>218.56</v>
      </c>
      <c r="C2227" s="37">
        <f t="shared" si="74"/>
        <v>36.426666666666669</v>
      </c>
      <c r="D2227" s="37">
        <v>4.5529999999999999</v>
      </c>
      <c r="E2227" s="33">
        <f t="shared" si="75"/>
        <v>-1.6558675305975552E-2</v>
      </c>
    </row>
    <row r="2228" spans="1:5" x14ac:dyDescent="0.25">
      <c r="A2228" s="41">
        <v>43558</v>
      </c>
      <c r="B2228" s="29">
        <v>219.09</v>
      </c>
      <c r="C2228" s="37">
        <f t="shared" si="74"/>
        <v>36.515000000000001</v>
      </c>
      <c r="D2228" s="37">
        <v>4.5529999999999999</v>
      </c>
      <c r="E2228" s="33">
        <f t="shared" si="75"/>
        <v>2.4249633967789218E-3</v>
      </c>
    </row>
    <row r="2229" spans="1:5" x14ac:dyDescent="0.25">
      <c r="A2229" s="41">
        <v>43558</v>
      </c>
      <c r="B2229" s="29">
        <v>219.34</v>
      </c>
      <c r="C2229" s="37">
        <f t="shared" si="74"/>
        <v>36.556666666666665</v>
      </c>
      <c r="D2229" s="37">
        <v>4.5529999999999999</v>
      </c>
      <c r="E2229" s="33">
        <f t="shared" si="75"/>
        <v>1.1410835729608836E-3</v>
      </c>
    </row>
    <row r="2230" spans="1:5" x14ac:dyDescent="0.25">
      <c r="A2230" s="41">
        <v>43558</v>
      </c>
      <c r="B2230" s="29">
        <v>218.62</v>
      </c>
      <c r="C2230" s="37">
        <f t="shared" si="74"/>
        <v>36.436666666666667</v>
      </c>
      <c r="D2230" s="37">
        <v>4.5529999999999999</v>
      </c>
      <c r="E2230" s="33">
        <f t="shared" si="75"/>
        <v>-3.2825749977204288E-3</v>
      </c>
    </row>
    <row r="2231" spans="1:5" x14ac:dyDescent="0.25">
      <c r="A2231" s="41">
        <v>43558</v>
      </c>
      <c r="B2231" s="29">
        <v>218.05</v>
      </c>
      <c r="C2231" s="37">
        <f t="shared" si="74"/>
        <v>36.341666666666669</v>
      </c>
      <c r="D2231" s="37">
        <v>4.5529999999999999</v>
      </c>
      <c r="E2231" s="33">
        <f t="shared" si="75"/>
        <v>-2.6072637453114682E-3</v>
      </c>
    </row>
    <row r="2232" spans="1:5" x14ac:dyDescent="0.25">
      <c r="A2232" s="41">
        <v>43558</v>
      </c>
      <c r="B2232" s="29">
        <v>217.34</v>
      </c>
      <c r="C2232" s="37">
        <f t="shared" si="74"/>
        <v>36.223333333333336</v>
      </c>
      <c r="D2232" s="37">
        <v>4.5529999999999999</v>
      </c>
      <c r="E2232" s="33">
        <f t="shared" si="75"/>
        <v>-3.2561339142398896E-3</v>
      </c>
    </row>
    <row r="2233" spans="1:5" x14ac:dyDescent="0.25">
      <c r="A2233" s="41">
        <v>43558</v>
      </c>
      <c r="B2233" s="29">
        <v>214.61</v>
      </c>
      <c r="C2233" s="37">
        <f t="shared" si="74"/>
        <v>35.768333333333331</v>
      </c>
      <c r="D2233" s="37">
        <v>4.5529999999999999</v>
      </c>
      <c r="E2233" s="33">
        <f t="shared" si="75"/>
        <v>-1.2560964387595425E-2</v>
      </c>
    </row>
    <row r="2234" spans="1:5" x14ac:dyDescent="0.25">
      <c r="A2234" s="41">
        <v>43559</v>
      </c>
      <c r="B2234" s="29">
        <v>213.56</v>
      </c>
      <c r="C2234" s="37">
        <f t="shared" si="74"/>
        <v>35.593333333333334</v>
      </c>
      <c r="D2234" s="37">
        <v>4.62</v>
      </c>
      <c r="E2234" s="33">
        <f t="shared" si="75"/>
        <v>-4.8925958715810604E-3</v>
      </c>
    </row>
    <row r="2235" spans="1:5" x14ac:dyDescent="0.25">
      <c r="A2235" s="41">
        <v>43559</v>
      </c>
      <c r="B2235" s="29">
        <v>213.1</v>
      </c>
      <c r="C2235" s="37">
        <f t="shared" si="74"/>
        <v>35.516666666666666</v>
      </c>
      <c r="D2235" s="37">
        <v>4.62</v>
      </c>
      <c r="E2235" s="33">
        <f t="shared" si="75"/>
        <v>-2.1539614159955421E-3</v>
      </c>
    </row>
    <row r="2236" spans="1:5" x14ac:dyDescent="0.25">
      <c r="A2236" s="41">
        <v>43559</v>
      </c>
      <c r="B2236" s="29">
        <v>213.02</v>
      </c>
      <c r="C2236" s="37">
        <f t="shared" si="74"/>
        <v>35.50333333333333</v>
      </c>
      <c r="D2236" s="37">
        <v>4.62</v>
      </c>
      <c r="E2236" s="33">
        <f t="shared" si="75"/>
        <v>-3.7541060534952643E-4</v>
      </c>
    </row>
    <row r="2237" spans="1:5" x14ac:dyDescent="0.25">
      <c r="A2237" s="41">
        <v>43559</v>
      </c>
      <c r="B2237" s="29">
        <v>213.01</v>
      </c>
      <c r="C2237" s="37">
        <f t="shared" si="74"/>
        <v>35.501666666666665</v>
      </c>
      <c r="D2237" s="37">
        <v>4.62</v>
      </c>
      <c r="E2237" s="33">
        <f t="shared" si="75"/>
        <v>-4.6943948925074295E-5</v>
      </c>
    </row>
    <row r="2238" spans="1:5" x14ac:dyDescent="0.25">
      <c r="A2238" s="41">
        <v>43559</v>
      </c>
      <c r="B2238" s="29">
        <v>213</v>
      </c>
      <c r="C2238" s="37">
        <f t="shared" si="74"/>
        <v>35.5</v>
      </c>
      <c r="D2238" s="37">
        <v>4.62</v>
      </c>
      <c r="E2238" s="33">
        <f t="shared" si="75"/>
        <v>-4.6946152762738393E-5</v>
      </c>
    </row>
    <row r="2239" spans="1:5" x14ac:dyDescent="0.25">
      <c r="A2239" s="41">
        <v>43559</v>
      </c>
      <c r="B2239" s="29">
        <v>213.02</v>
      </c>
      <c r="C2239" s="37">
        <f t="shared" si="74"/>
        <v>35.50333333333333</v>
      </c>
      <c r="D2239" s="37">
        <v>4.62</v>
      </c>
      <c r="E2239" s="33">
        <f t="shared" si="75"/>
        <v>9.3896713615071505E-5</v>
      </c>
    </row>
    <row r="2240" spans="1:5" x14ac:dyDescent="0.25">
      <c r="A2240" s="41">
        <v>43559</v>
      </c>
      <c r="B2240" s="29">
        <v>213.34</v>
      </c>
      <c r="C2240" s="37">
        <f t="shared" si="74"/>
        <v>35.556666666666665</v>
      </c>
      <c r="D2240" s="37">
        <v>4.62</v>
      </c>
      <c r="E2240" s="33">
        <f t="shared" si="75"/>
        <v>1.5022063655994421E-3</v>
      </c>
    </row>
    <row r="2241" spans="1:5" x14ac:dyDescent="0.25">
      <c r="A2241" s="41">
        <v>43559</v>
      </c>
      <c r="B2241" s="29">
        <v>213.32</v>
      </c>
      <c r="C2241" s="37">
        <f t="shared" si="74"/>
        <v>35.553333333333335</v>
      </c>
      <c r="D2241" s="37">
        <v>4.62</v>
      </c>
      <c r="E2241" s="33">
        <f t="shared" si="75"/>
        <v>-9.374707040409783E-5</v>
      </c>
    </row>
    <row r="2242" spans="1:5" x14ac:dyDescent="0.25">
      <c r="A2242" s="41">
        <v>43559</v>
      </c>
      <c r="B2242" s="29">
        <v>216.53</v>
      </c>
      <c r="C2242" s="37">
        <f t="shared" si="74"/>
        <v>36.088333333333331</v>
      </c>
      <c r="D2242" s="37">
        <v>4.62</v>
      </c>
      <c r="E2242" s="33">
        <f t="shared" si="75"/>
        <v>1.5047815488468067E-2</v>
      </c>
    </row>
    <row r="2243" spans="1:5" x14ac:dyDescent="0.25">
      <c r="A2243" s="41">
        <v>43559</v>
      </c>
      <c r="B2243" s="29">
        <v>217.76</v>
      </c>
      <c r="C2243" s="37">
        <f t="shared" ref="C2243:C2306" si="76">(B2243*100/600)</f>
        <v>36.293333333333337</v>
      </c>
      <c r="D2243" s="37">
        <v>4.62</v>
      </c>
      <c r="E2243" s="33">
        <f t="shared" si="75"/>
        <v>5.6805061654273759E-3</v>
      </c>
    </row>
    <row r="2244" spans="1:5" x14ac:dyDescent="0.25">
      <c r="A2244" s="41">
        <v>43559</v>
      </c>
      <c r="B2244" s="29">
        <v>220.61</v>
      </c>
      <c r="C2244" s="37">
        <f t="shared" si="76"/>
        <v>36.768333333333331</v>
      </c>
      <c r="D2244" s="37">
        <v>4.62</v>
      </c>
      <c r="E2244" s="33">
        <f t="shared" ref="E2244:E2307" si="77">(B2244-B2243)/B2243</f>
        <v>1.3087803085966306E-2</v>
      </c>
    </row>
    <row r="2245" spans="1:5" x14ac:dyDescent="0.25">
      <c r="A2245" s="41">
        <v>43559</v>
      </c>
      <c r="B2245" s="29">
        <v>220.83</v>
      </c>
      <c r="C2245" s="37">
        <f t="shared" si="76"/>
        <v>36.805</v>
      </c>
      <c r="D2245" s="37">
        <v>4.62</v>
      </c>
      <c r="E2245" s="33">
        <f t="shared" si="77"/>
        <v>9.9723493948596542E-4</v>
      </c>
    </row>
    <row r="2246" spans="1:5" x14ac:dyDescent="0.25">
      <c r="A2246" s="41">
        <v>43559</v>
      </c>
      <c r="B2246" s="29">
        <v>219.32</v>
      </c>
      <c r="C2246" s="37">
        <f t="shared" si="76"/>
        <v>36.553333333333335</v>
      </c>
      <c r="D2246" s="37">
        <v>4.62</v>
      </c>
      <c r="E2246" s="33">
        <f t="shared" si="77"/>
        <v>-6.8378390617217736E-3</v>
      </c>
    </row>
    <row r="2247" spans="1:5" x14ac:dyDescent="0.25">
      <c r="A2247" s="41">
        <v>43559</v>
      </c>
      <c r="B2247" s="29">
        <v>221.13</v>
      </c>
      <c r="C2247" s="37">
        <f t="shared" si="76"/>
        <v>36.854999999999997</v>
      </c>
      <c r="D2247" s="37">
        <v>4.62</v>
      </c>
      <c r="E2247" s="33">
        <f t="shared" si="77"/>
        <v>8.2527813240926614E-3</v>
      </c>
    </row>
    <row r="2248" spans="1:5" x14ac:dyDescent="0.25">
      <c r="A2248" s="41">
        <v>43559</v>
      </c>
      <c r="B2248" s="29">
        <v>225.13</v>
      </c>
      <c r="C2248" s="37">
        <f t="shared" si="76"/>
        <v>37.521666666666668</v>
      </c>
      <c r="D2248" s="37">
        <v>4.62</v>
      </c>
      <c r="E2248" s="33">
        <f t="shared" si="77"/>
        <v>1.8088906977795867E-2</v>
      </c>
    </row>
    <row r="2249" spans="1:5" x14ac:dyDescent="0.25">
      <c r="A2249" s="41">
        <v>43559</v>
      </c>
      <c r="B2249" s="29">
        <v>225.15</v>
      </c>
      <c r="C2249" s="37">
        <f t="shared" si="76"/>
        <v>37.524999999999999</v>
      </c>
      <c r="D2249" s="37">
        <v>4.62</v>
      </c>
      <c r="E2249" s="33">
        <f t="shared" si="77"/>
        <v>8.883756052063356E-5</v>
      </c>
    </row>
    <row r="2250" spans="1:5" x14ac:dyDescent="0.25">
      <c r="A2250" s="41">
        <v>43559</v>
      </c>
      <c r="B2250" s="29">
        <v>221.74</v>
      </c>
      <c r="C2250" s="37">
        <f t="shared" si="76"/>
        <v>36.956666666666663</v>
      </c>
      <c r="D2250" s="37">
        <v>4.62</v>
      </c>
      <c r="E2250" s="33">
        <f t="shared" si="77"/>
        <v>-1.5145458583166762E-2</v>
      </c>
    </row>
    <row r="2251" spans="1:5" x14ac:dyDescent="0.25">
      <c r="A2251" s="41">
        <v>43559</v>
      </c>
      <c r="B2251" s="29">
        <v>217.46</v>
      </c>
      <c r="C2251" s="37">
        <f t="shared" si="76"/>
        <v>36.243333333333332</v>
      </c>
      <c r="D2251" s="37">
        <v>4.62</v>
      </c>
      <c r="E2251" s="33">
        <f t="shared" si="77"/>
        <v>-1.9301885090646707E-2</v>
      </c>
    </row>
    <row r="2252" spans="1:5" x14ac:dyDescent="0.25">
      <c r="A2252" s="41">
        <v>43559</v>
      </c>
      <c r="B2252" s="29">
        <v>218.05</v>
      </c>
      <c r="C2252" s="37">
        <f t="shared" si="76"/>
        <v>36.341666666666669</v>
      </c>
      <c r="D2252" s="37">
        <v>4.62</v>
      </c>
      <c r="E2252" s="33">
        <f t="shared" si="77"/>
        <v>2.7131426469235876E-3</v>
      </c>
    </row>
    <row r="2253" spans="1:5" x14ac:dyDescent="0.25">
      <c r="A2253" s="41">
        <v>43559</v>
      </c>
      <c r="B2253" s="29">
        <v>218.34</v>
      </c>
      <c r="C2253" s="37">
        <f t="shared" si="76"/>
        <v>36.39</v>
      </c>
      <c r="D2253" s="37">
        <v>4.62</v>
      </c>
      <c r="E2253" s="33">
        <f t="shared" si="77"/>
        <v>1.3299701903232838E-3</v>
      </c>
    </row>
    <row r="2254" spans="1:5" x14ac:dyDescent="0.25">
      <c r="A2254" s="41">
        <v>43559</v>
      </c>
      <c r="B2254" s="29">
        <v>217.41</v>
      </c>
      <c r="C2254" s="37">
        <f t="shared" si="76"/>
        <v>36.234999999999999</v>
      </c>
      <c r="D2254" s="37">
        <v>4.62</v>
      </c>
      <c r="E2254" s="33">
        <f t="shared" si="77"/>
        <v>-4.2594119263534248E-3</v>
      </c>
    </row>
    <row r="2255" spans="1:5" x14ac:dyDescent="0.25">
      <c r="A2255" s="41">
        <v>43559</v>
      </c>
      <c r="B2255" s="29">
        <v>217.38</v>
      </c>
      <c r="C2255" s="37">
        <f t="shared" si="76"/>
        <v>36.229999999999997</v>
      </c>
      <c r="D2255" s="37">
        <v>4.62</v>
      </c>
      <c r="E2255" s="33">
        <f t="shared" si="77"/>
        <v>-1.3798813302056545E-4</v>
      </c>
    </row>
    <row r="2256" spans="1:5" x14ac:dyDescent="0.25">
      <c r="A2256" s="41">
        <v>43559</v>
      </c>
      <c r="B2256" s="29">
        <v>216.4</v>
      </c>
      <c r="C2256" s="37">
        <f t="shared" si="76"/>
        <v>36.06666666666667</v>
      </c>
      <c r="D2256" s="37">
        <v>4.62</v>
      </c>
      <c r="E2256" s="33">
        <f t="shared" si="77"/>
        <v>-4.5082344281902192E-3</v>
      </c>
    </row>
    <row r="2257" spans="1:5" x14ac:dyDescent="0.25">
      <c r="A2257" s="41">
        <v>43559</v>
      </c>
      <c r="B2257" s="29">
        <v>213.55</v>
      </c>
      <c r="C2257" s="37">
        <f t="shared" si="76"/>
        <v>35.591666666666669</v>
      </c>
      <c r="D2257" s="37">
        <v>4.62</v>
      </c>
      <c r="E2257" s="33">
        <f t="shared" si="77"/>
        <v>-1.3170055452865039E-2</v>
      </c>
    </row>
    <row r="2258" spans="1:5" x14ac:dyDescent="0.25">
      <c r="A2258" s="41">
        <v>43560</v>
      </c>
      <c r="B2258" s="29">
        <v>211.57</v>
      </c>
      <c r="C2258" s="37">
        <f t="shared" si="76"/>
        <v>35.261666666666663</v>
      </c>
      <c r="D2258" s="37">
        <v>5.0090000000000003</v>
      </c>
      <c r="E2258" s="33">
        <f t="shared" si="77"/>
        <v>-9.27183329431055E-3</v>
      </c>
    </row>
    <row r="2259" spans="1:5" x14ac:dyDescent="0.25">
      <c r="A2259" s="41">
        <v>43560</v>
      </c>
      <c r="B2259" s="29">
        <v>210.85</v>
      </c>
      <c r="C2259" s="37">
        <f t="shared" si="76"/>
        <v>35.141666666666666</v>
      </c>
      <c r="D2259" s="37">
        <v>5.0090000000000003</v>
      </c>
      <c r="E2259" s="33">
        <f t="shared" si="77"/>
        <v>-3.4031289880417778E-3</v>
      </c>
    </row>
    <row r="2260" spans="1:5" x14ac:dyDescent="0.25">
      <c r="A2260" s="41">
        <v>43560</v>
      </c>
      <c r="B2260" s="29">
        <v>210.22</v>
      </c>
      <c r="C2260" s="37">
        <f t="shared" si="76"/>
        <v>35.036666666666669</v>
      </c>
      <c r="D2260" s="37">
        <v>5.0090000000000003</v>
      </c>
      <c r="E2260" s="33">
        <f t="shared" si="77"/>
        <v>-2.9879060943798696E-3</v>
      </c>
    </row>
    <row r="2261" spans="1:5" x14ac:dyDescent="0.25">
      <c r="A2261" s="41">
        <v>43560</v>
      </c>
      <c r="B2261" s="29">
        <v>209.94</v>
      </c>
      <c r="C2261" s="37">
        <f t="shared" si="76"/>
        <v>34.99</v>
      </c>
      <c r="D2261" s="37">
        <v>5.0090000000000003</v>
      </c>
      <c r="E2261" s="33">
        <f t="shared" si="77"/>
        <v>-1.3319379697459858E-3</v>
      </c>
    </row>
    <row r="2262" spans="1:5" x14ac:dyDescent="0.25">
      <c r="A2262" s="41">
        <v>43560</v>
      </c>
      <c r="B2262" s="29">
        <v>209.73</v>
      </c>
      <c r="C2262" s="37">
        <f t="shared" si="76"/>
        <v>34.954999999999998</v>
      </c>
      <c r="D2262" s="37">
        <v>5.0090000000000003</v>
      </c>
      <c r="E2262" s="33">
        <f t="shared" si="77"/>
        <v>-1.0002857959417355E-3</v>
      </c>
    </row>
    <row r="2263" spans="1:5" x14ac:dyDescent="0.25">
      <c r="A2263" s="41">
        <v>43560</v>
      </c>
      <c r="B2263" s="29">
        <v>210.26</v>
      </c>
      <c r="C2263" s="37">
        <f t="shared" si="76"/>
        <v>35.043333333333337</v>
      </c>
      <c r="D2263" s="37">
        <v>5.0090000000000003</v>
      </c>
      <c r="E2263" s="33">
        <f t="shared" si="77"/>
        <v>2.5270585991512954E-3</v>
      </c>
    </row>
    <row r="2264" spans="1:5" x14ac:dyDescent="0.25">
      <c r="A2264" s="41">
        <v>43560</v>
      </c>
      <c r="B2264" s="29">
        <v>211</v>
      </c>
      <c r="C2264" s="37">
        <f t="shared" si="76"/>
        <v>35.166666666666664</v>
      </c>
      <c r="D2264" s="37">
        <v>5.0090000000000003</v>
      </c>
      <c r="E2264" s="33">
        <f t="shared" si="77"/>
        <v>3.519452106915291E-3</v>
      </c>
    </row>
    <row r="2265" spans="1:5" x14ac:dyDescent="0.25">
      <c r="A2265" s="41">
        <v>43560</v>
      </c>
      <c r="B2265" s="29">
        <v>211.29</v>
      </c>
      <c r="C2265" s="37">
        <f t="shared" si="76"/>
        <v>35.215000000000003</v>
      </c>
      <c r="D2265" s="37">
        <v>5.0090000000000003</v>
      </c>
      <c r="E2265" s="33">
        <f t="shared" si="77"/>
        <v>1.3744075829383508E-3</v>
      </c>
    </row>
    <row r="2266" spans="1:5" x14ac:dyDescent="0.25">
      <c r="A2266" s="41">
        <v>43560</v>
      </c>
      <c r="B2266" s="29">
        <v>213.15</v>
      </c>
      <c r="C2266" s="37">
        <f t="shared" si="76"/>
        <v>35.524999999999999</v>
      </c>
      <c r="D2266" s="37">
        <v>5.0090000000000003</v>
      </c>
      <c r="E2266" s="33">
        <f t="shared" si="77"/>
        <v>8.803066874911324E-3</v>
      </c>
    </row>
    <row r="2267" spans="1:5" x14ac:dyDescent="0.25">
      <c r="A2267" s="41">
        <v>43560</v>
      </c>
      <c r="B2267" s="29">
        <v>214.9</v>
      </c>
      <c r="C2267" s="37">
        <f t="shared" si="76"/>
        <v>35.81666666666667</v>
      </c>
      <c r="D2267" s="37">
        <v>5.0090000000000003</v>
      </c>
      <c r="E2267" s="33">
        <f t="shared" si="77"/>
        <v>8.2101806239737278E-3</v>
      </c>
    </row>
    <row r="2268" spans="1:5" x14ac:dyDescent="0.25">
      <c r="A2268" s="41">
        <v>43560</v>
      </c>
      <c r="B2268" s="29">
        <v>214.97</v>
      </c>
      <c r="C2268" s="37">
        <f t="shared" si="76"/>
        <v>35.828333333333333</v>
      </c>
      <c r="D2268" s="37">
        <v>5.0090000000000003</v>
      </c>
      <c r="E2268" s="33">
        <f t="shared" si="77"/>
        <v>3.2573289902276955E-4</v>
      </c>
    </row>
    <row r="2269" spans="1:5" x14ac:dyDescent="0.25">
      <c r="A2269" s="41">
        <v>43560</v>
      </c>
      <c r="B2269" s="29">
        <v>214.93</v>
      </c>
      <c r="C2269" s="37">
        <f t="shared" si="76"/>
        <v>35.821666666666665</v>
      </c>
      <c r="D2269" s="37">
        <v>5.0090000000000003</v>
      </c>
      <c r="E2269" s="33">
        <f t="shared" si="77"/>
        <v>-1.8607247522906472E-4</v>
      </c>
    </row>
    <row r="2270" spans="1:5" x14ac:dyDescent="0.25">
      <c r="A2270" s="41">
        <v>43560</v>
      </c>
      <c r="B2270" s="29">
        <v>214.88</v>
      </c>
      <c r="C2270" s="37">
        <f t="shared" si="76"/>
        <v>35.813333333333333</v>
      </c>
      <c r="D2270" s="37">
        <v>5.0090000000000003</v>
      </c>
      <c r="E2270" s="33">
        <f t="shared" si="77"/>
        <v>-2.3263388079845237E-4</v>
      </c>
    </row>
    <row r="2271" spans="1:5" x14ac:dyDescent="0.25">
      <c r="A2271" s="41">
        <v>43560</v>
      </c>
      <c r="B2271" s="29">
        <v>214.88</v>
      </c>
      <c r="C2271" s="37">
        <f t="shared" si="76"/>
        <v>35.813333333333333</v>
      </c>
      <c r="D2271" s="37">
        <v>5.0090000000000003</v>
      </c>
      <c r="E2271" s="33">
        <f t="shared" si="77"/>
        <v>0</v>
      </c>
    </row>
    <row r="2272" spans="1:5" x14ac:dyDescent="0.25">
      <c r="A2272" s="41">
        <v>43560</v>
      </c>
      <c r="B2272" s="29">
        <v>216.12</v>
      </c>
      <c r="C2272" s="37">
        <f t="shared" si="76"/>
        <v>36.020000000000003</v>
      </c>
      <c r="D2272" s="37">
        <v>5.0090000000000003</v>
      </c>
      <c r="E2272" s="33">
        <f t="shared" si="77"/>
        <v>5.7706626954579726E-3</v>
      </c>
    </row>
    <row r="2273" spans="1:5" x14ac:dyDescent="0.25">
      <c r="A2273" s="41">
        <v>43560</v>
      </c>
      <c r="B2273" s="29">
        <v>216.1</v>
      </c>
      <c r="C2273" s="37">
        <f t="shared" si="76"/>
        <v>36.016666666666666</v>
      </c>
      <c r="D2273" s="37">
        <v>5.0090000000000003</v>
      </c>
      <c r="E2273" s="33">
        <f t="shared" si="77"/>
        <v>-9.2541180825514671E-5</v>
      </c>
    </row>
    <row r="2274" spans="1:5" x14ac:dyDescent="0.25">
      <c r="A2274" s="41">
        <v>43560</v>
      </c>
      <c r="B2274" s="29">
        <v>214.75</v>
      </c>
      <c r="C2274" s="37">
        <f t="shared" si="76"/>
        <v>35.791666666666664</v>
      </c>
      <c r="D2274" s="37">
        <v>5.0090000000000003</v>
      </c>
      <c r="E2274" s="33">
        <f t="shared" si="77"/>
        <v>-6.2471078204534673E-3</v>
      </c>
    </row>
    <row r="2275" spans="1:5" x14ac:dyDescent="0.25">
      <c r="A2275" s="41">
        <v>43560</v>
      </c>
      <c r="B2275" s="29">
        <v>213.55</v>
      </c>
      <c r="C2275" s="37">
        <f t="shared" si="76"/>
        <v>35.591666666666669</v>
      </c>
      <c r="D2275" s="37">
        <v>5.0090000000000003</v>
      </c>
      <c r="E2275" s="33">
        <f t="shared" si="77"/>
        <v>-5.5878928987193885E-3</v>
      </c>
    </row>
    <row r="2276" spans="1:5" x14ac:dyDescent="0.25">
      <c r="A2276" s="41">
        <v>43560</v>
      </c>
      <c r="B2276" s="29">
        <v>213.65</v>
      </c>
      <c r="C2276" s="37">
        <f t="shared" si="76"/>
        <v>35.608333333333334</v>
      </c>
      <c r="D2276" s="37">
        <v>5.0090000000000003</v>
      </c>
      <c r="E2276" s="33">
        <f t="shared" si="77"/>
        <v>4.6827440880353223E-4</v>
      </c>
    </row>
    <row r="2277" spans="1:5" x14ac:dyDescent="0.25">
      <c r="A2277" s="41">
        <v>43560</v>
      </c>
      <c r="B2277" s="29">
        <v>214.25</v>
      </c>
      <c r="C2277" s="37">
        <f t="shared" si="76"/>
        <v>35.708333333333336</v>
      </c>
      <c r="D2277" s="37">
        <v>5.0090000000000003</v>
      </c>
      <c r="E2277" s="33">
        <f t="shared" si="77"/>
        <v>2.8083313831031797E-3</v>
      </c>
    </row>
    <row r="2278" spans="1:5" x14ac:dyDescent="0.25">
      <c r="A2278" s="41">
        <v>43560</v>
      </c>
      <c r="B2278" s="29">
        <v>214.04</v>
      </c>
      <c r="C2278" s="37">
        <f t="shared" si="76"/>
        <v>35.673333333333332</v>
      </c>
      <c r="D2278" s="37">
        <v>5.0090000000000003</v>
      </c>
      <c r="E2278" s="33">
        <f t="shared" si="77"/>
        <v>-9.801633605601304E-4</v>
      </c>
    </row>
    <row r="2279" spans="1:5" x14ac:dyDescent="0.25">
      <c r="A2279" s="41">
        <v>43560</v>
      </c>
      <c r="B2279" s="29">
        <v>212.43</v>
      </c>
      <c r="C2279" s="37">
        <f t="shared" si="76"/>
        <v>35.405000000000001</v>
      </c>
      <c r="D2279" s="37">
        <v>5.0090000000000003</v>
      </c>
      <c r="E2279" s="33">
        <f t="shared" si="77"/>
        <v>-7.5219585124275149E-3</v>
      </c>
    </row>
    <row r="2280" spans="1:5" x14ac:dyDescent="0.25">
      <c r="A2280" s="41">
        <v>43560</v>
      </c>
      <c r="B2280" s="29">
        <v>211.55</v>
      </c>
      <c r="C2280" s="37">
        <f t="shared" si="76"/>
        <v>35.258333333333333</v>
      </c>
      <c r="D2280" s="37">
        <v>5.0090000000000003</v>
      </c>
      <c r="E2280" s="33">
        <f t="shared" si="77"/>
        <v>-4.1425410723532246E-3</v>
      </c>
    </row>
    <row r="2281" spans="1:5" x14ac:dyDescent="0.25">
      <c r="A2281" s="41">
        <v>43560</v>
      </c>
      <c r="B2281" s="29">
        <v>210.41</v>
      </c>
      <c r="C2281" s="37">
        <f t="shared" si="76"/>
        <v>35.068333333333335</v>
      </c>
      <c r="D2281" s="37">
        <v>5.0090000000000003</v>
      </c>
      <c r="E2281" s="33">
        <f t="shared" si="77"/>
        <v>-5.3887969747105401E-3</v>
      </c>
    </row>
    <row r="2282" spans="1:5" x14ac:dyDescent="0.25">
      <c r="A2282" s="41">
        <v>43561</v>
      </c>
      <c r="B2282" s="29">
        <v>178.32</v>
      </c>
      <c r="C2282" s="37">
        <f t="shared" si="76"/>
        <v>29.72</v>
      </c>
      <c r="D2282" s="37">
        <v>5.3929999999999998</v>
      </c>
      <c r="E2282" s="33">
        <f t="shared" si="77"/>
        <v>-0.15251176274891878</v>
      </c>
    </row>
    <row r="2283" spans="1:5" x14ac:dyDescent="0.25">
      <c r="A2283" s="41">
        <v>43561</v>
      </c>
      <c r="B2283" s="29">
        <v>177.61</v>
      </c>
      <c r="C2283" s="37">
        <f t="shared" si="76"/>
        <v>29.601666666666667</v>
      </c>
      <c r="D2283" s="37">
        <v>5.3929999999999998</v>
      </c>
      <c r="E2283" s="33">
        <f t="shared" si="77"/>
        <v>-3.9816061013906437E-3</v>
      </c>
    </row>
    <row r="2284" spans="1:5" x14ac:dyDescent="0.25">
      <c r="A2284" s="41">
        <v>43561</v>
      </c>
      <c r="B2284" s="29">
        <v>175.66</v>
      </c>
      <c r="C2284" s="37">
        <f t="shared" si="76"/>
        <v>29.276666666666667</v>
      </c>
      <c r="D2284" s="37">
        <v>5.3929999999999998</v>
      </c>
      <c r="E2284" s="33">
        <f t="shared" si="77"/>
        <v>-1.097911153651268E-2</v>
      </c>
    </row>
    <row r="2285" spans="1:5" x14ac:dyDescent="0.25">
      <c r="A2285" s="41">
        <v>43561</v>
      </c>
      <c r="B2285" s="29">
        <v>175.14</v>
      </c>
      <c r="C2285" s="37">
        <f t="shared" si="76"/>
        <v>29.19</v>
      </c>
      <c r="D2285" s="37">
        <v>5.3929999999999998</v>
      </c>
      <c r="E2285" s="33">
        <f t="shared" si="77"/>
        <v>-2.9602641466469899E-3</v>
      </c>
    </row>
    <row r="2286" spans="1:5" x14ac:dyDescent="0.25">
      <c r="A2286" s="41">
        <v>43561</v>
      </c>
      <c r="B2286" s="29">
        <v>175.14</v>
      </c>
      <c r="C2286" s="37">
        <f t="shared" si="76"/>
        <v>29.19</v>
      </c>
      <c r="D2286" s="37">
        <v>5.3929999999999998</v>
      </c>
      <c r="E2286" s="33">
        <f t="shared" si="77"/>
        <v>0</v>
      </c>
    </row>
    <row r="2287" spans="1:5" x14ac:dyDescent="0.25">
      <c r="A2287" s="41">
        <v>43561</v>
      </c>
      <c r="B2287" s="29">
        <v>175.14</v>
      </c>
      <c r="C2287" s="37">
        <f t="shared" si="76"/>
        <v>29.19</v>
      </c>
      <c r="D2287" s="37">
        <v>5.3929999999999998</v>
      </c>
      <c r="E2287" s="33">
        <f t="shared" si="77"/>
        <v>0</v>
      </c>
    </row>
    <row r="2288" spans="1:5" x14ac:dyDescent="0.25">
      <c r="A2288" s="41">
        <v>43561</v>
      </c>
      <c r="B2288" s="29">
        <v>175.14</v>
      </c>
      <c r="C2288" s="37">
        <f t="shared" si="76"/>
        <v>29.19</v>
      </c>
      <c r="D2288" s="37">
        <v>5.3929999999999998</v>
      </c>
      <c r="E2288" s="33">
        <f t="shared" si="77"/>
        <v>0</v>
      </c>
    </row>
    <row r="2289" spans="1:5" x14ac:dyDescent="0.25">
      <c r="A2289" s="41">
        <v>43561</v>
      </c>
      <c r="B2289" s="29">
        <v>175.76</v>
      </c>
      <c r="C2289" s="37">
        <f t="shared" si="76"/>
        <v>29.293333333333333</v>
      </c>
      <c r="D2289" s="37">
        <v>5.3929999999999998</v>
      </c>
      <c r="E2289" s="33">
        <f t="shared" si="77"/>
        <v>3.5400251227589619E-3</v>
      </c>
    </row>
    <row r="2290" spans="1:5" x14ac:dyDescent="0.25">
      <c r="A2290" s="41">
        <v>43561</v>
      </c>
      <c r="B2290" s="29">
        <v>177.92</v>
      </c>
      <c r="C2290" s="37">
        <f t="shared" si="76"/>
        <v>29.653333333333332</v>
      </c>
      <c r="D2290" s="37">
        <v>5.3929999999999998</v>
      </c>
      <c r="E2290" s="33">
        <f t="shared" si="77"/>
        <v>1.2289485662266708E-2</v>
      </c>
    </row>
    <row r="2291" spans="1:5" x14ac:dyDescent="0.25">
      <c r="A2291" s="41">
        <v>43561</v>
      </c>
      <c r="B2291" s="29">
        <v>178.42</v>
      </c>
      <c r="C2291" s="37">
        <f t="shared" si="76"/>
        <v>29.736666666666668</v>
      </c>
      <c r="D2291" s="37">
        <v>5.3929999999999998</v>
      </c>
      <c r="E2291" s="33">
        <f t="shared" si="77"/>
        <v>2.8102517985611514E-3</v>
      </c>
    </row>
    <row r="2292" spans="1:5" x14ac:dyDescent="0.25">
      <c r="A2292" s="41">
        <v>43561</v>
      </c>
      <c r="B2292" s="29">
        <v>178.51</v>
      </c>
      <c r="C2292" s="37">
        <f t="shared" si="76"/>
        <v>29.751666666666665</v>
      </c>
      <c r="D2292" s="37">
        <v>5.3929999999999998</v>
      </c>
      <c r="E2292" s="33">
        <f t="shared" si="77"/>
        <v>5.0442775473603528E-4</v>
      </c>
    </row>
    <row r="2293" spans="1:5" x14ac:dyDescent="0.25">
      <c r="A2293" s="41">
        <v>43561</v>
      </c>
      <c r="B2293" s="29">
        <v>178.52</v>
      </c>
      <c r="C2293" s="37">
        <f t="shared" si="76"/>
        <v>29.753333333333334</v>
      </c>
      <c r="D2293" s="37">
        <v>5.3929999999999998</v>
      </c>
      <c r="E2293" s="33">
        <f t="shared" si="77"/>
        <v>5.6019270629204681E-5</v>
      </c>
    </row>
    <row r="2294" spans="1:5" x14ac:dyDescent="0.25">
      <c r="A2294" s="41">
        <v>43561</v>
      </c>
      <c r="B2294" s="29">
        <v>178.51</v>
      </c>
      <c r="C2294" s="37">
        <f t="shared" si="76"/>
        <v>29.751666666666665</v>
      </c>
      <c r="D2294" s="37">
        <v>5.3929999999999998</v>
      </c>
      <c r="E2294" s="33">
        <f t="shared" si="77"/>
        <v>-5.6016132646310365E-5</v>
      </c>
    </row>
    <row r="2295" spans="1:5" x14ac:dyDescent="0.25">
      <c r="A2295" s="41">
        <v>43561</v>
      </c>
      <c r="B2295" s="29">
        <v>178.47</v>
      </c>
      <c r="C2295" s="37">
        <f t="shared" si="76"/>
        <v>29.745000000000001</v>
      </c>
      <c r="D2295" s="37">
        <v>5.3929999999999998</v>
      </c>
      <c r="E2295" s="33">
        <f t="shared" si="77"/>
        <v>-2.2407708251634108E-4</v>
      </c>
    </row>
    <row r="2296" spans="1:5" x14ac:dyDescent="0.25">
      <c r="A2296" s="41">
        <v>43561</v>
      </c>
      <c r="B2296" s="29">
        <v>178.51</v>
      </c>
      <c r="C2296" s="37">
        <f t="shared" si="76"/>
        <v>29.751666666666665</v>
      </c>
      <c r="D2296" s="37">
        <v>5.3929999999999998</v>
      </c>
      <c r="E2296" s="33">
        <f t="shared" si="77"/>
        <v>2.2412730430880284E-4</v>
      </c>
    </row>
    <row r="2297" spans="1:5" x14ac:dyDescent="0.25">
      <c r="A2297" s="41">
        <v>43561</v>
      </c>
      <c r="B2297" s="29">
        <v>178.51</v>
      </c>
      <c r="C2297" s="37">
        <f t="shared" si="76"/>
        <v>29.751666666666665</v>
      </c>
      <c r="D2297" s="37">
        <v>5.3929999999999998</v>
      </c>
      <c r="E2297" s="33">
        <f t="shared" si="77"/>
        <v>0</v>
      </c>
    </row>
    <row r="2298" spans="1:5" x14ac:dyDescent="0.25">
      <c r="A2298" s="41">
        <v>43561</v>
      </c>
      <c r="B2298" s="29">
        <v>178.51</v>
      </c>
      <c r="C2298" s="37">
        <f t="shared" si="76"/>
        <v>29.751666666666665</v>
      </c>
      <c r="D2298" s="37">
        <v>5.3929999999999998</v>
      </c>
      <c r="E2298" s="33">
        <f t="shared" si="77"/>
        <v>0</v>
      </c>
    </row>
    <row r="2299" spans="1:5" x14ac:dyDescent="0.25">
      <c r="A2299" s="41">
        <v>43561</v>
      </c>
      <c r="B2299" s="29">
        <v>178.53</v>
      </c>
      <c r="C2299" s="37">
        <f t="shared" si="76"/>
        <v>29.754999999999999</v>
      </c>
      <c r="D2299" s="37">
        <v>5.3929999999999998</v>
      </c>
      <c r="E2299" s="33">
        <f t="shared" si="77"/>
        <v>1.1203854125825015E-4</v>
      </c>
    </row>
    <row r="2300" spans="1:5" x14ac:dyDescent="0.25">
      <c r="A2300" s="41">
        <v>43561</v>
      </c>
      <c r="B2300" s="29">
        <v>179.55</v>
      </c>
      <c r="C2300" s="37">
        <f t="shared" si="76"/>
        <v>29.925000000000001</v>
      </c>
      <c r="D2300" s="37">
        <v>5.3929999999999998</v>
      </c>
      <c r="E2300" s="33">
        <f t="shared" si="77"/>
        <v>5.7133254915140881E-3</v>
      </c>
    </row>
    <row r="2301" spans="1:5" x14ac:dyDescent="0.25">
      <c r="A2301" s="41">
        <v>43561</v>
      </c>
      <c r="B2301" s="29">
        <v>179.55</v>
      </c>
      <c r="C2301" s="37">
        <f t="shared" si="76"/>
        <v>29.925000000000001</v>
      </c>
      <c r="D2301" s="37">
        <v>5.3929999999999998</v>
      </c>
      <c r="E2301" s="33">
        <f t="shared" si="77"/>
        <v>0</v>
      </c>
    </row>
    <row r="2302" spans="1:5" x14ac:dyDescent="0.25">
      <c r="A2302" s="41">
        <v>43561</v>
      </c>
      <c r="B2302" s="29">
        <v>179.5</v>
      </c>
      <c r="C2302" s="37">
        <f t="shared" si="76"/>
        <v>29.916666666666668</v>
      </c>
      <c r="D2302" s="37">
        <v>5.3929999999999998</v>
      </c>
      <c r="E2302" s="33">
        <f t="shared" si="77"/>
        <v>-2.784739626845523E-4</v>
      </c>
    </row>
    <row r="2303" spans="1:5" x14ac:dyDescent="0.25">
      <c r="A2303" s="41">
        <v>43561</v>
      </c>
      <c r="B2303" s="29">
        <v>178.68</v>
      </c>
      <c r="C2303" s="37">
        <f t="shared" si="76"/>
        <v>29.78</v>
      </c>
      <c r="D2303" s="37">
        <v>5.3929999999999998</v>
      </c>
      <c r="E2303" s="33">
        <f t="shared" si="77"/>
        <v>-4.5682451253481514E-3</v>
      </c>
    </row>
    <row r="2304" spans="1:5" x14ac:dyDescent="0.25">
      <c r="A2304" s="41">
        <v>43561</v>
      </c>
      <c r="B2304" s="29">
        <v>178.04</v>
      </c>
      <c r="C2304" s="37">
        <f t="shared" si="76"/>
        <v>29.673333333333332</v>
      </c>
      <c r="D2304" s="37">
        <v>5.3929999999999998</v>
      </c>
      <c r="E2304" s="33">
        <f t="shared" si="77"/>
        <v>-3.5818222520708235E-3</v>
      </c>
    </row>
    <row r="2305" spans="1:5" x14ac:dyDescent="0.25">
      <c r="A2305" s="41">
        <v>43561</v>
      </c>
      <c r="B2305" s="29">
        <v>177.54</v>
      </c>
      <c r="C2305" s="37">
        <f t="shared" si="76"/>
        <v>29.59</v>
      </c>
      <c r="D2305" s="37">
        <v>5.3929999999999998</v>
      </c>
      <c r="E2305" s="33">
        <f t="shared" si="77"/>
        <v>-2.8083576724331613E-3</v>
      </c>
    </row>
    <row r="2306" spans="1:5" x14ac:dyDescent="0.25">
      <c r="A2306" s="41">
        <v>43562</v>
      </c>
      <c r="B2306" s="29">
        <v>170.1</v>
      </c>
      <c r="C2306" s="37">
        <f t="shared" si="76"/>
        <v>28.35</v>
      </c>
      <c r="D2306" s="37">
        <v>6.06</v>
      </c>
      <c r="E2306" s="33">
        <f t="shared" si="77"/>
        <v>-4.1906049340993567E-2</v>
      </c>
    </row>
    <row r="2307" spans="1:5" x14ac:dyDescent="0.25">
      <c r="A2307" s="41">
        <v>43562</v>
      </c>
      <c r="B2307" s="29">
        <v>169.89</v>
      </c>
      <c r="C2307" s="37">
        <f t="shared" ref="C2307:C2370" si="78">(B2307*100/600)</f>
        <v>28.315000000000001</v>
      </c>
      <c r="D2307" s="37">
        <v>6.06</v>
      </c>
      <c r="E2307" s="33">
        <f t="shared" si="77"/>
        <v>-1.2345679012346147E-3</v>
      </c>
    </row>
    <row r="2308" spans="1:5" x14ac:dyDescent="0.25">
      <c r="A2308" s="41">
        <v>43562</v>
      </c>
      <c r="B2308" s="29">
        <v>169.86</v>
      </c>
      <c r="C2308" s="37">
        <f t="shared" si="78"/>
        <v>28.31</v>
      </c>
      <c r="D2308" s="37">
        <v>6.06</v>
      </c>
      <c r="E2308" s="33">
        <f t="shared" ref="E2308:E2371" si="79">(B2308-B2307)/B2307</f>
        <v>-1.7658484901979349E-4</v>
      </c>
    </row>
    <row r="2309" spans="1:5" x14ac:dyDescent="0.25">
      <c r="A2309" s="41">
        <v>43562</v>
      </c>
      <c r="B2309" s="29">
        <v>168.82</v>
      </c>
      <c r="C2309" s="37">
        <f t="shared" si="78"/>
        <v>28.136666666666667</v>
      </c>
      <c r="D2309" s="37">
        <v>6.06</v>
      </c>
      <c r="E2309" s="33">
        <f t="shared" si="79"/>
        <v>-6.1226892735194889E-3</v>
      </c>
    </row>
    <row r="2310" spans="1:5" x14ac:dyDescent="0.25">
      <c r="A2310" s="41">
        <v>43562</v>
      </c>
      <c r="B2310" s="29">
        <v>168.9</v>
      </c>
      <c r="C2310" s="37">
        <f t="shared" si="78"/>
        <v>28.15</v>
      </c>
      <c r="D2310" s="37">
        <v>6.06</v>
      </c>
      <c r="E2310" s="33">
        <f t="shared" si="79"/>
        <v>4.7387750266563507E-4</v>
      </c>
    </row>
    <row r="2311" spans="1:5" x14ac:dyDescent="0.25">
      <c r="A2311" s="41">
        <v>43562</v>
      </c>
      <c r="B2311" s="29">
        <v>168.98</v>
      </c>
      <c r="C2311" s="37">
        <f t="shared" si="78"/>
        <v>28.163333333333334</v>
      </c>
      <c r="D2311" s="37">
        <v>6.06</v>
      </c>
      <c r="E2311" s="33">
        <f t="shared" si="79"/>
        <v>4.7365304914140962E-4</v>
      </c>
    </row>
    <row r="2312" spans="1:5" x14ac:dyDescent="0.25">
      <c r="A2312" s="41">
        <v>43562</v>
      </c>
      <c r="B2312" s="29">
        <v>168.69</v>
      </c>
      <c r="C2312" s="37">
        <f t="shared" si="78"/>
        <v>28.114999999999998</v>
      </c>
      <c r="D2312" s="37">
        <v>6.06</v>
      </c>
      <c r="E2312" s="33">
        <f t="shared" si="79"/>
        <v>-1.7161794295182393E-3</v>
      </c>
    </row>
    <row r="2313" spans="1:5" x14ac:dyDescent="0.25">
      <c r="A2313" s="41">
        <v>43562</v>
      </c>
      <c r="B2313" s="29">
        <v>168.71</v>
      </c>
      <c r="C2313" s="37">
        <f t="shared" si="78"/>
        <v>28.118333333333332</v>
      </c>
      <c r="D2313" s="37">
        <v>6.06</v>
      </c>
      <c r="E2313" s="33">
        <f t="shared" si="79"/>
        <v>1.185606734246857E-4</v>
      </c>
    </row>
    <row r="2314" spans="1:5" x14ac:dyDescent="0.25">
      <c r="A2314" s="41">
        <v>43562</v>
      </c>
      <c r="B2314" s="29">
        <v>169.56</v>
      </c>
      <c r="C2314" s="37">
        <f t="shared" si="78"/>
        <v>28.26</v>
      </c>
      <c r="D2314" s="37">
        <v>6.06</v>
      </c>
      <c r="E2314" s="33">
        <f t="shared" si="79"/>
        <v>5.0382312844525767E-3</v>
      </c>
    </row>
    <row r="2315" spans="1:5" x14ac:dyDescent="0.25">
      <c r="A2315" s="41">
        <v>43562</v>
      </c>
      <c r="B2315" s="29">
        <v>169.65</v>
      </c>
      <c r="C2315" s="37">
        <f t="shared" si="78"/>
        <v>28.274999999999999</v>
      </c>
      <c r="D2315" s="37">
        <v>6.06</v>
      </c>
      <c r="E2315" s="33">
        <f t="shared" si="79"/>
        <v>5.3078556263271655E-4</v>
      </c>
    </row>
    <row r="2316" spans="1:5" x14ac:dyDescent="0.25">
      <c r="A2316" s="41">
        <v>43562</v>
      </c>
      <c r="B2316" s="29">
        <v>169.65</v>
      </c>
      <c r="C2316" s="37">
        <f t="shared" si="78"/>
        <v>28.274999999999999</v>
      </c>
      <c r="D2316" s="37">
        <v>6.06</v>
      </c>
      <c r="E2316" s="33">
        <f t="shared" si="79"/>
        <v>0</v>
      </c>
    </row>
    <row r="2317" spans="1:5" x14ac:dyDescent="0.25">
      <c r="A2317" s="41">
        <v>43562</v>
      </c>
      <c r="B2317" s="29">
        <v>169.61</v>
      </c>
      <c r="C2317" s="37">
        <f t="shared" si="78"/>
        <v>28.268333333333334</v>
      </c>
      <c r="D2317" s="37">
        <v>6.06</v>
      </c>
      <c r="E2317" s="33">
        <f t="shared" si="79"/>
        <v>-2.3577954612432678E-4</v>
      </c>
    </row>
    <row r="2318" spans="1:5" x14ac:dyDescent="0.25">
      <c r="A2318" s="41">
        <v>43562</v>
      </c>
      <c r="B2318" s="29">
        <v>169.61</v>
      </c>
      <c r="C2318" s="37">
        <f t="shared" si="78"/>
        <v>28.268333333333334</v>
      </c>
      <c r="D2318" s="37">
        <v>6.06</v>
      </c>
      <c r="E2318" s="33">
        <f t="shared" si="79"/>
        <v>0</v>
      </c>
    </row>
    <row r="2319" spans="1:5" x14ac:dyDescent="0.25">
      <c r="A2319" s="41">
        <v>43562</v>
      </c>
      <c r="B2319" s="29">
        <v>169.68</v>
      </c>
      <c r="C2319" s="37">
        <f t="shared" si="78"/>
        <v>28.28</v>
      </c>
      <c r="D2319" s="37">
        <v>6.06</v>
      </c>
      <c r="E2319" s="33">
        <f t="shared" si="79"/>
        <v>4.1271151465121852E-4</v>
      </c>
    </row>
    <row r="2320" spans="1:5" x14ac:dyDescent="0.25">
      <c r="A2320" s="41">
        <v>43562</v>
      </c>
      <c r="B2320" s="29">
        <v>169.76</v>
      </c>
      <c r="C2320" s="37">
        <f t="shared" si="78"/>
        <v>28.293333333333333</v>
      </c>
      <c r="D2320" s="37">
        <v>6.06</v>
      </c>
      <c r="E2320" s="33">
        <f t="shared" si="79"/>
        <v>4.7147571900037764E-4</v>
      </c>
    </row>
    <row r="2321" spans="1:5" x14ac:dyDescent="0.25">
      <c r="A2321" s="41">
        <v>43562</v>
      </c>
      <c r="B2321" s="29">
        <v>169.84</v>
      </c>
      <c r="C2321" s="37">
        <f t="shared" si="78"/>
        <v>28.306666666666668</v>
      </c>
      <c r="D2321" s="37">
        <v>6.06</v>
      </c>
      <c r="E2321" s="33">
        <f t="shared" si="79"/>
        <v>4.7125353440158173E-4</v>
      </c>
    </row>
    <row r="2322" spans="1:5" x14ac:dyDescent="0.25">
      <c r="A2322" s="41">
        <v>43562</v>
      </c>
      <c r="B2322" s="29">
        <v>169.88</v>
      </c>
      <c r="C2322" s="37">
        <f t="shared" si="78"/>
        <v>28.313333333333333</v>
      </c>
      <c r="D2322" s="37">
        <v>6.06</v>
      </c>
      <c r="E2322" s="33">
        <f t="shared" si="79"/>
        <v>2.3551577955718348E-4</v>
      </c>
    </row>
    <row r="2323" spans="1:5" x14ac:dyDescent="0.25">
      <c r="A2323" s="41">
        <v>43562</v>
      </c>
      <c r="B2323" s="29">
        <v>170</v>
      </c>
      <c r="C2323" s="37">
        <f t="shared" si="78"/>
        <v>28.333333333333332</v>
      </c>
      <c r="D2323" s="37">
        <v>6.06</v>
      </c>
      <c r="E2323" s="33">
        <f t="shared" si="79"/>
        <v>7.0638097480577207E-4</v>
      </c>
    </row>
    <row r="2324" spans="1:5" x14ac:dyDescent="0.25">
      <c r="A2324" s="41">
        <v>43562</v>
      </c>
      <c r="B2324" s="29">
        <v>174.8</v>
      </c>
      <c r="C2324" s="37">
        <f t="shared" si="78"/>
        <v>29.133333333333333</v>
      </c>
      <c r="D2324" s="37">
        <v>6.06</v>
      </c>
      <c r="E2324" s="33">
        <f t="shared" si="79"/>
        <v>2.8235294117647126E-2</v>
      </c>
    </row>
    <row r="2325" spans="1:5" x14ac:dyDescent="0.25">
      <c r="A2325" s="41">
        <v>43562</v>
      </c>
      <c r="B2325" s="29">
        <v>174.82</v>
      </c>
      <c r="C2325" s="37">
        <f t="shared" si="78"/>
        <v>29.136666666666667</v>
      </c>
      <c r="D2325" s="37">
        <v>6.06</v>
      </c>
      <c r="E2325" s="33">
        <f t="shared" si="79"/>
        <v>1.1441647597243598E-4</v>
      </c>
    </row>
    <row r="2326" spans="1:5" x14ac:dyDescent="0.25">
      <c r="A2326" s="41">
        <v>43562</v>
      </c>
      <c r="B2326" s="29">
        <v>174.82</v>
      </c>
      <c r="C2326" s="37">
        <f t="shared" si="78"/>
        <v>29.136666666666667</v>
      </c>
      <c r="D2326" s="37">
        <v>6.06</v>
      </c>
      <c r="E2326" s="33">
        <f t="shared" si="79"/>
        <v>0</v>
      </c>
    </row>
    <row r="2327" spans="1:5" x14ac:dyDescent="0.25">
      <c r="A2327" s="41">
        <v>43562</v>
      </c>
      <c r="B2327" s="29">
        <v>174.82</v>
      </c>
      <c r="C2327" s="37">
        <f t="shared" si="78"/>
        <v>29.136666666666667</v>
      </c>
      <c r="D2327" s="37">
        <v>6.06</v>
      </c>
      <c r="E2327" s="33">
        <f t="shared" si="79"/>
        <v>0</v>
      </c>
    </row>
    <row r="2328" spans="1:5" x14ac:dyDescent="0.25">
      <c r="A2328" s="41">
        <v>43562</v>
      </c>
      <c r="B2328" s="29">
        <v>174.34</v>
      </c>
      <c r="C2328" s="37">
        <f t="shared" si="78"/>
        <v>29.056666666666668</v>
      </c>
      <c r="D2328" s="37">
        <v>6.06</v>
      </c>
      <c r="E2328" s="33">
        <f t="shared" si="79"/>
        <v>-2.7456812721655976E-3</v>
      </c>
    </row>
    <row r="2329" spans="1:5" x14ac:dyDescent="0.25">
      <c r="A2329" s="41">
        <v>43562</v>
      </c>
      <c r="B2329" s="29">
        <v>172.43</v>
      </c>
      <c r="C2329" s="37">
        <f t="shared" si="78"/>
        <v>28.738333333333333</v>
      </c>
      <c r="D2329" s="37">
        <v>6.06</v>
      </c>
      <c r="E2329" s="33">
        <f t="shared" si="79"/>
        <v>-1.0955603992199131E-2</v>
      </c>
    </row>
    <row r="2330" spans="1:5" x14ac:dyDescent="0.25">
      <c r="A2330" s="41">
        <v>43563</v>
      </c>
      <c r="B2330" s="29">
        <v>174.66</v>
      </c>
      <c r="C2330" s="37">
        <f t="shared" si="78"/>
        <v>29.11</v>
      </c>
      <c r="D2330" s="37">
        <v>6.9379999999999997</v>
      </c>
      <c r="E2330" s="33">
        <f t="shared" si="79"/>
        <v>1.2932784318274023E-2</v>
      </c>
    </row>
    <row r="2331" spans="1:5" x14ac:dyDescent="0.25">
      <c r="A2331" s="41">
        <v>43563</v>
      </c>
      <c r="B2331" s="29">
        <v>171.92</v>
      </c>
      <c r="C2331" s="37">
        <f t="shared" si="78"/>
        <v>28.653333333333332</v>
      </c>
      <c r="D2331" s="37">
        <v>6.9379999999999997</v>
      </c>
      <c r="E2331" s="33">
        <f t="shared" si="79"/>
        <v>-1.5687621664949095E-2</v>
      </c>
    </row>
    <row r="2332" spans="1:5" x14ac:dyDescent="0.25">
      <c r="A2332" s="41">
        <v>43563</v>
      </c>
      <c r="B2332" s="29">
        <v>170.3</v>
      </c>
      <c r="C2332" s="37">
        <f t="shared" si="78"/>
        <v>28.383333333333333</v>
      </c>
      <c r="D2332" s="37">
        <v>6.9379999999999997</v>
      </c>
      <c r="E2332" s="33">
        <f t="shared" si="79"/>
        <v>-9.4229874360166142E-3</v>
      </c>
    </row>
    <row r="2333" spans="1:5" x14ac:dyDescent="0.25">
      <c r="A2333" s="41">
        <v>43563</v>
      </c>
      <c r="B2333" s="29">
        <v>170.39</v>
      </c>
      <c r="C2333" s="37">
        <f t="shared" si="78"/>
        <v>28.398333333333333</v>
      </c>
      <c r="D2333" s="37">
        <v>6.9379999999999997</v>
      </c>
      <c r="E2333" s="33">
        <f t="shared" si="79"/>
        <v>5.2847915443320602E-4</v>
      </c>
    </row>
    <row r="2334" spans="1:5" x14ac:dyDescent="0.25">
      <c r="A2334" s="41">
        <v>43563</v>
      </c>
      <c r="B2334" s="29">
        <v>170.39</v>
      </c>
      <c r="C2334" s="37">
        <f t="shared" si="78"/>
        <v>28.398333333333333</v>
      </c>
      <c r="D2334" s="37">
        <v>6.9379999999999997</v>
      </c>
      <c r="E2334" s="33">
        <f t="shared" si="79"/>
        <v>0</v>
      </c>
    </row>
    <row r="2335" spans="1:5" x14ac:dyDescent="0.25">
      <c r="A2335" s="41">
        <v>43563</v>
      </c>
      <c r="B2335" s="29">
        <v>173.61</v>
      </c>
      <c r="C2335" s="37">
        <f t="shared" si="78"/>
        <v>28.934999999999999</v>
      </c>
      <c r="D2335" s="37">
        <v>6.9379999999999997</v>
      </c>
      <c r="E2335" s="33">
        <f t="shared" si="79"/>
        <v>1.8897822642174E-2</v>
      </c>
    </row>
    <row r="2336" spans="1:5" x14ac:dyDescent="0.25">
      <c r="A2336" s="41">
        <v>43563</v>
      </c>
      <c r="B2336" s="29">
        <v>174.99</v>
      </c>
      <c r="C2336" s="37">
        <f t="shared" si="78"/>
        <v>29.164999999999999</v>
      </c>
      <c r="D2336" s="37">
        <v>6.9379999999999997</v>
      </c>
      <c r="E2336" s="33">
        <f t="shared" si="79"/>
        <v>7.9488508726455586E-3</v>
      </c>
    </row>
    <row r="2337" spans="1:5" x14ac:dyDescent="0.25">
      <c r="A2337" s="41">
        <v>43563</v>
      </c>
      <c r="B2337" s="29">
        <v>176.64</v>
      </c>
      <c r="C2337" s="37">
        <f t="shared" si="78"/>
        <v>29.44</v>
      </c>
      <c r="D2337" s="37">
        <v>6.9379999999999997</v>
      </c>
      <c r="E2337" s="33">
        <f t="shared" si="79"/>
        <v>9.4291102348704331E-3</v>
      </c>
    </row>
    <row r="2338" spans="1:5" x14ac:dyDescent="0.25">
      <c r="A2338" s="41">
        <v>43563</v>
      </c>
      <c r="B2338" s="29">
        <v>177.62</v>
      </c>
      <c r="C2338" s="37">
        <f t="shared" si="78"/>
        <v>29.603333333333332</v>
      </c>
      <c r="D2338" s="37">
        <v>6.9379999999999997</v>
      </c>
      <c r="E2338" s="33">
        <f t="shared" si="79"/>
        <v>5.5480072463769152E-3</v>
      </c>
    </row>
    <row r="2339" spans="1:5" x14ac:dyDescent="0.25">
      <c r="A2339" s="41">
        <v>43563</v>
      </c>
      <c r="B2339" s="29">
        <v>178.49</v>
      </c>
      <c r="C2339" s="37">
        <f t="shared" si="78"/>
        <v>29.748333333333335</v>
      </c>
      <c r="D2339" s="37">
        <v>6.9379999999999997</v>
      </c>
      <c r="E2339" s="33">
        <f t="shared" si="79"/>
        <v>4.8980970611417884E-3</v>
      </c>
    </row>
    <row r="2340" spans="1:5" x14ac:dyDescent="0.25">
      <c r="A2340" s="41">
        <v>43563</v>
      </c>
      <c r="B2340" s="29">
        <v>179.07</v>
      </c>
      <c r="C2340" s="37">
        <f t="shared" si="78"/>
        <v>29.844999999999999</v>
      </c>
      <c r="D2340" s="37">
        <v>6.9379999999999997</v>
      </c>
      <c r="E2340" s="33">
        <f t="shared" si="79"/>
        <v>3.2494817636841509E-3</v>
      </c>
    </row>
    <row r="2341" spans="1:5" x14ac:dyDescent="0.25">
      <c r="A2341" s="41">
        <v>43563</v>
      </c>
      <c r="B2341" s="29">
        <v>179.05</v>
      </c>
      <c r="C2341" s="37">
        <f t="shared" si="78"/>
        <v>29.841666666666665</v>
      </c>
      <c r="D2341" s="37">
        <v>6.9379999999999997</v>
      </c>
      <c r="E2341" s="33">
        <f t="shared" si="79"/>
        <v>-1.1168816663864305E-4</v>
      </c>
    </row>
    <row r="2342" spans="1:5" x14ac:dyDescent="0.25">
      <c r="A2342" s="41">
        <v>43563</v>
      </c>
      <c r="B2342" s="29">
        <v>178.68</v>
      </c>
      <c r="C2342" s="37">
        <f t="shared" si="78"/>
        <v>29.78</v>
      </c>
      <c r="D2342" s="37">
        <v>6.9379999999999997</v>
      </c>
      <c r="E2342" s="33">
        <f t="shared" si="79"/>
        <v>-2.0664618821558478E-3</v>
      </c>
    </row>
    <row r="2343" spans="1:5" x14ac:dyDescent="0.25">
      <c r="A2343" s="41">
        <v>43563</v>
      </c>
      <c r="B2343" s="29">
        <v>179.06</v>
      </c>
      <c r="C2343" s="37">
        <f t="shared" si="78"/>
        <v>29.843333333333334</v>
      </c>
      <c r="D2343" s="37">
        <v>6.9379999999999997</v>
      </c>
      <c r="E2343" s="33">
        <f t="shared" si="79"/>
        <v>2.1267069621669771E-3</v>
      </c>
    </row>
    <row r="2344" spans="1:5" x14ac:dyDescent="0.25">
      <c r="A2344" s="41">
        <v>43563</v>
      </c>
      <c r="B2344" s="29">
        <v>179.07</v>
      </c>
      <c r="C2344" s="37">
        <f t="shared" si="78"/>
        <v>29.844999999999999</v>
      </c>
      <c r="D2344" s="37">
        <v>6.9379999999999997</v>
      </c>
      <c r="E2344" s="33">
        <f t="shared" si="79"/>
        <v>5.5847202055126241E-5</v>
      </c>
    </row>
    <row r="2345" spans="1:5" x14ac:dyDescent="0.25">
      <c r="A2345" s="41">
        <v>43563</v>
      </c>
      <c r="B2345" s="29">
        <v>179.07</v>
      </c>
      <c r="C2345" s="37">
        <f t="shared" si="78"/>
        <v>29.844999999999999</v>
      </c>
      <c r="D2345" s="37">
        <v>6.9379999999999997</v>
      </c>
      <c r="E2345" s="33">
        <f t="shared" si="79"/>
        <v>0</v>
      </c>
    </row>
    <row r="2346" spans="1:5" x14ac:dyDescent="0.25">
      <c r="A2346" s="41">
        <v>43563</v>
      </c>
      <c r="B2346" s="29">
        <v>179.07</v>
      </c>
      <c r="C2346" s="37">
        <f t="shared" si="78"/>
        <v>29.844999999999999</v>
      </c>
      <c r="D2346" s="37">
        <v>6.9379999999999997</v>
      </c>
      <c r="E2346" s="33">
        <f t="shared" si="79"/>
        <v>0</v>
      </c>
    </row>
    <row r="2347" spans="1:5" x14ac:dyDescent="0.25">
      <c r="A2347" s="41">
        <v>43563</v>
      </c>
      <c r="B2347" s="29">
        <v>178.79</v>
      </c>
      <c r="C2347" s="37">
        <f t="shared" si="78"/>
        <v>29.798333333333332</v>
      </c>
      <c r="D2347" s="37">
        <v>6.9379999999999997</v>
      </c>
      <c r="E2347" s="33">
        <f t="shared" si="79"/>
        <v>-1.5636343329424312E-3</v>
      </c>
    </row>
    <row r="2348" spans="1:5" x14ac:dyDescent="0.25">
      <c r="A2348" s="41">
        <v>43563</v>
      </c>
      <c r="B2348" s="29">
        <v>178.85</v>
      </c>
      <c r="C2348" s="37">
        <f t="shared" si="78"/>
        <v>29.808333333333334</v>
      </c>
      <c r="D2348" s="37">
        <v>6.9379999999999997</v>
      </c>
      <c r="E2348" s="33">
        <f t="shared" si="79"/>
        <v>3.3558923877175613E-4</v>
      </c>
    </row>
    <row r="2349" spans="1:5" x14ac:dyDescent="0.25">
      <c r="A2349" s="41">
        <v>43563</v>
      </c>
      <c r="B2349" s="29">
        <v>178.88</v>
      </c>
      <c r="C2349" s="37">
        <f t="shared" si="78"/>
        <v>29.813333333333333</v>
      </c>
      <c r="D2349" s="37">
        <v>6.9379999999999997</v>
      </c>
      <c r="E2349" s="33">
        <f t="shared" si="79"/>
        <v>1.6773832820800189E-4</v>
      </c>
    </row>
    <row r="2350" spans="1:5" x14ac:dyDescent="0.25">
      <c r="A2350" s="41">
        <v>43563</v>
      </c>
      <c r="B2350" s="29">
        <v>178.85</v>
      </c>
      <c r="C2350" s="37">
        <f t="shared" si="78"/>
        <v>29.808333333333334</v>
      </c>
      <c r="D2350" s="37">
        <v>6.9379999999999997</v>
      </c>
      <c r="E2350" s="33">
        <f t="shared" si="79"/>
        <v>-1.6771019677997058E-4</v>
      </c>
    </row>
    <row r="2351" spans="1:5" x14ac:dyDescent="0.25">
      <c r="A2351" s="41">
        <v>43563</v>
      </c>
      <c r="B2351" s="29">
        <v>178.08</v>
      </c>
      <c r="C2351" s="37">
        <f t="shared" si="78"/>
        <v>29.68</v>
      </c>
      <c r="D2351" s="37">
        <v>6.9379999999999997</v>
      </c>
      <c r="E2351" s="33">
        <f t="shared" si="79"/>
        <v>-4.3052837573384507E-3</v>
      </c>
    </row>
    <row r="2352" spans="1:5" x14ac:dyDescent="0.25">
      <c r="A2352" s="41">
        <v>43563</v>
      </c>
      <c r="B2352" s="29">
        <v>177.41</v>
      </c>
      <c r="C2352" s="37">
        <f t="shared" si="78"/>
        <v>29.568333333333332</v>
      </c>
      <c r="D2352" s="37">
        <v>6.9379999999999997</v>
      </c>
      <c r="E2352" s="33">
        <f t="shared" si="79"/>
        <v>-3.7623539982031438E-3</v>
      </c>
    </row>
    <row r="2353" spans="1:5" x14ac:dyDescent="0.25">
      <c r="A2353" s="41">
        <v>43563</v>
      </c>
      <c r="B2353" s="29">
        <v>176.26</v>
      </c>
      <c r="C2353" s="37">
        <f t="shared" si="78"/>
        <v>29.376666666666665</v>
      </c>
      <c r="D2353" s="37">
        <v>6.9379999999999997</v>
      </c>
      <c r="E2353" s="33">
        <f t="shared" si="79"/>
        <v>-6.4821599684347312E-3</v>
      </c>
    </row>
    <row r="2354" spans="1:5" x14ac:dyDescent="0.25">
      <c r="A2354" s="41">
        <v>43564</v>
      </c>
      <c r="B2354" s="29">
        <v>177.82</v>
      </c>
      <c r="C2354" s="37">
        <f t="shared" si="78"/>
        <v>29.636666666666667</v>
      </c>
      <c r="D2354" s="37">
        <v>7.37</v>
      </c>
      <c r="E2354" s="33">
        <f t="shared" si="79"/>
        <v>8.8505616702598561E-3</v>
      </c>
    </row>
    <row r="2355" spans="1:5" x14ac:dyDescent="0.25">
      <c r="A2355" s="41">
        <v>43564</v>
      </c>
      <c r="B2355" s="29">
        <v>176.96</v>
      </c>
      <c r="C2355" s="37">
        <f t="shared" si="78"/>
        <v>29.493333333333332</v>
      </c>
      <c r="D2355" s="37">
        <v>7.37</v>
      </c>
      <c r="E2355" s="33">
        <f t="shared" si="79"/>
        <v>-4.8363513665503613E-3</v>
      </c>
    </row>
    <row r="2356" spans="1:5" x14ac:dyDescent="0.25">
      <c r="A2356" s="41">
        <v>43564</v>
      </c>
      <c r="B2356" s="29">
        <v>176</v>
      </c>
      <c r="C2356" s="37">
        <f t="shared" si="78"/>
        <v>29.333333333333332</v>
      </c>
      <c r="D2356" s="37">
        <v>7.37</v>
      </c>
      <c r="E2356" s="33">
        <f t="shared" si="79"/>
        <v>-5.4249547920434448E-3</v>
      </c>
    </row>
    <row r="2357" spans="1:5" x14ac:dyDescent="0.25">
      <c r="A2357" s="41">
        <v>43564</v>
      </c>
      <c r="B2357" s="29">
        <v>175.97</v>
      </c>
      <c r="C2357" s="37">
        <f t="shared" si="78"/>
        <v>29.328333333333333</v>
      </c>
      <c r="D2357" s="37">
        <v>7.37</v>
      </c>
      <c r="E2357" s="33">
        <f t="shared" si="79"/>
        <v>-1.7045454545455192E-4</v>
      </c>
    </row>
    <row r="2358" spans="1:5" x14ac:dyDescent="0.25">
      <c r="A2358" s="41">
        <v>43564</v>
      </c>
      <c r="B2358" s="29">
        <v>175.95</v>
      </c>
      <c r="C2358" s="37">
        <f t="shared" si="78"/>
        <v>29.324999999999999</v>
      </c>
      <c r="D2358" s="37">
        <v>7.37</v>
      </c>
      <c r="E2358" s="33">
        <f t="shared" si="79"/>
        <v>-1.1365573677337177E-4</v>
      </c>
    </row>
    <row r="2359" spans="1:5" x14ac:dyDescent="0.25">
      <c r="A2359" s="41">
        <v>43564</v>
      </c>
      <c r="B2359" s="29">
        <v>177.28</v>
      </c>
      <c r="C2359" s="37">
        <f t="shared" si="78"/>
        <v>29.546666666666667</v>
      </c>
      <c r="D2359" s="37">
        <v>7.37</v>
      </c>
      <c r="E2359" s="33">
        <f t="shared" si="79"/>
        <v>7.5589656152316711E-3</v>
      </c>
    </row>
    <row r="2360" spans="1:5" x14ac:dyDescent="0.25">
      <c r="A2360" s="41">
        <v>43564</v>
      </c>
      <c r="B2360" s="29">
        <v>177.91</v>
      </c>
      <c r="C2360" s="37">
        <f t="shared" si="78"/>
        <v>29.651666666666667</v>
      </c>
      <c r="D2360" s="37">
        <v>7.37</v>
      </c>
      <c r="E2360" s="33">
        <f t="shared" si="79"/>
        <v>3.5537003610108045E-3</v>
      </c>
    </row>
    <row r="2361" spans="1:5" x14ac:dyDescent="0.25">
      <c r="A2361" s="41">
        <v>43564</v>
      </c>
      <c r="B2361" s="29">
        <v>178.18</v>
      </c>
      <c r="C2361" s="37">
        <f t="shared" si="78"/>
        <v>29.696666666666665</v>
      </c>
      <c r="D2361" s="37">
        <v>7.37</v>
      </c>
      <c r="E2361" s="33">
        <f t="shared" si="79"/>
        <v>1.5176212691811041E-3</v>
      </c>
    </row>
    <row r="2362" spans="1:5" x14ac:dyDescent="0.25">
      <c r="A2362" s="41">
        <v>43564</v>
      </c>
      <c r="B2362" s="29">
        <v>178.76</v>
      </c>
      <c r="C2362" s="37">
        <f t="shared" si="78"/>
        <v>29.793333333333333</v>
      </c>
      <c r="D2362" s="37">
        <v>7.37</v>
      </c>
      <c r="E2362" s="33">
        <f t="shared" si="79"/>
        <v>3.2551352564821195E-3</v>
      </c>
    </row>
    <row r="2363" spans="1:5" x14ac:dyDescent="0.25">
      <c r="A2363" s="41">
        <v>43564</v>
      </c>
      <c r="B2363" s="29">
        <v>179.97</v>
      </c>
      <c r="C2363" s="37">
        <f t="shared" si="78"/>
        <v>29.995000000000001</v>
      </c>
      <c r="D2363" s="37">
        <v>7.37</v>
      </c>
      <c r="E2363" s="33">
        <f t="shared" si="79"/>
        <v>6.7688520921906914E-3</v>
      </c>
    </row>
    <row r="2364" spans="1:5" x14ac:dyDescent="0.25">
      <c r="A2364" s="41">
        <v>43564</v>
      </c>
      <c r="B2364" s="29">
        <v>180.54</v>
      </c>
      <c r="C2364" s="37">
        <f t="shared" si="78"/>
        <v>30.09</v>
      </c>
      <c r="D2364" s="37">
        <v>7.37</v>
      </c>
      <c r="E2364" s="33">
        <f t="shared" si="79"/>
        <v>3.1671945324220326E-3</v>
      </c>
    </row>
    <row r="2365" spans="1:5" x14ac:dyDescent="0.25">
      <c r="A2365" s="41">
        <v>43564</v>
      </c>
      <c r="B2365" s="29">
        <v>180.57</v>
      </c>
      <c r="C2365" s="37">
        <f t="shared" si="78"/>
        <v>30.094999999999999</v>
      </c>
      <c r="D2365" s="37">
        <v>7.37</v>
      </c>
      <c r="E2365" s="33">
        <f t="shared" si="79"/>
        <v>1.6616816218013259E-4</v>
      </c>
    </row>
    <row r="2366" spans="1:5" x14ac:dyDescent="0.25">
      <c r="A2366" s="41">
        <v>43564</v>
      </c>
      <c r="B2366" s="29">
        <v>179.95</v>
      </c>
      <c r="C2366" s="37">
        <f t="shared" si="78"/>
        <v>29.991666666666667</v>
      </c>
      <c r="D2366" s="37">
        <v>7.37</v>
      </c>
      <c r="E2366" s="33">
        <f t="shared" si="79"/>
        <v>-3.4335714681287288E-3</v>
      </c>
    </row>
    <row r="2367" spans="1:5" x14ac:dyDescent="0.25">
      <c r="A2367" s="41">
        <v>43564</v>
      </c>
      <c r="B2367" s="29">
        <v>180.55</v>
      </c>
      <c r="C2367" s="37">
        <f t="shared" si="78"/>
        <v>30.091666666666665</v>
      </c>
      <c r="D2367" s="37">
        <v>7.37</v>
      </c>
      <c r="E2367" s="33">
        <f t="shared" si="79"/>
        <v>3.3342595165324965E-3</v>
      </c>
    </row>
    <row r="2368" spans="1:5" x14ac:dyDescent="0.25">
      <c r="A2368" s="41">
        <v>43564</v>
      </c>
      <c r="B2368" s="29">
        <v>180.6</v>
      </c>
      <c r="C2368" s="37">
        <f t="shared" si="78"/>
        <v>30.1</v>
      </c>
      <c r="D2368" s="37">
        <v>7.37</v>
      </c>
      <c r="E2368" s="33">
        <f t="shared" si="79"/>
        <v>2.7693159789522536E-4</v>
      </c>
    </row>
    <row r="2369" spans="1:5" x14ac:dyDescent="0.25">
      <c r="A2369" s="41">
        <v>43564</v>
      </c>
      <c r="B2369" s="29">
        <v>180.61</v>
      </c>
      <c r="C2369" s="37">
        <f t="shared" si="78"/>
        <v>30.101666666666667</v>
      </c>
      <c r="D2369" s="37">
        <v>7.37</v>
      </c>
      <c r="E2369" s="33">
        <f t="shared" si="79"/>
        <v>5.5370985603650757E-5</v>
      </c>
    </row>
    <row r="2370" spans="1:5" x14ac:dyDescent="0.25">
      <c r="A2370" s="41">
        <v>43564</v>
      </c>
      <c r="B2370" s="29">
        <v>180.54</v>
      </c>
      <c r="C2370" s="37">
        <f t="shared" si="78"/>
        <v>30.09</v>
      </c>
      <c r="D2370" s="37">
        <v>7.37</v>
      </c>
      <c r="E2370" s="33">
        <f t="shared" si="79"/>
        <v>-3.8757543879088419E-4</v>
      </c>
    </row>
    <row r="2371" spans="1:5" x14ac:dyDescent="0.25">
      <c r="A2371" s="41">
        <v>43564</v>
      </c>
      <c r="B2371" s="29">
        <v>179.51</v>
      </c>
      <c r="C2371" s="37">
        <f t="shared" ref="C2371:C2434" si="80">(B2371*100/600)</f>
        <v>29.918333333333333</v>
      </c>
      <c r="D2371" s="37">
        <v>7.37</v>
      </c>
      <c r="E2371" s="33">
        <f t="shared" si="79"/>
        <v>-5.7051069015176753E-3</v>
      </c>
    </row>
    <row r="2372" spans="1:5" x14ac:dyDescent="0.25">
      <c r="A2372" s="41">
        <v>43564</v>
      </c>
      <c r="B2372" s="29">
        <v>179.87</v>
      </c>
      <c r="C2372" s="37">
        <f t="shared" si="80"/>
        <v>29.978333333333332</v>
      </c>
      <c r="D2372" s="37">
        <v>7.37</v>
      </c>
      <c r="E2372" s="33">
        <f t="shared" ref="E2372:E2435" si="81">(B2372-B2371)/B2371</f>
        <v>2.0054593058883275E-3</v>
      </c>
    </row>
    <row r="2373" spans="1:5" x14ac:dyDescent="0.25">
      <c r="A2373" s="41">
        <v>43564</v>
      </c>
      <c r="B2373" s="29">
        <v>179.91</v>
      </c>
      <c r="C2373" s="37">
        <f t="shared" si="80"/>
        <v>29.984999999999999</v>
      </c>
      <c r="D2373" s="37">
        <v>7.37</v>
      </c>
      <c r="E2373" s="33">
        <f t="shared" si="81"/>
        <v>2.2238283204532186E-4</v>
      </c>
    </row>
    <row r="2374" spans="1:5" x14ac:dyDescent="0.25">
      <c r="A2374" s="41">
        <v>43564</v>
      </c>
      <c r="B2374" s="29">
        <v>179.45</v>
      </c>
      <c r="C2374" s="37">
        <f t="shared" si="80"/>
        <v>29.908333333333335</v>
      </c>
      <c r="D2374" s="37">
        <v>7.37</v>
      </c>
      <c r="E2374" s="33">
        <f t="shared" si="81"/>
        <v>-2.5568339725418709E-3</v>
      </c>
    </row>
    <row r="2375" spans="1:5" x14ac:dyDescent="0.25">
      <c r="A2375" s="41">
        <v>43564</v>
      </c>
      <c r="B2375" s="29">
        <v>179.36</v>
      </c>
      <c r="C2375" s="37">
        <f t="shared" si="80"/>
        <v>29.893333333333334</v>
      </c>
      <c r="D2375" s="37">
        <v>7.37</v>
      </c>
      <c r="E2375" s="33">
        <f t="shared" si="81"/>
        <v>-5.015324602952075E-4</v>
      </c>
    </row>
    <row r="2376" spans="1:5" x14ac:dyDescent="0.25">
      <c r="A2376" s="41">
        <v>43564</v>
      </c>
      <c r="B2376" s="29">
        <v>178.82</v>
      </c>
      <c r="C2376" s="37">
        <f t="shared" si="80"/>
        <v>29.803333333333335</v>
      </c>
      <c r="D2376" s="37">
        <v>7.37</v>
      </c>
      <c r="E2376" s="33">
        <f t="shared" si="81"/>
        <v>-3.0107047279216126E-3</v>
      </c>
    </row>
    <row r="2377" spans="1:5" x14ac:dyDescent="0.25">
      <c r="A2377" s="41">
        <v>43564</v>
      </c>
      <c r="B2377" s="29">
        <v>178.17</v>
      </c>
      <c r="C2377" s="37">
        <f t="shared" si="80"/>
        <v>29.695</v>
      </c>
      <c r="D2377" s="37">
        <v>7.37</v>
      </c>
      <c r="E2377" s="33">
        <f t="shared" si="81"/>
        <v>-3.6349401632927284E-3</v>
      </c>
    </row>
    <row r="2378" spans="1:5" x14ac:dyDescent="0.25">
      <c r="A2378" s="41">
        <v>43565</v>
      </c>
      <c r="B2378" s="29">
        <v>178.28</v>
      </c>
      <c r="C2378" s="37">
        <f t="shared" si="80"/>
        <v>29.713333333333335</v>
      </c>
      <c r="D2378" s="37">
        <v>7.5609999999999999</v>
      </c>
      <c r="E2378" s="33">
        <f t="shared" si="81"/>
        <v>6.1738788797223801E-4</v>
      </c>
    </row>
    <row r="2379" spans="1:5" x14ac:dyDescent="0.25">
      <c r="A2379" s="41">
        <v>43565</v>
      </c>
      <c r="B2379" s="29">
        <v>177.47</v>
      </c>
      <c r="C2379" s="37">
        <f t="shared" si="80"/>
        <v>29.578333333333333</v>
      </c>
      <c r="D2379" s="37">
        <v>7.5609999999999999</v>
      </c>
      <c r="E2379" s="33">
        <f t="shared" si="81"/>
        <v>-4.543414853040174E-3</v>
      </c>
    </row>
    <row r="2380" spans="1:5" x14ac:dyDescent="0.25">
      <c r="A2380" s="41">
        <v>43565</v>
      </c>
      <c r="B2380" s="29">
        <v>176.95</v>
      </c>
      <c r="C2380" s="37">
        <f t="shared" si="80"/>
        <v>29.491666666666667</v>
      </c>
      <c r="D2380" s="37">
        <v>7.5609999999999999</v>
      </c>
      <c r="E2380" s="33">
        <f t="shared" si="81"/>
        <v>-2.9300726883417492E-3</v>
      </c>
    </row>
    <row r="2381" spans="1:5" x14ac:dyDescent="0.25">
      <c r="A2381" s="41">
        <v>43565</v>
      </c>
      <c r="B2381" s="29">
        <v>176.9</v>
      </c>
      <c r="C2381" s="37">
        <f t="shared" si="80"/>
        <v>29.483333333333334</v>
      </c>
      <c r="D2381" s="37">
        <v>7.5609999999999999</v>
      </c>
      <c r="E2381" s="33">
        <f t="shared" si="81"/>
        <v>-2.8256569652434555E-4</v>
      </c>
    </row>
    <row r="2382" spans="1:5" x14ac:dyDescent="0.25">
      <c r="A2382" s="41">
        <v>43565</v>
      </c>
      <c r="B2382" s="29">
        <v>177.25</v>
      </c>
      <c r="C2382" s="37">
        <f t="shared" si="80"/>
        <v>29.541666666666668</v>
      </c>
      <c r="D2382" s="37">
        <v>7.5609999999999999</v>
      </c>
      <c r="E2382" s="33">
        <f t="shared" si="81"/>
        <v>1.9785189372526529E-3</v>
      </c>
    </row>
    <row r="2383" spans="1:5" x14ac:dyDescent="0.25">
      <c r="A2383" s="41">
        <v>43565</v>
      </c>
      <c r="B2383" s="29">
        <v>177.92</v>
      </c>
      <c r="C2383" s="37">
        <f t="shared" si="80"/>
        <v>29.653333333333332</v>
      </c>
      <c r="D2383" s="37">
        <v>7.5609999999999999</v>
      </c>
      <c r="E2383" s="33">
        <f t="shared" si="81"/>
        <v>3.7799717912552185E-3</v>
      </c>
    </row>
    <row r="2384" spans="1:5" x14ac:dyDescent="0.25">
      <c r="A2384" s="41">
        <v>43565</v>
      </c>
      <c r="B2384" s="29">
        <v>178.41</v>
      </c>
      <c r="C2384" s="37">
        <f t="shared" si="80"/>
        <v>29.734999999999999</v>
      </c>
      <c r="D2384" s="37">
        <v>7.5609999999999999</v>
      </c>
      <c r="E2384" s="33">
        <f t="shared" si="81"/>
        <v>2.7540467625899795E-3</v>
      </c>
    </row>
    <row r="2385" spans="1:5" x14ac:dyDescent="0.25">
      <c r="A2385" s="41">
        <v>43565</v>
      </c>
      <c r="B2385" s="29">
        <v>180.04</v>
      </c>
      <c r="C2385" s="37">
        <f t="shared" si="80"/>
        <v>30.006666666666668</v>
      </c>
      <c r="D2385" s="37">
        <v>7.5609999999999999</v>
      </c>
      <c r="E2385" s="33">
        <f t="shared" si="81"/>
        <v>9.1362591782971556E-3</v>
      </c>
    </row>
    <row r="2386" spans="1:5" x14ac:dyDescent="0.25">
      <c r="A2386" s="41">
        <v>43565</v>
      </c>
      <c r="B2386" s="29">
        <v>180.47</v>
      </c>
      <c r="C2386" s="37">
        <f t="shared" si="80"/>
        <v>30.078333333333333</v>
      </c>
      <c r="D2386" s="37">
        <v>7.5609999999999999</v>
      </c>
      <c r="E2386" s="33">
        <f t="shared" si="81"/>
        <v>2.3883581426350081E-3</v>
      </c>
    </row>
    <row r="2387" spans="1:5" x14ac:dyDescent="0.25">
      <c r="A2387" s="41">
        <v>43565</v>
      </c>
      <c r="B2387" s="29">
        <v>180.71</v>
      </c>
      <c r="C2387" s="37">
        <f t="shared" si="80"/>
        <v>30.118333333333332</v>
      </c>
      <c r="D2387" s="37">
        <v>7.5609999999999999</v>
      </c>
      <c r="E2387" s="33">
        <f t="shared" si="81"/>
        <v>1.3298609187123017E-3</v>
      </c>
    </row>
    <row r="2388" spans="1:5" x14ac:dyDescent="0.25">
      <c r="A2388" s="41">
        <v>43565</v>
      </c>
      <c r="B2388" s="29">
        <v>180.68</v>
      </c>
      <c r="C2388" s="37">
        <f t="shared" si="80"/>
        <v>30.113333333333333</v>
      </c>
      <c r="D2388" s="37">
        <v>7.5609999999999999</v>
      </c>
      <c r="E2388" s="33">
        <f t="shared" si="81"/>
        <v>-1.6601184217808165E-4</v>
      </c>
    </row>
    <row r="2389" spans="1:5" x14ac:dyDescent="0.25">
      <c r="A2389" s="41">
        <v>43565</v>
      </c>
      <c r="B2389" s="29">
        <v>180.65</v>
      </c>
      <c r="C2389" s="37">
        <f t="shared" si="80"/>
        <v>30.108333333333334</v>
      </c>
      <c r="D2389" s="37">
        <v>7.5609999999999999</v>
      </c>
      <c r="E2389" s="33">
        <f t="shared" si="81"/>
        <v>-1.6603940668585973E-4</v>
      </c>
    </row>
    <row r="2390" spans="1:5" x14ac:dyDescent="0.25">
      <c r="A2390" s="41">
        <v>43565</v>
      </c>
      <c r="B2390" s="29">
        <v>180.61</v>
      </c>
      <c r="C2390" s="37">
        <f t="shared" si="80"/>
        <v>30.101666666666667</v>
      </c>
      <c r="D2390" s="37">
        <v>7.5609999999999999</v>
      </c>
      <c r="E2390" s="33">
        <f t="shared" si="81"/>
        <v>-2.2142264046494349E-4</v>
      </c>
    </row>
    <row r="2391" spans="1:5" x14ac:dyDescent="0.25">
      <c r="A2391" s="41">
        <v>43565</v>
      </c>
      <c r="B2391" s="29">
        <v>180.59</v>
      </c>
      <c r="C2391" s="37">
        <f t="shared" si="80"/>
        <v>30.098333333333333</v>
      </c>
      <c r="D2391" s="37">
        <v>7.5609999999999999</v>
      </c>
      <c r="E2391" s="33">
        <f t="shared" si="81"/>
        <v>-1.1073583965456082E-4</v>
      </c>
    </row>
    <row r="2392" spans="1:5" x14ac:dyDescent="0.25">
      <c r="A2392" s="41">
        <v>43565</v>
      </c>
      <c r="B2392" s="29">
        <v>180.66</v>
      </c>
      <c r="C2392" s="37">
        <f t="shared" si="80"/>
        <v>30.11</v>
      </c>
      <c r="D2392" s="37">
        <v>7.5609999999999999</v>
      </c>
      <c r="E2392" s="33">
        <f t="shared" si="81"/>
        <v>3.8761836203551236E-4</v>
      </c>
    </row>
    <row r="2393" spans="1:5" x14ac:dyDescent="0.25">
      <c r="A2393" s="41">
        <v>43565</v>
      </c>
      <c r="B2393" s="29">
        <v>180.69</v>
      </c>
      <c r="C2393" s="37">
        <f t="shared" si="80"/>
        <v>30.114999999999998</v>
      </c>
      <c r="D2393" s="37">
        <v>7.5609999999999999</v>
      </c>
      <c r="E2393" s="33">
        <f t="shared" si="81"/>
        <v>1.6605778811026867E-4</v>
      </c>
    </row>
    <row r="2394" spans="1:5" x14ac:dyDescent="0.25">
      <c r="A2394" s="41">
        <v>43565</v>
      </c>
      <c r="B2394" s="29">
        <v>180.6</v>
      </c>
      <c r="C2394" s="37">
        <f t="shared" si="80"/>
        <v>30.1</v>
      </c>
      <c r="D2394" s="37">
        <v>7.5609999999999999</v>
      </c>
      <c r="E2394" s="33">
        <f t="shared" si="81"/>
        <v>-4.9809065249877362E-4</v>
      </c>
    </row>
    <row r="2395" spans="1:5" x14ac:dyDescent="0.25">
      <c r="A2395" s="41">
        <v>43565</v>
      </c>
      <c r="B2395" s="29">
        <v>180.46</v>
      </c>
      <c r="C2395" s="37">
        <f t="shared" si="80"/>
        <v>30.076666666666668</v>
      </c>
      <c r="D2395" s="37">
        <v>7.5609999999999999</v>
      </c>
      <c r="E2395" s="33">
        <f t="shared" si="81"/>
        <v>-7.7519379844953693E-4</v>
      </c>
    </row>
    <row r="2396" spans="1:5" x14ac:dyDescent="0.25">
      <c r="A2396" s="41">
        <v>43565</v>
      </c>
      <c r="B2396" s="29">
        <v>180.52</v>
      </c>
      <c r="C2396" s="37">
        <f t="shared" si="80"/>
        <v>30.086666666666666</v>
      </c>
      <c r="D2396" s="37">
        <v>7.5609999999999999</v>
      </c>
      <c r="E2396" s="33">
        <f t="shared" si="81"/>
        <v>3.3248365288707899E-4</v>
      </c>
    </row>
    <row r="2397" spans="1:5" x14ac:dyDescent="0.25">
      <c r="A2397" s="41">
        <v>43565</v>
      </c>
      <c r="B2397" s="29">
        <v>180.49</v>
      </c>
      <c r="C2397" s="37">
        <f t="shared" si="80"/>
        <v>30.081666666666667</v>
      </c>
      <c r="D2397" s="37">
        <v>7.5609999999999999</v>
      </c>
      <c r="E2397" s="33">
        <f t="shared" si="81"/>
        <v>-1.661865721249786E-4</v>
      </c>
    </row>
    <row r="2398" spans="1:5" x14ac:dyDescent="0.25">
      <c r="A2398" s="41">
        <v>43565</v>
      </c>
      <c r="B2398" s="29">
        <v>180.46</v>
      </c>
      <c r="C2398" s="37">
        <f t="shared" si="80"/>
        <v>30.076666666666668</v>
      </c>
      <c r="D2398" s="37">
        <v>7.5609999999999999</v>
      </c>
      <c r="E2398" s="33">
        <f t="shared" si="81"/>
        <v>-1.6621419469223302E-4</v>
      </c>
    </row>
    <row r="2399" spans="1:5" x14ac:dyDescent="0.25">
      <c r="A2399" s="41">
        <v>43565</v>
      </c>
      <c r="B2399" s="29">
        <v>180.43</v>
      </c>
      <c r="C2399" s="37">
        <f t="shared" si="80"/>
        <v>30.071666666666665</v>
      </c>
      <c r="D2399" s="37">
        <v>7.5609999999999999</v>
      </c>
      <c r="E2399" s="33">
        <f t="shared" si="81"/>
        <v>-1.6624182644353949E-4</v>
      </c>
    </row>
    <row r="2400" spans="1:5" x14ac:dyDescent="0.25">
      <c r="A2400" s="41">
        <v>43565</v>
      </c>
      <c r="B2400" s="29">
        <v>180.3</v>
      </c>
      <c r="C2400" s="37">
        <f t="shared" si="80"/>
        <v>30.05</v>
      </c>
      <c r="D2400" s="37">
        <v>7.5609999999999999</v>
      </c>
      <c r="E2400" s="33">
        <f t="shared" si="81"/>
        <v>-7.2050102532835694E-4</v>
      </c>
    </row>
    <row r="2401" spans="1:5" x14ac:dyDescent="0.25">
      <c r="A2401" s="41">
        <v>43565</v>
      </c>
      <c r="B2401" s="29">
        <v>180.22</v>
      </c>
      <c r="C2401" s="37">
        <f t="shared" si="80"/>
        <v>30.036666666666665</v>
      </c>
      <c r="D2401" s="37">
        <v>7.5609999999999999</v>
      </c>
      <c r="E2401" s="33">
        <f t="shared" si="81"/>
        <v>-4.4370493621748473E-4</v>
      </c>
    </row>
    <row r="2402" spans="1:5" x14ac:dyDescent="0.25">
      <c r="A2402" s="41">
        <v>43566</v>
      </c>
      <c r="B2402" s="29">
        <v>178.09</v>
      </c>
      <c r="C2402" s="37">
        <f t="shared" si="80"/>
        <v>29.681666666666668</v>
      </c>
      <c r="D2402" s="37">
        <v>7.6130000000000004</v>
      </c>
      <c r="E2402" s="33">
        <f t="shared" si="81"/>
        <v>-1.1818888025746285E-2</v>
      </c>
    </row>
    <row r="2403" spans="1:5" x14ac:dyDescent="0.25">
      <c r="A2403" s="41">
        <v>43566</v>
      </c>
      <c r="B2403" s="29">
        <v>177.39</v>
      </c>
      <c r="C2403" s="37">
        <f t="shared" si="80"/>
        <v>29.565000000000001</v>
      </c>
      <c r="D2403" s="37">
        <v>7.6130000000000004</v>
      </c>
      <c r="E2403" s="33">
        <f t="shared" si="81"/>
        <v>-3.9305968892134144E-3</v>
      </c>
    </row>
    <row r="2404" spans="1:5" x14ac:dyDescent="0.25">
      <c r="A2404" s="41">
        <v>43566</v>
      </c>
      <c r="B2404" s="29">
        <v>176.47</v>
      </c>
      <c r="C2404" s="37">
        <f t="shared" si="80"/>
        <v>29.411666666666665</v>
      </c>
      <c r="D2404" s="37">
        <v>7.6130000000000004</v>
      </c>
      <c r="E2404" s="33">
        <f t="shared" si="81"/>
        <v>-5.1863126444556488E-3</v>
      </c>
    </row>
    <row r="2405" spans="1:5" x14ac:dyDescent="0.25">
      <c r="A2405" s="41">
        <v>43566</v>
      </c>
      <c r="B2405" s="29">
        <v>175.94</v>
      </c>
      <c r="C2405" s="37">
        <f t="shared" si="80"/>
        <v>29.323333333333334</v>
      </c>
      <c r="D2405" s="37">
        <v>7.6130000000000004</v>
      </c>
      <c r="E2405" s="33">
        <f t="shared" si="81"/>
        <v>-3.0033433444778216E-3</v>
      </c>
    </row>
    <row r="2406" spans="1:5" x14ac:dyDescent="0.25">
      <c r="A2406" s="41">
        <v>43566</v>
      </c>
      <c r="B2406" s="29">
        <v>176.3</v>
      </c>
      <c r="C2406" s="37">
        <f t="shared" si="80"/>
        <v>29.383333333333333</v>
      </c>
      <c r="D2406" s="37">
        <v>7.6130000000000004</v>
      </c>
      <c r="E2406" s="33">
        <f t="shared" si="81"/>
        <v>2.0461520973059774E-3</v>
      </c>
    </row>
    <row r="2407" spans="1:5" x14ac:dyDescent="0.25">
      <c r="A2407" s="41">
        <v>43566</v>
      </c>
      <c r="B2407" s="29">
        <v>177.48</v>
      </c>
      <c r="C2407" s="37">
        <f t="shared" si="80"/>
        <v>29.58</v>
      </c>
      <c r="D2407" s="37">
        <v>7.6130000000000004</v>
      </c>
      <c r="E2407" s="33">
        <f t="shared" si="81"/>
        <v>6.6931366988087259E-3</v>
      </c>
    </row>
    <row r="2408" spans="1:5" x14ac:dyDescent="0.25">
      <c r="A2408" s="41">
        <v>43566</v>
      </c>
      <c r="B2408" s="29">
        <v>178.09</v>
      </c>
      <c r="C2408" s="37">
        <f t="shared" si="80"/>
        <v>29.681666666666668</v>
      </c>
      <c r="D2408" s="37">
        <v>7.6130000000000004</v>
      </c>
      <c r="E2408" s="33">
        <f t="shared" si="81"/>
        <v>3.4370069867028039E-3</v>
      </c>
    </row>
    <row r="2409" spans="1:5" x14ac:dyDescent="0.25">
      <c r="A2409" s="41">
        <v>43566</v>
      </c>
      <c r="B2409" s="29">
        <v>179.6</v>
      </c>
      <c r="C2409" s="37">
        <f t="shared" si="80"/>
        <v>29.933333333333334</v>
      </c>
      <c r="D2409" s="37">
        <v>7.6130000000000004</v>
      </c>
      <c r="E2409" s="33">
        <f t="shared" si="81"/>
        <v>8.4788590038743939E-3</v>
      </c>
    </row>
    <row r="2410" spans="1:5" x14ac:dyDescent="0.25">
      <c r="A2410" s="41">
        <v>43566</v>
      </c>
      <c r="B2410" s="29">
        <v>180.53</v>
      </c>
      <c r="C2410" s="37">
        <f t="shared" si="80"/>
        <v>30.088333333333335</v>
      </c>
      <c r="D2410" s="37">
        <v>7.6130000000000004</v>
      </c>
      <c r="E2410" s="33">
        <f t="shared" si="81"/>
        <v>5.1781737193764303E-3</v>
      </c>
    </row>
    <row r="2411" spans="1:5" x14ac:dyDescent="0.25">
      <c r="A2411" s="41">
        <v>43566</v>
      </c>
      <c r="B2411" s="29">
        <v>180.86</v>
      </c>
      <c r="C2411" s="37">
        <f t="shared" si="80"/>
        <v>30.143333333333334</v>
      </c>
      <c r="D2411" s="37">
        <v>7.6130000000000004</v>
      </c>
      <c r="E2411" s="33">
        <f t="shared" si="81"/>
        <v>1.8279510330693651E-3</v>
      </c>
    </row>
    <row r="2412" spans="1:5" x14ac:dyDescent="0.25">
      <c r="A2412" s="41">
        <v>43566</v>
      </c>
      <c r="B2412" s="29">
        <v>180.87</v>
      </c>
      <c r="C2412" s="37">
        <f t="shared" si="80"/>
        <v>30.145</v>
      </c>
      <c r="D2412" s="37">
        <v>7.6130000000000004</v>
      </c>
      <c r="E2412" s="33">
        <f t="shared" si="81"/>
        <v>5.5291385602072899E-5</v>
      </c>
    </row>
    <row r="2413" spans="1:5" x14ac:dyDescent="0.25">
      <c r="A2413" s="41">
        <v>43566</v>
      </c>
      <c r="B2413" s="29">
        <v>181.02</v>
      </c>
      <c r="C2413" s="37">
        <f t="shared" si="80"/>
        <v>30.17</v>
      </c>
      <c r="D2413" s="37">
        <v>7.6130000000000004</v>
      </c>
      <c r="E2413" s="33">
        <f t="shared" si="81"/>
        <v>8.2932492950741244E-4</v>
      </c>
    </row>
    <row r="2414" spans="1:5" x14ac:dyDescent="0.25">
      <c r="A2414" s="41">
        <v>43566</v>
      </c>
      <c r="B2414" s="29">
        <v>180.77</v>
      </c>
      <c r="C2414" s="37">
        <f t="shared" si="80"/>
        <v>30.128333333333334</v>
      </c>
      <c r="D2414" s="37">
        <v>7.6130000000000004</v>
      </c>
      <c r="E2414" s="33">
        <f t="shared" si="81"/>
        <v>-1.3810628659816594E-3</v>
      </c>
    </row>
    <row r="2415" spans="1:5" x14ac:dyDescent="0.25">
      <c r="A2415" s="41">
        <v>43566</v>
      </c>
      <c r="B2415" s="29">
        <v>181.02</v>
      </c>
      <c r="C2415" s="37">
        <f t="shared" si="80"/>
        <v>30.17</v>
      </c>
      <c r="D2415" s="37">
        <v>7.6130000000000004</v>
      </c>
      <c r="E2415" s="33">
        <f t="shared" si="81"/>
        <v>1.3829728384134536E-3</v>
      </c>
    </row>
    <row r="2416" spans="1:5" x14ac:dyDescent="0.25">
      <c r="A2416" s="41">
        <v>43566</v>
      </c>
      <c r="B2416" s="29">
        <v>181.25</v>
      </c>
      <c r="C2416" s="37">
        <f t="shared" si="80"/>
        <v>30.208333333333332</v>
      </c>
      <c r="D2416" s="37">
        <v>7.6130000000000004</v>
      </c>
      <c r="E2416" s="33">
        <f t="shared" si="81"/>
        <v>1.2705778367030701E-3</v>
      </c>
    </row>
    <row r="2417" spans="1:5" x14ac:dyDescent="0.25">
      <c r="A2417" s="41">
        <v>43566</v>
      </c>
      <c r="B2417" s="29">
        <v>181.27</v>
      </c>
      <c r="C2417" s="37">
        <f t="shared" si="80"/>
        <v>30.211666666666666</v>
      </c>
      <c r="D2417" s="37">
        <v>7.6130000000000004</v>
      </c>
      <c r="E2417" s="33">
        <f t="shared" si="81"/>
        <v>1.1034482758626335E-4</v>
      </c>
    </row>
    <row r="2418" spans="1:5" x14ac:dyDescent="0.25">
      <c r="A2418" s="41">
        <v>43566</v>
      </c>
      <c r="B2418" s="29">
        <v>181.14</v>
      </c>
      <c r="C2418" s="37">
        <f t="shared" si="80"/>
        <v>30.19</v>
      </c>
      <c r="D2418" s="37">
        <v>7.6130000000000004</v>
      </c>
      <c r="E2418" s="33">
        <f t="shared" si="81"/>
        <v>-7.1716224416629268E-4</v>
      </c>
    </row>
    <row r="2419" spans="1:5" x14ac:dyDescent="0.25">
      <c r="A2419" s="41">
        <v>43566</v>
      </c>
      <c r="B2419" s="29">
        <v>180.61</v>
      </c>
      <c r="C2419" s="37">
        <f t="shared" si="80"/>
        <v>30.101666666666667</v>
      </c>
      <c r="D2419" s="37">
        <v>7.6130000000000004</v>
      </c>
      <c r="E2419" s="33">
        <f t="shared" si="81"/>
        <v>-2.925913657943981E-3</v>
      </c>
    </row>
    <row r="2420" spans="1:5" x14ac:dyDescent="0.25">
      <c r="A2420" s="41">
        <v>43566</v>
      </c>
      <c r="B2420" s="29">
        <v>180.62</v>
      </c>
      <c r="C2420" s="37">
        <f t="shared" si="80"/>
        <v>30.103333333333332</v>
      </c>
      <c r="D2420" s="37">
        <v>7.6130000000000004</v>
      </c>
      <c r="E2420" s="33">
        <f t="shared" si="81"/>
        <v>5.5367919827201732E-5</v>
      </c>
    </row>
    <row r="2421" spans="1:5" x14ac:dyDescent="0.25">
      <c r="A2421" s="41">
        <v>43566</v>
      </c>
      <c r="B2421" s="29">
        <v>180.87</v>
      </c>
      <c r="C2421" s="37">
        <f t="shared" si="80"/>
        <v>30.145</v>
      </c>
      <c r="D2421" s="37">
        <v>7.6130000000000004</v>
      </c>
      <c r="E2421" s="33">
        <f t="shared" si="81"/>
        <v>1.3841213597608239E-3</v>
      </c>
    </row>
    <row r="2422" spans="1:5" x14ac:dyDescent="0.25">
      <c r="A2422" s="41">
        <v>43566</v>
      </c>
      <c r="B2422" s="29">
        <v>180.52</v>
      </c>
      <c r="C2422" s="37">
        <f t="shared" si="80"/>
        <v>30.086666666666666</v>
      </c>
      <c r="D2422" s="37">
        <v>7.6130000000000004</v>
      </c>
      <c r="E2422" s="33">
        <f t="shared" si="81"/>
        <v>-1.9350915021838575E-3</v>
      </c>
    </row>
    <row r="2423" spans="1:5" x14ac:dyDescent="0.25">
      <c r="A2423" s="41">
        <v>43566</v>
      </c>
      <c r="B2423" s="29">
        <v>180.48</v>
      </c>
      <c r="C2423" s="37">
        <f t="shared" si="80"/>
        <v>30.08</v>
      </c>
      <c r="D2423" s="37">
        <v>7.6130000000000004</v>
      </c>
      <c r="E2423" s="33">
        <f t="shared" si="81"/>
        <v>-2.2158209616674309E-4</v>
      </c>
    </row>
    <row r="2424" spans="1:5" x14ac:dyDescent="0.25">
      <c r="A2424" s="41">
        <v>43566</v>
      </c>
      <c r="B2424" s="29">
        <v>180.45</v>
      </c>
      <c r="C2424" s="37">
        <f t="shared" si="80"/>
        <v>30.074999999999999</v>
      </c>
      <c r="D2424" s="37">
        <v>7.6130000000000004</v>
      </c>
      <c r="E2424" s="33">
        <f t="shared" si="81"/>
        <v>-1.6622340425532546E-4</v>
      </c>
    </row>
    <row r="2425" spans="1:5" x14ac:dyDescent="0.25">
      <c r="A2425" s="41">
        <v>43566</v>
      </c>
      <c r="B2425" s="29">
        <v>179.17</v>
      </c>
      <c r="C2425" s="37">
        <f t="shared" si="80"/>
        <v>29.861666666666668</v>
      </c>
      <c r="D2425" s="37">
        <v>7.6130000000000004</v>
      </c>
      <c r="E2425" s="33">
        <f t="shared" si="81"/>
        <v>-7.0933776669437586E-3</v>
      </c>
    </row>
    <row r="2426" spans="1:5" x14ac:dyDescent="0.25">
      <c r="A2426" s="41">
        <v>43567</v>
      </c>
      <c r="B2426" s="29">
        <v>173.99</v>
      </c>
      <c r="C2426" s="37">
        <f t="shared" si="80"/>
        <v>28.998333333333335</v>
      </c>
      <c r="D2426" s="37">
        <v>7.5129999999999999</v>
      </c>
      <c r="E2426" s="33">
        <f t="shared" si="81"/>
        <v>-2.8911090026231951E-2</v>
      </c>
    </row>
    <row r="2427" spans="1:5" x14ac:dyDescent="0.25">
      <c r="A2427" s="41">
        <v>43567</v>
      </c>
      <c r="B2427" s="29">
        <v>172.57</v>
      </c>
      <c r="C2427" s="37">
        <f t="shared" si="80"/>
        <v>28.761666666666667</v>
      </c>
      <c r="D2427" s="37">
        <v>7.5129999999999999</v>
      </c>
      <c r="E2427" s="33">
        <f t="shared" si="81"/>
        <v>-8.1613885855509848E-3</v>
      </c>
    </row>
    <row r="2428" spans="1:5" x14ac:dyDescent="0.25">
      <c r="A2428" s="41">
        <v>43567</v>
      </c>
      <c r="B2428" s="29">
        <v>171.81</v>
      </c>
      <c r="C2428" s="37">
        <f t="shared" si="80"/>
        <v>28.635000000000002</v>
      </c>
      <c r="D2428" s="37">
        <v>7.5129999999999999</v>
      </c>
      <c r="E2428" s="33">
        <f t="shared" si="81"/>
        <v>-4.4040099669698726E-3</v>
      </c>
    </row>
    <row r="2429" spans="1:5" x14ac:dyDescent="0.25">
      <c r="A2429" s="41">
        <v>43567</v>
      </c>
      <c r="B2429" s="29">
        <v>171.51</v>
      </c>
      <c r="C2429" s="37">
        <f t="shared" si="80"/>
        <v>28.585000000000001</v>
      </c>
      <c r="D2429" s="37">
        <v>7.5129999999999999</v>
      </c>
      <c r="E2429" s="33">
        <f t="shared" si="81"/>
        <v>-1.746114894360115E-3</v>
      </c>
    </row>
    <row r="2430" spans="1:5" x14ac:dyDescent="0.25">
      <c r="A2430" s="41">
        <v>43567</v>
      </c>
      <c r="B2430" s="29">
        <v>171.74</v>
      </c>
      <c r="C2430" s="37">
        <f t="shared" si="80"/>
        <v>28.623333333333335</v>
      </c>
      <c r="D2430" s="37">
        <v>7.5129999999999999</v>
      </c>
      <c r="E2430" s="33">
        <f t="shared" si="81"/>
        <v>1.3410296775699271E-3</v>
      </c>
    </row>
    <row r="2431" spans="1:5" x14ac:dyDescent="0.25">
      <c r="A2431" s="41">
        <v>43567</v>
      </c>
      <c r="B2431" s="29">
        <v>172.58</v>
      </c>
      <c r="C2431" s="37">
        <f t="shared" si="80"/>
        <v>28.763333333333332</v>
      </c>
      <c r="D2431" s="37">
        <v>7.5129999999999999</v>
      </c>
      <c r="E2431" s="33">
        <f t="shared" si="81"/>
        <v>4.8911144753697646E-3</v>
      </c>
    </row>
    <row r="2432" spans="1:5" x14ac:dyDescent="0.25">
      <c r="A2432" s="41">
        <v>43567</v>
      </c>
      <c r="B2432" s="29">
        <v>173.63</v>
      </c>
      <c r="C2432" s="37">
        <f t="shared" si="80"/>
        <v>28.938333333333333</v>
      </c>
      <c r="D2432" s="37">
        <v>7.5129999999999999</v>
      </c>
      <c r="E2432" s="33">
        <f t="shared" si="81"/>
        <v>6.0841348939621211E-3</v>
      </c>
    </row>
    <row r="2433" spans="1:5" x14ac:dyDescent="0.25">
      <c r="A2433" s="41">
        <v>43567</v>
      </c>
      <c r="B2433" s="29">
        <v>174.36</v>
      </c>
      <c r="C2433" s="37">
        <f t="shared" si="80"/>
        <v>29.06</v>
      </c>
      <c r="D2433" s="37">
        <v>7.5129999999999999</v>
      </c>
      <c r="E2433" s="33">
        <f t="shared" si="81"/>
        <v>4.2043425675287582E-3</v>
      </c>
    </row>
    <row r="2434" spans="1:5" x14ac:dyDescent="0.25">
      <c r="A2434" s="41">
        <v>43567</v>
      </c>
      <c r="B2434" s="29">
        <v>176.93</v>
      </c>
      <c r="C2434" s="37">
        <f t="shared" si="80"/>
        <v>29.488333333333333</v>
      </c>
      <c r="D2434" s="37">
        <v>7.5129999999999999</v>
      </c>
      <c r="E2434" s="33">
        <f t="shared" si="81"/>
        <v>1.4739619178710674E-2</v>
      </c>
    </row>
    <row r="2435" spans="1:5" x14ac:dyDescent="0.25">
      <c r="A2435" s="41">
        <v>43567</v>
      </c>
      <c r="B2435" s="29">
        <v>177.79</v>
      </c>
      <c r="C2435" s="37">
        <f t="shared" ref="C2435:C2498" si="82">(B2435*100/600)</f>
        <v>29.631666666666668</v>
      </c>
      <c r="D2435" s="37">
        <v>7.5129999999999999</v>
      </c>
      <c r="E2435" s="33">
        <f t="shared" si="81"/>
        <v>4.8606793647204272E-3</v>
      </c>
    </row>
    <row r="2436" spans="1:5" x14ac:dyDescent="0.25">
      <c r="A2436" s="41">
        <v>43567</v>
      </c>
      <c r="B2436" s="29">
        <v>177.9</v>
      </c>
      <c r="C2436" s="37">
        <f t="shared" si="82"/>
        <v>29.65</v>
      </c>
      <c r="D2436" s="37">
        <v>7.5129999999999999</v>
      </c>
      <c r="E2436" s="33">
        <f t="shared" ref="E2436:E2499" si="83">(B2436-B2435)/B2435</f>
        <v>6.187074638619363E-4</v>
      </c>
    </row>
    <row r="2437" spans="1:5" x14ac:dyDescent="0.25">
      <c r="A2437" s="41">
        <v>43567</v>
      </c>
      <c r="B2437" s="29">
        <v>177.73</v>
      </c>
      <c r="C2437" s="37">
        <f t="shared" si="82"/>
        <v>29.621666666666666</v>
      </c>
      <c r="D2437" s="37">
        <v>7.5129999999999999</v>
      </c>
      <c r="E2437" s="33">
        <f t="shared" si="83"/>
        <v>-9.5559302979210739E-4</v>
      </c>
    </row>
    <row r="2438" spans="1:5" x14ac:dyDescent="0.25">
      <c r="A2438" s="41">
        <v>43567</v>
      </c>
      <c r="B2438" s="29">
        <v>177.33</v>
      </c>
      <c r="C2438" s="37">
        <f t="shared" si="82"/>
        <v>29.555</v>
      </c>
      <c r="D2438" s="37">
        <v>7.5129999999999999</v>
      </c>
      <c r="E2438" s="33">
        <f t="shared" si="83"/>
        <v>-2.250604850053324E-3</v>
      </c>
    </row>
    <row r="2439" spans="1:5" x14ac:dyDescent="0.25">
      <c r="A2439" s="41">
        <v>43567</v>
      </c>
      <c r="B2439" s="29">
        <v>177.66</v>
      </c>
      <c r="C2439" s="37">
        <f t="shared" si="82"/>
        <v>29.61</v>
      </c>
      <c r="D2439" s="37">
        <v>7.5129999999999999</v>
      </c>
      <c r="E2439" s="33">
        <f t="shared" si="83"/>
        <v>1.8609372356622345E-3</v>
      </c>
    </row>
    <row r="2440" spans="1:5" x14ac:dyDescent="0.25">
      <c r="A2440" s="41">
        <v>43567</v>
      </c>
      <c r="B2440" s="29">
        <v>178.15</v>
      </c>
      <c r="C2440" s="37">
        <f t="shared" si="82"/>
        <v>29.691666666666666</v>
      </c>
      <c r="D2440" s="37">
        <v>7.5129999999999999</v>
      </c>
      <c r="E2440" s="33">
        <f t="shared" si="83"/>
        <v>2.7580772261623838E-3</v>
      </c>
    </row>
    <row r="2441" spans="1:5" x14ac:dyDescent="0.25">
      <c r="A2441" s="41">
        <v>43567</v>
      </c>
      <c r="B2441" s="29">
        <v>178.16</v>
      </c>
      <c r="C2441" s="37">
        <f t="shared" si="82"/>
        <v>29.693333333333332</v>
      </c>
      <c r="D2441" s="37">
        <v>7.5129999999999999</v>
      </c>
      <c r="E2441" s="33">
        <f t="shared" si="83"/>
        <v>5.6132472635368536E-5</v>
      </c>
    </row>
    <row r="2442" spans="1:5" x14ac:dyDescent="0.25">
      <c r="A2442" s="41">
        <v>43567</v>
      </c>
      <c r="B2442" s="29">
        <v>177.57</v>
      </c>
      <c r="C2442" s="37">
        <f t="shared" si="82"/>
        <v>29.594999999999999</v>
      </c>
      <c r="D2442" s="37">
        <v>7.5129999999999999</v>
      </c>
      <c r="E2442" s="33">
        <f t="shared" si="83"/>
        <v>-3.3116299955096734E-3</v>
      </c>
    </row>
    <row r="2443" spans="1:5" x14ac:dyDescent="0.25">
      <c r="A2443" s="41">
        <v>43567</v>
      </c>
      <c r="B2443" s="29">
        <v>177.23</v>
      </c>
      <c r="C2443" s="37">
        <f t="shared" si="82"/>
        <v>29.538333333333334</v>
      </c>
      <c r="D2443" s="37">
        <v>7.5129999999999999</v>
      </c>
      <c r="E2443" s="33">
        <f t="shared" si="83"/>
        <v>-1.9147378498620454E-3</v>
      </c>
    </row>
    <row r="2444" spans="1:5" x14ac:dyDescent="0.25">
      <c r="A2444" s="41">
        <v>43567</v>
      </c>
      <c r="B2444" s="29">
        <v>177.26</v>
      </c>
      <c r="C2444" s="37">
        <f t="shared" si="82"/>
        <v>29.543333333333333</v>
      </c>
      <c r="D2444" s="37">
        <v>7.5129999999999999</v>
      </c>
      <c r="E2444" s="33">
        <f t="shared" si="83"/>
        <v>1.6927156801896484E-4</v>
      </c>
    </row>
    <row r="2445" spans="1:5" x14ac:dyDescent="0.25">
      <c r="A2445" s="41">
        <v>43567</v>
      </c>
      <c r="B2445" s="29">
        <v>177.48</v>
      </c>
      <c r="C2445" s="37">
        <f t="shared" si="82"/>
        <v>29.58</v>
      </c>
      <c r="D2445" s="37">
        <v>7.5129999999999999</v>
      </c>
      <c r="E2445" s="33">
        <f t="shared" si="83"/>
        <v>1.2411147466997567E-3</v>
      </c>
    </row>
    <row r="2446" spans="1:5" x14ac:dyDescent="0.25">
      <c r="A2446" s="41">
        <v>43567</v>
      </c>
      <c r="B2446" s="29">
        <v>177.23</v>
      </c>
      <c r="C2446" s="37">
        <f t="shared" si="82"/>
        <v>29.538333333333334</v>
      </c>
      <c r="D2446" s="37">
        <v>7.5129999999999999</v>
      </c>
      <c r="E2446" s="33">
        <f t="shared" si="83"/>
        <v>-1.4086094207798063E-3</v>
      </c>
    </row>
    <row r="2447" spans="1:5" x14ac:dyDescent="0.25">
      <c r="A2447" s="41">
        <v>43567</v>
      </c>
      <c r="B2447" s="29">
        <v>174.89</v>
      </c>
      <c r="C2447" s="37">
        <f t="shared" si="82"/>
        <v>29.148333333333333</v>
      </c>
      <c r="D2447" s="37">
        <v>7.5129999999999999</v>
      </c>
      <c r="E2447" s="33">
        <f t="shared" si="83"/>
        <v>-1.3203182305478777E-2</v>
      </c>
    </row>
    <row r="2448" spans="1:5" x14ac:dyDescent="0.25">
      <c r="A2448" s="41">
        <v>43567</v>
      </c>
      <c r="B2448" s="29">
        <v>173.99</v>
      </c>
      <c r="C2448" s="37">
        <f t="shared" si="82"/>
        <v>28.998333333333335</v>
      </c>
      <c r="D2448" s="37">
        <v>7.5129999999999999</v>
      </c>
      <c r="E2448" s="33">
        <f t="shared" si="83"/>
        <v>-5.1460918291496216E-3</v>
      </c>
    </row>
    <row r="2449" spans="1:5" x14ac:dyDescent="0.25">
      <c r="A2449" s="41">
        <v>43567</v>
      </c>
      <c r="B2449" s="29">
        <v>172.01</v>
      </c>
      <c r="C2449" s="37">
        <f t="shared" si="82"/>
        <v>28.668333333333333</v>
      </c>
      <c r="D2449" s="37">
        <v>7.5129999999999999</v>
      </c>
      <c r="E2449" s="33">
        <f t="shared" si="83"/>
        <v>-1.1379964365768252E-2</v>
      </c>
    </row>
    <row r="2450" spans="1:5" x14ac:dyDescent="0.25">
      <c r="A2450" s="41">
        <v>43568</v>
      </c>
      <c r="B2450" s="29">
        <v>180.89</v>
      </c>
      <c r="C2450" s="37">
        <f t="shared" si="82"/>
        <v>30.148333333333333</v>
      </c>
      <c r="D2450" s="37">
        <v>7.3049999999999997</v>
      </c>
      <c r="E2450" s="33">
        <f t="shared" si="83"/>
        <v>5.1624905528748308E-2</v>
      </c>
    </row>
    <row r="2451" spans="1:5" x14ac:dyDescent="0.25">
      <c r="A2451" s="41">
        <v>43568</v>
      </c>
      <c r="B2451" s="29">
        <v>180.64</v>
      </c>
      <c r="C2451" s="37">
        <f t="shared" si="82"/>
        <v>30.106666666666666</v>
      </c>
      <c r="D2451" s="37">
        <v>7.3049999999999997</v>
      </c>
      <c r="E2451" s="33">
        <f t="shared" si="83"/>
        <v>-1.3820553927801427E-3</v>
      </c>
    </row>
    <row r="2452" spans="1:5" x14ac:dyDescent="0.25">
      <c r="A2452" s="41">
        <v>43568</v>
      </c>
      <c r="B2452" s="29">
        <v>180.04</v>
      </c>
      <c r="C2452" s="37">
        <f t="shared" si="82"/>
        <v>30.006666666666668</v>
      </c>
      <c r="D2452" s="37">
        <v>7.3049999999999997</v>
      </c>
      <c r="E2452" s="33">
        <f t="shared" si="83"/>
        <v>-3.3215234720991717E-3</v>
      </c>
    </row>
    <row r="2453" spans="1:5" x14ac:dyDescent="0.25">
      <c r="A2453" s="41">
        <v>43568</v>
      </c>
      <c r="B2453" s="29">
        <v>179.05</v>
      </c>
      <c r="C2453" s="37">
        <f t="shared" si="82"/>
        <v>29.841666666666665</v>
      </c>
      <c r="D2453" s="37">
        <v>7.3049999999999997</v>
      </c>
      <c r="E2453" s="33">
        <f t="shared" si="83"/>
        <v>-5.4987780493222661E-3</v>
      </c>
    </row>
    <row r="2454" spans="1:5" x14ac:dyDescent="0.25">
      <c r="A2454" s="41">
        <v>43568</v>
      </c>
      <c r="B2454" s="29">
        <v>178.95</v>
      </c>
      <c r="C2454" s="37">
        <f t="shared" si="82"/>
        <v>29.824999999999999</v>
      </c>
      <c r="D2454" s="37">
        <v>7.3049999999999997</v>
      </c>
      <c r="E2454" s="33">
        <f t="shared" si="83"/>
        <v>-5.5850321139359243E-4</v>
      </c>
    </row>
    <row r="2455" spans="1:5" x14ac:dyDescent="0.25">
      <c r="A2455" s="41">
        <v>43568</v>
      </c>
      <c r="B2455" s="29">
        <v>179.07</v>
      </c>
      <c r="C2455" s="37">
        <f t="shared" si="82"/>
        <v>29.844999999999999</v>
      </c>
      <c r="D2455" s="37">
        <v>7.3049999999999997</v>
      </c>
      <c r="E2455" s="33">
        <f t="shared" si="83"/>
        <v>6.7057837384746884E-4</v>
      </c>
    </row>
    <row r="2456" spans="1:5" x14ac:dyDescent="0.25">
      <c r="A2456" s="41">
        <v>43568</v>
      </c>
      <c r="B2456" s="29">
        <v>179.19</v>
      </c>
      <c r="C2456" s="37">
        <f t="shared" si="82"/>
        <v>29.864999999999998</v>
      </c>
      <c r="D2456" s="37">
        <v>7.3049999999999997</v>
      </c>
      <c r="E2456" s="33">
        <f t="shared" si="83"/>
        <v>6.7012899983249314E-4</v>
      </c>
    </row>
    <row r="2457" spans="1:5" x14ac:dyDescent="0.25">
      <c r="A2457" s="41">
        <v>43568</v>
      </c>
      <c r="B2457" s="29">
        <v>180.21</v>
      </c>
      <c r="C2457" s="37">
        <f t="shared" si="82"/>
        <v>30.035</v>
      </c>
      <c r="D2457" s="37">
        <v>7.3049999999999997</v>
      </c>
      <c r="E2457" s="33">
        <f t="shared" si="83"/>
        <v>5.6922819353759152E-3</v>
      </c>
    </row>
    <row r="2458" spans="1:5" x14ac:dyDescent="0.25">
      <c r="A2458" s="41">
        <v>43568</v>
      </c>
      <c r="B2458" s="29">
        <v>180.64</v>
      </c>
      <c r="C2458" s="37">
        <f t="shared" si="82"/>
        <v>30.106666666666666</v>
      </c>
      <c r="D2458" s="37">
        <v>7.3049999999999997</v>
      </c>
      <c r="E2458" s="33">
        <f t="shared" si="83"/>
        <v>2.3861050996058951E-3</v>
      </c>
    </row>
    <row r="2459" spans="1:5" x14ac:dyDescent="0.25">
      <c r="A2459" s="41">
        <v>43568</v>
      </c>
      <c r="B2459" s="29">
        <v>180.64</v>
      </c>
      <c r="C2459" s="37">
        <f t="shared" si="82"/>
        <v>30.106666666666666</v>
      </c>
      <c r="D2459" s="37">
        <v>7.3049999999999997</v>
      </c>
      <c r="E2459" s="33">
        <f t="shared" si="83"/>
        <v>0</v>
      </c>
    </row>
    <row r="2460" spans="1:5" x14ac:dyDescent="0.25">
      <c r="A2460" s="41">
        <v>43568</v>
      </c>
      <c r="B2460" s="29">
        <v>180.64</v>
      </c>
      <c r="C2460" s="37">
        <f t="shared" si="82"/>
        <v>30.106666666666666</v>
      </c>
      <c r="D2460" s="37">
        <v>7.3049999999999997</v>
      </c>
      <c r="E2460" s="33">
        <f t="shared" si="83"/>
        <v>0</v>
      </c>
    </row>
    <row r="2461" spans="1:5" x14ac:dyDescent="0.25">
      <c r="A2461" s="41">
        <v>43568</v>
      </c>
      <c r="B2461" s="29">
        <v>180.64</v>
      </c>
      <c r="C2461" s="37">
        <f t="shared" si="82"/>
        <v>30.106666666666666</v>
      </c>
      <c r="D2461" s="37">
        <v>7.3049999999999997</v>
      </c>
      <c r="E2461" s="33">
        <f t="shared" si="83"/>
        <v>0</v>
      </c>
    </row>
    <row r="2462" spans="1:5" x14ac:dyDescent="0.25">
      <c r="A2462" s="41">
        <v>43568</v>
      </c>
      <c r="B2462" s="29">
        <v>180.64</v>
      </c>
      <c r="C2462" s="37">
        <f t="shared" si="82"/>
        <v>30.106666666666666</v>
      </c>
      <c r="D2462" s="37">
        <v>7.3049999999999997</v>
      </c>
      <c r="E2462" s="33">
        <f t="shared" si="83"/>
        <v>0</v>
      </c>
    </row>
    <row r="2463" spans="1:5" x14ac:dyDescent="0.25">
      <c r="A2463" s="41">
        <v>43568</v>
      </c>
      <c r="B2463" s="29">
        <v>180.64</v>
      </c>
      <c r="C2463" s="37">
        <f t="shared" si="82"/>
        <v>30.106666666666666</v>
      </c>
      <c r="D2463" s="37">
        <v>7.3049999999999997</v>
      </c>
      <c r="E2463" s="33">
        <f t="shared" si="83"/>
        <v>0</v>
      </c>
    </row>
    <row r="2464" spans="1:5" x14ac:dyDescent="0.25">
      <c r="A2464" s="41">
        <v>43568</v>
      </c>
      <c r="B2464" s="29">
        <v>180.63</v>
      </c>
      <c r="C2464" s="37">
        <f t="shared" si="82"/>
        <v>30.105</v>
      </c>
      <c r="D2464" s="37">
        <v>7.3049999999999997</v>
      </c>
      <c r="E2464" s="33">
        <f t="shared" si="83"/>
        <v>-5.5358724534936368E-5</v>
      </c>
    </row>
    <row r="2465" spans="1:5" x14ac:dyDescent="0.25">
      <c r="A2465" s="41">
        <v>43568</v>
      </c>
      <c r="B2465" s="29">
        <v>180.63</v>
      </c>
      <c r="C2465" s="37">
        <f t="shared" si="82"/>
        <v>30.105</v>
      </c>
      <c r="D2465" s="37">
        <v>7.3049999999999997</v>
      </c>
      <c r="E2465" s="33">
        <f t="shared" si="83"/>
        <v>0</v>
      </c>
    </row>
    <row r="2466" spans="1:5" x14ac:dyDescent="0.25">
      <c r="A2466" s="41">
        <v>43568</v>
      </c>
      <c r="B2466" s="29">
        <v>180.63</v>
      </c>
      <c r="C2466" s="37">
        <f t="shared" si="82"/>
        <v>30.105</v>
      </c>
      <c r="D2466" s="37">
        <v>7.3049999999999997</v>
      </c>
      <c r="E2466" s="33">
        <f t="shared" si="83"/>
        <v>0</v>
      </c>
    </row>
    <row r="2467" spans="1:5" x14ac:dyDescent="0.25">
      <c r="A2467" s="41">
        <v>43568</v>
      </c>
      <c r="B2467" s="29">
        <v>180.64</v>
      </c>
      <c r="C2467" s="37">
        <f t="shared" si="82"/>
        <v>30.106666666666666</v>
      </c>
      <c r="D2467" s="37">
        <v>7.3049999999999997</v>
      </c>
      <c r="E2467" s="33">
        <f t="shared" si="83"/>
        <v>5.5361789292979602E-5</v>
      </c>
    </row>
    <row r="2468" spans="1:5" x14ac:dyDescent="0.25">
      <c r="A2468" s="41">
        <v>43568</v>
      </c>
      <c r="B2468" s="29">
        <v>181.42</v>
      </c>
      <c r="C2468" s="37">
        <f t="shared" si="82"/>
        <v>30.236666666666668</v>
      </c>
      <c r="D2468" s="37">
        <v>7.3049999999999997</v>
      </c>
      <c r="E2468" s="33">
        <f t="shared" si="83"/>
        <v>4.3179805137289707E-3</v>
      </c>
    </row>
    <row r="2469" spans="1:5" x14ac:dyDescent="0.25">
      <c r="A2469" s="41">
        <v>43568</v>
      </c>
      <c r="B2469" s="29">
        <v>181.68</v>
      </c>
      <c r="C2469" s="37">
        <f t="shared" si="82"/>
        <v>30.28</v>
      </c>
      <c r="D2469" s="37">
        <v>7.3049999999999997</v>
      </c>
      <c r="E2469" s="33">
        <f t="shared" si="83"/>
        <v>1.4331385734760189E-3</v>
      </c>
    </row>
    <row r="2470" spans="1:5" x14ac:dyDescent="0.25">
      <c r="A2470" s="41">
        <v>43568</v>
      </c>
      <c r="B2470" s="29">
        <v>180.91</v>
      </c>
      <c r="C2470" s="37">
        <f t="shared" si="82"/>
        <v>30.151666666666667</v>
      </c>
      <c r="D2470" s="37">
        <v>7.3049999999999997</v>
      </c>
      <c r="E2470" s="33">
        <f t="shared" si="83"/>
        <v>-4.2382210479965333E-3</v>
      </c>
    </row>
    <row r="2471" spans="1:5" x14ac:dyDescent="0.25">
      <c r="A2471" s="41">
        <v>43568</v>
      </c>
      <c r="B2471" s="29">
        <v>180.64</v>
      </c>
      <c r="C2471" s="37">
        <f t="shared" si="82"/>
        <v>30.106666666666666</v>
      </c>
      <c r="D2471" s="37">
        <v>7.3049999999999997</v>
      </c>
      <c r="E2471" s="33">
        <f t="shared" si="83"/>
        <v>-1.4924548117849219E-3</v>
      </c>
    </row>
    <row r="2472" spans="1:5" x14ac:dyDescent="0.25">
      <c r="A2472" s="41">
        <v>43568</v>
      </c>
      <c r="B2472" s="29">
        <v>180.61</v>
      </c>
      <c r="C2472" s="37">
        <f t="shared" si="82"/>
        <v>30.101666666666667</v>
      </c>
      <c r="D2472" s="37">
        <v>7.3049999999999997</v>
      </c>
      <c r="E2472" s="33">
        <f t="shared" si="83"/>
        <v>-1.660761736048091E-4</v>
      </c>
    </row>
    <row r="2473" spans="1:5" x14ac:dyDescent="0.25">
      <c r="A2473" s="41">
        <v>43568</v>
      </c>
      <c r="B2473" s="29">
        <v>180.16</v>
      </c>
      <c r="C2473" s="37">
        <f t="shared" si="82"/>
        <v>30.026666666666667</v>
      </c>
      <c r="D2473" s="37">
        <v>7.3049999999999997</v>
      </c>
      <c r="E2473" s="33">
        <f t="shared" si="83"/>
        <v>-2.4915563922264382E-3</v>
      </c>
    </row>
    <row r="2474" spans="1:5" x14ac:dyDescent="0.25">
      <c r="A2474" s="41">
        <v>43569</v>
      </c>
      <c r="B2474" s="29">
        <v>163</v>
      </c>
      <c r="C2474" s="37">
        <f t="shared" si="82"/>
        <v>27.166666666666668</v>
      </c>
      <c r="D2474" s="37">
        <v>7.0830000000000002</v>
      </c>
      <c r="E2474" s="33">
        <f t="shared" si="83"/>
        <v>-9.5248667850799273E-2</v>
      </c>
    </row>
    <row r="2475" spans="1:5" x14ac:dyDescent="0.25">
      <c r="A2475" s="41">
        <v>43569</v>
      </c>
      <c r="B2475" s="29">
        <v>156.66999999999999</v>
      </c>
      <c r="C2475" s="37">
        <f t="shared" si="82"/>
        <v>26.111666666666665</v>
      </c>
      <c r="D2475" s="37">
        <v>7.0830000000000002</v>
      </c>
      <c r="E2475" s="33">
        <f t="shared" si="83"/>
        <v>-3.8834355828220937E-2</v>
      </c>
    </row>
    <row r="2476" spans="1:5" x14ac:dyDescent="0.25">
      <c r="A2476" s="41">
        <v>43569</v>
      </c>
      <c r="B2476" s="29">
        <v>138.08000000000001</v>
      </c>
      <c r="C2476" s="37">
        <f t="shared" si="82"/>
        <v>23.013333333333335</v>
      </c>
      <c r="D2476" s="37">
        <v>7.0830000000000002</v>
      </c>
      <c r="E2476" s="33">
        <f t="shared" si="83"/>
        <v>-0.11865704985000304</v>
      </c>
    </row>
    <row r="2477" spans="1:5" x14ac:dyDescent="0.25">
      <c r="A2477" s="41">
        <v>43569</v>
      </c>
      <c r="B2477" s="29">
        <v>42.35</v>
      </c>
      <c r="C2477" s="37">
        <f t="shared" si="82"/>
        <v>7.0583333333333336</v>
      </c>
      <c r="D2477" s="37">
        <v>7.0830000000000002</v>
      </c>
      <c r="E2477" s="33">
        <f t="shared" si="83"/>
        <v>-0.69329374275782163</v>
      </c>
    </row>
    <row r="2478" spans="1:5" x14ac:dyDescent="0.25">
      <c r="A2478" s="41">
        <v>43569</v>
      </c>
      <c r="B2478" s="29">
        <v>42.35</v>
      </c>
      <c r="C2478" s="37">
        <f t="shared" si="82"/>
        <v>7.0583333333333336</v>
      </c>
      <c r="D2478" s="37">
        <v>7.0830000000000002</v>
      </c>
      <c r="E2478" s="33">
        <f t="shared" si="83"/>
        <v>0</v>
      </c>
    </row>
    <row r="2479" spans="1:5" x14ac:dyDescent="0.25">
      <c r="A2479" s="41">
        <v>43569</v>
      </c>
      <c r="B2479" s="29">
        <v>42.35</v>
      </c>
      <c r="C2479" s="37">
        <f t="shared" si="82"/>
        <v>7.0583333333333336</v>
      </c>
      <c r="D2479" s="37">
        <v>7.0830000000000002</v>
      </c>
      <c r="E2479" s="33">
        <f t="shared" si="83"/>
        <v>0</v>
      </c>
    </row>
    <row r="2480" spans="1:5" x14ac:dyDescent="0.25">
      <c r="A2480" s="41">
        <v>43569</v>
      </c>
      <c r="B2480" s="29">
        <v>42.35</v>
      </c>
      <c r="C2480" s="37">
        <f t="shared" si="82"/>
        <v>7.0583333333333336</v>
      </c>
      <c r="D2480" s="37">
        <v>7.0830000000000002</v>
      </c>
      <c r="E2480" s="33">
        <f t="shared" si="83"/>
        <v>0</v>
      </c>
    </row>
    <row r="2481" spans="1:5" x14ac:dyDescent="0.25">
      <c r="A2481" s="41">
        <v>43569</v>
      </c>
      <c r="B2481" s="29">
        <v>42.35</v>
      </c>
      <c r="C2481" s="37">
        <f t="shared" si="82"/>
        <v>7.0583333333333336</v>
      </c>
      <c r="D2481" s="37">
        <v>7.0830000000000002</v>
      </c>
      <c r="E2481" s="33">
        <f t="shared" si="83"/>
        <v>0</v>
      </c>
    </row>
    <row r="2482" spans="1:5" x14ac:dyDescent="0.25">
      <c r="A2482" s="41">
        <v>43569</v>
      </c>
      <c r="B2482" s="29">
        <v>42.35</v>
      </c>
      <c r="C2482" s="37">
        <f t="shared" si="82"/>
        <v>7.0583333333333336</v>
      </c>
      <c r="D2482" s="37">
        <v>7.0830000000000002</v>
      </c>
      <c r="E2482" s="33">
        <f t="shared" si="83"/>
        <v>0</v>
      </c>
    </row>
    <row r="2483" spans="1:5" x14ac:dyDescent="0.25">
      <c r="A2483" s="41">
        <v>43569</v>
      </c>
      <c r="B2483" s="29">
        <v>74.03</v>
      </c>
      <c r="C2483" s="37">
        <f t="shared" si="82"/>
        <v>12.338333333333333</v>
      </c>
      <c r="D2483" s="37">
        <v>7.0830000000000002</v>
      </c>
      <c r="E2483" s="33">
        <f t="shared" si="83"/>
        <v>0.74805194805194797</v>
      </c>
    </row>
    <row r="2484" spans="1:5" x14ac:dyDescent="0.25">
      <c r="A2484" s="41">
        <v>43569</v>
      </c>
      <c r="B2484" s="29">
        <v>156.66999999999999</v>
      </c>
      <c r="C2484" s="37">
        <f t="shared" si="82"/>
        <v>26.111666666666665</v>
      </c>
      <c r="D2484" s="37">
        <v>7.0830000000000002</v>
      </c>
      <c r="E2484" s="33">
        <f t="shared" si="83"/>
        <v>1.1163042009995945</v>
      </c>
    </row>
    <row r="2485" spans="1:5" x14ac:dyDescent="0.25">
      <c r="A2485" s="41">
        <v>43569</v>
      </c>
      <c r="B2485" s="29">
        <v>164.37</v>
      </c>
      <c r="C2485" s="37">
        <f t="shared" si="82"/>
        <v>27.395</v>
      </c>
      <c r="D2485" s="37">
        <v>7.0830000000000002</v>
      </c>
      <c r="E2485" s="33">
        <f t="shared" si="83"/>
        <v>4.9147890470415637E-2</v>
      </c>
    </row>
    <row r="2486" spans="1:5" x14ac:dyDescent="0.25">
      <c r="A2486" s="41">
        <v>43569</v>
      </c>
      <c r="B2486" s="29">
        <v>164.38</v>
      </c>
      <c r="C2486" s="37">
        <f t="shared" si="82"/>
        <v>27.396666666666668</v>
      </c>
      <c r="D2486" s="37">
        <v>7.0830000000000002</v>
      </c>
      <c r="E2486" s="33">
        <f t="shared" si="83"/>
        <v>6.0838352497359036E-5</v>
      </c>
    </row>
    <row r="2487" spans="1:5" x14ac:dyDescent="0.25">
      <c r="A2487" s="41">
        <v>43569</v>
      </c>
      <c r="B2487" s="29">
        <v>164.39</v>
      </c>
      <c r="C2487" s="37">
        <f t="shared" si="82"/>
        <v>27.398333333333333</v>
      </c>
      <c r="D2487" s="37">
        <v>7.0830000000000002</v>
      </c>
      <c r="E2487" s="33">
        <f t="shared" si="83"/>
        <v>6.0834651417392054E-5</v>
      </c>
    </row>
    <row r="2488" spans="1:5" x14ac:dyDescent="0.25">
      <c r="A2488" s="41">
        <v>43569</v>
      </c>
      <c r="B2488" s="29">
        <v>164.38</v>
      </c>
      <c r="C2488" s="37">
        <f t="shared" si="82"/>
        <v>27.396666666666668</v>
      </c>
      <c r="D2488" s="37">
        <v>7.0830000000000002</v>
      </c>
      <c r="E2488" s="33">
        <f t="shared" si="83"/>
        <v>-6.083095078770549E-5</v>
      </c>
    </row>
    <row r="2489" spans="1:5" x14ac:dyDescent="0.25">
      <c r="A2489" s="41">
        <v>43569</v>
      </c>
      <c r="B2489" s="29">
        <v>164.66</v>
      </c>
      <c r="C2489" s="37">
        <f t="shared" si="82"/>
        <v>27.443333333333332</v>
      </c>
      <c r="D2489" s="37">
        <v>7.0830000000000002</v>
      </c>
      <c r="E2489" s="33">
        <f t="shared" si="83"/>
        <v>1.7033702396885336E-3</v>
      </c>
    </row>
    <row r="2490" spans="1:5" x14ac:dyDescent="0.25">
      <c r="A2490" s="41">
        <v>43569</v>
      </c>
      <c r="B2490" s="29">
        <v>172.97</v>
      </c>
      <c r="C2490" s="37">
        <f t="shared" si="82"/>
        <v>28.828333333333333</v>
      </c>
      <c r="D2490" s="37">
        <v>7.0830000000000002</v>
      </c>
      <c r="E2490" s="33">
        <f t="shared" si="83"/>
        <v>5.0467630268431936E-2</v>
      </c>
    </row>
    <row r="2491" spans="1:5" x14ac:dyDescent="0.25">
      <c r="A2491" s="41">
        <v>43569</v>
      </c>
      <c r="B2491" s="29">
        <v>175.02</v>
      </c>
      <c r="C2491" s="37">
        <f t="shared" si="82"/>
        <v>29.17</v>
      </c>
      <c r="D2491" s="37">
        <v>7.0830000000000002</v>
      </c>
      <c r="E2491" s="33">
        <f t="shared" si="83"/>
        <v>1.1851766202231667E-2</v>
      </c>
    </row>
    <row r="2492" spans="1:5" x14ac:dyDescent="0.25">
      <c r="A2492" s="41">
        <v>43569</v>
      </c>
      <c r="B2492" s="29">
        <v>178.93</v>
      </c>
      <c r="C2492" s="37">
        <f t="shared" si="82"/>
        <v>29.821666666666665</v>
      </c>
      <c r="D2492" s="37">
        <v>7.0830000000000002</v>
      </c>
      <c r="E2492" s="33">
        <f t="shared" si="83"/>
        <v>2.2340303965261092E-2</v>
      </c>
    </row>
    <row r="2493" spans="1:5" x14ac:dyDescent="0.25">
      <c r="A2493" s="41">
        <v>43569</v>
      </c>
      <c r="B2493" s="29">
        <v>178.89</v>
      </c>
      <c r="C2493" s="37">
        <f t="shared" si="82"/>
        <v>29.815000000000001</v>
      </c>
      <c r="D2493" s="37">
        <v>7.0830000000000002</v>
      </c>
      <c r="E2493" s="33">
        <f t="shared" si="83"/>
        <v>-2.2355110937249462E-4</v>
      </c>
    </row>
    <row r="2494" spans="1:5" x14ac:dyDescent="0.25">
      <c r="A2494" s="41">
        <v>43569</v>
      </c>
      <c r="B2494" s="29">
        <v>178.86</v>
      </c>
      <c r="C2494" s="37">
        <f t="shared" si="82"/>
        <v>29.81</v>
      </c>
      <c r="D2494" s="37">
        <v>7.0830000000000002</v>
      </c>
      <c r="E2494" s="33">
        <f t="shared" si="83"/>
        <v>-1.6770082173387399E-4</v>
      </c>
    </row>
    <row r="2495" spans="1:5" x14ac:dyDescent="0.25">
      <c r="A2495" s="41">
        <v>43569</v>
      </c>
      <c r="B2495" s="29">
        <v>178.83</v>
      </c>
      <c r="C2495" s="37">
        <f t="shared" si="82"/>
        <v>29.805</v>
      </c>
      <c r="D2495" s="37">
        <v>7.0830000000000002</v>
      </c>
      <c r="E2495" s="33">
        <f t="shared" si="83"/>
        <v>-1.6772895001677924E-4</v>
      </c>
    </row>
    <row r="2496" spans="1:5" x14ac:dyDescent="0.25">
      <c r="A2496" s="41">
        <v>43569</v>
      </c>
      <c r="B2496" s="29">
        <v>178.8</v>
      </c>
      <c r="C2496" s="37">
        <f t="shared" si="82"/>
        <v>29.8</v>
      </c>
      <c r="D2496" s="37">
        <v>7.0830000000000002</v>
      </c>
      <c r="E2496" s="33">
        <f t="shared" si="83"/>
        <v>-1.6775708773696324E-4</v>
      </c>
    </row>
    <row r="2497" spans="1:5" x14ac:dyDescent="0.25">
      <c r="A2497" s="41">
        <v>43569</v>
      </c>
      <c r="B2497" s="29">
        <v>178.68</v>
      </c>
      <c r="C2497" s="37">
        <f t="shared" si="82"/>
        <v>29.78</v>
      </c>
      <c r="D2497" s="37">
        <v>7.0830000000000002</v>
      </c>
      <c r="E2497" s="33">
        <f t="shared" si="83"/>
        <v>-6.7114093959734088E-4</v>
      </c>
    </row>
    <row r="2498" spans="1:5" x14ac:dyDescent="0.25">
      <c r="A2498" s="41">
        <v>43570</v>
      </c>
      <c r="B2498" s="29">
        <v>186.45</v>
      </c>
      <c r="C2498" s="37">
        <f t="shared" si="82"/>
        <v>31.074999999999999</v>
      </c>
      <c r="D2498" s="37">
        <v>6.867</v>
      </c>
      <c r="E2498" s="33">
        <f t="shared" si="83"/>
        <v>4.3485560779046237E-2</v>
      </c>
    </row>
    <row r="2499" spans="1:5" x14ac:dyDescent="0.25">
      <c r="A2499" s="41">
        <v>43570</v>
      </c>
      <c r="B2499" s="29">
        <v>184.6</v>
      </c>
      <c r="C2499" s="37">
        <f t="shared" ref="C2499:C2562" si="84">(B2499*100/600)</f>
        <v>30.766666666666666</v>
      </c>
      <c r="D2499" s="37">
        <v>6.867</v>
      </c>
      <c r="E2499" s="33">
        <f t="shared" si="83"/>
        <v>-9.922231161169184E-3</v>
      </c>
    </row>
    <row r="2500" spans="1:5" x14ac:dyDescent="0.25">
      <c r="A2500" s="41">
        <v>43570</v>
      </c>
      <c r="B2500" s="29">
        <v>180.96</v>
      </c>
      <c r="C2500" s="37">
        <f t="shared" si="84"/>
        <v>30.16</v>
      </c>
      <c r="D2500" s="37">
        <v>6.867</v>
      </c>
      <c r="E2500" s="33">
        <f t="shared" ref="E2500:E2563" si="85">(B2500-B2499)/B2499</f>
        <v>-1.9718309859154855E-2</v>
      </c>
    </row>
    <row r="2501" spans="1:5" x14ac:dyDescent="0.25">
      <c r="A2501" s="41">
        <v>43570</v>
      </c>
      <c r="B2501" s="29">
        <v>179.97</v>
      </c>
      <c r="C2501" s="37">
        <f t="shared" si="84"/>
        <v>29.995000000000001</v>
      </c>
      <c r="D2501" s="37">
        <v>6.867</v>
      </c>
      <c r="E2501" s="33">
        <f t="shared" si="85"/>
        <v>-5.4708222811671592E-3</v>
      </c>
    </row>
    <row r="2502" spans="1:5" x14ac:dyDescent="0.25">
      <c r="A2502" s="41">
        <v>43570</v>
      </c>
      <c r="B2502" s="29">
        <v>181.25</v>
      </c>
      <c r="C2502" s="37">
        <f t="shared" si="84"/>
        <v>30.208333333333332</v>
      </c>
      <c r="D2502" s="37">
        <v>6.867</v>
      </c>
      <c r="E2502" s="33">
        <f t="shared" si="85"/>
        <v>7.112296493860094E-3</v>
      </c>
    </row>
    <row r="2503" spans="1:5" x14ac:dyDescent="0.25">
      <c r="A2503" s="41">
        <v>43570</v>
      </c>
      <c r="B2503" s="29">
        <v>186.54</v>
      </c>
      <c r="C2503" s="37">
        <f t="shared" si="84"/>
        <v>31.09</v>
      </c>
      <c r="D2503" s="37">
        <v>6.867</v>
      </c>
      <c r="E2503" s="33">
        <f t="shared" si="85"/>
        <v>2.9186206896551679E-2</v>
      </c>
    </row>
    <row r="2504" spans="1:5" x14ac:dyDescent="0.25">
      <c r="A2504" s="41">
        <v>43570</v>
      </c>
      <c r="B2504" s="29">
        <v>186.81</v>
      </c>
      <c r="C2504" s="37">
        <f t="shared" si="84"/>
        <v>31.135000000000002</v>
      </c>
      <c r="D2504" s="37">
        <v>6.867</v>
      </c>
      <c r="E2504" s="33">
        <f t="shared" si="85"/>
        <v>1.4474107430042364E-3</v>
      </c>
    </row>
    <row r="2505" spans="1:5" x14ac:dyDescent="0.25">
      <c r="A2505" s="41">
        <v>43570</v>
      </c>
      <c r="B2505" s="29">
        <v>188.31</v>
      </c>
      <c r="C2505" s="37">
        <f t="shared" si="84"/>
        <v>31.385000000000002</v>
      </c>
      <c r="D2505" s="37">
        <v>6.867</v>
      </c>
      <c r="E2505" s="33">
        <f t="shared" si="85"/>
        <v>8.0295487393608478E-3</v>
      </c>
    </row>
    <row r="2506" spans="1:5" x14ac:dyDescent="0.25">
      <c r="A2506" s="41">
        <v>43570</v>
      </c>
      <c r="B2506" s="29">
        <v>189.23</v>
      </c>
      <c r="C2506" s="37">
        <f t="shared" si="84"/>
        <v>31.538333333333334</v>
      </c>
      <c r="D2506" s="37">
        <v>6.867</v>
      </c>
      <c r="E2506" s="33">
        <f t="shared" si="85"/>
        <v>4.8855610429610081E-3</v>
      </c>
    </row>
    <row r="2507" spans="1:5" x14ac:dyDescent="0.25">
      <c r="A2507" s="41">
        <v>43570</v>
      </c>
      <c r="B2507" s="29">
        <v>189.77</v>
      </c>
      <c r="C2507" s="37">
        <f t="shared" si="84"/>
        <v>31.628333333333334</v>
      </c>
      <c r="D2507" s="37">
        <v>6.867</v>
      </c>
      <c r="E2507" s="33">
        <f t="shared" si="85"/>
        <v>2.8536701368705834E-3</v>
      </c>
    </row>
    <row r="2508" spans="1:5" x14ac:dyDescent="0.25">
      <c r="A2508" s="41">
        <v>43570</v>
      </c>
      <c r="B2508" s="29">
        <v>190.56</v>
      </c>
      <c r="C2508" s="37">
        <f t="shared" si="84"/>
        <v>31.76</v>
      </c>
      <c r="D2508" s="37">
        <v>6.867</v>
      </c>
      <c r="E2508" s="33">
        <f t="shared" si="85"/>
        <v>4.1629340780944936E-3</v>
      </c>
    </row>
    <row r="2509" spans="1:5" x14ac:dyDescent="0.25">
      <c r="A2509" s="41">
        <v>43570</v>
      </c>
      <c r="B2509" s="29">
        <v>190.71</v>
      </c>
      <c r="C2509" s="37">
        <f t="shared" si="84"/>
        <v>31.785</v>
      </c>
      <c r="D2509" s="37">
        <v>6.867</v>
      </c>
      <c r="E2509" s="33">
        <f t="shared" si="85"/>
        <v>7.8715365239297695E-4</v>
      </c>
    </row>
    <row r="2510" spans="1:5" x14ac:dyDescent="0.25">
      <c r="A2510" s="41">
        <v>43570</v>
      </c>
      <c r="B2510" s="29">
        <v>190.39</v>
      </c>
      <c r="C2510" s="37">
        <f t="shared" si="84"/>
        <v>31.731666666666666</v>
      </c>
      <c r="D2510" s="37">
        <v>6.867</v>
      </c>
      <c r="E2510" s="33">
        <f t="shared" si="85"/>
        <v>-1.67794032824719E-3</v>
      </c>
    </row>
    <row r="2511" spans="1:5" x14ac:dyDescent="0.25">
      <c r="A2511" s="41">
        <v>43570</v>
      </c>
      <c r="B2511" s="29">
        <v>190.7</v>
      </c>
      <c r="C2511" s="37">
        <f t="shared" si="84"/>
        <v>31.783333333333335</v>
      </c>
      <c r="D2511" s="37">
        <v>6.867</v>
      </c>
      <c r="E2511" s="33">
        <f t="shared" si="85"/>
        <v>1.6282367771416686E-3</v>
      </c>
    </row>
    <row r="2512" spans="1:5" x14ac:dyDescent="0.25">
      <c r="A2512" s="41">
        <v>43570</v>
      </c>
      <c r="B2512" s="29">
        <v>190.72</v>
      </c>
      <c r="C2512" s="37">
        <f t="shared" si="84"/>
        <v>31.786666666666665</v>
      </c>
      <c r="D2512" s="37">
        <v>6.867</v>
      </c>
      <c r="E2512" s="33">
        <f t="shared" si="85"/>
        <v>1.0487676979554396E-4</v>
      </c>
    </row>
    <row r="2513" spans="1:5" x14ac:dyDescent="0.25">
      <c r="A2513" s="41">
        <v>43570</v>
      </c>
      <c r="B2513" s="29">
        <v>190.69</v>
      </c>
      <c r="C2513" s="37">
        <f t="shared" si="84"/>
        <v>31.781666666666666</v>
      </c>
      <c r="D2513" s="37">
        <v>6.867</v>
      </c>
      <c r="E2513" s="33">
        <f t="shared" si="85"/>
        <v>-1.5729865771812676E-4</v>
      </c>
    </row>
    <row r="2514" spans="1:5" x14ac:dyDescent="0.25">
      <c r="A2514" s="41">
        <v>43570</v>
      </c>
      <c r="B2514" s="29">
        <v>190.66</v>
      </c>
      <c r="C2514" s="37">
        <f t="shared" si="84"/>
        <v>31.776666666666667</v>
      </c>
      <c r="D2514" s="37">
        <v>6.867</v>
      </c>
      <c r="E2514" s="33">
        <f t="shared" si="85"/>
        <v>-1.5732340447847888E-4</v>
      </c>
    </row>
    <row r="2515" spans="1:5" x14ac:dyDescent="0.25">
      <c r="A2515" s="41">
        <v>43570</v>
      </c>
      <c r="B2515" s="29">
        <v>190.23</v>
      </c>
      <c r="C2515" s="37">
        <f t="shared" si="84"/>
        <v>31.704999999999998</v>
      </c>
      <c r="D2515" s="37">
        <v>6.867</v>
      </c>
      <c r="E2515" s="33">
        <f t="shared" si="85"/>
        <v>-2.2553236127137669E-3</v>
      </c>
    </row>
    <row r="2516" spans="1:5" x14ac:dyDescent="0.25">
      <c r="A2516" s="41">
        <v>43570</v>
      </c>
      <c r="B2516" s="29">
        <v>190.2</v>
      </c>
      <c r="C2516" s="37">
        <f t="shared" si="84"/>
        <v>31.7</v>
      </c>
      <c r="D2516" s="37">
        <v>6.867</v>
      </c>
      <c r="E2516" s="33">
        <f t="shared" si="85"/>
        <v>-1.5770383220312852E-4</v>
      </c>
    </row>
    <row r="2517" spans="1:5" x14ac:dyDescent="0.25">
      <c r="A2517" s="41">
        <v>43570</v>
      </c>
      <c r="B2517" s="29">
        <v>190.21</v>
      </c>
      <c r="C2517" s="37">
        <f t="shared" si="84"/>
        <v>31.701666666666668</v>
      </c>
      <c r="D2517" s="37">
        <v>6.867</v>
      </c>
      <c r="E2517" s="33">
        <f t="shared" si="85"/>
        <v>5.257623554163684E-5</v>
      </c>
    </row>
    <row r="2518" spans="1:5" x14ac:dyDescent="0.25">
      <c r="A2518" s="41">
        <v>43570</v>
      </c>
      <c r="B2518" s="29">
        <v>190.13</v>
      </c>
      <c r="C2518" s="37">
        <f t="shared" si="84"/>
        <v>31.688333333333333</v>
      </c>
      <c r="D2518" s="37">
        <v>6.867</v>
      </c>
      <c r="E2518" s="33">
        <f t="shared" si="85"/>
        <v>-4.2058777141061197E-4</v>
      </c>
    </row>
    <row r="2519" spans="1:5" x14ac:dyDescent="0.25">
      <c r="A2519" s="41">
        <v>43570</v>
      </c>
      <c r="B2519" s="29">
        <v>190.1</v>
      </c>
      <c r="C2519" s="37">
        <f t="shared" si="84"/>
        <v>31.683333333333334</v>
      </c>
      <c r="D2519" s="37">
        <v>6.867</v>
      </c>
      <c r="E2519" s="33">
        <f t="shared" si="85"/>
        <v>-1.5778677746805417E-4</v>
      </c>
    </row>
    <row r="2520" spans="1:5" x14ac:dyDescent="0.25">
      <c r="A2520" s="41">
        <v>43570</v>
      </c>
      <c r="B2520" s="29">
        <v>189.63</v>
      </c>
      <c r="C2520" s="37">
        <f t="shared" si="84"/>
        <v>31.605</v>
      </c>
      <c r="D2520" s="37">
        <v>6.867</v>
      </c>
      <c r="E2520" s="33">
        <f t="shared" si="85"/>
        <v>-2.4723829563387634E-3</v>
      </c>
    </row>
    <row r="2521" spans="1:5" x14ac:dyDescent="0.25">
      <c r="A2521" s="41">
        <v>43570</v>
      </c>
      <c r="B2521" s="29">
        <v>188.63</v>
      </c>
      <c r="C2521" s="37">
        <f t="shared" si="84"/>
        <v>31.438333333333333</v>
      </c>
      <c r="D2521" s="37">
        <v>6.867</v>
      </c>
      <c r="E2521" s="33">
        <f t="shared" si="85"/>
        <v>-5.2734272003374999E-3</v>
      </c>
    </row>
    <row r="2522" spans="1:5" x14ac:dyDescent="0.25">
      <c r="A2522" s="41">
        <v>43571</v>
      </c>
      <c r="B2522" s="29">
        <v>182.52</v>
      </c>
      <c r="C2522" s="37">
        <f t="shared" si="84"/>
        <v>30.42</v>
      </c>
      <c r="D2522" s="37">
        <v>6.8049999999999997</v>
      </c>
      <c r="E2522" s="33">
        <f t="shared" si="85"/>
        <v>-3.2391454169538175E-2</v>
      </c>
    </row>
    <row r="2523" spans="1:5" x14ac:dyDescent="0.25">
      <c r="A2523" s="41">
        <v>43571</v>
      </c>
      <c r="B2523" s="29">
        <v>181.22</v>
      </c>
      <c r="C2523" s="37">
        <f t="shared" si="84"/>
        <v>30.203333333333333</v>
      </c>
      <c r="D2523" s="37">
        <v>6.8049999999999997</v>
      </c>
      <c r="E2523" s="33">
        <f t="shared" si="85"/>
        <v>-7.1225071225071842E-3</v>
      </c>
    </row>
    <row r="2524" spans="1:5" x14ac:dyDescent="0.25">
      <c r="A2524" s="41">
        <v>43571</v>
      </c>
      <c r="B2524" s="29">
        <v>179.9</v>
      </c>
      <c r="C2524" s="37">
        <f t="shared" si="84"/>
        <v>29.983333333333334</v>
      </c>
      <c r="D2524" s="37">
        <v>6.8049999999999997</v>
      </c>
      <c r="E2524" s="33">
        <f t="shared" si="85"/>
        <v>-7.2839642423573178E-3</v>
      </c>
    </row>
    <row r="2525" spans="1:5" x14ac:dyDescent="0.25">
      <c r="A2525" s="41">
        <v>43571</v>
      </c>
      <c r="B2525" s="29">
        <v>179.9</v>
      </c>
      <c r="C2525" s="37">
        <f t="shared" si="84"/>
        <v>29.983333333333334</v>
      </c>
      <c r="D2525" s="37">
        <v>6.8049999999999997</v>
      </c>
      <c r="E2525" s="33">
        <f t="shared" si="85"/>
        <v>0</v>
      </c>
    </row>
    <row r="2526" spans="1:5" x14ac:dyDescent="0.25">
      <c r="A2526" s="41">
        <v>43571</v>
      </c>
      <c r="B2526" s="29">
        <v>179.9</v>
      </c>
      <c r="C2526" s="37">
        <f t="shared" si="84"/>
        <v>29.983333333333334</v>
      </c>
      <c r="D2526" s="37">
        <v>6.8049999999999997</v>
      </c>
      <c r="E2526" s="33">
        <f t="shared" si="85"/>
        <v>0</v>
      </c>
    </row>
    <row r="2527" spans="1:5" x14ac:dyDescent="0.25">
      <c r="A2527" s="41">
        <v>43571</v>
      </c>
      <c r="B2527" s="29">
        <v>181.42</v>
      </c>
      <c r="C2527" s="37">
        <f t="shared" si="84"/>
        <v>30.236666666666668</v>
      </c>
      <c r="D2527" s="37">
        <v>6.8049999999999997</v>
      </c>
      <c r="E2527" s="33">
        <f t="shared" si="85"/>
        <v>8.4491384102278033E-3</v>
      </c>
    </row>
    <row r="2528" spans="1:5" x14ac:dyDescent="0.25">
      <c r="A2528" s="41">
        <v>43571</v>
      </c>
      <c r="B2528" s="29">
        <v>183.42</v>
      </c>
      <c r="C2528" s="37">
        <f t="shared" si="84"/>
        <v>30.57</v>
      </c>
      <c r="D2528" s="37">
        <v>6.8049999999999997</v>
      </c>
      <c r="E2528" s="33">
        <f t="shared" si="85"/>
        <v>1.1024142872891633E-2</v>
      </c>
    </row>
    <row r="2529" spans="1:5" x14ac:dyDescent="0.25">
      <c r="A2529" s="41">
        <v>43571</v>
      </c>
      <c r="B2529" s="29">
        <v>185.06</v>
      </c>
      <c r="C2529" s="37">
        <f t="shared" si="84"/>
        <v>30.843333333333334</v>
      </c>
      <c r="D2529" s="37">
        <v>6.8049999999999997</v>
      </c>
      <c r="E2529" s="33">
        <f t="shared" si="85"/>
        <v>8.9412277832298277E-3</v>
      </c>
    </row>
    <row r="2530" spans="1:5" x14ac:dyDescent="0.25">
      <c r="A2530" s="41">
        <v>43571</v>
      </c>
      <c r="B2530" s="29">
        <v>185.33</v>
      </c>
      <c r="C2530" s="37">
        <f t="shared" si="84"/>
        <v>30.888333333333332</v>
      </c>
      <c r="D2530" s="37">
        <v>6.8049999999999997</v>
      </c>
      <c r="E2530" s="33">
        <f t="shared" si="85"/>
        <v>1.458986274721767E-3</v>
      </c>
    </row>
    <row r="2531" spans="1:5" x14ac:dyDescent="0.25">
      <c r="A2531" s="41">
        <v>43571</v>
      </c>
      <c r="B2531" s="29">
        <v>186.1</v>
      </c>
      <c r="C2531" s="37">
        <f t="shared" si="84"/>
        <v>31.016666666666666</v>
      </c>
      <c r="D2531" s="37">
        <v>6.8049999999999997</v>
      </c>
      <c r="E2531" s="33">
        <f t="shared" si="85"/>
        <v>4.1547509847298424E-3</v>
      </c>
    </row>
    <row r="2532" spans="1:5" x14ac:dyDescent="0.25">
      <c r="A2532" s="41">
        <v>43571</v>
      </c>
      <c r="B2532" s="29">
        <v>187.2</v>
      </c>
      <c r="C2532" s="37">
        <f t="shared" si="84"/>
        <v>31.2</v>
      </c>
      <c r="D2532" s="37">
        <v>6.8049999999999997</v>
      </c>
      <c r="E2532" s="33">
        <f t="shared" si="85"/>
        <v>5.9108006448145853E-3</v>
      </c>
    </row>
    <row r="2533" spans="1:5" x14ac:dyDescent="0.25">
      <c r="A2533" s="41">
        <v>43571</v>
      </c>
      <c r="B2533" s="29">
        <v>187.31</v>
      </c>
      <c r="C2533" s="37">
        <f t="shared" si="84"/>
        <v>31.218333333333334</v>
      </c>
      <c r="D2533" s="37">
        <v>6.8049999999999997</v>
      </c>
      <c r="E2533" s="33">
        <f t="shared" si="85"/>
        <v>5.8760683760691055E-4</v>
      </c>
    </row>
    <row r="2534" spans="1:5" x14ac:dyDescent="0.25">
      <c r="A2534" s="41">
        <v>43571</v>
      </c>
      <c r="B2534" s="29">
        <v>187.18</v>
      </c>
      <c r="C2534" s="37">
        <f t="shared" si="84"/>
        <v>31.196666666666665</v>
      </c>
      <c r="D2534" s="37">
        <v>6.8049999999999997</v>
      </c>
      <c r="E2534" s="33">
        <f t="shared" si="85"/>
        <v>-6.9403662377873817E-4</v>
      </c>
    </row>
    <row r="2535" spans="1:5" x14ac:dyDescent="0.25">
      <c r="A2535" s="41">
        <v>43571</v>
      </c>
      <c r="B2535" s="29">
        <v>187.3</v>
      </c>
      <c r="C2535" s="37">
        <f t="shared" si="84"/>
        <v>31.216666666666665</v>
      </c>
      <c r="D2535" s="37">
        <v>6.8049999999999997</v>
      </c>
      <c r="E2535" s="33">
        <f t="shared" si="85"/>
        <v>6.4109413398869832E-4</v>
      </c>
    </row>
    <row r="2536" spans="1:5" x14ac:dyDescent="0.25">
      <c r="A2536" s="41">
        <v>43571</v>
      </c>
      <c r="B2536" s="29">
        <v>187.48</v>
      </c>
      <c r="C2536" s="37">
        <f t="shared" si="84"/>
        <v>31.246666666666666</v>
      </c>
      <c r="D2536" s="37">
        <v>6.8049999999999997</v>
      </c>
      <c r="E2536" s="33">
        <f t="shared" si="85"/>
        <v>9.6102509343287982E-4</v>
      </c>
    </row>
    <row r="2537" spans="1:5" x14ac:dyDescent="0.25">
      <c r="A2537" s="41">
        <v>43571</v>
      </c>
      <c r="B2537" s="29">
        <v>187.45</v>
      </c>
      <c r="C2537" s="37">
        <f t="shared" si="84"/>
        <v>31.241666666666667</v>
      </c>
      <c r="D2537" s="37">
        <v>6.8049999999999997</v>
      </c>
      <c r="E2537" s="33">
        <f t="shared" si="85"/>
        <v>-1.6001706848731137E-4</v>
      </c>
    </row>
    <row r="2538" spans="1:5" x14ac:dyDescent="0.25">
      <c r="A2538" s="41">
        <v>43571</v>
      </c>
      <c r="B2538" s="29">
        <v>187.42</v>
      </c>
      <c r="C2538" s="37">
        <f t="shared" si="84"/>
        <v>31.236666666666668</v>
      </c>
      <c r="D2538" s="37">
        <v>6.8049999999999997</v>
      </c>
      <c r="E2538" s="33">
        <f t="shared" si="85"/>
        <v>-1.600426780474854E-4</v>
      </c>
    </row>
    <row r="2539" spans="1:5" x14ac:dyDescent="0.25">
      <c r="A2539" s="41">
        <v>43571</v>
      </c>
      <c r="B2539" s="29">
        <v>187.01</v>
      </c>
      <c r="C2539" s="37">
        <f t="shared" si="84"/>
        <v>31.168333333333333</v>
      </c>
      <c r="D2539" s="37">
        <v>6.8049999999999997</v>
      </c>
      <c r="E2539" s="33">
        <f t="shared" si="85"/>
        <v>-2.1876000426848609E-3</v>
      </c>
    </row>
    <row r="2540" spans="1:5" x14ac:dyDescent="0.25">
      <c r="A2540" s="41">
        <v>43571</v>
      </c>
      <c r="B2540" s="29">
        <v>187.27</v>
      </c>
      <c r="C2540" s="37">
        <f t="shared" si="84"/>
        <v>31.211666666666666</v>
      </c>
      <c r="D2540" s="37">
        <v>6.8049999999999997</v>
      </c>
      <c r="E2540" s="33">
        <f t="shared" si="85"/>
        <v>1.3902999839581806E-3</v>
      </c>
    </row>
    <row r="2541" spans="1:5" x14ac:dyDescent="0.25">
      <c r="A2541" s="41">
        <v>43571</v>
      </c>
      <c r="B2541" s="29">
        <v>187.26</v>
      </c>
      <c r="C2541" s="37">
        <f t="shared" si="84"/>
        <v>31.21</v>
      </c>
      <c r="D2541" s="37">
        <v>6.8049999999999997</v>
      </c>
      <c r="E2541" s="33">
        <f t="shared" si="85"/>
        <v>-5.339883590548046E-5</v>
      </c>
    </row>
    <row r="2542" spans="1:5" x14ac:dyDescent="0.25">
      <c r="A2542" s="41">
        <v>43571</v>
      </c>
      <c r="B2542" s="29">
        <v>187.21</v>
      </c>
      <c r="C2542" s="37">
        <f t="shared" si="84"/>
        <v>31.201666666666668</v>
      </c>
      <c r="D2542" s="37">
        <v>6.8049999999999997</v>
      </c>
      <c r="E2542" s="33">
        <f t="shared" si="85"/>
        <v>-2.6700843746653289E-4</v>
      </c>
    </row>
    <row r="2543" spans="1:5" x14ac:dyDescent="0.25">
      <c r="A2543" s="41">
        <v>43571</v>
      </c>
      <c r="B2543" s="29">
        <v>187.13</v>
      </c>
      <c r="C2543" s="37">
        <f t="shared" si="84"/>
        <v>31.188333333333333</v>
      </c>
      <c r="D2543" s="37">
        <v>6.8049999999999997</v>
      </c>
      <c r="E2543" s="33">
        <f t="shared" si="85"/>
        <v>-4.2732760002143317E-4</v>
      </c>
    </row>
    <row r="2544" spans="1:5" x14ac:dyDescent="0.25">
      <c r="A2544" s="41">
        <v>43571</v>
      </c>
      <c r="B2544" s="29">
        <v>186.31</v>
      </c>
      <c r="C2544" s="37">
        <f t="shared" si="84"/>
        <v>31.051666666666666</v>
      </c>
      <c r="D2544" s="37">
        <v>6.8049999999999997</v>
      </c>
      <c r="E2544" s="33">
        <f t="shared" si="85"/>
        <v>-4.3819804414043347E-3</v>
      </c>
    </row>
    <row r="2545" spans="1:5" x14ac:dyDescent="0.25">
      <c r="A2545" s="41">
        <v>43571</v>
      </c>
      <c r="B2545" s="29">
        <v>185.14</v>
      </c>
      <c r="C2545" s="37">
        <f t="shared" si="84"/>
        <v>30.856666666666666</v>
      </c>
      <c r="D2545" s="37">
        <v>6.8049999999999997</v>
      </c>
      <c r="E2545" s="33">
        <f t="shared" si="85"/>
        <v>-6.2798561537223763E-3</v>
      </c>
    </row>
    <row r="2546" spans="1:5" x14ac:dyDescent="0.25">
      <c r="A2546" s="41">
        <v>43572</v>
      </c>
      <c r="B2546" s="29">
        <v>181</v>
      </c>
      <c r="C2546" s="37">
        <f t="shared" si="84"/>
        <v>30.166666666666668</v>
      </c>
      <c r="D2546" s="37">
        <v>6.9930000000000003</v>
      </c>
      <c r="E2546" s="33">
        <f t="shared" si="85"/>
        <v>-2.2361456195311585E-2</v>
      </c>
    </row>
    <row r="2547" spans="1:5" x14ac:dyDescent="0.25">
      <c r="A2547" s="41">
        <v>43572</v>
      </c>
      <c r="B2547" s="29">
        <v>180.03</v>
      </c>
      <c r="C2547" s="37">
        <f t="shared" si="84"/>
        <v>30.004999999999999</v>
      </c>
      <c r="D2547" s="37">
        <v>6.9930000000000003</v>
      </c>
      <c r="E2547" s="33">
        <f t="shared" si="85"/>
        <v>-5.3591160220994409E-3</v>
      </c>
    </row>
    <row r="2548" spans="1:5" x14ac:dyDescent="0.25">
      <c r="A2548" s="41">
        <v>43572</v>
      </c>
      <c r="B2548" s="29">
        <v>178.64</v>
      </c>
      <c r="C2548" s="37">
        <f t="shared" si="84"/>
        <v>29.773333333333333</v>
      </c>
      <c r="D2548" s="37">
        <v>6.9930000000000003</v>
      </c>
      <c r="E2548" s="33">
        <f t="shared" si="85"/>
        <v>-7.7209353996556948E-3</v>
      </c>
    </row>
    <row r="2549" spans="1:5" x14ac:dyDescent="0.25">
      <c r="A2549" s="41">
        <v>43572</v>
      </c>
      <c r="B2549" s="29">
        <v>178.08</v>
      </c>
      <c r="C2549" s="37">
        <f t="shared" si="84"/>
        <v>29.68</v>
      </c>
      <c r="D2549" s="37">
        <v>6.9930000000000003</v>
      </c>
      <c r="E2549" s="33">
        <f t="shared" si="85"/>
        <v>-3.1347962382443678E-3</v>
      </c>
    </row>
    <row r="2550" spans="1:5" x14ac:dyDescent="0.25">
      <c r="A2550" s="41">
        <v>43572</v>
      </c>
      <c r="B2550" s="29">
        <v>178.63</v>
      </c>
      <c r="C2550" s="37">
        <f t="shared" si="84"/>
        <v>29.771666666666668</v>
      </c>
      <c r="D2550" s="37">
        <v>6.9930000000000003</v>
      </c>
      <c r="E2550" s="33">
        <f t="shared" si="85"/>
        <v>3.0884995507636059E-3</v>
      </c>
    </row>
    <row r="2551" spans="1:5" x14ac:dyDescent="0.25">
      <c r="A2551" s="41">
        <v>43572</v>
      </c>
      <c r="B2551" s="29">
        <v>180.03</v>
      </c>
      <c r="C2551" s="37">
        <f t="shared" si="84"/>
        <v>30.004999999999999</v>
      </c>
      <c r="D2551" s="37">
        <v>6.9930000000000003</v>
      </c>
      <c r="E2551" s="33">
        <f t="shared" si="85"/>
        <v>7.8374293231820279E-3</v>
      </c>
    </row>
    <row r="2552" spans="1:5" x14ac:dyDescent="0.25">
      <c r="A2552" s="41">
        <v>43572</v>
      </c>
      <c r="B2552" s="29">
        <v>181.06</v>
      </c>
      <c r="C2552" s="37">
        <f t="shared" si="84"/>
        <v>30.176666666666666</v>
      </c>
      <c r="D2552" s="37">
        <v>6.9930000000000003</v>
      </c>
      <c r="E2552" s="33">
        <f t="shared" si="85"/>
        <v>5.7212686774426548E-3</v>
      </c>
    </row>
    <row r="2553" spans="1:5" x14ac:dyDescent="0.25">
      <c r="A2553" s="41">
        <v>43572</v>
      </c>
      <c r="B2553" s="29">
        <v>182.5</v>
      </c>
      <c r="C2553" s="37">
        <f t="shared" si="84"/>
        <v>30.416666666666668</v>
      </c>
      <c r="D2553" s="37">
        <v>6.9930000000000003</v>
      </c>
      <c r="E2553" s="33">
        <f t="shared" si="85"/>
        <v>7.9531646967855828E-3</v>
      </c>
    </row>
    <row r="2554" spans="1:5" x14ac:dyDescent="0.25">
      <c r="A2554" s="41">
        <v>43572</v>
      </c>
      <c r="B2554" s="29">
        <v>183.75</v>
      </c>
      <c r="C2554" s="37">
        <f t="shared" si="84"/>
        <v>30.625</v>
      </c>
      <c r="D2554" s="37">
        <v>6.9930000000000003</v>
      </c>
      <c r="E2554" s="33">
        <f t="shared" si="85"/>
        <v>6.8493150684931503E-3</v>
      </c>
    </row>
    <row r="2555" spans="1:5" x14ac:dyDescent="0.25">
      <c r="A2555" s="41">
        <v>43572</v>
      </c>
      <c r="B2555" s="29">
        <v>184.81</v>
      </c>
      <c r="C2555" s="37">
        <f t="shared" si="84"/>
        <v>30.801666666666666</v>
      </c>
      <c r="D2555" s="37">
        <v>6.9930000000000003</v>
      </c>
      <c r="E2555" s="33">
        <f t="shared" si="85"/>
        <v>5.7687074829932093E-3</v>
      </c>
    </row>
    <row r="2556" spans="1:5" x14ac:dyDescent="0.25">
      <c r="A2556" s="41">
        <v>43572</v>
      </c>
      <c r="B2556" s="29">
        <v>185.71</v>
      </c>
      <c r="C2556" s="37">
        <f t="shared" si="84"/>
        <v>30.951666666666668</v>
      </c>
      <c r="D2556" s="37">
        <v>6.9930000000000003</v>
      </c>
      <c r="E2556" s="33">
        <f t="shared" si="85"/>
        <v>4.8698663492235577E-3</v>
      </c>
    </row>
    <row r="2557" spans="1:5" x14ac:dyDescent="0.25">
      <c r="A2557" s="41">
        <v>43572</v>
      </c>
      <c r="B2557" s="29">
        <v>185.36</v>
      </c>
      <c r="C2557" s="37">
        <f t="shared" si="84"/>
        <v>30.893333333333334</v>
      </c>
      <c r="D2557" s="37">
        <v>6.9930000000000003</v>
      </c>
      <c r="E2557" s="33">
        <f t="shared" si="85"/>
        <v>-1.8846588767432787E-3</v>
      </c>
    </row>
    <row r="2558" spans="1:5" x14ac:dyDescent="0.25">
      <c r="A2558" s="41">
        <v>43572</v>
      </c>
      <c r="B2558" s="29">
        <v>184.84</v>
      </c>
      <c r="C2558" s="37">
        <f t="shared" si="84"/>
        <v>30.806666666666668</v>
      </c>
      <c r="D2558" s="37">
        <v>6.9930000000000003</v>
      </c>
      <c r="E2558" s="33">
        <f t="shared" si="85"/>
        <v>-2.8053517479499903E-3</v>
      </c>
    </row>
    <row r="2559" spans="1:5" x14ac:dyDescent="0.25">
      <c r="A2559" s="41">
        <v>43572</v>
      </c>
      <c r="B2559" s="29">
        <v>185.63</v>
      </c>
      <c r="C2559" s="37">
        <f t="shared" si="84"/>
        <v>30.938333333333333</v>
      </c>
      <c r="D2559" s="37">
        <v>6.9930000000000003</v>
      </c>
      <c r="E2559" s="33">
        <f t="shared" si="85"/>
        <v>4.2739666738800695E-3</v>
      </c>
    </row>
    <row r="2560" spans="1:5" x14ac:dyDescent="0.25">
      <c r="A2560" s="41">
        <v>43572</v>
      </c>
      <c r="B2560" s="29">
        <v>186.22</v>
      </c>
      <c r="C2560" s="37">
        <f t="shared" si="84"/>
        <v>31.036666666666665</v>
      </c>
      <c r="D2560" s="37">
        <v>6.9930000000000003</v>
      </c>
      <c r="E2560" s="33">
        <f t="shared" si="85"/>
        <v>3.1783655659107009E-3</v>
      </c>
    </row>
    <row r="2561" spans="1:5" x14ac:dyDescent="0.25">
      <c r="A2561" s="41">
        <v>43572</v>
      </c>
      <c r="B2561" s="29">
        <v>186.19</v>
      </c>
      <c r="C2561" s="37">
        <f t="shared" si="84"/>
        <v>31.031666666666666</v>
      </c>
      <c r="D2561" s="37">
        <v>6.9930000000000003</v>
      </c>
      <c r="E2561" s="33">
        <f t="shared" si="85"/>
        <v>-1.6109977446032185E-4</v>
      </c>
    </row>
    <row r="2562" spans="1:5" x14ac:dyDescent="0.25">
      <c r="A2562" s="41">
        <v>43572</v>
      </c>
      <c r="B2562" s="29">
        <v>186.15</v>
      </c>
      <c r="C2562" s="37">
        <f t="shared" si="84"/>
        <v>31.024999999999999</v>
      </c>
      <c r="D2562" s="37">
        <v>6.9930000000000003</v>
      </c>
      <c r="E2562" s="33">
        <f t="shared" si="85"/>
        <v>-2.1483430903911083E-4</v>
      </c>
    </row>
    <row r="2563" spans="1:5" x14ac:dyDescent="0.25">
      <c r="A2563" s="41">
        <v>43572</v>
      </c>
      <c r="B2563" s="29">
        <v>184.64</v>
      </c>
      <c r="C2563" s="37">
        <f t="shared" ref="C2563:C2626" si="86">(B2563*100/600)</f>
        <v>30.773333333333333</v>
      </c>
      <c r="D2563" s="37">
        <v>6.9930000000000003</v>
      </c>
      <c r="E2563" s="33">
        <f t="shared" si="85"/>
        <v>-8.1117378458233635E-3</v>
      </c>
    </row>
    <row r="2564" spans="1:5" x14ac:dyDescent="0.25">
      <c r="A2564" s="41">
        <v>43572</v>
      </c>
      <c r="B2564" s="29">
        <v>184.73</v>
      </c>
      <c r="C2564" s="37">
        <f t="shared" si="86"/>
        <v>30.788333333333334</v>
      </c>
      <c r="D2564" s="37">
        <v>6.9930000000000003</v>
      </c>
      <c r="E2564" s="33">
        <f t="shared" ref="E2564:E2627" si="87">(B2564-B2563)/B2563</f>
        <v>4.8743500866552976E-4</v>
      </c>
    </row>
    <row r="2565" spans="1:5" x14ac:dyDescent="0.25">
      <c r="A2565" s="41">
        <v>43572</v>
      </c>
      <c r="B2565" s="29">
        <v>184.82</v>
      </c>
      <c r="C2565" s="37">
        <f t="shared" si="86"/>
        <v>30.803333333333335</v>
      </c>
      <c r="D2565" s="37">
        <v>6.9930000000000003</v>
      </c>
      <c r="E2565" s="33">
        <f t="shared" si="87"/>
        <v>4.8719753153252538E-4</v>
      </c>
    </row>
    <row r="2566" spans="1:5" x14ac:dyDescent="0.25">
      <c r="A2566" s="41">
        <v>43572</v>
      </c>
      <c r="B2566" s="29">
        <v>184.94</v>
      </c>
      <c r="C2566" s="37">
        <f t="shared" si="86"/>
        <v>30.823333333333334</v>
      </c>
      <c r="D2566" s="37">
        <v>6.9930000000000003</v>
      </c>
      <c r="E2566" s="33">
        <f t="shared" si="87"/>
        <v>6.4928038091118141E-4</v>
      </c>
    </row>
    <row r="2567" spans="1:5" x14ac:dyDescent="0.25">
      <c r="A2567" s="41">
        <v>43572</v>
      </c>
      <c r="B2567" s="29">
        <v>184.4</v>
      </c>
      <c r="C2567" s="37">
        <f t="shared" si="86"/>
        <v>30.733333333333334</v>
      </c>
      <c r="D2567" s="37">
        <v>6.9930000000000003</v>
      </c>
      <c r="E2567" s="33">
        <f t="shared" si="87"/>
        <v>-2.9198659024548073E-3</v>
      </c>
    </row>
    <row r="2568" spans="1:5" x14ac:dyDescent="0.25">
      <c r="A2568" s="41">
        <v>43572</v>
      </c>
      <c r="B2568" s="29">
        <v>184.34</v>
      </c>
      <c r="C2568" s="37">
        <f t="shared" si="86"/>
        <v>30.723333333333333</v>
      </c>
      <c r="D2568" s="37">
        <v>6.9930000000000003</v>
      </c>
      <c r="E2568" s="33">
        <f t="shared" si="87"/>
        <v>-3.2537960954448085E-4</v>
      </c>
    </row>
    <row r="2569" spans="1:5" x14ac:dyDescent="0.25">
      <c r="A2569" s="41">
        <v>43572</v>
      </c>
      <c r="B2569" s="29">
        <v>183.61</v>
      </c>
      <c r="C2569" s="37">
        <f t="shared" si="86"/>
        <v>30.601666666666667</v>
      </c>
      <c r="D2569" s="37">
        <v>6.9930000000000003</v>
      </c>
      <c r="E2569" s="33">
        <f t="shared" si="87"/>
        <v>-3.9600737767168806E-3</v>
      </c>
    </row>
    <row r="2570" spans="1:5" x14ac:dyDescent="0.25">
      <c r="A2570" s="41">
        <v>43573</v>
      </c>
      <c r="B2570" s="29">
        <v>186.17</v>
      </c>
      <c r="C2570" s="37">
        <f t="shared" si="86"/>
        <v>31.028333333333332</v>
      </c>
      <c r="D2570" s="37">
        <v>6.976</v>
      </c>
      <c r="E2570" s="33">
        <f t="shared" si="87"/>
        <v>1.3942595719187264E-2</v>
      </c>
    </row>
    <row r="2571" spans="1:5" x14ac:dyDescent="0.25">
      <c r="A2571" s="41">
        <v>43573</v>
      </c>
      <c r="B2571" s="29">
        <v>184.55</v>
      </c>
      <c r="C2571" s="37">
        <f t="shared" si="86"/>
        <v>30.758333333333333</v>
      </c>
      <c r="D2571" s="37">
        <v>6.976</v>
      </c>
      <c r="E2571" s="33">
        <f t="shared" si="87"/>
        <v>-8.7017242305418505E-3</v>
      </c>
    </row>
    <row r="2572" spans="1:5" x14ac:dyDescent="0.25">
      <c r="A2572" s="41">
        <v>43573</v>
      </c>
      <c r="B2572" s="29">
        <v>183.12</v>
      </c>
      <c r="C2572" s="37">
        <f t="shared" si="86"/>
        <v>30.52</v>
      </c>
      <c r="D2572" s="37">
        <v>6.976</v>
      </c>
      <c r="E2572" s="33">
        <f t="shared" si="87"/>
        <v>-7.7485776212408925E-3</v>
      </c>
    </row>
    <row r="2573" spans="1:5" x14ac:dyDescent="0.25">
      <c r="A2573" s="41">
        <v>43573</v>
      </c>
      <c r="B2573" s="29">
        <v>183.07</v>
      </c>
      <c r="C2573" s="37">
        <f t="shared" si="86"/>
        <v>30.511666666666667</v>
      </c>
      <c r="D2573" s="37">
        <v>6.976</v>
      </c>
      <c r="E2573" s="33">
        <f t="shared" si="87"/>
        <v>-2.7304499781570209E-4</v>
      </c>
    </row>
    <row r="2574" spans="1:5" x14ac:dyDescent="0.25">
      <c r="A2574" s="41">
        <v>43573</v>
      </c>
      <c r="B2574" s="29">
        <v>183.06</v>
      </c>
      <c r="C2574" s="37">
        <f t="shared" si="86"/>
        <v>30.51</v>
      </c>
      <c r="D2574" s="37">
        <v>6.976</v>
      </c>
      <c r="E2574" s="33">
        <f t="shared" si="87"/>
        <v>-5.4623914349652621E-5</v>
      </c>
    </row>
    <row r="2575" spans="1:5" x14ac:dyDescent="0.25">
      <c r="A2575" s="41">
        <v>43573</v>
      </c>
      <c r="B2575" s="29">
        <v>184.38</v>
      </c>
      <c r="C2575" s="37">
        <f t="shared" si="86"/>
        <v>30.73</v>
      </c>
      <c r="D2575" s="37">
        <v>6.976</v>
      </c>
      <c r="E2575" s="33">
        <f t="shared" si="87"/>
        <v>7.2107505735823944E-3</v>
      </c>
    </row>
    <row r="2576" spans="1:5" x14ac:dyDescent="0.25">
      <c r="A2576" s="41">
        <v>43573</v>
      </c>
      <c r="B2576" s="29">
        <v>185.9</v>
      </c>
      <c r="C2576" s="37">
        <f t="shared" si="86"/>
        <v>30.983333333333334</v>
      </c>
      <c r="D2576" s="37">
        <v>6.976</v>
      </c>
      <c r="E2576" s="33">
        <f t="shared" si="87"/>
        <v>8.2438442347326727E-3</v>
      </c>
    </row>
    <row r="2577" spans="1:5" x14ac:dyDescent="0.25">
      <c r="A2577" s="41">
        <v>43573</v>
      </c>
      <c r="B2577" s="29">
        <v>186.22</v>
      </c>
      <c r="C2577" s="37">
        <f t="shared" si="86"/>
        <v>31.036666666666665</v>
      </c>
      <c r="D2577" s="37">
        <v>6.976</v>
      </c>
      <c r="E2577" s="33">
        <f t="shared" si="87"/>
        <v>1.7213555675093769E-3</v>
      </c>
    </row>
    <row r="2578" spans="1:5" x14ac:dyDescent="0.25">
      <c r="A2578" s="41">
        <v>43573</v>
      </c>
      <c r="B2578" s="29">
        <v>187.67</v>
      </c>
      <c r="C2578" s="37">
        <f t="shared" si="86"/>
        <v>31.278333333333332</v>
      </c>
      <c r="D2578" s="37">
        <v>6.976</v>
      </c>
      <c r="E2578" s="33">
        <f t="shared" si="87"/>
        <v>7.7864890989152004E-3</v>
      </c>
    </row>
    <row r="2579" spans="1:5" x14ac:dyDescent="0.25">
      <c r="A2579" s="41">
        <v>43573</v>
      </c>
      <c r="B2579" s="29">
        <v>187.95</v>
      </c>
      <c r="C2579" s="37">
        <f t="shared" si="86"/>
        <v>31.324999999999999</v>
      </c>
      <c r="D2579" s="37">
        <v>6.976</v>
      </c>
      <c r="E2579" s="33">
        <f t="shared" si="87"/>
        <v>1.4919806042521509E-3</v>
      </c>
    </row>
    <row r="2580" spans="1:5" x14ac:dyDescent="0.25">
      <c r="A2580" s="41">
        <v>43573</v>
      </c>
      <c r="B2580" s="29">
        <v>188.38</v>
      </c>
      <c r="C2580" s="37">
        <f t="shared" si="86"/>
        <v>31.396666666666668</v>
      </c>
      <c r="D2580" s="37">
        <v>6.976</v>
      </c>
      <c r="E2580" s="33">
        <f t="shared" si="87"/>
        <v>2.2878425113062348E-3</v>
      </c>
    </row>
    <row r="2581" spans="1:5" x14ac:dyDescent="0.25">
      <c r="A2581" s="41">
        <v>43573</v>
      </c>
      <c r="B2581" s="29">
        <v>187.88</v>
      </c>
      <c r="C2581" s="37">
        <f t="shared" si="86"/>
        <v>31.313333333333333</v>
      </c>
      <c r="D2581" s="37">
        <v>6.976</v>
      </c>
      <c r="E2581" s="33">
        <f t="shared" si="87"/>
        <v>-2.6542095763881519E-3</v>
      </c>
    </row>
    <row r="2582" spans="1:5" x14ac:dyDescent="0.25">
      <c r="A2582" s="41">
        <v>43573</v>
      </c>
      <c r="B2582" s="29">
        <v>187.85</v>
      </c>
      <c r="C2582" s="37">
        <f t="shared" si="86"/>
        <v>31.308333333333334</v>
      </c>
      <c r="D2582" s="37">
        <v>6.976</v>
      </c>
      <c r="E2582" s="33">
        <f t="shared" si="87"/>
        <v>-1.5967638918459195E-4</v>
      </c>
    </row>
    <row r="2583" spans="1:5" x14ac:dyDescent="0.25">
      <c r="A2583" s="41">
        <v>43573</v>
      </c>
      <c r="B2583" s="29">
        <v>187.82</v>
      </c>
      <c r="C2583" s="37">
        <f t="shared" si="86"/>
        <v>31.303333333333335</v>
      </c>
      <c r="D2583" s="37">
        <v>6.976</v>
      </c>
      <c r="E2583" s="33">
        <f t="shared" si="87"/>
        <v>-1.597018898057021E-4</v>
      </c>
    </row>
    <row r="2584" spans="1:5" x14ac:dyDescent="0.25">
      <c r="A2584" s="41">
        <v>43573</v>
      </c>
      <c r="B2584" s="29">
        <v>189.16</v>
      </c>
      <c r="C2584" s="37">
        <f t="shared" si="86"/>
        <v>31.526666666666667</v>
      </c>
      <c r="D2584" s="37">
        <v>6.976</v>
      </c>
      <c r="E2584" s="33">
        <f t="shared" si="87"/>
        <v>7.1344904695985704E-3</v>
      </c>
    </row>
    <row r="2585" spans="1:5" x14ac:dyDescent="0.25">
      <c r="A2585" s="41">
        <v>43573</v>
      </c>
      <c r="B2585" s="29">
        <v>188.88</v>
      </c>
      <c r="C2585" s="37">
        <f t="shared" si="86"/>
        <v>31.48</v>
      </c>
      <c r="D2585" s="37">
        <v>6.976</v>
      </c>
      <c r="E2585" s="33">
        <f t="shared" si="87"/>
        <v>-1.4802283780926261E-3</v>
      </c>
    </row>
    <row r="2586" spans="1:5" x14ac:dyDescent="0.25">
      <c r="A2586" s="41">
        <v>43573</v>
      </c>
      <c r="B2586" s="29">
        <v>188.44</v>
      </c>
      <c r="C2586" s="37">
        <f t="shared" si="86"/>
        <v>31.406666666666666</v>
      </c>
      <c r="D2586" s="37">
        <v>6.976</v>
      </c>
      <c r="E2586" s="33">
        <f t="shared" si="87"/>
        <v>-2.3295213892418347E-3</v>
      </c>
    </row>
    <row r="2587" spans="1:5" x14ac:dyDescent="0.25">
      <c r="A2587" s="41">
        <v>43573</v>
      </c>
      <c r="B2587" s="29">
        <v>187.68</v>
      </c>
      <c r="C2587" s="37">
        <f t="shared" si="86"/>
        <v>31.28</v>
      </c>
      <c r="D2587" s="37">
        <v>6.976</v>
      </c>
      <c r="E2587" s="33">
        <f t="shared" si="87"/>
        <v>-4.0331139885374174E-3</v>
      </c>
    </row>
    <row r="2588" spans="1:5" x14ac:dyDescent="0.25">
      <c r="A2588" s="41">
        <v>43573</v>
      </c>
      <c r="B2588" s="29">
        <v>187.87</v>
      </c>
      <c r="C2588" s="37">
        <f t="shared" si="86"/>
        <v>31.311666666666667</v>
      </c>
      <c r="D2588" s="37">
        <v>6.976</v>
      </c>
      <c r="E2588" s="33">
        <f t="shared" si="87"/>
        <v>1.0123614663256485E-3</v>
      </c>
    </row>
    <row r="2589" spans="1:5" x14ac:dyDescent="0.25">
      <c r="A2589" s="41">
        <v>43573</v>
      </c>
      <c r="B2589" s="29">
        <v>188.08</v>
      </c>
      <c r="C2589" s="37">
        <f t="shared" si="86"/>
        <v>31.346666666666668</v>
      </c>
      <c r="D2589" s="37">
        <v>6.976</v>
      </c>
      <c r="E2589" s="33">
        <f t="shared" si="87"/>
        <v>1.1177942194070792E-3</v>
      </c>
    </row>
    <row r="2590" spans="1:5" x14ac:dyDescent="0.25">
      <c r="A2590" s="41">
        <v>43573</v>
      </c>
      <c r="B2590" s="29">
        <v>187.69</v>
      </c>
      <c r="C2590" s="37">
        <f t="shared" si="86"/>
        <v>31.281666666666666</v>
      </c>
      <c r="D2590" s="37">
        <v>6.976</v>
      </c>
      <c r="E2590" s="33">
        <f t="shared" si="87"/>
        <v>-2.0735857082093512E-3</v>
      </c>
    </row>
    <row r="2591" spans="1:5" x14ac:dyDescent="0.25">
      <c r="A2591" s="41">
        <v>43573</v>
      </c>
      <c r="B2591" s="29">
        <v>187.7</v>
      </c>
      <c r="C2591" s="37">
        <f t="shared" si="86"/>
        <v>31.283333333333335</v>
      </c>
      <c r="D2591" s="37">
        <v>6.976</v>
      </c>
      <c r="E2591" s="33">
        <f t="shared" si="87"/>
        <v>5.3279343598438407E-5</v>
      </c>
    </row>
    <row r="2592" spans="1:5" x14ac:dyDescent="0.25">
      <c r="A2592" s="41">
        <v>43573</v>
      </c>
      <c r="B2592" s="29">
        <v>187.52</v>
      </c>
      <c r="C2592" s="37">
        <f t="shared" si="86"/>
        <v>31.253333333333334</v>
      </c>
      <c r="D2592" s="37">
        <v>6.976</v>
      </c>
      <c r="E2592" s="33">
        <f t="shared" si="87"/>
        <v>-9.5897709110270867E-4</v>
      </c>
    </row>
    <row r="2593" spans="1:5" x14ac:dyDescent="0.25">
      <c r="A2593" s="41">
        <v>43573</v>
      </c>
      <c r="B2593" s="29">
        <v>186.89</v>
      </c>
      <c r="C2593" s="37">
        <f t="shared" si="86"/>
        <v>31.148333333333333</v>
      </c>
      <c r="D2593" s="37">
        <v>6.976</v>
      </c>
      <c r="E2593" s="33">
        <f t="shared" si="87"/>
        <v>-3.3596416382253831E-3</v>
      </c>
    </row>
    <row r="2594" spans="1:5" x14ac:dyDescent="0.25">
      <c r="A2594" s="41">
        <v>43574</v>
      </c>
      <c r="B2594" s="29">
        <v>184.08</v>
      </c>
      <c r="C2594" s="37">
        <f t="shared" si="86"/>
        <v>30.68</v>
      </c>
      <c r="D2594" s="37">
        <v>6.5579999999999998</v>
      </c>
      <c r="E2594" s="33">
        <f t="shared" si="87"/>
        <v>-1.5035582428166163E-2</v>
      </c>
    </row>
    <row r="2595" spans="1:5" x14ac:dyDescent="0.25">
      <c r="A2595" s="41">
        <v>43574</v>
      </c>
      <c r="B2595" s="29">
        <v>180.45</v>
      </c>
      <c r="C2595" s="37">
        <f t="shared" si="86"/>
        <v>30.074999999999999</v>
      </c>
      <c r="D2595" s="37">
        <v>6.5579999999999998</v>
      </c>
      <c r="E2595" s="33">
        <f t="shared" si="87"/>
        <v>-1.9719687092568577E-2</v>
      </c>
    </row>
    <row r="2596" spans="1:5" x14ac:dyDescent="0.25">
      <c r="A2596" s="41">
        <v>43574</v>
      </c>
      <c r="B2596" s="29">
        <v>179.42</v>
      </c>
      <c r="C2596" s="37">
        <f t="shared" si="86"/>
        <v>29.903333333333332</v>
      </c>
      <c r="D2596" s="37">
        <v>6.5579999999999998</v>
      </c>
      <c r="E2596" s="33">
        <f t="shared" si="87"/>
        <v>-5.707952341368807E-3</v>
      </c>
    </row>
    <row r="2597" spans="1:5" x14ac:dyDescent="0.25">
      <c r="A2597" s="41">
        <v>43574</v>
      </c>
      <c r="B2597" s="29">
        <v>172.38</v>
      </c>
      <c r="C2597" s="37">
        <f t="shared" si="86"/>
        <v>28.73</v>
      </c>
      <c r="D2597" s="37">
        <v>6.5579999999999998</v>
      </c>
      <c r="E2597" s="33">
        <f t="shared" si="87"/>
        <v>-3.9237543194738558E-2</v>
      </c>
    </row>
    <row r="2598" spans="1:5" x14ac:dyDescent="0.25">
      <c r="A2598" s="41">
        <v>43574</v>
      </c>
      <c r="B2598" s="29">
        <v>173.96</v>
      </c>
      <c r="C2598" s="37">
        <f t="shared" si="86"/>
        <v>28.993333333333332</v>
      </c>
      <c r="D2598" s="37">
        <v>6.5579999999999998</v>
      </c>
      <c r="E2598" s="33">
        <f t="shared" si="87"/>
        <v>9.1657964961133105E-3</v>
      </c>
    </row>
    <row r="2599" spans="1:5" x14ac:dyDescent="0.25">
      <c r="A2599" s="41">
        <v>43574</v>
      </c>
      <c r="B2599" s="29">
        <v>171.65</v>
      </c>
      <c r="C2599" s="37">
        <f t="shared" si="86"/>
        <v>28.608333333333334</v>
      </c>
      <c r="D2599" s="37">
        <v>6.5579999999999998</v>
      </c>
      <c r="E2599" s="33">
        <f t="shared" si="87"/>
        <v>-1.3278914693032894E-2</v>
      </c>
    </row>
    <row r="2600" spans="1:5" x14ac:dyDescent="0.25">
      <c r="A2600" s="41">
        <v>43574</v>
      </c>
      <c r="B2600" s="29">
        <v>46.13</v>
      </c>
      <c r="C2600" s="37">
        <f t="shared" si="86"/>
        <v>7.6883333333333335</v>
      </c>
      <c r="D2600" s="37">
        <v>6.5579999999999998</v>
      </c>
      <c r="E2600" s="33">
        <f t="shared" si="87"/>
        <v>-0.7312554616953103</v>
      </c>
    </row>
    <row r="2601" spans="1:5" x14ac:dyDescent="0.25">
      <c r="A2601" s="41">
        <v>43574</v>
      </c>
      <c r="B2601" s="29">
        <v>167.67</v>
      </c>
      <c r="C2601" s="37">
        <f t="shared" si="86"/>
        <v>27.945</v>
      </c>
      <c r="D2601" s="37">
        <v>6.5579999999999998</v>
      </c>
      <c r="E2601" s="33">
        <f t="shared" si="87"/>
        <v>2.6347279427704309</v>
      </c>
    </row>
    <row r="2602" spans="1:5" x14ac:dyDescent="0.25">
      <c r="A2602" s="41">
        <v>43574</v>
      </c>
      <c r="B2602" s="29">
        <v>175.12</v>
      </c>
      <c r="C2602" s="37">
        <f t="shared" si="86"/>
        <v>29.186666666666667</v>
      </c>
      <c r="D2602" s="37">
        <v>6.5579999999999998</v>
      </c>
      <c r="E2602" s="33">
        <f t="shared" si="87"/>
        <v>4.4432516252162088E-2</v>
      </c>
    </row>
    <row r="2603" spans="1:5" x14ac:dyDescent="0.25">
      <c r="A2603" s="41">
        <v>43574</v>
      </c>
      <c r="B2603" s="29">
        <v>179.89</v>
      </c>
      <c r="C2603" s="37">
        <f t="shared" si="86"/>
        <v>29.981666666666666</v>
      </c>
      <c r="D2603" s="37">
        <v>6.5579999999999998</v>
      </c>
      <c r="E2603" s="33">
        <f t="shared" si="87"/>
        <v>2.7238465052535299E-2</v>
      </c>
    </row>
    <row r="2604" spans="1:5" x14ac:dyDescent="0.25">
      <c r="A2604" s="41">
        <v>43574</v>
      </c>
      <c r="B2604" s="29">
        <v>179.89</v>
      </c>
      <c r="C2604" s="37">
        <f t="shared" si="86"/>
        <v>29.981666666666666</v>
      </c>
      <c r="D2604" s="37">
        <v>6.5579999999999998</v>
      </c>
      <c r="E2604" s="33">
        <f t="shared" si="87"/>
        <v>0</v>
      </c>
    </row>
    <row r="2605" spans="1:5" x14ac:dyDescent="0.25">
      <c r="A2605" s="41">
        <v>43574</v>
      </c>
      <c r="B2605" s="29">
        <v>180</v>
      </c>
      <c r="C2605" s="37">
        <f t="shared" si="86"/>
        <v>30</v>
      </c>
      <c r="D2605" s="37">
        <v>6.5579999999999998</v>
      </c>
      <c r="E2605" s="33">
        <f t="shared" si="87"/>
        <v>6.1148479626445967E-4</v>
      </c>
    </row>
    <row r="2606" spans="1:5" x14ac:dyDescent="0.25">
      <c r="A2606" s="41">
        <v>43574</v>
      </c>
      <c r="B2606" s="29">
        <v>174.91</v>
      </c>
      <c r="C2606" s="37">
        <f t="shared" si="86"/>
        <v>29.151666666666667</v>
      </c>
      <c r="D2606" s="37">
        <v>6.5579999999999998</v>
      </c>
      <c r="E2606" s="33">
        <f t="shared" si="87"/>
        <v>-2.8277777777777797E-2</v>
      </c>
    </row>
    <row r="2607" spans="1:5" x14ac:dyDescent="0.25">
      <c r="A2607" s="41">
        <v>43574</v>
      </c>
      <c r="B2607" s="29">
        <v>174.98</v>
      </c>
      <c r="C2607" s="37">
        <f t="shared" si="86"/>
        <v>29.163333333333334</v>
      </c>
      <c r="D2607" s="37">
        <v>6.5579999999999998</v>
      </c>
      <c r="E2607" s="33">
        <f t="shared" si="87"/>
        <v>4.0020582013603097E-4</v>
      </c>
    </row>
    <row r="2608" spans="1:5" x14ac:dyDescent="0.25">
      <c r="A2608" s="41">
        <v>43574</v>
      </c>
      <c r="B2608" s="29">
        <v>175</v>
      </c>
      <c r="C2608" s="37">
        <f t="shared" si="86"/>
        <v>29.166666666666668</v>
      </c>
      <c r="D2608" s="37">
        <v>6.5579999999999998</v>
      </c>
      <c r="E2608" s="33">
        <f t="shared" si="87"/>
        <v>1.1429877700314455E-4</v>
      </c>
    </row>
    <row r="2609" spans="1:5" x14ac:dyDescent="0.25">
      <c r="A2609" s="41">
        <v>43574</v>
      </c>
      <c r="B2609" s="29">
        <v>176.49</v>
      </c>
      <c r="C2609" s="37">
        <f t="shared" si="86"/>
        <v>29.414999999999999</v>
      </c>
      <c r="D2609" s="37">
        <v>6.5579999999999998</v>
      </c>
      <c r="E2609" s="33">
        <f t="shared" si="87"/>
        <v>8.5142857142857659E-3</v>
      </c>
    </row>
    <row r="2610" spans="1:5" x14ac:dyDescent="0.25">
      <c r="A2610" s="41">
        <v>43574</v>
      </c>
      <c r="B2610" s="29">
        <v>177.25</v>
      </c>
      <c r="C2610" s="37">
        <f t="shared" si="86"/>
        <v>29.541666666666668</v>
      </c>
      <c r="D2610" s="37">
        <v>6.5579999999999998</v>
      </c>
      <c r="E2610" s="33">
        <f t="shared" si="87"/>
        <v>4.3061929854382166E-3</v>
      </c>
    </row>
    <row r="2611" spans="1:5" x14ac:dyDescent="0.25">
      <c r="A2611" s="41">
        <v>43574</v>
      </c>
      <c r="B2611" s="29">
        <v>177.31</v>
      </c>
      <c r="C2611" s="37">
        <f t="shared" si="86"/>
        <v>29.551666666666666</v>
      </c>
      <c r="D2611" s="37">
        <v>6.5579999999999998</v>
      </c>
      <c r="E2611" s="33">
        <f t="shared" si="87"/>
        <v>3.3850493653033722E-4</v>
      </c>
    </row>
    <row r="2612" spans="1:5" x14ac:dyDescent="0.25">
      <c r="A2612" s="41">
        <v>43574</v>
      </c>
      <c r="B2612" s="29">
        <v>184.01</v>
      </c>
      <c r="C2612" s="37">
        <f t="shared" si="86"/>
        <v>30.668333333333333</v>
      </c>
      <c r="D2612" s="37">
        <v>6.5579999999999998</v>
      </c>
      <c r="E2612" s="33">
        <f t="shared" si="87"/>
        <v>3.778692685127736E-2</v>
      </c>
    </row>
    <row r="2613" spans="1:5" x14ac:dyDescent="0.25">
      <c r="A2613" s="41">
        <v>43574</v>
      </c>
      <c r="B2613" s="29">
        <v>184.05</v>
      </c>
      <c r="C2613" s="37">
        <f t="shared" si="86"/>
        <v>30.675000000000001</v>
      </c>
      <c r="D2613" s="37">
        <v>6.5579999999999998</v>
      </c>
      <c r="E2613" s="33">
        <f t="shared" si="87"/>
        <v>2.1737949024520659E-4</v>
      </c>
    </row>
    <row r="2614" spans="1:5" x14ac:dyDescent="0.25">
      <c r="A2614" s="41">
        <v>43574</v>
      </c>
      <c r="B2614" s="29">
        <v>183.99</v>
      </c>
      <c r="C2614" s="37">
        <f t="shared" si="86"/>
        <v>30.664999999999999</v>
      </c>
      <c r="D2614" s="37">
        <v>6.5579999999999998</v>
      </c>
      <c r="E2614" s="33">
        <f t="shared" si="87"/>
        <v>-3.2599837000816227E-4</v>
      </c>
    </row>
    <row r="2615" spans="1:5" x14ac:dyDescent="0.25">
      <c r="A2615" s="41">
        <v>43574</v>
      </c>
      <c r="B2615" s="29">
        <v>180.37</v>
      </c>
      <c r="C2615" s="37">
        <f t="shared" si="86"/>
        <v>30.061666666666667</v>
      </c>
      <c r="D2615" s="37">
        <v>6.5579999999999998</v>
      </c>
      <c r="E2615" s="33">
        <f t="shared" si="87"/>
        <v>-1.9674982335996544E-2</v>
      </c>
    </row>
    <row r="2616" spans="1:5" x14ac:dyDescent="0.25">
      <c r="A2616" s="41">
        <v>43574</v>
      </c>
      <c r="B2616" s="29">
        <v>180.37</v>
      </c>
      <c r="C2616" s="37">
        <f t="shared" si="86"/>
        <v>30.061666666666667</v>
      </c>
      <c r="D2616" s="37">
        <v>6.5579999999999998</v>
      </c>
      <c r="E2616" s="33">
        <f t="shared" si="87"/>
        <v>0</v>
      </c>
    </row>
    <row r="2617" spans="1:5" x14ac:dyDescent="0.25">
      <c r="A2617" s="41">
        <v>43574</v>
      </c>
      <c r="B2617" s="29">
        <v>179.17</v>
      </c>
      <c r="C2617" s="37">
        <f t="shared" si="86"/>
        <v>29.861666666666668</v>
      </c>
      <c r="D2617" s="37">
        <v>6.5579999999999998</v>
      </c>
      <c r="E2617" s="33">
        <f t="shared" si="87"/>
        <v>-6.6529910739037369E-3</v>
      </c>
    </row>
    <row r="2618" spans="1:5" x14ac:dyDescent="0.25">
      <c r="A2618" s="41">
        <v>43575</v>
      </c>
      <c r="B2618" s="29">
        <v>167.45</v>
      </c>
      <c r="C2618" s="37">
        <f t="shared" si="86"/>
        <v>27.908333333333335</v>
      </c>
      <c r="D2618" s="37">
        <v>6.0389999999999997</v>
      </c>
      <c r="E2618" s="33">
        <f t="shared" si="87"/>
        <v>-6.5412736507227773E-2</v>
      </c>
    </row>
    <row r="2619" spans="1:5" x14ac:dyDescent="0.25">
      <c r="A2619" s="41">
        <v>43575</v>
      </c>
      <c r="B2619" s="29">
        <v>167.03</v>
      </c>
      <c r="C2619" s="37">
        <f t="shared" si="86"/>
        <v>27.838333333333335</v>
      </c>
      <c r="D2619" s="37">
        <v>6.0389999999999997</v>
      </c>
      <c r="E2619" s="33">
        <f t="shared" si="87"/>
        <v>-2.5082114063898924E-3</v>
      </c>
    </row>
    <row r="2620" spans="1:5" x14ac:dyDescent="0.25">
      <c r="A2620" s="41">
        <v>43575</v>
      </c>
      <c r="B2620" s="29">
        <v>166.28</v>
      </c>
      <c r="C2620" s="37">
        <f t="shared" si="86"/>
        <v>27.713333333333335</v>
      </c>
      <c r="D2620" s="37">
        <v>6.0389999999999997</v>
      </c>
      <c r="E2620" s="33">
        <f t="shared" si="87"/>
        <v>-4.4902113392803686E-3</v>
      </c>
    </row>
    <row r="2621" spans="1:5" x14ac:dyDescent="0.25">
      <c r="A2621" s="41">
        <v>43575</v>
      </c>
      <c r="B2621" s="29">
        <v>166.26</v>
      </c>
      <c r="C2621" s="37">
        <f t="shared" si="86"/>
        <v>27.71</v>
      </c>
      <c r="D2621" s="37">
        <v>6.0389999999999997</v>
      </c>
      <c r="E2621" s="33">
        <f t="shared" si="87"/>
        <v>-1.202790473900062E-4</v>
      </c>
    </row>
    <row r="2622" spans="1:5" x14ac:dyDescent="0.25">
      <c r="A2622" s="41">
        <v>43575</v>
      </c>
      <c r="B2622" s="29">
        <v>165.96</v>
      </c>
      <c r="C2622" s="37">
        <f t="shared" si="86"/>
        <v>27.66</v>
      </c>
      <c r="D2622" s="37">
        <v>6.0389999999999997</v>
      </c>
      <c r="E2622" s="33">
        <f t="shared" si="87"/>
        <v>-1.8044027426920664E-3</v>
      </c>
    </row>
    <row r="2623" spans="1:5" x14ac:dyDescent="0.25">
      <c r="A2623" s="41">
        <v>43575</v>
      </c>
      <c r="B2623" s="29">
        <v>166.28</v>
      </c>
      <c r="C2623" s="37">
        <f t="shared" si="86"/>
        <v>27.713333333333335</v>
      </c>
      <c r="D2623" s="37">
        <v>6.0389999999999997</v>
      </c>
      <c r="E2623" s="33">
        <f t="shared" si="87"/>
        <v>1.9281754639671799E-3</v>
      </c>
    </row>
    <row r="2624" spans="1:5" x14ac:dyDescent="0.25">
      <c r="A2624" s="41">
        <v>43575</v>
      </c>
      <c r="B2624" s="29">
        <v>166.29</v>
      </c>
      <c r="C2624" s="37">
        <f t="shared" si="86"/>
        <v>27.715</v>
      </c>
      <c r="D2624" s="37">
        <v>6.0389999999999997</v>
      </c>
      <c r="E2624" s="33">
        <f t="shared" si="87"/>
        <v>6.013952369491764E-5</v>
      </c>
    </row>
    <row r="2625" spans="1:5" x14ac:dyDescent="0.25">
      <c r="A2625" s="41">
        <v>43575</v>
      </c>
      <c r="B2625" s="29">
        <v>166.57</v>
      </c>
      <c r="C2625" s="37">
        <f t="shared" si="86"/>
        <v>27.761666666666667</v>
      </c>
      <c r="D2625" s="37">
        <v>6.0389999999999997</v>
      </c>
      <c r="E2625" s="33">
        <f t="shared" si="87"/>
        <v>1.683805400204469E-3</v>
      </c>
    </row>
    <row r="2626" spans="1:5" x14ac:dyDescent="0.25">
      <c r="A2626" s="41">
        <v>43575</v>
      </c>
      <c r="B2626" s="29">
        <v>167.22</v>
      </c>
      <c r="C2626" s="37">
        <f t="shared" si="86"/>
        <v>27.87</v>
      </c>
      <c r="D2626" s="37">
        <v>6.0389999999999997</v>
      </c>
      <c r="E2626" s="33">
        <f t="shared" si="87"/>
        <v>3.9022633127214126E-3</v>
      </c>
    </row>
    <row r="2627" spans="1:5" x14ac:dyDescent="0.25">
      <c r="A2627" s="41">
        <v>43575</v>
      </c>
      <c r="B2627" s="29">
        <v>167.19</v>
      </c>
      <c r="C2627" s="37">
        <f t="shared" ref="C2627:C2690" si="88">(B2627*100/600)</f>
        <v>27.864999999999998</v>
      </c>
      <c r="D2627" s="37">
        <v>6.0389999999999997</v>
      </c>
      <c r="E2627" s="33">
        <f t="shared" si="87"/>
        <v>-1.7940437746681698E-4</v>
      </c>
    </row>
    <row r="2628" spans="1:5" x14ac:dyDescent="0.25">
      <c r="A2628" s="41">
        <v>43575</v>
      </c>
      <c r="B2628" s="29">
        <v>167.24</v>
      </c>
      <c r="C2628" s="37">
        <f t="shared" si="88"/>
        <v>27.873333333333335</v>
      </c>
      <c r="D2628" s="37">
        <v>6.0389999999999997</v>
      </c>
      <c r="E2628" s="33">
        <f t="shared" ref="E2628:E2691" si="89">(B2628-B2627)/B2627</f>
        <v>2.9906094862139701E-4</v>
      </c>
    </row>
    <row r="2629" spans="1:5" x14ac:dyDescent="0.25">
      <c r="A2629" s="41">
        <v>43575</v>
      </c>
      <c r="B2629" s="29">
        <v>167.24</v>
      </c>
      <c r="C2629" s="37">
        <f t="shared" si="88"/>
        <v>27.873333333333335</v>
      </c>
      <c r="D2629" s="37">
        <v>6.0389999999999997</v>
      </c>
      <c r="E2629" s="33">
        <f t="shared" si="89"/>
        <v>0</v>
      </c>
    </row>
    <row r="2630" spans="1:5" x14ac:dyDescent="0.25">
      <c r="A2630" s="41">
        <v>43575</v>
      </c>
      <c r="B2630" s="29">
        <v>167.27</v>
      </c>
      <c r="C2630" s="37">
        <f t="shared" si="88"/>
        <v>27.878333333333334</v>
      </c>
      <c r="D2630" s="37">
        <v>6.0389999999999997</v>
      </c>
      <c r="E2630" s="33">
        <f t="shared" si="89"/>
        <v>1.793829227457614E-4</v>
      </c>
    </row>
    <row r="2631" spans="1:5" x14ac:dyDescent="0.25">
      <c r="A2631" s="41">
        <v>43575</v>
      </c>
      <c r="B2631" s="29">
        <v>167.23</v>
      </c>
      <c r="C2631" s="37">
        <f t="shared" si="88"/>
        <v>27.871666666666666</v>
      </c>
      <c r="D2631" s="37">
        <v>6.0389999999999997</v>
      </c>
      <c r="E2631" s="33">
        <f t="shared" si="89"/>
        <v>-2.3913433371208502E-4</v>
      </c>
    </row>
    <row r="2632" spans="1:5" x14ac:dyDescent="0.25">
      <c r="A2632" s="41">
        <v>43575</v>
      </c>
      <c r="B2632" s="29">
        <v>167.27</v>
      </c>
      <c r="C2632" s="37">
        <f t="shared" si="88"/>
        <v>27.878333333333334</v>
      </c>
      <c r="D2632" s="37">
        <v>6.0389999999999997</v>
      </c>
      <c r="E2632" s="33">
        <f t="shared" si="89"/>
        <v>2.3919153261986765E-4</v>
      </c>
    </row>
    <row r="2633" spans="1:5" x14ac:dyDescent="0.25">
      <c r="A2633" s="41">
        <v>43575</v>
      </c>
      <c r="B2633" s="29">
        <v>167.31</v>
      </c>
      <c r="C2633" s="37">
        <f t="shared" si="88"/>
        <v>27.885000000000002</v>
      </c>
      <c r="D2633" s="37">
        <v>6.0389999999999997</v>
      </c>
      <c r="E2633" s="33">
        <f t="shared" si="89"/>
        <v>2.3913433371191509E-4</v>
      </c>
    </row>
    <row r="2634" spans="1:5" x14ac:dyDescent="0.25">
      <c r="A2634" s="41">
        <v>43575</v>
      </c>
      <c r="B2634" s="29">
        <v>167.51</v>
      </c>
      <c r="C2634" s="37">
        <f t="shared" si="88"/>
        <v>27.918333333333333</v>
      </c>
      <c r="D2634" s="37">
        <v>6.0389999999999997</v>
      </c>
      <c r="E2634" s="33">
        <f t="shared" si="89"/>
        <v>1.1953858107703582E-3</v>
      </c>
    </row>
    <row r="2635" spans="1:5" x14ac:dyDescent="0.25">
      <c r="A2635" s="41">
        <v>43575</v>
      </c>
      <c r="B2635" s="29">
        <v>167.87</v>
      </c>
      <c r="C2635" s="37">
        <f t="shared" si="88"/>
        <v>27.978333333333332</v>
      </c>
      <c r="D2635" s="37">
        <v>6.0389999999999997</v>
      </c>
      <c r="E2635" s="33">
        <f t="shared" si="89"/>
        <v>2.1491254253478221E-3</v>
      </c>
    </row>
    <row r="2636" spans="1:5" x14ac:dyDescent="0.25">
      <c r="A2636" s="41">
        <v>43575</v>
      </c>
      <c r="B2636" s="29">
        <v>170.54</v>
      </c>
      <c r="C2636" s="37">
        <f t="shared" si="88"/>
        <v>28.423333333333332</v>
      </c>
      <c r="D2636" s="37">
        <v>6.0389999999999997</v>
      </c>
      <c r="E2636" s="33">
        <f t="shared" si="89"/>
        <v>1.5905164710788035E-2</v>
      </c>
    </row>
    <row r="2637" spans="1:5" x14ac:dyDescent="0.25">
      <c r="A2637" s="41">
        <v>43575</v>
      </c>
      <c r="B2637" s="29">
        <v>170.55</v>
      </c>
      <c r="C2637" s="37">
        <f t="shared" si="88"/>
        <v>28.425000000000001</v>
      </c>
      <c r="D2637" s="37">
        <v>6.0389999999999997</v>
      </c>
      <c r="E2637" s="33">
        <f t="shared" si="89"/>
        <v>5.8637269848829176E-5</v>
      </c>
    </row>
    <row r="2638" spans="1:5" x14ac:dyDescent="0.25">
      <c r="A2638" s="41">
        <v>43575</v>
      </c>
      <c r="B2638" s="29">
        <v>169.31</v>
      </c>
      <c r="C2638" s="37">
        <f t="shared" si="88"/>
        <v>28.218333333333334</v>
      </c>
      <c r="D2638" s="37">
        <v>6.0389999999999997</v>
      </c>
      <c r="E2638" s="33">
        <f t="shared" si="89"/>
        <v>-7.27059513339202E-3</v>
      </c>
    </row>
    <row r="2639" spans="1:5" x14ac:dyDescent="0.25">
      <c r="A2639" s="41">
        <v>43575</v>
      </c>
      <c r="B2639" s="29">
        <v>168.52</v>
      </c>
      <c r="C2639" s="37">
        <f t="shared" si="88"/>
        <v>28.086666666666666</v>
      </c>
      <c r="D2639" s="37">
        <v>6.0389999999999997</v>
      </c>
      <c r="E2639" s="33">
        <f t="shared" si="89"/>
        <v>-4.6659972830901423E-3</v>
      </c>
    </row>
    <row r="2640" spans="1:5" x14ac:dyDescent="0.25">
      <c r="A2640" s="41">
        <v>43575</v>
      </c>
      <c r="B2640" s="29">
        <v>167.73</v>
      </c>
      <c r="C2640" s="37">
        <f t="shared" si="88"/>
        <v>27.954999999999998</v>
      </c>
      <c r="D2640" s="37">
        <v>6.0389999999999997</v>
      </c>
      <c r="E2640" s="33">
        <f t="shared" si="89"/>
        <v>-4.6878708758605527E-3</v>
      </c>
    </row>
    <row r="2641" spans="1:5" x14ac:dyDescent="0.25">
      <c r="A2641" s="41">
        <v>43575</v>
      </c>
      <c r="B2641" s="29">
        <v>166.76</v>
      </c>
      <c r="C2641" s="37">
        <f t="shared" si="88"/>
        <v>27.793333333333333</v>
      </c>
      <c r="D2641" s="37">
        <v>6.0389999999999997</v>
      </c>
      <c r="E2641" s="33">
        <f t="shared" si="89"/>
        <v>-5.7831037977702192E-3</v>
      </c>
    </row>
    <row r="2642" spans="1:5" x14ac:dyDescent="0.25">
      <c r="A2642" s="41">
        <v>43576</v>
      </c>
      <c r="B2642" s="29">
        <v>116.45</v>
      </c>
      <c r="C2642" s="37">
        <f t="shared" si="88"/>
        <v>19.408333333333335</v>
      </c>
      <c r="D2642" s="37">
        <v>5.6449999999999996</v>
      </c>
      <c r="E2642" s="33">
        <f t="shared" si="89"/>
        <v>-0.30169105301031418</v>
      </c>
    </row>
    <row r="2643" spans="1:5" x14ac:dyDescent="0.25">
      <c r="A2643" s="41">
        <v>43576</v>
      </c>
      <c r="B2643" s="29">
        <v>108.57</v>
      </c>
      <c r="C2643" s="37">
        <f t="shared" si="88"/>
        <v>18.094999999999999</v>
      </c>
      <c r="D2643" s="37">
        <v>5.6449999999999996</v>
      </c>
      <c r="E2643" s="33">
        <f t="shared" si="89"/>
        <v>-6.7668527264920647E-2</v>
      </c>
    </row>
    <row r="2644" spans="1:5" x14ac:dyDescent="0.25">
      <c r="A2644" s="41">
        <v>43576</v>
      </c>
      <c r="B2644" s="29">
        <v>42.35</v>
      </c>
      <c r="C2644" s="37">
        <f t="shared" si="88"/>
        <v>7.0583333333333336</v>
      </c>
      <c r="D2644" s="37">
        <v>5.6449999999999996</v>
      </c>
      <c r="E2644" s="33">
        <f t="shared" si="89"/>
        <v>-0.60992907801418439</v>
      </c>
    </row>
    <row r="2645" spans="1:5" x14ac:dyDescent="0.25">
      <c r="A2645" s="41">
        <v>43576</v>
      </c>
      <c r="B2645" s="29">
        <v>42.35</v>
      </c>
      <c r="C2645" s="37">
        <f t="shared" si="88"/>
        <v>7.0583333333333336</v>
      </c>
      <c r="D2645" s="37">
        <v>5.6449999999999996</v>
      </c>
      <c r="E2645" s="33">
        <f t="shared" si="89"/>
        <v>0</v>
      </c>
    </row>
    <row r="2646" spans="1:5" x14ac:dyDescent="0.25">
      <c r="A2646" s="41">
        <v>43576</v>
      </c>
      <c r="B2646" s="29">
        <v>42.35</v>
      </c>
      <c r="C2646" s="37">
        <f t="shared" si="88"/>
        <v>7.0583333333333336</v>
      </c>
      <c r="D2646" s="37">
        <v>5.6449999999999996</v>
      </c>
      <c r="E2646" s="33">
        <f t="shared" si="89"/>
        <v>0</v>
      </c>
    </row>
    <row r="2647" spans="1:5" x14ac:dyDescent="0.25">
      <c r="A2647" s="41">
        <v>43576</v>
      </c>
      <c r="B2647" s="29">
        <v>42.35</v>
      </c>
      <c r="C2647" s="37">
        <f t="shared" si="88"/>
        <v>7.0583333333333336</v>
      </c>
      <c r="D2647" s="37">
        <v>5.6449999999999996</v>
      </c>
      <c r="E2647" s="33">
        <f t="shared" si="89"/>
        <v>0</v>
      </c>
    </row>
    <row r="2648" spans="1:5" x14ac:dyDescent="0.25">
      <c r="A2648" s="41">
        <v>43576</v>
      </c>
      <c r="B2648" s="29">
        <v>42.35</v>
      </c>
      <c r="C2648" s="37">
        <f t="shared" si="88"/>
        <v>7.0583333333333336</v>
      </c>
      <c r="D2648" s="37">
        <v>5.6449999999999996</v>
      </c>
      <c r="E2648" s="33">
        <f t="shared" si="89"/>
        <v>0</v>
      </c>
    </row>
    <row r="2649" spans="1:5" x14ac:dyDescent="0.25">
      <c r="A2649" s="41">
        <v>43576</v>
      </c>
      <c r="B2649" s="29">
        <v>42.35</v>
      </c>
      <c r="C2649" s="37">
        <f t="shared" si="88"/>
        <v>7.0583333333333336</v>
      </c>
      <c r="D2649" s="37">
        <v>5.6449999999999996</v>
      </c>
      <c r="E2649" s="33">
        <f t="shared" si="89"/>
        <v>0</v>
      </c>
    </row>
    <row r="2650" spans="1:5" x14ac:dyDescent="0.25">
      <c r="A2650" s="41">
        <v>43576</v>
      </c>
      <c r="B2650" s="29">
        <v>42.35</v>
      </c>
      <c r="C2650" s="37">
        <f t="shared" si="88"/>
        <v>7.0583333333333336</v>
      </c>
      <c r="D2650" s="37">
        <v>5.6449999999999996</v>
      </c>
      <c r="E2650" s="33">
        <f t="shared" si="89"/>
        <v>0</v>
      </c>
    </row>
    <row r="2651" spans="1:5" x14ac:dyDescent="0.25">
      <c r="A2651" s="41">
        <v>43576</v>
      </c>
      <c r="B2651" s="29">
        <v>42.35</v>
      </c>
      <c r="C2651" s="37">
        <f t="shared" si="88"/>
        <v>7.0583333333333336</v>
      </c>
      <c r="D2651" s="37">
        <v>5.6449999999999996</v>
      </c>
      <c r="E2651" s="33">
        <f t="shared" si="89"/>
        <v>0</v>
      </c>
    </row>
    <row r="2652" spans="1:5" x14ac:dyDescent="0.25">
      <c r="A2652" s="41">
        <v>43576</v>
      </c>
      <c r="B2652" s="29">
        <v>108.54</v>
      </c>
      <c r="C2652" s="37">
        <f t="shared" si="88"/>
        <v>18.09</v>
      </c>
      <c r="D2652" s="37">
        <v>5.6449999999999996</v>
      </c>
      <c r="E2652" s="33">
        <f t="shared" si="89"/>
        <v>1.5629279811097991</v>
      </c>
    </row>
    <row r="2653" spans="1:5" x14ac:dyDescent="0.25">
      <c r="A2653" s="41">
        <v>43576</v>
      </c>
      <c r="B2653" s="29">
        <v>115.31</v>
      </c>
      <c r="C2653" s="37">
        <f t="shared" si="88"/>
        <v>19.218333333333334</v>
      </c>
      <c r="D2653" s="37">
        <v>5.6449999999999996</v>
      </c>
      <c r="E2653" s="33">
        <f t="shared" si="89"/>
        <v>6.2373318592224024E-2</v>
      </c>
    </row>
    <row r="2654" spans="1:5" x14ac:dyDescent="0.25">
      <c r="A2654" s="41">
        <v>43576</v>
      </c>
      <c r="B2654" s="29">
        <v>115.32</v>
      </c>
      <c r="C2654" s="37">
        <f t="shared" si="88"/>
        <v>19.22</v>
      </c>
      <c r="D2654" s="37">
        <v>5.6449999999999996</v>
      </c>
      <c r="E2654" s="33">
        <f t="shared" si="89"/>
        <v>8.6722747376558022E-5</v>
      </c>
    </row>
    <row r="2655" spans="1:5" x14ac:dyDescent="0.25">
      <c r="A2655" s="41">
        <v>43576</v>
      </c>
      <c r="B2655" s="29">
        <v>115.32</v>
      </c>
      <c r="C2655" s="37">
        <f t="shared" si="88"/>
        <v>19.22</v>
      </c>
      <c r="D2655" s="37">
        <v>5.6449999999999996</v>
      </c>
      <c r="E2655" s="33">
        <f t="shared" si="89"/>
        <v>0</v>
      </c>
    </row>
    <row r="2656" spans="1:5" x14ac:dyDescent="0.25">
      <c r="A2656" s="41">
        <v>43576</v>
      </c>
      <c r="B2656" s="29">
        <v>115.4</v>
      </c>
      <c r="C2656" s="37">
        <f t="shared" si="88"/>
        <v>19.233333333333334</v>
      </c>
      <c r="D2656" s="37">
        <v>5.6449999999999996</v>
      </c>
      <c r="E2656" s="33">
        <f t="shared" si="89"/>
        <v>6.9372181755127051E-4</v>
      </c>
    </row>
    <row r="2657" spans="1:5" x14ac:dyDescent="0.25">
      <c r="A2657" s="41">
        <v>43576</v>
      </c>
      <c r="B2657" s="29">
        <v>115.47</v>
      </c>
      <c r="C2657" s="37">
        <f t="shared" si="88"/>
        <v>19.245000000000001</v>
      </c>
      <c r="D2657" s="37">
        <v>5.6449999999999996</v>
      </c>
      <c r="E2657" s="33">
        <f t="shared" si="89"/>
        <v>6.06585788561466E-4</v>
      </c>
    </row>
    <row r="2658" spans="1:5" x14ac:dyDescent="0.25">
      <c r="A2658" s="41">
        <v>43576</v>
      </c>
      <c r="B2658" s="29">
        <v>117.4</v>
      </c>
      <c r="C2658" s="37">
        <f t="shared" si="88"/>
        <v>19.566666666666666</v>
      </c>
      <c r="D2658" s="37">
        <v>5.6449999999999996</v>
      </c>
      <c r="E2658" s="33">
        <f t="shared" si="89"/>
        <v>1.6714298086083025E-2</v>
      </c>
    </row>
    <row r="2659" spans="1:5" x14ac:dyDescent="0.25">
      <c r="A2659" s="41">
        <v>43576</v>
      </c>
      <c r="B2659" s="29">
        <v>134.25</v>
      </c>
      <c r="C2659" s="37">
        <f t="shared" si="88"/>
        <v>22.375</v>
      </c>
      <c r="D2659" s="37">
        <v>5.6449999999999996</v>
      </c>
      <c r="E2659" s="33">
        <f t="shared" si="89"/>
        <v>0.14352640545144799</v>
      </c>
    </row>
    <row r="2660" spans="1:5" x14ac:dyDescent="0.25">
      <c r="A2660" s="41">
        <v>43576</v>
      </c>
      <c r="B2660" s="29">
        <v>166.96</v>
      </c>
      <c r="C2660" s="37">
        <f t="shared" si="88"/>
        <v>27.826666666666668</v>
      </c>
      <c r="D2660" s="37">
        <v>5.6449999999999996</v>
      </c>
      <c r="E2660" s="33">
        <f t="shared" si="89"/>
        <v>0.24364990689013041</v>
      </c>
    </row>
    <row r="2661" spans="1:5" x14ac:dyDescent="0.25">
      <c r="A2661" s="41">
        <v>43576</v>
      </c>
      <c r="B2661" s="29">
        <v>166.96</v>
      </c>
      <c r="C2661" s="37">
        <f t="shared" si="88"/>
        <v>27.826666666666668</v>
      </c>
      <c r="D2661" s="37">
        <v>5.6449999999999996</v>
      </c>
      <c r="E2661" s="33">
        <f t="shared" si="89"/>
        <v>0</v>
      </c>
    </row>
    <row r="2662" spans="1:5" x14ac:dyDescent="0.25">
      <c r="A2662" s="41">
        <v>43576</v>
      </c>
      <c r="B2662" s="29">
        <v>166.78</v>
      </c>
      <c r="C2662" s="37">
        <f t="shared" si="88"/>
        <v>27.796666666666667</v>
      </c>
      <c r="D2662" s="37">
        <v>5.6449999999999996</v>
      </c>
      <c r="E2662" s="33">
        <f t="shared" si="89"/>
        <v>-1.0781025395304672E-3</v>
      </c>
    </row>
    <row r="2663" spans="1:5" x14ac:dyDescent="0.25">
      <c r="A2663" s="41">
        <v>43576</v>
      </c>
      <c r="B2663" s="29">
        <v>166.88</v>
      </c>
      <c r="C2663" s="37">
        <f t="shared" si="88"/>
        <v>27.813333333333333</v>
      </c>
      <c r="D2663" s="37">
        <v>5.6449999999999996</v>
      </c>
      <c r="E2663" s="33">
        <f t="shared" si="89"/>
        <v>5.9959227725143495E-4</v>
      </c>
    </row>
    <row r="2664" spans="1:5" x14ac:dyDescent="0.25">
      <c r="A2664" s="41">
        <v>43576</v>
      </c>
      <c r="B2664" s="29">
        <v>166.85</v>
      </c>
      <c r="C2664" s="37">
        <f t="shared" si="88"/>
        <v>27.808333333333334</v>
      </c>
      <c r="D2664" s="37">
        <v>5.6449999999999996</v>
      </c>
      <c r="E2664" s="33">
        <f t="shared" si="89"/>
        <v>-1.7976989453500201E-4</v>
      </c>
    </row>
    <row r="2665" spans="1:5" x14ac:dyDescent="0.25">
      <c r="A2665" s="41">
        <v>43576</v>
      </c>
      <c r="B2665" s="29">
        <v>163.77000000000001</v>
      </c>
      <c r="C2665" s="37">
        <f t="shared" si="88"/>
        <v>27.295000000000002</v>
      </c>
      <c r="D2665" s="37">
        <v>5.6449999999999996</v>
      </c>
      <c r="E2665" s="33">
        <f t="shared" si="89"/>
        <v>-1.8459694336230053E-2</v>
      </c>
    </row>
    <row r="2666" spans="1:5" x14ac:dyDescent="0.25">
      <c r="A2666" s="41">
        <v>43577</v>
      </c>
      <c r="B2666" s="29">
        <v>170.63</v>
      </c>
      <c r="C2666" s="37">
        <f t="shared" si="88"/>
        <v>28.438333333333333</v>
      </c>
      <c r="D2666" s="37">
        <v>5.3780000000000001</v>
      </c>
      <c r="E2666" s="33">
        <f t="shared" si="89"/>
        <v>4.1888013677718661E-2</v>
      </c>
    </row>
    <row r="2667" spans="1:5" x14ac:dyDescent="0.25">
      <c r="A2667" s="41">
        <v>43577</v>
      </c>
      <c r="B2667" s="29">
        <v>170</v>
      </c>
      <c r="C2667" s="37">
        <f t="shared" si="88"/>
        <v>28.333333333333332</v>
      </c>
      <c r="D2667" s="37">
        <v>5.3780000000000001</v>
      </c>
      <c r="E2667" s="33">
        <f t="shared" si="89"/>
        <v>-3.6921994959854391E-3</v>
      </c>
    </row>
    <row r="2668" spans="1:5" x14ac:dyDescent="0.25">
      <c r="A2668" s="41">
        <v>43577</v>
      </c>
      <c r="B2668" s="29">
        <v>169.24</v>
      </c>
      <c r="C2668" s="37">
        <f t="shared" si="88"/>
        <v>28.206666666666667</v>
      </c>
      <c r="D2668" s="37">
        <v>5.3780000000000001</v>
      </c>
      <c r="E2668" s="33">
        <f t="shared" si="89"/>
        <v>-4.4705882352940639E-3</v>
      </c>
    </row>
    <row r="2669" spans="1:5" x14ac:dyDescent="0.25">
      <c r="A2669" s="41">
        <v>43577</v>
      </c>
      <c r="B2669" s="29">
        <v>169.34</v>
      </c>
      <c r="C2669" s="37">
        <f t="shared" si="88"/>
        <v>28.223333333333333</v>
      </c>
      <c r="D2669" s="37">
        <v>5.3780000000000001</v>
      </c>
      <c r="E2669" s="33">
        <f t="shared" si="89"/>
        <v>5.9087686126207939E-4</v>
      </c>
    </row>
    <row r="2670" spans="1:5" x14ac:dyDescent="0.25">
      <c r="A2670" s="41">
        <v>43577</v>
      </c>
      <c r="B2670" s="29">
        <v>169.44</v>
      </c>
      <c r="C2670" s="37">
        <f t="shared" si="88"/>
        <v>28.24</v>
      </c>
      <c r="D2670" s="37">
        <v>5.3780000000000001</v>
      </c>
      <c r="E2670" s="33">
        <f t="shared" si="89"/>
        <v>5.9052793197114867E-4</v>
      </c>
    </row>
    <row r="2671" spans="1:5" x14ac:dyDescent="0.25">
      <c r="A2671" s="41">
        <v>43577</v>
      </c>
      <c r="B2671" s="29">
        <v>170.7</v>
      </c>
      <c r="C2671" s="37">
        <f t="shared" si="88"/>
        <v>28.45</v>
      </c>
      <c r="D2671" s="37">
        <v>5.3780000000000001</v>
      </c>
      <c r="E2671" s="33">
        <f t="shared" si="89"/>
        <v>7.4362606232294083E-3</v>
      </c>
    </row>
    <row r="2672" spans="1:5" x14ac:dyDescent="0.25">
      <c r="A2672" s="41">
        <v>43577</v>
      </c>
      <c r="B2672" s="29">
        <v>172.74</v>
      </c>
      <c r="C2672" s="37">
        <f t="shared" si="88"/>
        <v>28.79</v>
      </c>
      <c r="D2672" s="37">
        <v>5.3780000000000001</v>
      </c>
      <c r="E2672" s="33">
        <f t="shared" si="89"/>
        <v>1.1950790861160051E-2</v>
      </c>
    </row>
    <row r="2673" spans="1:5" x14ac:dyDescent="0.25">
      <c r="A2673" s="41">
        <v>43577</v>
      </c>
      <c r="B2673" s="29">
        <v>173.49</v>
      </c>
      <c r="C2673" s="37">
        <f t="shared" si="88"/>
        <v>28.914999999999999</v>
      </c>
      <c r="D2673" s="37">
        <v>5.3780000000000001</v>
      </c>
      <c r="E2673" s="33">
        <f t="shared" si="89"/>
        <v>4.3417853421326849E-3</v>
      </c>
    </row>
    <row r="2674" spans="1:5" x14ac:dyDescent="0.25">
      <c r="A2674" s="41">
        <v>43577</v>
      </c>
      <c r="B2674" s="29">
        <v>173.69</v>
      </c>
      <c r="C2674" s="37">
        <f t="shared" si="88"/>
        <v>28.948333333333334</v>
      </c>
      <c r="D2674" s="37">
        <v>5.3780000000000001</v>
      </c>
      <c r="E2674" s="33">
        <f t="shared" si="89"/>
        <v>1.1528041962072086E-3</v>
      </c>
    </row>
    <row r="2675" spans="1:5" x14ac:dyDescent="0.25">
      <c r="A2675" s="41">
        <v>43577</v>
      </c>
      <c r="B2675" s="29">
        <v>174.64</v>
      </c>
      <c r="C2675" s="37">
        <f t="shared" si="88"/>
        <v>29.106666666666666</v>
      </c>
      <c r="D2675" s="37">
        <v>5.3780000000000001</v>
      </c>
      <c r="E2675" s="33">
        <f t="shared" si="89"/>
        <v>5.4695146525418192E-3</v>
      </c>
    </row>
    <row r="2676" spans="1:5" x14ac:dyDescent="0.25">
      <c r="A2676" s="41">
        <v>43577</v>
      </c>
      <c r="B2676" s="29">
        <v>174.61</v>
      </c>
      <c r="C2676" s="37">
        <f t="shared" si="88"/>
        <v>29.101666666666667</v>
      </c>
      <c r="D2676" s="37">
        <v>5.3780000000000001</v>
      </c>
      <c r="E2676" s="33">
        <f t="shared" si="89"/>
        <v>-1.7178195144281218E-4</v>
      </c>
    </row>
    <row r="2677" spans="1:5" x14ac:dyDescent="0.25">
      <c r="A2677" s="41">
        <v>43577</v>
      </c>
      <c r="B2677" s="29">
        <v>174.67</v>
      </c>
      <c r="C2677" s="37">
        <f t="shared" si="88"/>
        <v>29.111666666666668</v>
      </c>
      <c r="D2677" s="37">
        <v>5.3780000000000001</v>
      </c>
      <c r="E2677" s="33">
        <f t="shared" si="89"/>
        <v>3.4362293110345256E-4</v>
      </c>
    </row>
    <row r="2678" spans="1:5" x14ac:dyDescent="0.25">
      <c r="A2678" s="41">
        <v>43577</v>
      </c>
      <c r="B2678" s="29">
        <v>174.55</v>
      </c>
      <c r="C2678" s="37">
        <f t="shared" si="88"/>
        <v>29.091666666666665</v>
      </c>
      <c r="D2678" s="37">
        <v>5.3780000000000001</v>
      </c>
      <c r="E2678" s="33">
        <f t="shared" si="89"/>
        <v>-6.8700978988936933E-4</v>
      </c>
    </row>
    <row r="2679" spans="1:5" x14ac:dyDescent="0.25">
      <c r="A2679" s="41">
        <v>43577</v>
      </c>
      <c r="B2679" s="29">
        <v>174.6</v>
      </c>
      <c r="C2679" s="37">
        <f t="shared" si="88"/>
        <v>29.1</v>
      </c>
      <c r="D2679" s="37">
        <v>5.3780000000000001</v>
      </c>
      <c r="E2679" s="33">
        <f t="shared" si="89"/>
        <v>2.8645087367506697E-4</v>
      </c>
    </row>
    <row r="2680" spans="1:5" x14ac:dyDescent="0.25">
      <c r="A2680" s="41">
        <v>43577</v>
      </c>
      <c r="B2680" s="29">
        <v>174.91</v>
      </c>
      <c r="C2680" s="37">
        <f t="shared" si="88"/>
        <v>29.151666666666667</v>
      </c>
      <c r="D2680" s="37">
        <v>5.3780000000000001</v>
      </c>
      <c r="E2680" s="33">
        <f t="shared" si="89"/>
        <v>1.7754868270332318E-3</v>
      </c>
    </row>
    <row r="2681" spans="1:5" x14ac:dyDescent="0.25">
      <c r="A2681" s="41">
        <v>43577</v>
      </c>
      <c r="B2681" s="29">
        <v>175.14</v>
      </c>
      <c r="C2681" s="37">
        <f t="shared" si="88"/>
        <v>29.19</v>
      </c>
      <c r="D2681" s="37">
        <v>5.3780000000000001</v>
      </c>
      <c r="E2681" s="33">
        <f t="shared" si="89"/>
        <v>1.3149619804470286E-3</v>
      </c>
    </row>
    <row r="2682" spans="1:5" x14ac:dyDescent="0.25">
      <c r="A2682" s="41">
        <v>43577</v>
      </c>
      <c r="B2682" s="29">
        <v>175.09</v>
      </c>
      <c r="C2682" s="37">
        <f t="shared" si="88"/>
        <v>29.181666666666668</v>
      </c>
      <c r="D2682" s="37">
        <v>5.3780000000000001</v>
      </c>
      <c r="E2682" s="33">
        <f t="shared" si="89"/>
        <v>-2.8548589699659103E-4</v>
      </c>
    </row>
    <row r="2683" spans="1:5" x14ac:dyDescent="0.25">
      <c r="A2683" s="41">
        <v>43577</v>
      </c>
      <c r="B2683" s="29">
        <v>174.51</v>
      </c>
      <c r="C2683" s="37">
        <f t="shared" si="88"/>
        <v>29.085000000000001</v>
      </c>
      <c r="D2683" s="37">
        <v>5.3780000000000001</v>
      </c>
      <c r="E2683" s="33">
        <f t="shared" si="89"/>
        <v>-3.3125821006340312E-3</v>
      </c>
    </row>
    <row r="2684" spans="1:5" x14ac:dyDescent="0.25">
      <c r="A2684" s="41">
        <v>43577</v>
      </c>
      <c r="B2684" s="29">
        <v>174.68</v>
      </c>
      <c r="C2684" s="37">
        <f t="shared" si="88"/>
        <v>29.113333333333333</v>
      </c>
      <c r="D2684" s="37">
        <v>5.3780000000000001</v>
      </c>
      <c r="E2684" s="33">
        <f t="shared" si="89"/>
        <v>9.7415620881333978E-4</v>
      </c>
    </row>
    <row r="2685" spans="1:5" x14ac:dyDescent="0.25">
      <c r="A2685" s="41">
        <v>43577</v>
      </c>
      <c r="B2685" s="29">
        <v>174.67</v>
      </c>
      <c r="C2685" s="37">
        <f t="shared" si="88"/>
        <v>29.111666666666668</v>
      </c>
      <c r="D2685" s="37">
        <v>5.3780000000000001</v>
      </c>
      <c r="E2685" s="33">
        <f t="shared" si="89"/>
        <v>-5.7247538355961335E-5</v>
      </c>
    </row>
    <row r="2686" spans="1:5" x14ac:dyDescent="0.25">
      <c r="A2686" s="41">
        <v>43577</v>
      </c>
      <c r="B2686" s="29">
        <v>174.32</v>
      </c>
      <c r="C2686" s="37">
        <f t="shared" si="88"/>
        <v>29.053333333333335</v>
      </c>
      <c r="D2686" s="37">
        <v>5.3780000000000001</v>
      </c>
      <c r="E2686" s="33">
        <f t="shared" si="89"/>
        <v>-2.00377855384436E-3</v>
      </c>
    </row>
    <row r="2687" spans="1:5" x14ac:dyDescent="0.25">
      <c r="A2687" s="41">
        <v>43577</v>
      </c>
      <c r="B2687" s="29">
        <v>174.27</v>
      </c>
      <c r="C2687" s="37">
        <f t="shared" si="88"/>
        <v>29.045000000000002</v>
      </c>
      <c r="D2687" s="37">
        <v>5.3780000000000001</v>
      </c>
      <c r="E2687" s="33">
        <f t="shared" si="89"/>
        <v>-2.8682882055979203E-4</v>
      </c>
    </row>
    <row r="2688" spans="1:5" x14ac:dyDescent="0.25">
      <c r="A2688" s="41">
        <v>43577</v>
      </c>
      <c r="B2688" s="29">
        <v>174.1</v>
      </c>
      <c r="C2688" s="37">
        <f t="shared" si="88"/>
        <v>29.016666666666666</v>
      </c>
      <c r="D2688" s="37">
        <v>5.3780000000000001</v>
      </c>
      <c r="E2688" s="33">
        <f t="shared" si="89"/>
        <v>-9.7549779078450621E-4</v>
      </c>
    </row>
    <row r="2689" spans="1:5" x14ac:dyDescent="0.25">
      <c r="A2689" s="41">
        <v>43577</v>
      </c>
      <c r="B2689" s="29">
        <v>173.59</v>
      </c>
      <c r="C2689" s="37">
        <f t="shared" si="88"/>
        <v>28.931666666666668</v>
      </c>
      <c r="D2689" s="37">
        <v>5.3780000000000001</v>
      </c>
      <c r="E2689" s="33">
        <f t="shared" si="89"/>
        <v>-2.9293509477311369E-3</v>
      </c>
    </row>
    <row r="2690" spans="1:5" x14ac:dyDescent="0.25">
      <c r="A2690" s="41">
        <v>43578</v>
      </c>
      <c r="B2690" s="29">
        <v>169.41</v>
      </c>
      <c r="C2690" s="37">
        <f t="shared" si="88"/>
        <v>28.234999999999999</v>
      </c>
      <c r="D2690" s="37">
        <v>5.3490000000000002</v>
      </c>
      <c r="E2690" s="33">
        <f t="shared" si="89"/>
        <v>-2.4079728094936383E-2</v>
      </c>
    </row>
    <row r="2691" spans="1:5" x14ac:dyDescent="0.25">
      <c r="A2691" s="41">
        <v>43578</v>
      </c>
      <c r="B2691" s="29">
        <v>167.51</v>
      </c>
      <c r="C2691" s="37">
        <f t="shared" ref="C2691:C2754" si="90">(B2691*100/600)</f>
        <v>27.918333333333333</v>
      </c>
      <c r="D2691" s="37">
        <v>5.3490000000000002</v>
      </c>
      <c r="E2691" s="33">
        <f t="shared" si="89"/>
        <v>-1.1215394604804946E-2</v>
      </c>
    </row>
    <row r="2692" spans="1:5" x14ac:dyDescent="0.25">
      <c r="A2692" s="41">
        <v>43578</v>
      </c>
      <c r="B2692" s="29">
        <v>166.28</v>
      </c>
      <c r="C2692" s="37">
        <f t="shared" si="90"/>
        <v>27.713333333333335</v>
      </c>
      <c r="D2692" s="37">
        <v>5.3490000000000002</v>
      </c>
      <c r="E2692" s="33">
        <f t="shared" ref="E2692:E2755" si="91">(B2692-B2691)/B2691</f>
        <v>-7.3428452032713856E-3</v>
      </c>
    </row>
    <row r="2693" spans="1:5" x14ac:dyDescent="0.25">
      <c r="A2693" s="41">
        <v>43578</v>
      </c>
      <c r="B2693" s="29">
        <v>166.28</v>
      </c>
      <c r="C2693" s="37">
        <f t="shared" si="90"/>
        <v>27.713333333333335</v>
      </c>
      <c r="D2693" s="37">
        <v>5.3490000000000002</v>
      </c>
      <c r="E2693" s="33">
        <f t="shared" si="91"/>
        <v>0</v>
      </c>
    </row>
    <row r="2694" spans="1:5" x14ac:dyDescent="0.25">
      <c r="A2694" s="41">
        <v>43578</v>
      </c>
      <c r="B2694" s="29">
        <v>166.26</v>
      </c>
      <c r="C2694" s="37">
        <f t="shared" si="90"/>
        <v>27.71</v>
      </c>
      <c r="D2694" s="37">
        <v>5.3490000000000002</v>
      </c>
      <c r="E2694" s="33">
        <f t="shared" si="91"/>
        <v>-1.202790473900062E-4</v>
      </c>
    </row>
    <row r="2695" spans="1:5" x14ac:dyDescent="0.25">
      <c r="A2695" s="41">
        <v>43578</v>
      </c>
      <c r="B2695" s="29">
        <v>167.52</v>
      </c>
      <c r="C2695" s="37">
        <f t="shared" si="90"/>
        <v>27.92</v>
      </c>
      <c r="D2695" s="37">
        <v>5.3490000000000002</v>
      </c>
      <c r="E2695" s="33">
        <f t="shared" si="91"/>
        <v>7.5784915193072263E-3</v>
      </c>
    </row>
    <row r="2696" spans="1:5" x14ac:dyDescent="0.25">
      <c r="A2696" s="41">
        <v>43578</v>
      </c>
      <c r="B2696" s="29">
        <v>169.18</v>
      </c>
      <c r="C2696" s="37">
        <f t="shared" si="90"/>
        <v>28.196666666666665</v>
      </c>
      <c r="D2696" s="37">
        <v>5.3490000000000002</v>
      </c>
      <c r="E2696" s="33">
        <f t="shared" si="91"/>
        <v>9.9092645654250029E-3</v>
      </c>
    </row>
    <row r="2697" spans="1:5" x14ac:dyDescent="0.25">
      <c r="A2697" s="41">
        <v>43578</v>
      </c>
      <c r="B2697" s="29">
        <v>170.48</v>
      </c>
      <c r="C2697" s="37">
        <f t="shared" si="90"/>
        <v>28.413333333333334</v>
      </c>
      <c r="D2697" s="37">
        <v>5.3490000000000002</v>
      </c>
      <c r="E2697" s="33">
        <f t="shared" si="91"/>
        <v>7.6841234188437342E-3</v>
      </c>
    </row>
    <row r="2698" spans="1:5" x14ac:dyDescent="0.25">
      <c r="A2698" s="41">
        <v>43578</v>
      </c>
      <c r="B2698" s="29">
        <v>171.29</v>
      </c>
      <c r="C2698" s="37">
        <f t="shared" si="90"/>
        <v>28.548333333333332</v>
      </c>
      <c r="D2698" s="37">
        <v>5.3490000000000002</v>
      </c>
      <c r="E2698" s="33">
        <f t="shared" si="91"/>
        <v>4.7512904739559032E-3</v>
      </c>
    </row>
    <row r="2699" spans="1:5" x14ac:dyDescent="0.25">
      <c r="A2699" s="41">
        <v>43578</v>
      </c>
      <c r="B2699" s="29">
        <v>172.36</v>
      </c>
      <c r="C2699" s="37">
        <f t="shared" si="90"/>
        <v>28.726666666666667</v>
      </c>
      <c r="D2699" s="37">
        <v>5.3490000000000002</v>
      </c>
      <c r="E2699" s="33">
        <f t="shared" si="91"/>
        <v>6.2467160955106639E-3</v>
      </c>
    </row>
    <row r="2700" spans="1:5" x14ac:dyDescent="0.25">
      <c r="A2700" s="41">
        <v>43578</v>
      </c>
      <c r="B2700" s="29">
        <v>172.79</v>
      </c>
      <c r="C2700" s="37">
        <f t="shared" si="90"/>
        <v>28.798333333333332</v>
      </c>
      <c r="D2700" s="37">
        <v>5.3490000000000002</v>
      </c>
      <c r="E2700" s="33">
        <f t="shared" si="91"/>
        <v>2.4947783708515804E-3</v>
      </c>
    </row>
    <row r="2701" spans="1:5" x14ac:dyDescent="0.25">
      <c r="A2701" s="41">
        <v>43578</v>
      </c>
      <c r="B2701" s="29">
        <v>172.72</v>
      </c>
      <c r="C2701" s="37">
        <f t="shared" si="90"/>
        <v>28.786666666666665</v>
      </c>
      <c r="D2701" s="37">
        <v>5.3490000000000002</v>
      </c>
      <c r="E2701" s="33">
        <f t="shared" si="91"/>
        <v>-4.0511603680764619E-4</v>
      </c>
    </row>
    <row r="2702" spans="1:5" x14ac:dyDescent="0.25">
      <c r="A2702" s="41">
        <v>43578</v>
      </c>
      <c r="B2702" s="29">
        <v>172.36</v>
      </c>
      <c r="C2702" s="37">
        <f t="shared" si="90"/>
        <v>28.726666666666667</v>
      </c>
      <c r="D2702" s="37">
        <v>5.3490000000000002</v>
      </c>
      <c r="E2702" s="33">
        <f t="shared" si="91"/>
        <v>-2.0842982862435458E-3</v>
      </c>
    </row>
    <row r="2703" spans="1:5" x14ac:dyDescent="0.25">
      <c r="A2703" s="41">
        <v>43578</v>
      </c>
      <c r="B2703" s="29">
        <v>172.97</v>
      </c>
      <c r="C2703" s="37">
        <f t="shared" si="90"/>
        <v>28.828333333333333</v>
      </c>
      <c r="D2703" s="37">
        <v>5.3490000000000002</v>
      </c>
      <c r="E2703" s="33">
        <f t="shared" si="91"/>
        <v>3.5391042005104732E-3</v>
      </c>
    </row>
    <row r="2704" spans="1:5" x14ac:dyDescent="0.25">
      <c r="A2704" s="41">
        <v>43578</v>
      </c>
      <c r="B2704" s="29">
        <v>173.23</v>
      </c>
      <c r="C2704" s="37">
        <f t="shared" si="90"/>
        <v>28.871666666666666</v>
      </c>
      <c r="D2704" s="37">
        <v>5.3490000000000002</v>
      </c>
      <c r="E2704" s="33">
        <f t="shared" si="91"/>
        <v>1.503150835404931E-3</v>
      </c>
    </row>
    <row r="2705" spans="1:5" x14ac:dyDescent="0.25">
      <c r="A2705" s="41">
        <v>43578</v>
      </c>
      <c r="B2705" s="29">
        <v>173.26</v>
      </c>
      <c r="C2705" s="37">
        <f t="shared" si="90"/>
        <v>28.876666666666665</v>
      </c>
      <c r="D2705" s="37">
        <v>5.3490000000000002</v>
      </c>
      <c r="E2705" s="33">
        <f t="shared" si="91"/>
        <v>1.7318016509843063E-4</v>
      </c>
    </row>
    <row r="2706" spans="1:5" x14ac:dyDescent="0.25">
      <c r="A2706" s="41">
        <v>43578</v>
      </c>
      <c r="B2706" s="29">
        <v>173.29</v>
      </c>
      <c r="C2706" s="37">
        <f t="shared" si="90"/>
        <v>28.881666666666668</v>
      </c>
      <c r="D2706" s="37">
        <v>5.3490000000000002</v>
      </c>
      <c r="E2706" s="33">
        <f t="shared" si="91"/>
        <v>1.7315017892185813E-4</v>
      </c>
    </row>
    <row r="2707" spans="1:5" x14ac:dyDescent="0.25">
      <c r="A2707" s="41">
        <v>43578</v>
      </c>
      <c r="B2707" s="29">
        <v>172.37</v>
      </c>
      <c r="C2707" s="37">
        <f t="shared" si="90"/>
        <v>28.728333333333332</v>
      </c>
      <c r="D2707" s="37">
        <v>5.3490000000000002</v>
      </c>
      <c r="E2707" s="33">
        <f t="shared" si="91"/>
        <v>-5.3090195625828812E-3</v>
      </c>
    </row>
    <row r="2708" spans="1:5" x14ac:dyDescent="0.25">
      <c r="A2708" s="41">
        <v>43578</v>
      </c>
      <c r="B2708" s="29">
        <v>172.4</v>
      </c>
      <c r="C2708" s="37">
        <f t="shared" si="90"/>
        <v>28.733333333333334</v>
      </c>
      <c r="D2708" s="37">
        <v>5.3490000000000002</v>
      </c>
      <c r="E2708" s="33">
        <f t="shared" si="91"/>
        <v>1.7404420722864265E-4</v>
      </c>
    </row>
    <row r="2709" spans="1:5" x14ac:dyDescent="0.25">
      <c r="A2709" s="41">
        <v>43578</v>
      </c>
      <c r="B2709" s="29">
        <v>172.4</v>
      </c>
      <c r="C2709" s="37">
        <f t="shared" si="90"/>
        <v>28.733333333333334</v>
      </c>
      <c r="D2709" s="37">
        <v>5.3490000000000002</v>
      </c>
      <c r="E2709" s="33">
        <f t="shared" si="91"/>
        <v>0</v>
      </c>
    </row>
    <row r="2710" spans="1:5" x14ac:dyDescent="0.25">
      <c r="A2710" s="41">
        <v>43578</v>
      </c>
      <c r="B2710" s="29">
        <v>172.37</v>
      </c>
      <c r="C2710" s="37">
        <f t="shared" si="90"/>
        <v>28.728333333333332</v>
      </c>
      <c r="D2710" s="37">
        <v>5.3490000000000002</v>
      </c>
      <c r="E2710" s="33">
        <f t="shared" si="91"/>
        <v>-1.740139211136957E-4</v>
      </c>
    </row>
    <row r="2711" spans="1:5" x14ac:dyDescent="0.25">
      <c r="A2711" s="41">
        <v>43578</v>
      </c>
      <c r="B2711" s="29">
        <v>172.26</v>
      </c>
      <c r="C2711" s="37">
        <f t="shared" si="90"/>
        <v>28.71</v>
      </c>
      <c r="D2711" s="37">
        <v>5.3490000000000002</v>
      </c>
      <c r="E2711" s="33">
        <f t="shared" si="91"/>
        <v>-6.3816209317174469E-4</v>
      </c>
    </row>
    <row r="2712" spans="1:5" x14ac:dyDescent="0.25">
      <c r="A2712" s="41">
        <v>43578</v>
      </c>
      <c r="B2712" s="29">
        <v>171.7</v>
      </c>
      <c r="C2712" s="37">
        <f t="shared" si="90"/>
        <v>28.616666666666667</v>
      </c>
      <c r="D2712" s="37">
        <v>5.3490000000000002</v>
      </c>
      <c r="E2712" s="33">
        <f t="shared" si="91"/>
        <v>-3.2508998026239541E-3</v>
      </c>
    </row>
    <row r="2713" spans="1:5" x14ac:dyDescent="0.25">
      <c r="A2713" s="41">
        <v>43578</v>
      </c>
      <c r="B2713" s="29">
        <v>170.9</v>
      </c>
      <c r="C2713" s="37">
        <f t="shared" si="90"/>
        <v>28.483333333333334</v>
      </c>
      <c r="D2713" s="37">
        <v>5.3490000000000002</v>
      </c>
      <c r="E2713" s="33">
        <f t="shared" si="91"/>
        <v>-4.6592894583575017E-3</v>
      </c>
    </row>
    <row r="2714" spans="1:5" x14ac:dyDescent="0.25">
      <c r="A2714" s="41">
        <v>43579</v>
      </c>
      <c r="B2714" s="29">
        <v>168.85</v>
      </c>
      <c r="C2714" s="37">
        <f t="shared" si="90"/>
        <v>28.141666666666666</v>
      </c>
      <c r="D2714" s="37">
        <v>5.4729999999999999</v>
      </c>
      <c r="E2714" s="33">
        <f t="shared" si="91"/>
        <v>-1.1995318899941553E-2</v>
      </c>
    </row>
    <row r="2715" spans="1:5" x14ac:dyDescent="0.25">
      <c r="A2715" s="41">
        <v>43579</v>
      </c>
      <c r="B2715" s="29">
        <v>167.22</v>
      </c>
      <c r="C2715" s="37">
        <f t="shared" si="90"/>
        <v>27.87</v>
      </c>
      <c r="D2715" s="37">
        <v>5.4729999999999999</v>
      </c>
      <c r="E2715" s="33">
        <f t="shared" si="91"/>
        <v>-9.65353864376663E-3</v>
      </c>
    </row>
    <row r="2716" spans="1:5" x14ac:dyDescent="0.25">
      <c r="A2716" s="41">
        <v>43579</v>
      </c>
      <c r="B2716" s="29">
        <v>166.32</v>
      </c>
      <c r="C2716" s="37">
        <f t="shared" si="90"/>
        <v>27.72</v>
      </c>
      <c r="D2716" s="37">
        <v>5.4729999999999999</v>
      </c>
      <c r="E2716" s="33">
        <f t="shared" si="91"/>
        <v>-5.3821313240043399E-3</v>
      </c>
    </row>
    <row r="2717" spans="1:5" x14ac:dyDescent="0.25">
      <c r="A2717" s="41">
        <v>43579</v>
      </c>
      <c r="B2717" s="29">
        <v>166.3</v>
      </c>
      <c r="C2717" s="37">
        <f t="shared" si="90"/>
        <v>27.716666666666665</v>
      </c>
      <c r="D2717" s="37">
        <v>5.4729999999999999</v>
      </c>
      <c r="E2717" s="33">
        <f t="shared" si="91"/>
        <v>-1.2025012025001089E-4</v>
      </c>
    </row>
    <row r="2718" spans="1:5" x14ac:dyDescent="0.25">
      <c r="A2718" s="41">
        <v>43579</v>
      </c>
      <c r="B2718" s="29">
        <v>166.28</v>
      </c>
      <c r="C2718" s="37">
        <f t="shared" si="90"/>
        <v>27.713333333333335</v>
      </c>
      <c r="D2718" s="37">
        <v>5.4729999999999999</v>
      </c>
      <c r="E2718" s="33">
        <f t="shared" si="91"/>
        <v>-1.2026458208063879E-4</v>
      </c>
    </row>
    <row r="2719" spans="1:5" x14ac:dyDescent="0.25">
      <c r="A2719" s="41">
        <v>43579</v>
      </c>
      <c r="B2719" s="29">
        <v>167.59</v>
      </c>
      <c r="C2719" s="37">
        <f t="shared" si="90"/>
        <v>27.931666666666668</v>
      </c>
      <c r="D2719" s="37">
        <v>5.4729999999999999</v>
      </c>
      <c r="E2719" s="33">
        <f t="shared" si="91"/>
        <v>7.8782776040413893E-3</v>
      </c>
    </row>
    <row r="2720" spans="1:5" x14ac:dyDescent="0.25">
      <c r="A2720" s="41">
        <v>43579</v>
      </c>
      <c r="B2720" s="29">
        <v>168.92</v>
      </c>
      <c r="C2720" s="37">
        <f t="shared" si="90"/>
        <v>28.153333333333332</v>
      </c>
      <c r="D2720" s="37">
        <v>5.4729999999999999</v>
      </c>
      <c r="E2720" s="33">
        <f t="shared" si="91"/>
        <v>7.9360343695923635E-3</v>
      </c>
    </row>
    <row r="2721" spans="1:5" x14ac:dyDescent="0.25">
      <c r="A2721" s="41">
        <v>43579</v>
      </c>
      <c r="B2721" s="29">
        <v>170.26</v>
      </c>
      <c r="C2721" s="37">
        <f t="shared" si="90"/>
        <v>28.376666666666665</v>
      </c>
      <c r="D2721" s="37">
        <v>5.4729999999999999</v>
      </c>
      <c r="E2721" s="33">
        <f t="shared" si="91"/>
        <v>7.9327492304049462E-3</v>
      </c>
    </row>
    <row r="2722" spans="1:5" x14ac:dyDescent="0.25">
      <c r="A2722" s="41">
        <v>43579</v>
      </c>
      <c r="B2722" s="29">
        <v>172.08</v>
      </c>
      <c r="C2722" s="37">
        <f t="shared" si="90"/>
        <v>28.68</v>
      </c>
      <c r="D2722" s="37">
        <v>5.4729999999999999</v>
      </c>
      <c r="E2722" s="33">
        <f t="shared" si="91"/>
        <v>1.0689533654411028E-2</v>
      </c>
    </row>
    <row r="2723" spans="1:5" x14ac:dyDescent="0.25">
      <c r="A2723" s="41">
        <v>43579</v>
      </c>
      <c r="B2723" s="29">
        <v>172.61</v>
      </c>
      <c r="C2723" s="37">
        <f t="shared" si="90"/>
        <v>28.768333333333334</v>
      </c>
      <c r="D2723" s="37">
        <v>5.4729999999999999</v>
      </c>
      <c r="E2723" s="33">
        <f t="shared" si="91"/>
        <v>3.0799628079962874E-3</v>
      </c>
    </row>
    <row r="2724" spans="1:5" x14ac:dyDescent="0.25">
      <c r="A2724" s="41">
        <v>43579</v>
      </c>
      <c r="B2724" s="29">
        <v>172.91</v>
      </c>
      <c r="C2724" s="37">
        <f t="shared" si="90"/>
        <v>28.818333333333332</v>
      </c>
      <c r="D2724" s="37">
        <v>5.4729999999999999</v>
      </c>
      <c r="E2724" s="33">
        <f t="shared" si="91"/>
        <v>1.7380221308150334E-3</v>
      </c>
    </row>
    <row r="2725" spans="1:5" x14ac:dyDescent="0.25">
      <c r="A2725" s="41">
        <v>43579</v>
      </c>
      <c r="B2725" s="29">
        <v>172.92</v>
      </c>
      <c r="C2725" s="37">
        <f t="shared" si="90"/>
        <v>28.82</v>
      </c>
      <c r="D2725" s="37">
        <v>5.4729999999999999</v>
      </c>
      <c r="E2725" s="33">
        <f t="shared" si="91"/>
        <v>5.7833555028575014E-5</v>
      </c>
    </row>
    <row r="2726" spans="1:5" x14ac:dyDescent="0.25">
      <c r="A2726" s="41">
        <v>43579</v>
      </c>
      <c r="B2726" s="29">
        <v>172.79</v>
      </c>
      <c r="C2726" s="37">
        <f t="shared" si="90"/>
        <v>28.798333333333332</v>
      </c>
      <c r="D2726" s="37">
        <v>5.4729999999999999</v>
      </c>
      <c r="E2726" s="33">
        <f t="shared" si="91"/>
        <v>-7.5179273652553472E-4</v>
      </c>
    </row>
    <row r="2727" spans="1:5" x14ac:dyDescent="0.25">
      <c r="A2727" s="41">
        <v>43579</v>
      </c>
      <c r="B2727" s="29">
        <v>172.94</v>
      </c>
      <c r="C2727" s="37">
        <f t="shared" si="90"/>
        <v>28.823333333333334</v>
      </c>
      <c r="D2727" s="37">
        <v>5.4729999999999999</v>
      </c>
      <c r="E2727" s="33">
        <f t="shared" si="91"/>
        <v>8.6810579315935925E-4</v>
      </c>
    </row>
    <row r="2728" spans="1:5" x14ac:dyDescent="0.25">
      <c r="A2728" s="41">
        <v>43579</v>
      </c>
      <c r="B2728" s="29">
        <v>173.04</v>
      </c>
      <c r="C2728" s="37">
        <f t="shared" si="90"/>
        <v>28.84</v>
      </c>
      <c r="D2728" s="37">
        <v>5.4729999999999999</v>
      </c>
      <c r="E2728" s="33">
        <f t="shared" si="91"/>
        <v>5.7823522608994057E-4</v>
      </c>
    </row>
    <row r="2729" spans="1:5" x14ac:dyDescent="0.25">
      <c r="A2729" s="41">
        <v>43579</v>
      </c>
      <c r="B2729" s="29">
        <v>173.01</v>
      </c>
      <c r="C2729" s="37">
        <f t="shared" si="90"/>
        <v>28.835000000000001</v>
      </c>
      <c r="D2729" s="37">
        <v>5.4729999999999999</v>
      </c>
      <c r="E2729" s="33">
        <f t="shared" si="91"/>
        <v>-1.7337031900139355E-4</v>
      </c>
    </row>
    <row r="2730" spans="1:5" x14ac:dyDescent="0.25">
      <c r="A2730" s="41">
        <v>43579</v>
      </c>
      <c r="B2730" s="29">
        <v>172.98</v>
      </c>
      <c r="C2730" s="37">
        <f t="shared" si="90"/>
        <v>28.83</v>
      </c>
      <c r="D2730" s="37">
        <v>5.4729999999999999</v>
      </c>
      <c r="E2730" s="33">
        <f t="shared" si="91"/>
        <v>-1.7340038148084584E-4</v>
      </c>
    </row>
    <row r="2731" spans="1:5" x14ac:dyDescent="0.25">
      <c r="A2731" s="41">
        <v>43579</v>
      </c>
      <c r="B2731" s="29">
        <v>172.9</v>
      </c>
      <c r="C2731" s="37">
        <f t="shared" si="90"/>
        <v>28.816666666666666</v>
      </c>
      <c r="D2731" s="37">
        <v>5.4729999999999999</v>
      </c>
      <c r="E2731" s="33">
        <f t="shared" si="91"/>
        <v>-4.6248121170068269E-4</v>
      </c>
    </row>
    <row r="2732" spans="1:5" x14ac:dyDescent="0.25">
      <c r="A2732" s="41">
        <v>43579</v>
      </c>
      <c r="B2732" s="29">
        <v>172.98</v>
      </c>
      <c r="C2732" s="37">
        <f t="shared" si="90"/>
        <v>28.83</v>
      </c>
      <c r="D2732" s="37">
        <v>5.4729999999999999</v>
      </c>
      <c r="E2732" s="33">
        <f t="shared" si="91"/>
        <v>4.6269519953721271E-4</v>
      </c>
    </row>
    <row r="2733" spans="1:5" x14ac:dyDescent="0.25">
      <c r="A2733" s="41">
        <v>43579</v>
      </c>
      <c r="B2733" s="29">
        <v>172.91</v>
      </c>
      <c r="C2733" s="37">
        <f t="shared" si="90"/>
        <v>28.818333333333332</v>
      </c>
      <c r="D2733" s="37">
        <v>5.4729999999999999</v>
      </c>
      <c r="E2733" s="33">
        <f t="shared" si="91"/>
        <v>-4.0467106023813843E-4</v>
      </c>
    </row>
    <row r="2734" spans="1:5" x14ac:dyDescent="0.25">
      <c r="A2734" s="41">
        <v>43579</v>
      </c>
      <c r="B2734" s="29">
        <v>172.86</v>
      </c>
      <c r="C2734" s="37">
        <f t="shared" si="90"/>
        <v>28.81</v>
      </c>
      <c r="D2734" s="37">
        <v>5.4729999999999999</v>
      </c>
      <c r="E2734" s="33">
        <f t="shared" si="91"/>
        <v>-2.8916777514303944E-4</v>
      </c>
    </row>
    <row r="2735" spans="1:5" x14ac:dyDescent="0.25">
      <c r="A2735" s="41">
        <v>43579</v>
      </c>
      <c r="B2735" s="29">
        <v>172.83</v>
      </c>
      <c r="C2735" s="37">
        <f t="shared" si="90"/>
        <v>28.805</v>
      </c>
      <c r="D2735" s="37">
        <v>5.4729999999999999</v>
      </c>
      <c r="E2735" s="33">
        <f t="shared" si="91"/>
        <v>-1.7355085039917351E-4</v>
      </c>
    </row>
    <row r="2736" spans="1:5" x14ac:dyDescent="0.25">
      <c r="A2736" s="41">
        <v>43579</v>
      </c>
      <c r="B2736" s="29">
        <v>172.7</v>
      </c>
      <c r="C2736" s="37">
        <f t="shared" si="90"/>
        <v>28.783333333333335</v>
      </c>
      <c r="D2736" s="37">
        <v>5.4729999999999999</v>
      </c>
      <c r="E2736" s="33">
        <f t="shared" si="91"/>
        <v>-7.5218422727549533E-4</v>
      </c>
    </row>
    <row r="2737" spans="1:5" x14ac:dyDescent="0.25">
      <c r="A2737" s="41">
        <v>43579</v>
      </c>
      <c r="B2737" s="29">
        <v>172.17</v>
      </c>
      <c r="C2737" s="37">
        <f t="shared" si="90"/>
        <v>28.695</v>
      </c>
      <c r="D2737" s="37">
        <v>5.4729999999999999</v>
      </c>
      <c r="E2737" s="33">
        <f t="shared" si="91"/>
        <v>-3.068905616676324E-3</v>
      </c>
    </row>
    <row r="2738" spans="1:5" x14ac:dyDescent="0.25">
      <c r="A2738" s="41">
        <v>43580</v>
      </c>
      <c r="B2738" s="29">
        <v>170.59</v>
      </c>
      <c r="C2738" s="37">
        <f t="shared" si="90"/>
        <v>28.431666666666668</v>
      </c>
      <c r="D2738" s="37">
        <v>5.4909999999999997</v>
      </c>
      <c r="E2738" s="33">
        <f t="shared" si="91"/>
        <v>-9.1769762444095029E-3</v>
      </c>
    </row>
    <row r="2739" spans="1:5" x14ac:dyDescent="0.25">
      <c r="A2739" s="41">
        <v>43580</v>
      </c>
      <c r="B2739" s="29">
        <v>170.38</v>
      </c>
      <c r="C2739" s="37">
        <f t="shared" si="90"/>
        <v>28.396666666666668</v>
      </c>
      <c r="D2739" s="37">
        <v>5.4909999999999997</v>
      </c>
      <c r="E2739" s="33">
        <f t="shared" si="91"/>
        <v>-1.2310217480509288E-3</v>
      </c>
    </row>
    <row r="2740" spans="1:5" x14ac:dyDescent="0.25">
      <c r="A2740" s="41">
        <v>43580</v>
      </c>
      <c r="B2740" s="29">
        <v>169.73</v>
      </c>
      <c r="C2740" s="37">
        <f t="shared" si="90"/>
        <v>28.288333333333334</v>
      </c>
      <c r="D2740" s="37">
        <v>5.4909999999999997</v>
      </c>
      <c r="E2740" s="33">
        <f t="shared" si="91"/>
        <v>-3.8150017607700769E-3</v>
      </c>
    </row>
    <row r="2741" spans="1:5" x14ac:dyDescent="0.25">
      <c r="A2741" s="41">
        <v>43580</v>
      </c>
      <c r="B2741" s="29">
        <v>169.29</v>
      </c>
      <c r="C2741" s="37">
        <f t="shared" si="90"/>
        <v>28.215</v>
      </c>
      <c r="D2741" s="37">
        <v>5.4909999999999997</v>
      </c>
      <c r="E2741" s="33">
        <f t="shared" si="91"/>
        <v>-2.5923525599481395E-3</v>
      </c>
    </row>
    <row r="2742" spans="1:5" x14ac:dyDescent="0.25">
      <c r="A2742" s="41">
        <v>43580</v>
      </c>
      <c r="B2742" s="29">
        <v>169.53</v>
      </c>
      <c r="C2742" s="37">
        <f t="shared" si="90"/>
        <v>28.254999999999999</v>
      </c>
      <c r="D2742" s="37">
        <v>5.4909999999999997</v>
      </c>
      <c r="E2742" s="33">
        <f t="shared" si="91"/>
        <v>1.4176856282119977E-3</v>
      </c>
    </row>
    <row r="2743" spans="1:5" x14ac:dyDescent="0.25">
      <c r="A2743" s="41">
        <v>43580</v>
      </c>
      <c r="B2743" s="29">
        <v>170.39</v>
      </c>
      <c r="C2743" s="37">
        <f t="shared" si="90"/>
        <v>28.398333333333333</v>
      </c>
      <c r="D2743" s="37">
        <v>5.4909999999999997</v>
      </c>
      <c r="E2743" s="33">
        <f t="shared" si="91"/>
        <v>5.0728484633987209E-3</v>
      </c>
    </row>
    <row r="2744" spans="1:5" x14ac:dyDescent="0.25">
      <c r="A2744" s="41">
        <v>43580</v>
      </c>
      <c r="B2744" s="29">
        <v>170.91</v>
      </c>
      <c r="C2744" s="37">
        <f t="shared" si="90"/>
        <v>28.484999999999999</v>
      </c>
      <c r="D2744" s="37">
        <v>5.4909999999999997</v>
      </c>
      <c r="E2744" s="33">
        <f t="shared" si="91"/>
        <v>3.0518222900405554E-3</v>
      </c>
    </row>
    <row r="2745" spans="1:5" x14ac:dyDescent="0.25">
      <c r="A2745" s="41">
        <v>43580</v>
      </c>
      <c r="B2745" s="29">
        <v>171.99</v>
      </c>
      <c r="C2745" s="37">
        <f t="shared" si="90"/>
        <v>28.664999999999999</v>
      </c>
      <c r="D2745" s="37">
        <v>5.4909999999999997</v>
      </c>
      <c r="E2745" s="33">
        <f t="shared" si="91"/>
        <v>6.319115323854734E-3</v>
      </c>
    </row>
    <row r="2746" spans="1:5" x14ac:dyDescent="0.25">
      <c r="A2746" s="41">
        <v>43580</v>
      </c>
      <c r="B2746" s="29">
        <v>172.69</v>
      </c>
      <c r="C2746" s="37">
        <f t="shared" si="90"/>
        <v>28.781666666666666</v>
      </c>
      <c r="D2746" s="37">
        <v>5.4909999999999997</v>
      </c>
      <c r="E2746" s="33">
        <f t="shared" si="91"/>
        <v>4.0700040700040038E-3</v>
      </c>
    </row>
    <row r="2747" spans="1:5" x14ac:dyDescent="0.25">
      <c r="A2747" s="41">
        <v>43580</v>
      </c>
      <c r="B2747" s="29">
        <v>173.48</v>
      </c>
      <c r="C2747" s="37">
        <f t="shared" si="90"/>
        <v>28.913333333333334</v>
      </c>
      <c r="D2747" s="37">
        <v>5.4909999999999997</v>
      </c>
      <c r="E2747" s="33">
        <f t="shared" si="91"/>
        <v>4.5746713764548731E-3</v>
      </c>
    </row>
    <row r="2748" spans="1:5" x14ac:dyDescent="0.25">
      <c r="A2748" s="41">
        <v>43580</v>
      </c>
      <c r="B2748" s="29">
        <v>173.97</v>
      </c>
      <c r="C2748" s="37">
        <f t="shared" si="90"/>
        <v>28.995000000000001</v>
      </c>
      <c r="D2748" s="37">
        <v>5.4909999999999997</v>
      </c>
      <c r="E2748" s="33">
        <f t="shared" si="91"/>
        <v>2.8245330873876476E-3</v>
      </c>
    </row>
    <row r="2749" spans="1:5" x14ac:dyDescent="0.25">
      <c r="A2749" s="41">
        <v>43580</v>
      </c>
      <c r="B2749" s="29">
        <v>174</v>
      </c>
      <c r="C2749" s="37">
        <f t="shared" si="90"/>
        <v>29</v>
      </c>
      <c r="D2749" s="37">
        <v>5.4909999999999997</v>
      </c>
      <c r="E2749" s="33">
        <f t="shared" si="91"/>
        <v>1.7244352474565233E-4</v>
      </c>
    </row>
    <row r="2750" spans="1:5" x14ac:dyDescent="0.25">
      <c r="A2750" s="41">
        <v>43580</v>
      </c>
      <c r="B2750" s="29">
        <v>173.54</v>
      </c>
      <c r="C2750" s="37">
        <f t="shared" si="90"/>
        <v>28.923333333333332</v>
      </c>
      <c r="D2750" s="37">
        <v>5.4909999999999997</v>
      </c>
      <c r="E2750" s="33">
        <f t="shared" si="91"/>
        <v>-2.6436781609195858E-3</v>
      </c>
    </row>
    <row r="2751" spans="1:5" x14ac:dyDescent="0.25">
      <c r="A2751" s="41">
        <v>43580</v>
      </c>
      <c r="B2751" s="29">
        <v>174.06</v>
      </c>
      <c r="C2751" s="37">
        <f t="shared" si="90"/>
        <v>29.01</v>
      </c>
      <c r="D2751" s="37">
        <v>5.4909999999999997</v>
      </c>
      <c r="E2751" s="33">
        <f t="shared" si="91"/>
        <v>2.9964273366371455E-3</v>
      </c>
    </row>
    <row r="2752" spans="1:5" x14ac:dyDescent="0.25">
      <c r="A2752" s="41">
        <v>43580</v>
      </c>
      <c r="B2752" s="29">
        <v>174.11</v>
      </c>
      <c r="C2752" s="37">
        <f t="shared" si="90"/>
        <v>29.018333333333334</v>
      </c>
      <c r="D2752" s="37">
        <v>5.4909999999999997</v>
      </c>
      <c r="E2752" s="33">
        <f t="shared" si="91"/>
        <v>2.8725726760893579E-4</v>
      </c>
    </row>
    <row r="2753" spans="1:5" x14ac:dyDescent="0.25">
      <c r="A2753" s="41">
        <v>43580</v>
      </c>
      <c r="B2753" s="29">
        <v>174.13</v>
      </c>
      <c r="C2753" s="37">
        <f t="shared" si="90"/>
        <v>29.021666666666668</v>
      </c>
      <c r="D2753" s="37">
        <v>5.4909999999999997</v>
      </c>
      <c r="E2753" s="33">
        <f t="shared" si="91"/>
        <v>1.148699098270163E-4</v>
      </c>
    </row>
    <row r="2754" spans="1:5" x14ac:dyDescent="0.25">
      <c r="A2754" s="41">
        <v>43580</v>
      </c>
      <c r="B2754" s="29">
        <v>174.15</v>
      </c>
      <c r="C2754" s="37">
        <f t="shared" si="90"/>
        <v>29.024999999999999</v>
      </c>
      <c r="D2754" s="37">
        <v>5.4909999999999997</v>
      </c>
      <c r="E2754" s="33">
        <f t="shared" si="91"/>
        <v>1.1485671624654127E-4</v>
      </c>
    </row>
    <row r="2755" spans="1:5" x14ac:dyDescent="0.25">
      <c r="A2755" s="41">
        <v>43580</v>
      </c>
      <c r="B2755" s="29">
        <v>173.64</v>
      </c>
      <c r="C2755" s="37">
        <f t="shared" ref="C2755:C2818" si="92">(B2755*100/600)</f>
        <v>28.94</v>
      </c>
      <c r="D2755" s="37">
        <v>5.4909999999999997</v>
      </c>
      <c r="E2755" s="33">
        <f t="shared" si="91"/>
        <v>-2.928509905254202E-3</v>
      </c>
    </row>
    <row r="2756" spans="1:5" x14ac:dyDescent="0.25">
      <c r="A2756" s="41">
        <v>43580</v>
      </c>
      <c r="B2756" s="29">
        <v>174.18</v>
      </c>
      <c r="C2756" s="37">
        <f t="shared" si="92"/>
        <v>29.03</v>
      </c>
      <c r="D2756" s="37">
        <v>5.4909999999999997</v>
      </c>
      <c r="E2756" s="33">
        <f t="shared" ref="E2756:E2819" si="93">(B2756-B2755)/B2755</f>
        <v>3.1098825155495306E-3</v>
      </c>
    </row>
    <row r="2757" spans="1:5" x14ac:dyDescent="0.25">
      <c r="A2757" s="41">
        <v>43580</v>
      </c>
      <c r="B2757" s="29">
        <v>173.68</v>
      </c>
      <c r="C2757" s="37">
        <f t="shared" si="92"/>
        <v>28.946666666666665</v>
      </c>
      <c r="D2757" s="37">
        <v>5.4909999999999997</v>
      </c>
      <c r="E2757" s="33">
        <f t="shared" si="93"/>
        <v>-2.8705936387644964E-3</v>
      </c>
    </row>
    <row r="2758" spans="1:5" x14ac:dyDescent="0.25">
      <c r="A2758" s="41">
        <v>43580</v>
      </c>
      <c r="B2758" s="29">
        <v>173.2</v>
      </c>
      <c r="C2758" s="37">
        <f t="shared" si="92"/>
        <v>28.866666666666667</v>
      </c>
      <c r="D2758" s="37">
        <v>5.4909999999999997</v>
      </c>
      <c r="E2758" s="33">
        <f t="shared" si="93"/>
        <v>-2.7637033625058623E-3</v>
      </c>
    </row>
    <row r="2759" spans="1:5" x14ac:dyDescent="0.25">
      <c r="A2759" s="41">
        <v>43580</v>
      </c>
      <c r="B2759" s="29">
        <v>173.11</v>
      </c>
      <c r="C2759" s="37">
        <f t="shared" si="92"/>
        <v>28.851666666666667</v>
      </c>
      <c r="D2759" s="37">
        <v>5.4909999999999997</v>
      </c>
      <c r="E2759" s="33">
        <f t="shared" si="93"/>
        <v>-5.1963048498830829E-4</v>
      </c>
    </row>
    <row r="2760" spans="1:5" x14ac:dyDescent="0.25">
      <c r="A2760" s="41">
        <v>43580</v>
      </c>
      <c r="B2760" s="29">
        <v>172.11</v>
      </c>
      <c r="C2760" s="37">
        <f t="shared" si="92"/>
        <v>28.684999999999999</v>
      </c>
      <c r="D2760" s="37">
        <v>5.4909999999999997</v>
      </c>
      <c r="E2760" s="33">
        <f t="shared" si="93"/>
        <v>-5.7766737912310091E-3</v>
      </c>
    </row>
    <row r="2761" spans="1:5" x14ac:dyDescent="0.25">
      <c r="A2761" s="41">
        <v>43580</v>
      </c>
      <c r="B2761" s="29">
        <v>171.45</v>
      </c>
      <c r="C2761" s="37">
        <f t="shared" si="92"/>
        <v>28.574999999999999</v>
      </c>
      <c r="D2761" s="37">
        <v>5.4909999999999997</v>
      </c>
      <c r="E2761" s="33">
        <f t="shared" si="93"/>
        <v>-3.8347568415549645E-3</v>
      </c>
    </row>
    <row r="2762" spans="1:5" x14ac:dyDescent="0.25">
      <c r="A2762" s="41">
        <v>43581</v>
      </c>
      <c r="B2762" s="29">
        <v>167.9</v>
      </c>
      <c r="C2762" s="37">
        <f t="shared" si="92"/>
        <v>27.983333333333334</v>
      </c>
      <c r="D2762" s="37">
        <v>5.702</v>
      </c>
      <c r="E2762" s="33">
        <f t="shared" si="93"/>
        <v>-2.0705745115193835E-2</v>
      </c>
    </row>
    <row r="2763" spans="1:5" x14ac:dyDescent="0.25">
      <c r="A2763" s="41">
        <v>43581</v>
      </c>
      <c r="B2763" s="29">
        <v>165.04</v>
      </c>
      <c r="C2763" s="37">
        <f t="shared" si="92"/>
        <v>27.506666666666668</v>
      </c>
      <c r="D2763" s="37">
        <v>5.702</v>
      </c>
      <c r="E2763" s="33">
        <f t="shared" si="93"/>
        <v>-1.7033948779035222E-2</v>
      </c>
    </row>
    <row r="2764" spans="1:5" x14ac:dyDescent="0.25">
      <c r="A2764" s="41">
        <v>43581</v>
      </c>
      <c r="B2764" s="29">
        <v>163.46</v>
      </c>
      <c r="C2764" s="37">
        <f t="shared" si="92"/>
        <v>27.243333333333332</v>
      </c>
      <c r="D2764" s="37">
        <v>5.702</v>
      </c>
      <c r="E2764" s="33">
        <f t="shared" si="93"/>
        <v>-9.5734367426077559E-3</v>
      </c>
    </row>
    <row r="2765" spans="1:5" x14ac:dyDescent="0.25">
      <c r="A2765" s="41">
        <v>43581</v>
      </c>
      <c r="B2765" s="29">
        <v>162</v>
      </c>
      <c r="C2765" s="37">
        <f t="shared" si="92"/>
        <v>27</v>
      </c>
      <c r="D2765" s="37">
        <v>5.702</v>
      </c>
      <c r="E2765" s="33">
        <f t="shared" si="93"/>
        <v>-8.9318487703414166E-3</v>
      </c>
    </row>
    <row r="2766" spans="1:5" x14ac:dyDescent="0.25">
      <c r="A2766" s="41">
        <v>43581</v>
      </c>
      <c r="B2766" s="29">
        <v>162.09</v>
      </c>
      <c r="C2766" s="37">
        <f t="shared" si="92"/>
        <v>27.015000000000001</v>
      </c>
      <c r="D2766" s="37">
        <v>5.702</v>
      </c>
      <c r="E2766" s="33">
        <f t="shared" si="93"/>
        <v>5.5555555555557659E-4</v>
      </c>
    </row>
    <row r="2767" spans="1:5" x14ac:dyDescent="0.25">
      <c r="A2767" s="41">
        <v>43581</v>
      </c>
      <c r="B2767" s="29">
        <v>164.98</v>
      </c>
      <c r="C2767" s="37">
        <f t="shared" si="92"/>
        <v>27.496666666666666</v>
      </c>
      <c r="D2767" s="37">
        <v>5.702</v>
      </c>
      <c r="E2767" s="33">
        <f t="shared" si="93"/>
        <v>1.7829600839039957E-2</v>
      </c>
    </row>
    <row r="2768" spans="1:5" x14ac:dyDescent="0.25">
      <c r="A2768" s="41">
        <v>43581</v>
      </c>
      <c r="B2768" s="29">
        <v>167.85</v>
      </c>
      <c r="C2768" s="37">
        <f t="shared" si="92"/>
        <v>27.975000000000001</v>
      </c>
      <c r="D2768" s="37">
        <v>5.702</v>
      </c>
      <c r="E2768" s="33">
        <f t="shared" si="93"/>
        <v>1.7396048005818916E-2</v>
      </c>
    </row>
    <row r="2769" spans="1:5" x14ac:dyDescent="0.25">
      <c r="A2769" s="41">
        <v>43581</v>
      </c>
      <c r="B2769" s="29">
        <v>168.96</v>
      </c>
      <c r="C2769" s="37">
        <f t="shared" si="92"/>
        <v>28.16</v>
      </c>
      <c r="D2769" s="37">
        <v>5.702</v>
      </c>
      <c r="E2769" s="33">
        <f t="shared" si="93"/>
        <v>6.6130473637176865E-3</v>
      </c>
    </row>
    <row r="2770" spans="1:5" x14ac:dyDescent="0.25">
      <c r="A2770" s="41">
        <v>43581</v>
      </c>
      <c r="B2770" s="29">
        <v>170.14</v>
      </c>
      <c r="C2770" s="37">
        <f t="shared" si="92"/>
        <v>28.356666666666666</v>
      </c>
      <c r="D2770" s="37">
        <v>5.702</v>
      </c>
      <c r="E2770" s="33">
        <f t="shared" si="93"/>
        <v>6.9839015151513867E-3</v>
      </c>
    </row>
    <row r="2771" spans="1:5" x14ac:dyDescent="0.25">
      <c r="A2771" s="41">
        <v>43581</v>
      </c>
      <c r="B2771" s="29">
        <v>171.25</v>
      </c>
      <c r="C2771" s="37">
        <f t="shared" si="92"/>
        <v>28.541666666666668</v>
      </c>
      <c r="D2771" s="37">
        <v>5.702</v>
      </c>
      <c r="E2771" s="33">
        <f t="shared" si="93"/>
        <v>6.5240390266839881E-3</v>
      </c>
    </row>
    <row r="2772" spans="1:5" x14ac:dyDescent="0.25">
      <c r="A2772" s="41">
        <v>43581</v>
      </c>
      <c r="B2772" s="29">
        <v>171.61</v>
      </c>
      <c r="C2772" s="37">
        <f t="shared" si="92"/>
        <v>28.601666666666667</v>
      </c>
      <c r="D2772" s="37">
        <v>5.702</v>
      </c>
      <c r="E2772" s="33">
        <f t="shared" si="93"/>
        <v>2.1021897810219775E-3</v>
      </c>
    </row>
    <row r="2773" spans="1:5" x14ac:dyDescent="0.25">
      <c r="A2773" s="41">
        <v>43581</v>
      </c>
      <c r="B2773" s="29">
        <v>171.81</v>
      </c>
      <c r="C2773" s="37">
        <f t="shared" si="92"/>
        <v>28.635000000000002</v>
      </c>
      <c r="D2773" s="37">
        <v>5.702</v>
      </c>
      <c r="E2773" s="33">
        <f t="shared" si="93"/>
        <v>1.1654332498105507E-3</v>
      </c>
    </row>
    <row r="2774" spans="1:5" x14ac:dyDescent="0.25">
      <c r="A2774" s="41">
        <v>43581</v>
      </c>
      <c r="B2774" s="29">
        <v>171.55</v>
      </c>
      <c r="C2774" s="37">
        <f t="shared" si="92"/>
        <v>28.591666666666665</v>
      </c>
      <c r="D2774" s="37">
        <v>5.702</v>
      </c>
      <c r="E2774" s="33">
        <f t="shared" si="93"/>
        <v>-1.5132995751119893E-3</v>
      </c>
    </row>
    <row r="2775" spans="1:5" x14ac:dyDescent="0.25">
      <c r="A2775" s="41">
        <v>43581</v>
      </c>
      <c r="B2775" s="29">
        <v>171.52</v>
      </c>
      <c r="C2775" s="37">
        <f t="shared" si="92"/>
        <v>28.586666666666666</v>
      </c>
      <c r="D2775" s="37">
        <v>5.702</v>
      </c>
      <c r="E2775" s="33">
        <f t="shared" si="93"/>
        <v>-1.7487612940834238E-4</v>
      </c>
    </row>
    <row r="2776" spans="1:5" x14ac:dyDescent="0.25">
      <c r="A2776" s="41">
        <v>43581</v>
      </c>
      <c r="B2776" s="29">
        <v>172.1</v>
      </c>
      <c r="C2776" s="37">
        <f t="shared" si="92"/>
        <v>28.683333333333334</v>
      </c>
      <c r="D2776" s="37">
        <v>5.702</v>
      </c>
      <c r="E2776" s="33">
        <f t="shared" si="93"/>
        <v>3.3815298507461756E-3</v>
      </c>
    </row>
    <row r="2777" spans="1:5" x14ac:dyDescent="0.25">
      <c r="A2777" s="41">
        <v>43581</v>
      </c>
      <c r="B2777" s="29">
        <v>172.13</v>
      </c>
      <c r="C2777" s="37">
        <f t="shared" si="92"/>
        <v>28.688333333333333</v>
      </c>
      <c r="D2777" s="37">
        <v>5.702</v>
      </c>
      <c r="E2777" s="33">
        <f t="shared" si="93"/>
        <v>1.7431725740849006E-4</v>
      </c>
    </row>
    <row r="2778" spans="1:5" x14ac:dyDescent="0.25">
      <c r="A2778" s="41">
        <v>43581</v>
      </c>
      <c r="B2778" s="29">
        <v>171.43</v>
      </c>
      <c r="C2778" s="37">
        <f t="shared" si="92"/>
        <v>28.571666666666665</v>
      </c>
      <c r="D2778" s="37">
        <v>5.702</v>
      </c>
      <c r="E2778" s="33">
        <f t="shared" si="93"/>
        <v>-4.0666937779584534E-3</v>
      </c>
    </row>
    <row r="2779" spans="1:5" x14ac:dyDescent="0.25">
      <c r="A2779" s="41">
        <v>43581</v>
      </c>
      <c r="B2779" s="29">
        <v>171.39</v>
      </c>
      <c r="C2779" s="37">
        <f t="shared" si="92"/>
        <v>28.565000000000001</v>
      </c>
      <c r="D2779" s="37">
        <v>5.702</v>
      </c>
      <c r="E2779" s="33">
        <f t="shared" si="93"/>
        <v>-2.3333138890521181E-4</v>
      </c>
    </row>
    <row r="2780" spans="1:5" x14ac:dyDescent="0.25">
      <c r="A2780" s="41">
        <v>43581</v>
      </c>
      <c r="B2780" s="29">
        <v>171.39</v>
      </c>
      <c r="C2780" s="37">
        <f t="shared" si="92"/>
        <v>28.565000000000001</v>
      </c>
      <c r="D2780" s="37">
        <v>5.702</v>
      </c>
      <c r="E2780" s="33">
        <f t="shared" si="93"/>
        <v>0</v>
      </c>
    </row>
    <row r="2781" spans="1:5" x14ac:dyDescent="0.25">
      <c r="A2781" s="41">
        <v>43581</v>
      </c>
      <c r="B2781" s="29">
        <v>171.34</v>
      </c>
      <c r="C2781" s="37">
        <f t="shared" si="92"/>
        <v>28.556666666666668</v>
      </c>
      <c r="D2781" s="37">
        <v>5.702</v>
      </c>
      <c r="E2781" s="33">
        <f t="shared" si="93"/>
        <v>-2.9173230643551521E-4</v>
      </c>
    </row>
    <row r="2782" spans="1:5" x14ac:dyDescent="0.25">
      <c r="A2782" s="41">
        <v>43581</v>
      </c>
      <c r="B2782" s="29">
        <v>171.31</v>
      </c>
      <c r="C2782" s="37">
        <f t="shared" si="92"/>
        <v>28.551666666666666</v>
      </c>
      <c r="D2782" s="37">
        <v>5.702</v>
      </c>
      <c r="E2782" s="33">
        <f t="shared" si="93"/>
        <v>-1.7509046340609977E-4</v>
      </c>
    </row>
    <row r="2783" spans="1:5" x14ac:dyDescent="0.25">
      <c r="A2783" s="41">
        <v>43581</v>
      </c>
      <c r="B2783" s="29">
        <v>171.28</v>
      </c>
      <c r="C2783" s="37">
        <f t="shared" si="92"/>
        <v>28.546666666666667</v>
      </c>
      <c r="D2783" s="37">
        <v>5.702</v>
      </c>
      <c r="E2783" s="33">
        <f t="shared" si="93"/>
        <v>-1.7512112544510616E-4</v>
      </c>
    </row>
    <row r="2784" spans="1:5" x14ac:dyDescent="0.25">
      <c r="A2784" s="41">
        <v>43581</v>
      </c>
      <c r="B2784" s="29">
        <v>170.19</v>
      </c>
      <c r="C2784" s="37">
        <f t="shared" si="92"/>
        <v>28.364999999999998</v>
      </c>
      <c r="D2784" s="37">
        <v>5.702</v>
      </c>
      <c r="E2784" s="33">
        <f t="shared" si="93"/>
        <v>-6.3638486688463534E-3</v>
      </c>
    </row>
    <row r="2785" spans="1:5" x14ac:dyDescent="0.25">
      <c r="A2785" s="41">
        <v>43581</v>
      </c>
      <c r="B2785" s="29">
        <v>169.12</v>
      </c>
      <c r="C2785" s="37">
        <f t="shared" si="92"/>
        <v>28.186666666666667</v>
      </c>
      <c r="D2785" s="37">
        <v>5.702</v>
      </c>
      <c r="E2785" s="33">
        <f t="shared" si="93"/>
        <v>-6.2870908984076221E-3</v>
      </c>
    </row>
    <row r="2786" spans="1:5" x14ac:dyDescent="0.25">
      <c r="A2786" s="41">
        <v>43582</v>
      </c>
      <c r="B2786" s="29">
        <v>142.6</v>
      </c>
      <c r="C2786" s="37">
        <f t="shared" si="92"/>
        <v>23.766666666666666</v>
      </c>
      <c r="D2786" s="37">
        <v>7.5880000000000001</v>
      </c>
      <c r="E2786" s="33">
        <f t="shared" si="93"/>
        <v>-0.15681173131504264</v>
      </c>
    </row>
    <row r="2787" spans="1:5" x14ac:dyDescent="0.25">
      <c r="A2787" s="41">
        <v>43582</v>
      </c>
      <c r="B2787" s="29">
        <v>141.9</v>
      </c>
      <c r="C2787" s="37">
        <f t="shared" si="92"/>
        <v>23.65</v>
      </c>
      <c r="D2787" s="37">
        <v>7.5880000000000001</v>
      </c>
      <c r="E2787" s="33">
        <f t="shared" si="93"/>
        <v>-4.9088359046282511E-3</v>
      </c>
    </row>
    <row r="2788" spans="1:5" x14ac:dyDescent="0.25">
      <c r="A2788" s="41">
        <v>43582</v>
      </c>
      <c r="B2788" s="29">
        <v>141.32</v>
      </c>
      <c r="C2788" s="37">
        <f t="shared" si="92"/>
        <v>23.553333333333335</v>
      </c>
      <c r="D2788" s="37">
        <v>7.5880000000000001</v>
      </c>
      <c r="E2788" s="33">
        <f t="shared" si="93"/>
        <v>-4.0873854827344078E-3</v>
      </c>
    </row>
    <row r="2789" spans="1:5" x14ac:dyDescent="0.25">
      <c r="A2789" s="41">
        <v>43582</v>
      </c>
      <c r="B2789" s="29">
        <v>140.47999999999999</v>
      </c>
      <c r="C2789" s="37">
        <f t="shared" si="92"/>
        <v>23.41333333333333</v>
      </c>
      <c r="D2789" s="37">
        <v>7.5880000000000001</v>
      </c>
      <c r="E2789" s="33">
        <f t="shared" si="93"/>
        <v>-5.9439569770733331E-3</v>
      </c>
    </row>
    <row r="2790" spans="1:5" x14ac:dyDescent="0.25">
      <c r="A2790" s="41">
        <v>43582</v>
      </c>
      <c r="B2790" s="29">
        <v>140.83000000000001</v>
      </c>
      <c r="C2790" s="37">
        <f t="shared" si="92"/>
        <v>23.471666666666671</v>
      </c>
      <c r="D2790" s="37">
        <v>7.5880000000000001</v>
      </c>
      <c r="E2790" s="33">
        <f t="shared" si="93"/>
        <v>2.4914578587700935E-3</v>
      </c>
    </row>
    <row r="2791" spans="1:5" x14ac:dyDescent="0.25">
      <c r="A2791" s="41">
        <v>43582</v>
      </c>
      <c r="B2791" s="29">
        <v>141.13</v>
      </c>
      <c r="C2791" s="37">
        <f t="shared" si="92"/>
        <v>23.521666666666668</v>
      </c>
      <c r="D2791" s="37">
        <v>7.5880000000000001</v>
      </c>
      <c r="E2791" s="33">
        <f t="shared" si="93"/>
        <v>2.1302279343888585E-3</v>
      </c>
    </row>
    <row r="2792" spans="1:5" x14ac:dyDescent="0.25">
      <c r="A2792" s="41">
        <v>43582</v>
      </c>
      <c r="B2792" s="29">
        <v>141.21</v>
      </c>
      <c r="C2792" s="37">
        <f t="shared" si="92"/>
        <v>23.535</v>
      </c>
      <c r="D2792" s="37">
        <v>7.5880000000000001</v>
      </c>
      <c r="E2792" s="33">
        <f t="shared" si="93"/>
        <v>5.6685325586347697E-4</v>
      </c>
    </row>
    <row r="2793" spans="1:5" x14ac:dyDescent="0.25">
      <c r="A2793" s="41">
        <v>43582</v>
      </c>
      <c r="B2793" s="29">
        <v>141.47</v>
      </c>
      <c r="C2793" s="37">
        <f t="shared" si="92"/>
        <v>23.578333333333333</v>
      </c>
      <c r="D2793" s="37">
        <v>7.5880000000000001</v>
      </c>
      <c r="E2793" s="33">
        <f t="shared" si="93"/>
        <v>1.8412293746901131E-3</v>
      </c>
    </row>
    <row r="2794" spans="1:5" x14ac:dyDescent="0.25">
      <c r="A2794" s="41">
        <v>43582</v>
      </c>
      <c r="B2794" s="29">
        <v>142.63999999999999</v>
      </c>
      <c r="C2794" s="37">
        <f t="shared" si="92"/>
        <v>23.77333333333333</v>
      </c>
      <c r="D2794" s="37">
        <v>7.5880000000000001</v>
      </c>
      <c r="E2794" s="33">
        <f t="shared" si="93"/>
        <v>8.2703046582313384E-3</v>
      </c>
    </row>
    <row r="2795" spans="1:5" x14ac:dyDescent="0.25">
      <c r="A2795" s="41">
        <v>43582</v>
      </c>
      <c r="B2795" s="29">
        <v>142.87</v>
      </c>
      <c r="C2795" s="37">
        <f t="shared" si="92"/>
        <v>23.811666666666667</v>
      </c>
      <c r="D2795" s="37">
        <v>7.5880000000000001</v>
      </c>
      <c r="E2795" s="33">
        <f t="shared" si="93"/>
        <v>1.6124509254067457E-3</v>
      </c>
    </row>
    <row r="2796" spans="1:5" x14ac:dyDescent="0.25">
      <c r="A2796" s="41">
        <v>43582</v>
      </c>
      <c r="B2796" s="29">
        <v>142.85</v>
      </c>
      <c r="C2796" s="37">
        <f t="shared" si="92"/>
        <v>23.808333333333334</v>
      </c>
      <c r="D2796" s="37">
        <v>7.5880000000000001</v>
      </c>
      <c r="E2796" s="33">
        <f t="shared" si="93"/>
        <v>-1.3998740113396957E-4</v>
      </c>
    </row>
    <row r="2797" spans="1:5" x14ac:dyDescent="0.25">
      <c r="A2797" s="41">
        <v>43582</v>
      </c>
      <c r="B2797" s="29">
        <v>142.83000000000001</v>
      </c>
      <c r="C2797" s="37">
        <f t="shared" si="92"/>
        <v>23.805000000000003</v>
      </c>
      <c r="D2797" s="37">
        <v>7.5880000000000001</v>
      </c>
      <c r="E2797" s="33">
        <f t="shared" si="93"/>
        <v>-1.4000700034989016E-4</v>
      </c>
    </row>
    <row r="2798" spans="1:5" x14ac:dyDescent="0.25">
      <c r="A2798" s="41">
        <v>43582</v>
      </c>
      <c r="B2798" s="29">
        <v>142.80000000000001</v>
      </c>
      <c r="C2798" s="37">
        <f t="shared" si="92"/>
        <v>23.800000000000004</v>
      </c>
      <c r="D2798" s="37">
        <v>7.5880000000000001</v>
      </c>
      <c r="E2798" s="33">
        <f t="shared" si="93"/>
        <v>-2.1003990758244859E-4</v>
      </c>
    </row>
    <row r="2799" spans="1:5" x14ac:dyDescent="0.25">
      <c r="A2799" s="41">
        <v>43582</v>
      </c>
      <c r="B2799" s="29">
        <v>142.78</v>
      </c>
      <c r="C2799" s="37">
        <f t="shared" si="92"/>
        <v>23.796666666666667</v>
      </c>
      <c r="D2799" s="37">
        <v>7.5880000000000001</v>
      </c>
      <c r="E2799" s="33">
        <f t="shared" si="93"/>
        <v>-1.4005602240903521E-4</v>
      </c>
    </row>
    <row r="2800" spans="1:5" x14ac:dyDescent="0.25">
      <c r="A2800" s="41">
        <v>43582</v>
      </c>
      <c r="B2800" s="29">
        <v>142.75</v>
      </c>
      <c r="C2800" s="37">
        <f t="shared" si="92"/>
        <v>23.791666666666668</v>
      </c>
      <c r="D2800" s="37">
        <v>7.5880000000000001</v>
      </c>
      <c r="E2800" s="33">
        <f t="shared" si="93"/>
        <v>-2.1011346126909326E-4</v>
      </c>
    </row>
    <row r="2801" spans="1:5" x14ac:dyDescent="0.25">
      <c r="A2801" s="41">
        <v>43582</v>
      </c>
      <c r="B2801" s="29">
        <v>142.72999999999999</v>
      </c>
      <c r="C2801" s="37">
        <f t="shared" si="92"/>
        <v>23.78833333333333</v>
      </c>
      <c r="D2801" s="37">
        <v>7.5880000000000001</v>
      </c>
      <c r="E2801" s="33">
        <f t="shared" si="93"/>
        <v>-1.4010507880917852E-4</v>
      </c>
    </row>
    <row r="2802" spans="1:5" x14ac:dyDescent="0.25">
      <c r="A2802" s="41">
        <v>43582</v>
      </c>
      <c r="B2802" s="29">
        <v>142.69999999999999</v>
      </c>
      <c r="C2802" s="37">
        <f t="shared" si="92"/>
        <v>23.783333333333331</v>
      </c>
      <c r="D2802" s="37">
        <v>7.5880000000000001</v>
      </c>
      <c r="E2802" s="33">
        <f t="shared" si="93"/>
        <v>-2.1018706648918335E-4</v>
      </c>
    </row>
    <row r="2803" spans="1:5" x14ac:dyDescent="0.25">
      <c r="A2803" s="41">
        <v>43582</v>
      </c>
      <c r="B2803" s="29">
        <v>142.77000000000001</v>
      </c>
      <c r="C2803" s="37">
        <f t="shared" si="92"/>
        <v>23.795000000000002</v>
      </c>
      <c r="D2803" s="37">
        <v>7.5880000000000001</v>
      </c>
      <c r="E2803" s="33">
        <f t="shared" si="93"/>
        <v>4.9053959355305958E-4</v>
      </c>
    </row>
    <row r="2804" spans="1:5" x14ac:dyDescent="0.25">
      <c r="A2804" s="41">
        <v>43582</v>
      </c>
      <c r="B2804" s="29">
        <v>144.69</v>
      </c>
      <c r="C2804" s="37">
        <f t="shared" si="92"/>
        <v>24.114999999999998</v>
      </c>
      <c r="D2804" s="37">
        <v>7.5880000000000001</v>
      </c>
      <c r="E2804" s="33">
        <f t="shared" si="93"/>
        <v>1.3448203404076398E-2</v>
      </c>
    </row>
    <row r="2805" spans="1:5" x14ac:dyDescent="0.25">
      <c r="A2805" s="41">
        <v>43582</v>
      </c>
      <c r="B2805" s="29">
        <v>143.86000000000001</v>
      </c>
      <c r="C2805" s="37">
        <f t="shared" si="92"/>
        <v>23.97666666666667</v>
      </c>
      <c r="D2805" s="37">
        <v>7.5880000000000001</v>
      </c>
      <c r="E2805" s="33">
        <f t="shared" si="93"/>
        <v>-5.7364019628169472E-3</v>
      </c>
    </row>
    <row r="2806" spans="1:5" x14ac:dyDescent="0.25">
      <c r="A2806" s="41">
        <v>43582</v>
      </c>
      <c r="B2806" s="29">
        <v>142.88999999999999</v>
      </c>
      <c r="C2806" s="37">
        <f t="shared" si="92"/>
        <v>23.814999999999998</v>
      </c>
      <c r="D2806" s="37">
        <v>7.5880000000000001</v>
      </c>
      <c r="E2806" s="33">
        <f t="shared" si="93"/>
        <v>-6.742666481301454E-3</v>
      </c>
    </row>
    <row r="2807" spans="1:5" x14ac:dyDescent="0.25">
      <c r="A2807" s="41">
        <v>43582</v>
      </c>
      <c r="B2807" s="29">
        <v>142.59</v>
      </c>
      <c r="C2807" s="37">
        <f t="shared" si="92"/>
        <v>23.765000000000001</v>
      </c>
      <c r="D2807" s="37">
        <v>7.5880000000000001</v>
      </c>
      <c r="E2807" s="33">
        <f t="shared" si="93"/>
        <v>-2.0995171110643361E-3</v>
      </c>
    </row>
    <row r="2808" spans="1:5" x14ac:dyDescent="0.25">
      <c r="A2808" s="41">
        <v>43582</v>
      </c>
      <c r="B2808" s="29">
        <v>142.55000000000001</v>
      </c>
      <c r="C2808" s="37">
        <f t="shared" si="92"/>
        <v>23.758333333333336</v>
      </c>
      <c r="D2808" s="37">
        <v>7.5880000000000001</v>
      </c>
      <c r="E2808" s="33">
        <f t="shared" si="93"/>
        <v>-2.8052458096635135E-4</v>
      </c>
    </row>
    <row r="2809" spans="1:5" x14ac:dyDescent="0.25">
      <c r="A2809" s="41">
        <v>43582</v>
      </c>
      <c r="B2809" s="29">
        <v>141.84</v>
      </c>
      <c r="C2809" s="37">
        <f t="shared" si="92"/>
        <v>23.64</v>
      </c>
      <c r="D2809" s="37">
        <v>7.5880000000000001</v>
      </c>
      <c r="E2809" s="33">
        <f t="shared" si="93"/>
        <v>-4.9807085233252047E-3</v>
      </c>
    </row>
    <row r="2810" spans="1:5" x14ac:dyDescent="0.25">
      <c r="A2810" s="41">
        <v>43583</v>
      </c>
      <c r="B2810" s="29">
        <v>136.66999999999999</v>
      </c>
      <c r="C2810" s="37">
        <f t="shared" si="92"/>
        <v>22.778333333333329</v>
      </c>
      <c r="D2810" s="37">
        <v>9.5540000000000003</v>
      </c>
      <c r="E2810" s="33">
        <f t="shared" si="93"/>
        <v>-3.6449520586576536E-2</v>
      </c>
    </row>
    <row r="2811" spans="1:5" x14ac:dyDescent="0.25">
      <c r="A2811" s="41">
        <v>43583</v>
      </c>
      <c r="B2811" s="29">
        <v>130.76</v>
      </c>
      <c r="C2811" s="37">
        <f t="shared" si="92"/>
        <v>21.793333333333333</v>
      </c>
      <c r="D2811" s="37">
        <v>9.5540000000000003</v>
      </c>
      <c r="E2811" s="33">
        <f t="shared" si="93"/>
        <v>-4.3242847735421065E-2</v>
      </c>
    </row>
    <row r="2812" spans="1:5" x14ac:dyDescent="0.25">
      <c r="A2812" s="41">
        <v>43583</v>
      </c>
      <c r="B2812" s="29">
        <v>119.43</v>
      </c>
      <c r="C2812" s="37">
        <f t="shared" si="92"/>
        <v>19.905000000000001</v>
      </c>
      <c r="D2812" s="37">
        <v>9.5540000000000003</v>
      </c>
      <c r="E2812" s="33">
        <f t="shared" si="93"/>
        <v>-8.6647292750076363E-2</v>
      </c>
    </row>
    <row r="2813" spans="1:5" x14ac:dyDescent="0.25">
      <c r="A2813" s="41">
        <v>43583</v>
      </c>
      <c r="B2813" s="29">
        <v>62.85</v>
      </c>
      <c r="C2813" s="37">
        <f t="shared" si="92"/>
        <v>10.475</v>
      </c>
      <c r="D2813" s="37">
        <v>9.5540000000000003</v>
      </c>
      <c r="E2813" s="33">
        <f t="shared" si="93"/>
        <v>-0.47375031399145945</v>
      </c>
    </row>
    <row r="2814" spans="1:5" x14ac:dyDescent="0.25">
      <c r="A2814" s="41">
        <v>43583</v>
      </c>
      <c r="B2814" s="29">
        <v>65.31</v>
      </c>
      <c r="C2814" s="37">
        <f t="shared" si="92"/>
        <v>10.885</v>
      </c>
      <c r="D2814" s="37">
        <v>9.5540000000000003</v>
      </c>
      <c r="E2814" s="33">
        <f t="shared" si="93"/>
        <v>3.9140811455847267E-2</v>
      </c>
    </row>
    <row r="2815" spans="1:5" x14ac:dyDescent="0.25">
      <c r="A2815" s="41">
        <v>43583</v>
      </c>
      <c r="B2815" s="29">
        <v>64.099999999999994</v>
      </c>
      <c r="C2815" s="37">
        <f t="shared" si="92"/>
        <v>10.683333333333332</v>
      </c>
      <c r="D2815" s="37">
        <v>9.5540000000000003</v>
      </c>
      <c r="E2815" s="33">
        <f t="shared" si="93"/>
        <v>-1.8527024957893247E-2</v>
      </c>
    </row>
    <row r="2816" spans="1:5" x14ac:dyDescent="0.25">
      <c r="A2816" s="41">
        <v>43583</v>
      </c>
      <c r="B2816" s="29">
        <v>42.35</v>
      </c>
      <c r="C2816" s="37">
        <f t="shared" si="92"/>
        <v>7.0583333333333336</v>
      </c>
      <c r="D2816" s="37">
        <v>9.5540000000000003</v>
      </c>
      <c r="E2816" s="33">
        <f t="shared" si="93"/>
        <v>-0.33931357254290162</v>
      </c>
    </row>
    <row r="2817" spans="1:5" x14ac:dyDescent="0.25">
      <c r="A2817" s="41">
        <v>43583</v>
      </c>
      <c r="B2817" s="29">
        <v>42.35</v>
      </c>
      <c r="C2817" s="37">
        <f t="shared" si="92"/>
        <v>7.0583333333333336</v>
      </c>
      <c r="D2817" s="37">
        <v>9.5540000000000003</v>
      </c>
      <c r="E2817" s="33">
        <f t="shared" si="93"/>
        <v>0</v>
      </c>
    </row>
    <row r="2818" spans="1:5" x14ac:dyDescent="0.25">
      <c r="A2818" s="41">
        <v>43583</v>
      </c>
      <c r="B2818" s="29">
        <v>93.49</v>
      </c>
      <c r="C2818" s="37">
        <f t="shared" si="92"/>
        <v>15.581666666666667</v>
      </c>
      <c r="D2818" s="37">
        <v>9.5540000000000003</v>
      </c>
      <c r="E2818" s="33">
        <f t="shared" si="93"/>
        <v>1.2075560802833527</v>
      </c>
    </row>
    <row r="2819" spans="1:5" x14ac:dyDescent="0.25">
      <c r="A2819" s="41">
        <v>43583</v>
      </c>
      <c r="B2819" s="29">
        <v>133.01</v>
      </c>
      <c r="C2819" s="37">
        <f t="shared" ref="C2819:C2882" si="94">(B2819*100/600)</f>
        <v>22.168333333333333</v>
      </c>
      <c r="D2819" s="37">
        <v>9.5540000000000003</v>
      </c>
      <c r="E2819" s="33">
        <f t="shared" si="93"/>
        <v>0.42271900738046847</v>
      </c>
    </row>
    <row r="2820" spans="1:5" x14ac:dyDescent="0.25">
      <c r="A2820" s="41">
        <v>43583</v>
      </c>
      <c r="B2820" s="29">
        <v>138.22999999999999</v>
      </c>
      <c r="C2820" s="37">
        <f t="shared" si="94"/>
        <v>23.03833333333333</v>
      </c>
      <c r="D2820" s="37">
        <v>9.5540000000000003</v>
      </c>
      <c r="E2820" s="33">
        <f t="shared" ref="E2820:E2883" si="95">(B2820-B2819)/B2819</f>
        <v>3.9245169536125099E-2</v>
      </c>
    </row>
    <row r="2821" spans="1:5" x14ac:dyDescent="0.25">
      <c r="A2821" s="41">
        <v>43583</v>
      </c>
      <c r="B2821" s="29">
        <v>139.19999999999999</v>
      </c>
      <c r="C2821" s="37">
        <f t="shared" si="94"/>
        <v>23.199999999999996</v>
      </c>
      <c r="D2821" s="37">
        <v>9.5540000000000003</v>
      </c>
      <c r="E2821" s="33">
        <f t="shared" si="95"/>
        <v>7.0172900238732469E-3</v>
      </c>
    </row>
    <row r="2822" spans="1:5" x14ac:dyDescent="0.25">
      <c r="A2822" s="41">
        <v>43583</v>
      </c>
      <c r="B2822" s="29">
        <v>139.19999999999999</v>
      </c>
      <c r="C2822" s="37">
        <f t="shared" si="94"/>
        <v>23.199999999999996</v>
      </c>
      <c r="D2822" s="37">
        <v>9.5540000000000003</v>
      </c>
      <c r="E2822" s="33">
        <f t="shared" si="95"/>
        <v>0</v>
      </c>
    </row>
    <row r="2823" spans="1:5" x14ac:dyDescent="0.25">
      <c r="A2823" s="41">
        <v>43583</v>
      </c>
      <c r="B2823" s="29">
        <v>139.26</v>
      </c>
      <c r="C2823" s="37">
        <f t="shared" si="94"/>
        <v>23.21</v>
      </c>
      <c r="D2823" s="37">
        <v>9.5540000000000003</v>
      </c>
      <c r="E2823" s="33">
        <f t="shared" si="95"/>
        <v>4.3103448275863706E-4</v>
      </c>
    </row>
    <row r="2824" spans="1:5" x14ac:dyDescent="0.25">
      <c r="A2824" s="41">
        <v>43583</v>
      </c>
      <c r="B2824" s="29">
        <v>139.21</v>
      </c>
      <c r="C2824" s="37">
        <f t="shared" si="94"/>
        <v>23.201666666666668</v>
      </c>
      <c r="D2824" s="37">
        <v>9.5540000000000003</v>
      </c>
      <c r="E2824" s="33">
        <f t="shared" si="95"/>
        <v>-3.5904064340071056E-4</v>
      </c>
    </row>
    <row r="2825" spans="1:5" x14ac:dyDescent="0.25">
      <c r="A2825" s="41">
        <v>43583</v>
      </c>
      <c r="B2825" s="29">
        <v>139.26</v>
      </c>
      <c r="C2825" s="37">
        <f t="shared" si="94"/>
        <v>23.21</v>
      </c>
      <c r="D2825" s="37">
        <v>9.5540000000000003</v>
      </c>
      <c r="E2825" s="33">
        <f t="shared" si="95"/>
        <v>3.5916959988494321E-4</v>
      </c>
    </row>
    <row r="2826" spans="1:5" x14ac:dyDescent="0.25">
      <c r="A2826" s="41">
        <v>43583</v>
      </c>
      <c r="B2826" s="29">
        <v>139.27000000000001</v>
      </c>
      <c r="C2826" s="37">
        <f t="shared" si="94"/>
        <v>23.21166666666667</v>
      </c>
      <c r="D2826" s="37">
        <v>9.5540000000000003</v>
      </c>
      <c r="E2826" s="33">
        <f t="shared" si="95"/>
        <v>7.1808128680305385E-5</v>
      </c>
    </row>
    <row r="2827" spans="1:5" x14ac:dyDescent="0.25">
      <c r="A2827" s="41">
        <v>43583</v>
      </c>
      <c r="B2827" s="29">
        <v>139.25</v>
      </c>
      <c r="C2827" s="37">
        <f t="shared" si="94"/>
        <v>23.208333333333332</v>
      </c>
      <c r="D2827" s="37">
        <v>9.5540000000000003</v>
      </c>
      <c r="E2827" s="33">
        <f t="shared" si="95"/>
        <v>-1.436059452862083E-4</v>
      </c>
    </row>
    <row r="2828" spans="1:5" x14ac:dyDescent="0.25">
      <c r="A2828" s="41">
        <v>43583</v>
      </c>
      <c r="B2828" s="29">
        <v>141.99</v>
      </c>
      <c r="C2828" s="37">
        <f t="shared" si="94"/>
        <v>23.664999999999999</v>
      </c>
      <c r="D2828" s="37">
        <v>9.5540000000000003</v>
      </c>
      <c r="E2828" s="33">
        <f t="shared" si="95"/>
        <v>1.967684021543992E-2</v>
      </c>
    </row>
    <row r="2829" spans="1:5" x14ac:dyDescent="0.25">
      <c r="A2829" s="41">
        <v>43583</v>
      </c>
      <c r="B2829" s="29">
        <v>142.03</v>
      </c>
      <c r="C2829" s="37">
        <f t="shared" si="94"/>
        <v>23.671666666666667</v>
      </c>
      <c r="D2829" s="37">
        <v>9.5540000000000003</v>
      </c>
      <c r="E2829" s="33">
        <f t="shared" si="95"/>
        <v>2.8170997957597041E-4</v>
      </c>
    </row>
    <row r="2830" spans="1:5" x14ac:dyDescent="0.25">
      <c r="A2830" s="41">
        <v>43583</v>
      </c>
      <c r="B2830" s="29">
        <v>142.03</v>
      </c>
      <c r="C2830" s="37">
        <f t="shared" si="94"/>
        <v>23.671666666666667</v>
      </c>
      <c r="D2830" s="37">
        <v>9.5540000000000003</v>
      </c>
      <c r="E2830" s="33">
        <f t="shared" si="95"/>
        <v>0</v>
      </c>
    </row>
    <row r="2831" spans="1:5" x14ac:dyDescent="0.25">
      <c r="A2831" s="41">
        <v>43583</v>
      </c>
      <c r="B2831" s="29">
        <v>141.25</v>
      </c>
      <c r="C2831" s="37">
        <f t="shared" si="94"/>
        <v>23.541666666666668</v>
      </c>
      <c r="D2831" s="37">
        <v>9.5540000000000003</v>
      </c>
      <c r="E2831" s="33">
        <f t="shared" si="95"/>
        <v>-5.4917975075688312E-3</v>
      </c>
    </row>
    <row r="2832" spans="1:5" x14ac:dyDescent="0.25">
      <c r="A2832" s="41">
        <v>43583</v>
      </c>
      <c r="B2832" s="29">
        <v>139.49</v>
      </c>
      <c r="C2832" s="37">
        <f t="shared" si="94"/>
        <v>23.248333333333335</v>
      </c>
      <c r="D2832" s="37">
        <v>9.5540000000000003</v>
      </c>
      <c r="E2832" s="33">
        <f t="shared" si="95"/>
        <v>-1.2460176991150379E-2</v>
      </c>
    </row>
    <row r="2833" spans="1:5" x14ac:dyDescent="0.25">
      <c r="A2833" s="41">
        <v>43583</v>
      </c>
      <c r="B2833" s="29">
        <v>139.08000000000001</v>
      </c>
      <c r="C2833" s="37">
        <f t="shared" si="94"/>
        <v>23.180000000000003</v>
      </c>
      <c r="D2833" s="37">
        <v>9.5540000000000003</v>
      </c>
      <c r="E2833" s="33">
        <f t="shared" si="95"/>
        <v>-2.9392788013477421E-3</v>
      </c>
    </row>
    <row r="2834" spans="1:5" x14ac:dyDescent="0.25">
      <c r="A2834" s="41">
        <v>43584</v>
      </c>
      <c r="B2834" s="29">
        <v>143.22999999999999</v>
      </c>
      <c r="C2834" s="37">
        <f t="shared" si="94"/>
        <v>23.871666666666663</v>
      </c>
      <c r="D2834" s="37">
        <v>11.391999999999999</v>
      </c>
      <c r="E2834" s="33">
        <f t="shared" si="95"/>
        <v>2.9838941616335754E-2</v>
      </c>
    </row>
    <row r="2835" spans="1:5" x14ac:dyDescent="0.25">
      <c r="A2835" s="41">
        <v>43584</v>
      </c>
      <c r="B2835" s="29">
        <v>142.82</v>
      </c>
      <c r="C2835" s="37">
        <f t="shared" si="94"/>
        <v>23.803333333333335</v>
      </c>
      <c r="D2835" s="37">
        <v>11.391999999999999</v>
      </c>
      <c r="E2835" s="33">
        <f t="shared" si="95"/>
        <v>-2.8625287998324139E-3</v>
      </c>
    </row>
    <row r="2836" spans="1:5" x14ac:dyDescent="0.25">
      <c r="A2836" s="41">
        <v>43584</v>
      </c>
      <c r="B2836" s="29">
        <v>142.21</v>
      </c>
      <c r="C2836" s="37">
        <f t="shared" si="94"/>
        <v>23.701666666666668</v>
      </c>
      <c r="D2836" s="37">
        <v>11.391999999999999</v>
      </c>
      <c r="E2836" s="33">
        <f t="shared" si="95"/>
        <v>-4.2711104887269659E-3</v>
      </c>
    </row>
    <row r="2837" spans="1:5" x14ac:dyDescent="0.25">
      <c r="A2837" s="41">
        <v>43584</v>
      </c>
      <c r="B2837" s="29">
        <v>141.9</v>
      </c>
      <c r="C2837" s="37">
        <f t="shared" si="94"/>
        <v>23.65</v>
      </c>
      <c r="D2837" s="37">
        <v>11.391999999999999</v>
      </c>
      <c r="E2837" s="33">
        <f t="shared" si="95"/>
        <v>-2.1798748329934763E-3</v>
      </c>
    </row>
    <row r="2838" spans="1:5" x14ac:dyDescent="0.25">
      <c r="A2838" s="41">
        <v>43584</v>
      </c>
      <c r="B2838" s="29">
        <v>142.35</v>
      </c>
      <c r="C2838" s="37">
        <f t="shared" si="94"/>
        <v>23.725000000000001</v>
      </c>
      <c r="D2838" s="37">
        <v>11.391999999999999</v>
      </c>
      <c r="E2838" s="33">
        <f t="shared" si="95"/>
        <v>3.1712473572937886E-3</v>
      </c>
    </row>
    <row r="2839" spans="1:5" x14ac:dyDescent="0.25">
      <c r="A2839" s="41">
        <v>43584</v>
      </c>
      <c r="B2839" s="29">
        <v>143.37</v>
      </c>
      <c r="C2839" s="37">
        <f t="shared" si="94"/>
        <v>23.895</v>
      </c>
      <c r="D2839" s="37">
        <v>11.391999999999999</v>
      </c>
      <c r="E2839" s="33">
        <f t="shared" si="95"/>
        <v>7.1654373024236757E-3</v>
      </c>
    </row>
    <row r="2840" spans="1:5" x14ac:dyDescent="0.25">
      <c r="A2840" s="41">
        <v>43584</v>
      </c>
      <c r="B2840" s="29">
        <v>145.36000000000001</v>
      </c>
      <c r="C2840" s="37">
        <f t="shared" si="94"/>
        <v>24.22666666666667</v>
      </c>
      <c r="D2840" s="37">
        <v>11.391999999999999</v>
      </c>
      <c r="E2840" s="33">
        <f t="shared" si="95"/>
        <v>1.3880170189021476E-2</v>
      </c>
    </row>
    <row r="2841" spans="1:5" x14ac:dyDescent="0.25">
      <c r="A2841" s="41">
        <v>43584</v>
      </c>
      <c r="B2841" s="29">
        <v>145.63</v>
      </c>
      <c r="C2841" s="37">
        <f t="shared" si="94"/>
        <v>24.271666666666668</v>
      </c>
      <c r="D2841" s="37">
        <v>11.391999999999999</v>
      </c>
      <c r="E2841" s="33">
        <f t="shared" si="95"/>
        <v>1.857457347275604E-3</v>
      </c>
    </row>
    <row r="2842" spans="1:5" x14ac:dyDescent="0.25">
      <c r="A2842" s="41">
        <v>43584</v>
      </c>
      <c r="B2842" s="29">
        <v>145.84</v>
      </c>
      <c r="C2842" s="37">
        <f t="shared" si="94"/>
        <v>24.306666666666668</v>
      </c>
      <c r="D2842" s="37">
        <v>11.391999999999999</v>
      </c>
      <c r="E2842" s="33">
        <f t="shared" si="95"/>
        <v>1.4420105747442694E-3</v>
      </c>
    </row>
    <row r="2843" spans="1:5" x14ac:dyDescent="0.25">
      <c r="A2843" s="41">
        <v>43584</v>
      </c>
      <c r="B2843" s="29">
        <v>146.88999999999999</v>
      </c>
      <c r="C2843" s="37">
        <f t="shared" si="94"/>
        <v>24.481666666666662</v>
      </c>
      <c r="D2843" s="37">
        <v>11.391999999999999</v>
      </c>
      <c r="E2843" s="33">
        <f t="shared" si="95"/>
        <v>7.1996708721885827E-3</v>
      </c>
    </row>
    <row r="2844" spans="1:5" x14ac:dyDescent="0.25">
      <c r="A2844" s="41">
        <v>43584</v>
      </c>
      <c r="B2844" s="29">
        <v>147.62</v>
      </c>
      <c r="C2844" s="37">
        <f t="shared" si="94"/>
        <v>24.603333333333332</v>
      </c>
      <c r="D2844" s="37">
        <v>11.391999999999999</v>
      </c>
      <c r="E2844" s="33">
        <f t="shared" si="95"/>
        <v>4.9697052215945149E-3</v>
      </c>
    </row>
    <row r="2845" spans="1:5" x14ac:dyDescent="0.25">
      <c r="A2845" s="41">
        <v>43584</v>
      </c>
      <c r="B2845" s="29">
        <v>147.62</v>
      </c>
      <c r="C2845" s="37">
        <f t="shared" si="94"/>
        <v>24.603333333333332</v>
      </c>
      <c r="D2845" s="37">
        <v>11.391999999999999</v>
      </c>
      <c r="E2845" s="33">
        <f t="shared" si="95"/>
        <v>0</v>
      </c>
    </row>
    <row r="2846" spans="1:5" x14ac:dyDescent="0.25">
      <c r="A2846" s="41">
        <v>43584</v>
      </c>
      <c r="B2846" s="29">
        <v>147.08000000000001</v>
      </c>
      <c r="C2846" s="37">
        <f t="shared" si="94"/>
        <v>24.513333333333335</v>
      </c>
      <c r="D2846" s="37">
        <v>11.391999999999999</v>
      </c>
      <c r="E2846" s="33">
        <f t="shared" si="95"/>
        <v>-3.6580409158650049E-3</v>
      </c>
    </row>
    <row r="2847" spans="1:5" x14ac:dyDescent="0.25">
      <c r="A2847" s="41">
        <v>43584</v>
      </c>
      <c r="B2847" s="29">
        <v>147.63</v>
      </c>
      <c r="C2847" s="37">
        <f t="shared" si="94"/>
        <v>24.605</v>
      </c>
      <c r="D2847" s="37">
        <v>11.391999999999999</v>
      </c>
      <c r="E2847" s="33">
        <f t="shared" si="95"/>
        <v>3.7394615175413578E-3</v>
      </c>
    </row>
    <row r="2848" spans="1:5" x14ac:dyDescent="0.25">
      <c r="A2848" s="41">
        <v>43584</v>
      </c>
      <c r="B2848" s="29">
        <v>147.84</v>
      </c>
      <c r="C2848" s="37">
        <f t="shared" si="94"/>
        <v>24.64</v>
      </c>
      <c r="D2848" s="37">
        <v>11.391999999999999</v>
      </c>
      <c r="E2848" s="33">
        <f t="shared" si="95"/>
        <v>1.4224751066856868E-3</v>
      </c>
    </row>
    <row r="2849" spans="1:5" x14ac:dyDescent="0.25">
      <c r="A2849" s="41">
        <v>43584</v>
      </c>
      <c r="B2849" s="29">
        <v>147.99</v>
      </c>
      <c r="C2849" s="37">
        <f t="shared" si="94"/>
        <v>24.664999999999999</v>
      </c>
      <c r="D2849" s="37">
        <v>11.391999999999999</v>
      </c>
      <c r="E2849" s="33">
        <f t="shared" si="95"/>
        <v>1.0146103896104281E-3</v>
      </c>
    </row>
    <row r="2850" spans="1:5" x14ac:dyDescent="0.25">
      <c r="A2850" s="41">
        <v>43584</v>
      </c>
      <c r="B2850" s="29">
        <v>147.63999999999999</v>
      </c>
      <c r="C2850" s="37">
        <f t="shared" si="94"/>
        <v>24.606666666666662</v>
      </c>
      <c r="D2850" s="37">
        <v>11.391999999999999</v>
      </c>
      <c r="E2850" s="33">
        <f t="shared" si="95"/>
        <v>-2.3650246638287904E-3</v>
      </c>
    </row>
    <row r="2851" spans="1:5" x14ac:dyDescent="0.25">
      <c r="A2851" s="41">
        <v>43584</v>
      </c>
      <c r="B2851" s="29">
        <v>147.05000000000001</v>
      </c>
      <c r="C2851" s="37">
        <f t="shared" si="94"/>
        <v>24.508333333333336</v>
      </c>
      <c r="D2851" s="37">
        <v>11.391999999999999</v>
      </c>
      <c r="E2851" s="33">
        <f t="shared" si="95"/>
        <v>-3.9962069899754475E-3</v>
      </c>
    </row>
    <row r="2852" spans="1:5" x14ac:dyDescent="0.25">
      <c r="A2852" s="41">
        <v>43584</v>
      </c>
      <c r="B2852" s="29">
        <v>147.80000000000001</v>
      </c>
      <c r="C2852" s="37">
        <f t="shared" si="94"/>
        <v>24.633333333333336</v>
      </c>
      <c r="D2852" s="37">
        <v>11.391999999999999</v>
      </c>
      <c r="E2852" s="33">
        <f t="shared" si="95"/>
        <v>5.1003060183611015E-3</v>
      </c>
    </row>
    <row r="2853" spans="1:5" x14ac:dyDescent="0.25">
      <c r="A2853" s="41">
        <v>43584</v>
      </c>
      <c r="B2853" s="29">
        <v>147.65</v>
      </c>
      <c r="C2853" s="37">
        <f t="shared" si="94"/>
        <v>24.608333333333334</v>
      </c>
      <c r="D2853" s="37">
        <v>11.391999999999999</v>
      </c>
      <c r="E2853" s="33">
        <f t="shared" si="95"/>
        <v>-1.0148849797023388E-3</v>
      </c>
    </row>
    <row r="2854" spans="1:5" x14ac:dyDescent="0.25">
      <c r="A2854" s="41">
        <v>43584</v>
      </c>
      <c r="B2854" s="29">
        <v>146.83000000000001</v>
      </c>
      <c r="C2854" s="37">
        <f t="shared" si="94"/>
        <v>24.471666666666671</v>
      </c>
      <c r="D2854" s="37">
        <v>11.391999999999999</v>
      </c>
      <c r="E2854" s="33">
        <f t="shared" si="95"/>
        <v>-5.5536742295969731E-3</v>
      </c>
    </row>
    <row r="2855" spans="1:5" x14ac:dyDescent="0.25">
      <c r="A2855" s="41">
        <v>43584</v>
      </c>
      <c r="B2855" s="29">
        <v>146.76</v>
      </c>
      <c r="C2855" s="37">
        <f t="shared" si="94"/>
        <v>24.46</v>
      </c>
      <c r="D2855" s="37">
        <v>11.391999999999999</v>
      </c>
      <c r="E2855" s="33">
        <f t="shared" si="95"/>
        <v>-4.7674181025690658E-4</v>
      </c>
    </row>
    <row r="2856" spans="1:5" x14ac:dyDescent="0.25">
      <c r="A2856" s="41">
        <v>43584</v>
      </c>
      <c r="B2856" s="29">
        <v>145.85</v>
      </c>
      <c r="C2856" s="37">
        <f t="shared" si="94"/>
        <v>24.308333333333334</v>
      </c>
      <c r="D2856" s="37">
        <v>11.391999999999999</v>
      </c>
      <c r="E2856" s="33">
        <f t="shared" si="95"/>
        <v>-6.2005996184246164E-3</v>
      </c>
    </row>
    <row r="2857" spans="1:5" x14ac:dyDescent="0.25">
      <c r="A2857" s="41">
        <v>43584</v>
      </c>
      <c r="B2857" s="29">
        <v>145.24</v>
      </c>
      <c r="C2857" s="37">
        <f t="shared" si="94"/>
        <v>24.206666666666667</v>
      </c>
      <c r="D2857" s="37">
        <v>11.391999999999999</v>
      </c>
      <c r="E2857" s="33">
        <f t="shared" si="95"/>
        <v>-4.1823791566677083E-3</v>
      </c>
    </row>
    <row r="2858" spans="1:5" x14ac:dyDescent="0.25">
      <c r="A2858" s="41">
        <v>43585</v>
      </c>
      <c r="B2858" s="29">
        <v>143.80000000000001</v>
      </c>
      <c r="C2858" s="37">
        <f t="shared" si="94"/>
        <v>23.966666666666669</v>
      </c>
      <c r="D2858" s="37">
        <v>11.182</v>
      </c>
      <c r="E2858" s="33">
        <f t="shared" si="95"/>
        <v>-9.9146240705039763E-3</v>
      </c>
    </row>
    <row r="2859" spans="1:5" x14ac:dyDescent="0.25">
      <c r="A2859" s="41">
        <v>43585</v>
      </c>
      <c r="B2859" s="29">
        <v>142.52000000000001</v>
      </c>
      <c r="C2859" s="37">
        <f t="shared" si="94"/>
        <v>23.753333333333337</v>
      </c>
      <c r="D2859" s="37">
        <v>11.182</v>
      </c>
      <c r="E2859" s="33">
        <f t="shared" si="95"/>
        <v>-8.9012517385257377E-3</v>
      </c>
    </row>
    <row r="2860" spans="1:5" x14ac:dyDescent="0.25">
      <c r="A2860" s="41">
        <v>43585</v>
      </c>
      <c r="B2860" s="29">
        <v>141.81</v>
      </c>
      <c r="C2860" s="37">
        <f t="shared" si="94"/>
        <v>23.635000000000002</v>
      </c>
      <c r="D2860" s="37">
        <v>11.182</v>
      </c>
      <c r="E2860" s="33">
        <f t="shared" si="95"/>
        <v>-4.9817569463935438E-3</v>
      </c>
    </row>
    <row r="2861" spans="1:5" x14ac:dyDescent="0.25">
      <c r="A2861" s="41">
        <v>43585</v>
      </c>
      <c r="B2861" s="29">
        <v>141.66</v>
      </c>
      <c r="C2861" s="37">
        <f t="shared" si="94"/>
        <v>23.61</v>
      </c>
      <c r="D2861" s="37">
        <v>11.182</v>
      </c>
      <c r="E2861" s="33">
        <f t="shared" si="95"/>
        <v>-1.0577533319230355E-3</v>
      </c>
    </row>
    <row r="2862" spans="1:5" x14ac:dyDescent="0.25">
      <c r="A2862" s="41">
        <v>43585</v>
      </c>
      <c r="B2862" s="29">
        <v>141.69999999999999</v>
      </c>
      <c r="C2862" s="37">
        <f t="shared" si="94"/>
        <v>23.616666666666664</v>
      </c>
      <c r="D2862" s="37">
        <v>11.182</v>
      </c>
      <c r="E2862" s="33">
        <f t="shared" si="95"/>
        <v>2.8236622899895553E-4</v>
      </c>
    </row>
    <row r="2863" spans="1:5" x14ac:dyDescent="0.25">
      <c r="A2863" s="41">
        <v>43585</v>
      </c>
      <c r="B2863" s="29">
        <v>142.59</v>
      </c>
      <c r="C2863" s="37">
        <f t="shared" si="94"/>
        <v>23.765000000000001</v>
      </c>
      <c r="D2863" s="37">
        <v>11.182</v>
      </c>
      <c r="E2863" s="33">
        <f t="shared" si="95"/>
        <v>6.2808750882146422E-3</v>
      </c>
    </row>
    <row r="2864" spans="1:5" x14ac:dyDescent="0.25">
      <c r="A2864" s="41">
        <v>43585</v>
      </c>
      <c r="B2864" s="29">
        <v>143.96</v>
      </c>
      <c r="C2864" s="37">
        <f t="shared" si="94"/>
        <v>23.993333333333332</v>
      </c>
      <c r="D2864" s="37">
        <v>11.182</v>
      </c>
      <c r="E2864" s="33">
        <f t="shared" si="95"/>
        <v>9.6079668980994775E-3</v>
      </c>
    </row>
    <row r="2865" spans="1:5" x14ac:dyDescent="0.25">
      <c r="A2865" s="41">
        <v>43585</v>
      </c>
      <c r="B2865" s="29">
        <v>142.62</v>
      </c>
      <c r="C2865" s="37">
        <f t="shared" si="94"/>
        <v>23.77</v>
      </c>
      <c r="D2865" s="37">
        <v>11.182</v>
      </c>
      <c r="E2865" s="33">
        <f t="shared" si="95"/>
        <v>-9.3081411503195561E-3</v>
      </c>
    </row>
    <row r="2866" spans="1:5" x14ac:dyDescent="0.25">
      <c r="A2866" s="41">
        <v>43585</v>
      </c>
      <c r="B2866" s="29">
        <v>143.97</v>
      </c>
      <c r="C2866" s="37">
        <f t="shared" si="94"/>
        <v>23.995000000000001</v>
      </c>
      <c r="D2866" s="37">
        <v>11.182</v>
      </c>
      <c r="E2866" s="33">
        <f t="shared" si="95"/>
        <v>9.4657130837189334E-3</v>
      </c>
    </row>
    <row r="2867" spans="1:5" x14ac:dyDescent="0.25">
      <c r="A2867" s="41">
        <v>43585</v>
      </c>
      <c r="B2867" s="29">
        <v>144.03</v>
      </c>
      <c r="C2867" s="37">
        <f t="shared" si="94"/>
        <v>24.004999999999999</v>
      </c>
      <c r="D2867" s="37">
        <v>11.182</v>
      </c>
      <c r="E2867" s="33">
        <f t="shared" si="95"/>
        <v>4.1675349031049713E-4</v>
      </c>
    </row>
    <row r="2868" spans="1:5" x14ac:dyDescent="0.25">
      <c r="A2868" s="41">
        <v>43585</v>
      </c>
      <c r="B2868" s="29">
        <v>144.09</v>
      </c>
      <c r="C2868" s="37">
        <f t="shared" si="94"/>
        <v>24.015000000000001</v>
      </c>
      <c r="D2868" s="37">
        <v>11.182</v>
      </c>
      <c r="E2868" s="33">
        <f t="shared" si="95"/>
        <v>4.1657987919185082E-4</v>
      </c>
    </row>
    <row r="2869" spans="1:5" x14ac:dyDescent="0.25">
      <c r="A2869" s="41">
        <v>43585</v>
      </c>
      <c r="B2869" s="29">
        <v>144.09</v>
      </c>
      <c r="C2869" s="37">
        <f t="shared" si="94"/>
        <v>24.015000000000001</v>
      </c>
      <c r="D2869" s="37">
        <v>11.182</v>
      </c>
      <c r="E2869" s="33">
        <f t="shared" si="95"/>
        <v>0</v>
      </c>
    </row>
    <row r="2870" spans="1:5" x14ac:dyDescent="0.25">
      <c r="A2870" s="41">
        <v>43585</v>
      </c>
      <c r="B2870" s="29">
        <v>144.09</v>
      </c>
      <c r="C2870" s="37">
        <f t="shared" si="94"/>
        <v>24.015000000000001</v>
      </c>
      <c r="D2870" s="37">
        <v>11.182</v>
      </c>
      <c r="E2870" s="33">
        <f t="shared" si="95"/>
        <v>0</v>
      </c>
    </row>
    <row r="2871" spans="1:5" x14ac:dyDescent="0.25">
      <c r="A2871" s="41">
        <v>43585</v>
      </c>
      <c r="B2871" s="29">
        <v>144.09</v>
      </c>
      <c r="C2871" s="37">
        <f t="shared" si="94"/>
        <v>24.015000000000001</v>
      </c>
      <c r="D2871" s="37">
        <v>11.182</v>
      </c>
      <c r="E2871" s="33">
        <f t="shared" si="95"/>
        <v>0</v>
      </c>
    </row>
    <row r="2872" spans="1:5" x14ac:dyDescent="0.25">
      <c r="A2872" s="41">
        <v>43585</v>
      </c>
      <c r="B2872" s="29">
        <v>144.13</v>
      </c>
      <c r="C2872" s="37">
        <f t="shared" si="94"/>
        <v>24.021666666666668</v>
      </c>
      <c r="D2872" s="37">
        <v>11.182</v>
      </c>
      <c r="E2872" s="33">
        <f t="shared" si="95"/>
        <v>2.776042751057814E-4</v>
      </c>
    </row>
    <row r="2873" spans="1:5" x14ac:dyDescent="0.25">
      <c r="A2873" s="41">
        <v>43585</v>
      </c>
      <c r="B2873" s="29">
        <v>144.1</v>
      </c>
      <c r="C2873" s="37">
        <f t="shared" si="94"/>
        <v>24.016666666666666</v>
      </c>
      <c r="D2873" s="37">
        <v>11.182</v>
      </c>
      <c r="E2873" s="33">
        <f t="shared" si="95"/>
        <v>-2.0814542426976436E-4</v>
      </c>
    </row>
    <row r="2874" spans="1:5" x14ac:dyDescent="0.25">
      <c r="A2874" s="41">
        <v>43585</v>
      </c>
      <c r="B2874" s="29">
        <v>144.08000000000001</v>
      </c>
      <c r="C2874" s="37">
        <f t="shared" si="94"/>
        <v>24.013333333333335</v>
      </c>
      <c r="D2874" s="37">
        <v>11.182</v>
      </c>
      <c r="E2874" s="33">
        <f t="shared" si="95"/>
        <v>-1.3879250520459273E-4</v>
      </c>
    </row>
    <row r="2875" spans="1:5" x14ac:dyDescent="0.25">
      <c r="A2875" s="41">
        <v>43585</v>
      </c>
      <c r="B2875" s="29">
        <v>144.9</v>
      </c>
      <c r="C2875" s="37">
        <f t="shared" si="94"/>
        <v>24.15</v>
      </c>
      <c r="D2875" s="37">
        <v>11.182</v>
      </c>
      <c r="E2875" s="33">
        <f t="shared" si="95"/>
        <v>5.6912826207661934E-3</v>
      </c>
    </row>
    <row r="2876" spans="1:5" x14ac:dyDescent="0.25">
      <c r="A2876" s="41">
        <v>43585</v>
      </c>
      <c r="B2876" s="29">
        <v>146.6</v>
      </c>
      <c r="C2876" s="37">
        <f t="shared" si="94"/>
        <v>24.433333333333334</v>
      </c>
      <c r="D2876" s="37">
        <v>11.182</v>
      </c>
      <c r="E2876" s="33">
        <f t="shared" si="95"/>
        <v>1.1732229123533392E-2</v>
      </c>
    </row>
    <row r="2877" spans="1:5" x14ac:dyDescent="0.25">
      <c r="A2877" s="41">
        <v>43585</v>
      </c>
      <c r="B2877" s="29">
        <v>145.57</v>
      </c>
      <c r="C2877" s="37">
        <f t="shared" si="94"/>
        <v>24.261666666666667</v>
      </c>
      <c r="D2877" s="37">
        <v>11.182</v>
      </c>
      <c r="E2877" s="33">
        <f t="shared" si="95"/>
        <v>-7.0259208731241552E-3</v>
      </c>
    </row>
    <row r="2878" spans="1:5" x14ac:dyDescent="0.25">
      <c r="A2878" s="41">
        <v>43585</v>
      </c>
      <c r="B2878" s="29">
        <v>144.80000000000001</v>
      </c>
      <c r="C2878" s="37">
        <f t="shared" si="94"/>
        <v>24.133333333333336</v>
      </c>
      <c r="D2878" s="37">
        <v>11.182</v>
      </c>
      <c r="E2878" s="33">
        <f t="shared" si="95"/>
        <v>-5.2895514185613921E-3</v>
      </c>
    </row>
    <row r="2879" spans="1:5" x14ac:dyDescent="0.25">
      <c r="A2879" s="41">
        <v>43585</v>
      </c>
      <c r="B2879" s="29">
        <v>144.77000000000001</v>
      </c>
      <c r="C2879" s="37">
        <f t="shared" si="94"/>
        <v>24.128333333333337</v>
      </c>
      <c r="D2879" s="37">
        <v>11.182</v>
      </c>
      <c r="E2879" s="33">
        <f t="shared" si="95"/>
        <v>-2.0718232044199679E-4</v>
      </c>
    </row>
    <row r="2880" spans="1:5" x14ac:dyDescent="0.25">
      <c r="A2880" s="41">
        <v>43585</v>
      </c>
      <c r="B2880" s="29">
        <v>143.9</v>
      </c>
      <c r="C2880" s="37">
        <f t="shared" si="94"/>
        <v>23.983333333333334</v>
      </c>
      <c r="D2880" s="37">
        <v>11.182</v>
      </c>
      <c r="E2880" s="33">
        <f t="shared" si="95"/>
        <v>-6.009532361677174E-3</v>
      </c>
    </row>
    <row r="2881" spans="1:5" x14ac:dyDescent="0.25">
      <c r="A2881" s="41">
        <v>43585</v>
      </c>
      <c r="B2881" s="29">
        <v>143.28</v>
      </c>
      <c r="C2881" s="37">
        <f t="shared" si="94"/>
        <v>23.88</v>
      </c>
      <c r="D2881" s="37">
        <v>11.182</v>
      </c>
      <c r="E2881" s="33">
        <f t="shared" si="95"/>
        <v>-4.3085476025017683E-3</v>
      </c>
    </row>
    <row r="2882" spans="1:5" x14ac:dyDescent="0.25">
      <c r="A2882" s="41">
        <v>43586</v>
      </c>
      <c r="B2882" s="29">
        <v>146.47999999999999</v>
      </c>
      <c r="C2882" s="37">
        <f t="shared" si="94"/>
        <v>24.41333333333333</v>
      </c>
      <c r="D2882" s="37">
        <v>10.045</v>
      </c>
      <c r="E2882" s="33">
        <f t="shared" si="95"/>
        <v>2.2333891680625269E-2</v>
      </c>
    </row>
    <row r="2883" spans="1:5" x14ac:dyDescent="0.25">
      <c r="A2883" s="41">
        <v>43586</v>
      </c>
      <c r="B2883" s="29">
        <v>146.4</v>
      </c>
      <c r="C2883" s="37">
        <f t="shared" ref="C2883:C2946" si="96">(B2883*100/600)</f>
        <v>24.4</v>
      </c>
      <c r="D2883" s="37">
        <v>10.045</v>
      </c>
      <c r="E2883" s="33">
        <f t="shared" si="95"/>
        <v>-5.4614964500262217E-4</v>
      </c>
    </row>
    <row r="2884" spans="1:5" x14ac:dyDescent="0.25">
      <c r="A2884" s="41">
        <v>43586</v>
      </c>
      <c r="B2884" s="29">
        <v>146.37</v>
      </c>
      <c r="C2884" s="37">
        <f t="shared" si="96"/>
        <v>24.395</v>
      </c>
      <c r="D2884" s="37">
        <v>10.045</v>
      </c>
      <c r="E2884" s="33">
        <f t="shared" ref="E2884:E2947" si="97">(B2884-B2883)/B2883</f>
        <v>-2.04918032786893E-4</v>
      </c>
    </row>
    <row r="2885" spans="1:5" x14ac:dyDescent="0.25">
      <c r="A2885" s="41">
        <v>43586</v>
      </c>
      <c r="B2885" s="29">
        <v>146.22999999999999</v>
      </c>
      <c r="C2885" s="37">
        <f t="shared" si="96"/>
        <v>24.371666666666663</v>
      </c>
      <c r="D2885" s="37">
        <v>10.045</v>
      </c>
      <c r="E2885" s="33">
        <f t="shared" si="97"/>
        <v>-9.5648015303692548E-4</v>
      </c>
    </row>
    <row r="2886" spans="1:5" x14ac:dyDescent="0.25">
      <c r="A2886" s="41">
        <v>43586</v>
      </c>
      <c r="B2886" s="29">
        <v>146.22999999999999</v>
      </c>
      <c r="C2886" s="37">
        <f t="shared" si="96"/>
        <v>24.371666666666663</v>
      </c>
      <c r="D2886" s="37">
        <v>10.045</v>
      </c>
      <c r="E2886" s="33">
        <f t="shared" si="97"/>
        <v>0</v>
      </c>
    </row>
    <row r="2887" spans="1:5" x14ac:dyDescent="0.25">
      <c r="A2887" s="41">
        <v>43586</v>
      </c>
      <c r="B2887" s="29">
        <v>146.05000000000001</v>
      </c>
      <c r="C2887" s="37">
        <f t="shared" si="96"/>
        <v>24.341666666666669</v>
      </c>
      <c r="D2887" s="37">
        <v>10.045</v>
      </c>
      <c r="E2887" s="33">
        <f t="shared" si="97"/>
        <v>-1.2309375641111839E-3</v>
      </c>
    </row>
    <row r="2888" spans="1:5" x14ac:dyDescent="0.25">
      <c r="A2888" s="41">
        <v>43586</v>
      </c>
      <c r="B2888" s="29">
        <v>145.69999999999999</v>
      </c>
      <c r="C2888" s="37">
        <f t="shared" si="96"/>
        <v>24.283333333333331</v>
      </c>
      <c r="D2888" s="37">
        <v>10.045</v>
      </c>
      <c r="E2888" s="33">
        <f t="shared" si="97"/>
        <v>-2.3964395754880021E-3</v>
      </c>
    </row>
    <row r="2889" spans="1:5" x14ac:dyDescent="0.25">
      <c r="A2889" s="41">
        <v>43586</v>
      </c>
      <c r="B2889" s="29">
        <v>145.32</v>
      </c>
      <c r="C2889" s="37">
        <f t="shared" si="96"/>
        <v>24.22</v>
      </c>
      <c r="D2889" s="37">
        <v>10.045</v>
      </c>
      <c r="E2889" s="33">
        <f t="shared" si="97"/>
        <v>-2.6080988332189119E-3</v>
      </c>
    </row>
    <row r="2890" spans="1:5" x14ac:dyDescent="0.25">
      <c r="A2890" s="41">
        <v>43586</v>
      </c>
      <c r="B2890" s="29">
        <v>146.22999999999999</v>
      </c>
      <c r="C2890" s="37">
        <f t="shared" si="96"/>
        <v>24.371666666666663</v>
      </c>
      <c r="D2890" s="37">
        <v>10.045</v>
      </c>
      <c r="E2890" s="33">
        <f t="shared" si="97"/>
        <v>6.2620423892099965E-3</v>
      </c>
    </row>
    <row r="2891" spans="1:5" x14ac:dyDescent="0.25">
      <c r="A2891" s="41">
        <v>43586</v>
      </c>
      <c r="B2891" s="29">
        <v>146.58000000000001</v>
      </c>
      <c r="C2891" s="37">
        <f t="shared" si="96"/>
        <v>24.430000000000003</v>
      </c>
      <c r="D2891" s="37">
        <v>10.045</v>
      </c>
      <c r="E2891" s="33">
        <f t="shared" si="97"/>
        <v>2.3934897079944113E-3</v>
      </c>
    </row>
    <row r="2892" spans="1:5" x14ac:dyDescent="0.25">
      <c r="A2892" s="41">
        <v>43586</v>
      </c>
      <c r="B2892" s="29">
        <v>146.63999999999999</v>
      </c>
      <c r="C2892" s="37">
        <f t="shared" si="96"/>
        <v>24.439999999999998</v>
      </c>
      <c r="D2892" s="37">
        <v>10.045</v>
      </c>
      <c r="E2892" s="33">
        <f t="shared" si="97"/>
        <v>4.0933278755610485E-4</v>
      </c>
    </row>
    <row r="2893" spans="1:5" x14ac:dyDescent="0.25">
      <c r="A2893" s="41">
        <v>43586</v>
      </c>
      <c r="B2893" s="29">
        <v>146.69999999999999</v>
      </c>
      <c r="C2893" s="37">
        <f t="shared" si="96"/>
        <v>24.449999999999996</v>
      </c>
      <c r="D2893" s="37">
        <v>10.045</v>
      </c>
      <c r="E2893" s="33">
        <f t="shared" si="97"/>
        <v>4.0916530278233958E-4</v>
      </c>
    </row>
    <row r="2894" spans="1:5" x14ac:dyDescent="0.25">
      <c r="A2894" s="41">
        <v>43586</v>
      </c>
      <c r="B2894" s="29">
        <v>146.76</v>
      </c>
      <c r="C2894" s="37">
        <f t="shared" si="96"/>
        <v>24.46</v>
      </c>
      <c r="D2894" s="37">
        <v>10.045</v>
      </c>
      <c r="E2894" s="33">
        <f t="shared" si="97"/>
        <v>4.0899795501024046E-4</v>
      </c>
    </row>
    <row r="2895" spans="1:5" x14ac:dyDescent="0.25">
      <c r="A2895" s="41">
        <v>43586</v>
      </c>
      <c r="B2895" s="29">
        <v>146.82</v>
      </c>
      <c r="C2895" s="37">
        <f t="shared" si="96"/>
        <v>24.47</v>
      </c>
      <c r="D2895" s="37">
        <v>10.045</v>
      </c>
      <c r="E2895" s="33">
        <f t="shared" si="97"/>
        <v>4.0883074407196973E-4</v>
      </c>
    </row>
    <row r="2896" spans="1:5" x14ac:dyDescent="0.25">
      <c r="A2896" s="41">
        <v>43586</v>
      </c>
      <c r="B2896" s="29">
        <v>146.88</v>
      </c>
      <c r="C2896" s="37">
        <f t="shared" si="96"/>
        <v>24.48</v>
      </c>
      <c r="D2896" s="37">
        <v>10.045</v>
      </c>
      <c r="E2896" s="33">
        <f t="shared" si="97"/>
        <v>4.0866366979977031E-4</v>
      </c>
    </row>
    <row r="2897" spans="1:5" x14ac:dyDescent="0.25">
      <c r="A2897" s="41">
        <v>43586</v>
      </c>
      <c r="B2897" s="29">
        <v>146.94</v>
      </c>
      <c r="C2897" s="37">
        <f t="shared" si="96"/>
        <v>24.49</v>
      </c>
      <c r="D2897" s="37">
        <v>10.045</v>
      </c>
      <c r="E2897" s="33">
        <f t="shared" si="97"/>
        <v>4.0849673202615931E-4</v>
      </c>
    </row>
    <row r="2898" spans="1:5" x14ac:dyDescent="0.25">
      <c r="A2898" s="41">
        <v>43586</v>
      </c>
      <c r="B2898" s="29">
        <v>147</v>
      </c>
      <c r="C2898" s="37">
        <f t="shared" si="96"/>
        <v>24.5</v>
      </c>
      <c r="D2898" s="37">
        <v>10.045</v>
      </c>
      <c r="E2898" s="33">
        <f t="shared" si="97"/>
        <v>4.0832993058392727E-4</v>
      </c>
    </row>
    <row r="2899" spans="1:5" x14ac:dyDescent="0.25">
      <c r="A2899" s="41">
        <v>43586</v>
      </c>
      <c r="B2899" s="29">
        <v>147.06</v>
      </c>
      <c r="C2899" s="37">
        <f t="shared" si="96"/>
        <v>24.51</v>
      </c>
      <c r="D2899" s="37">
        <v>10.045</v>
      </c>
      <c r="E2899" s="33">
        <f t="shared" si="97"/>
        <v>4.0816326530613791E-4</v>
      </c>
    </row>
    <row r="2900" spans="1:5" x14ac:dyDescent="0.25">
      <c r="A2900" s="41">
        <v>43586</v>
      </c>
      <c r="B2900" s="29">
        <v>147.87</v>
      </c>
      <c r="C2900" s="37">
        <f t="shared" si="96"/>
        <v>24.645</v>
      </c>
      <c r="D2900" s="37">
        <v>10.045</v>
      </c>
      <c r="E2900" s="33">
        <f t="shared" si="97"/>
        <v>5.5079559363525243E-3</v>
      </c>
    </row>
    <row r="2901" spans="1:5" x14ac:dyDescent="0.25">
      <c r="A2901" s="41">
        <v>43586</v>
      </c>
      <c r="B2901" s="29">
        <v>147.54</v>
      </c>
      <c r="C2901" s="37">
        <f t="shared" si="96"/>
        <v>24.59</v>
      </c>
      <c r="D2901" s="37">
        <v>10.045</v>
      </c>
      <c r="E2901" s="33">
        <f t="shared" si="97"/>
        <v>-2.2316899979712753E-3</v>
      </c>
    </row>
    <row r="2902" spans="1:5" x14ac:dyDescent="0.25">
      <c r="A2902" s="41">
        <v>43586</v>
      </c>
      <c r="B2902" s="29">
        <v>147.25</v>
      </c>
      <c r="C2902" s="37">
        <f t="shared" si="96"/>
        <v>24.541666666666668</v>
      </c>
      <c r="D2902" s="37">
        <v>10.045</v>
      </c>
      <c r="E2902" s="33">
        <f t="shared" si="97"/>
        <v>-1.9655686593465639E-3</v>
      </c>
    </row>
    <row r="2903" spans="1:5" x14ac:dyDescent="0.25">
      <c r="A2903" s="41">
        <v>43586</v>
      </c>
      <c r="B2903" s="29">
        <v>147.31</v>
      </c>
      <c r="C2903" s="37">
        <f t="shared" si="96"/>
        <v>24.551666666666666</v>
      </c>
      <c r="D2903" s="37">
        <v>10.045</v>
      </c>
      <c r="E2903" s="33">
        <f t="shared" si="97"/>
        <v>4.074702886248032E-4</v>
      </c>
    </row>
    <row r="2904" spans="1:5" x14ac:dyDescent="0.25">
      <c r="A2904" s="41">
        <v>43586</v>
      </c>
      <c r="B2904" s="29">
        <v>147.30000000000001</v>
      </c>
      <c r="C2904" s="37">
        <f t="shared" si="96"/>
        <v>24.550000000000004</v>
      </c>
      <c r="D2904" s="37">
        <v>10.045</v>
      </c>
      <c r="E2904" s="33">
        <f t="shared" si="97"/>
        <v>-6.7884054035645278E-5</v>
      </c>
    </row>
    <row r="2905" spans="1:5" x14ac:dyDescent="0.25">
      <c r="A2905" s="41">
        <v>43586</v>
      </c>
      <c r="B2905" s="29">
        <v>146.85</v>
      </c>
      <c r="C2905" s="37">
        <f t="shared" si="96"/>
        <v>24.475000000000001</v>
      </c>
      <c r="D2905" s="37">
        <v>10.045</v>
      </c>
      <c r="E2905" s="33">
        <f t="shared" si="97"/>
        <v>-3.0549898167007267E-3</v>
      </c>
    </row>
    <row r="2906" spans="1:5" x14ac:dyDescent="0.25">
      <c r="A2906" s="41">
        <v>43587</v>
      </c>
      <c r="B2906" s="29">
        <v>133.86000000000001</v>
      </c>
      <c r="C2906" s="37">
        <f t="shared" si="96"/>
        <v>22.310000000000002</v>
      </c>
      <c r="D2906" s="37">
        <v>9.2870000000000008</v>
      </c>
      <c r="E2906" s="33">
        <f t="shared" si="97"/>
        <v>-8.8457609805924278E-2</v>
      </c>
    </row>
    <row r="2907" spans="1:5" x14ac:dyDescent="0.25">
      <c r="A2907" s="41">
        <v>43587</v>
      </c>
      <c r="B2907" s="29">
        <v>127.63</v>
      </c>
      <c r="C2907" s="37">
        <f t="shared" si="96"/>
        <v>21.271666666666668</v>
      </c>
      <c r="D2907" s="37">
        <v>9.2870000000000008</v>
      </c>
      <c r="E2907" s="33">
        <f t="shared" si="97"/>
        <v>-4.654116240848661E-2</v>
      </c>
    </row>
    <row r="2908" spans="1:5" x14ac:dyDescent="0.25">
      <c r="A2908" s="41">
        <v>43587</v>
      </c>
      <c r="B2908" s="29">
        <v>120.11</v>
      </c>
      <c r="C2908" s="37">
        <f t="shared" si="96"/>
        <v>20.018333333333334</v>
      </c>
      <c r="D2908" s="37">
        <v>9.2870000000000008</v>
      </c>
      <c r="E2908" s="33">
        <f t="shared" si="97"/>
        <v>-5.8920316539998401E-2</v>
      </c>
    </row>
    <row r="2909" spans="1:5" x14ac:dyDescent="0.25">
      <c r="A2909" s="41">
        <v>43587</v>
      </c>
      <c r="B2909" s="29">
        <v>119.15</v>
      </c>
      <c r="C2909" s="37">
        <f t="shared" si="96"/>
        <v>19.858333333333334</v>
      </c>
      <c r="D2909" s="37">
        <v>9.2870000000000008</v>
      </c>
      <c r="E2909" s="33">
        <f t="shared" si="97"/>
        <v>-7.9926733827324434E-3</v>
      </c>
    </row>
    <row r="2910" spans="1:5" x14ac:dyDescent="0.25">
      <c r="A2910" s="41">
        <v>43587</v>
      </c>
      <c r="B2910" s="29">
        <v>119.43</v>
      </c>
      <c r="C2910" s="37">
        <f t="shared" si="96"/>
        <v>19.905000000000001</v>
      </c>
      <c r="D2910" s="37">
        <v>9.2870000000000008</v>
      </c>
      <c r="E2910" s="33">
        <f t="shared" si="97"/>
        <v>2.3499790180444911E-3</v>
      </c>
    </row>
    <row r="2911" spans="1:5" x14ac:dyDescent="0.25">
      <c r="A2911" s="41">
        <v>43587</v>
      </c>
      <c r="B2911" s="29">
        <v>134.21</v>
      </c>
      <c r="C2911" s="37">
        <f t="shared" si="96"/>
        <v>22.368333333333332</v>
      </c>
      <c r="D2911" s="37">
        <v>9.2870000000000008</v>
      </c>
      <c r="E2911" s="33">
        <f t="shared" si="97"/>
        <v>0.12375450054425187</v>
      </c>
    </row>
    <row r="2912" spans="1:5" x14ac:dyDescent="0.25">
      <c r="A2912" s="41">
        <v>43587</v>
      </c>
      <c r="B2912" s="29">
        <v>138.81</v>
      </c>
      <c r="C2912" s="37">
        <f t="shared" si="96"/>
        <v>23.135000000000002</v>
      </c>
      <c r="D2912" s="37">
        <v>9.2870000000000008</v>
      </c>
      <c r="E2912" s="33">
        <f t="shared" si="97"/>
        <v>3.4274644214290995E-2</v>
      </c>
    </row>
    <row r="2913" spans="1:5" x14ac:dyDescent="0.25">
      <c r="A2913" s="41">
        <v>43587</v>
      </c>
      <c r="B2913" s="29">
        <v>141.56</v>
      </c>
      <c r="C2913" s="37">
        <f t="shared" si="96"/>
        <v>23.593333333333334</v>
      </c>
      <c r="D2913" s="37">
        <v>9.2870000000000008</v>
      </c>
      <c r="E2913" s="33">
        <f t="shared" si="97"/>
        <v>1.9811252791585621E-2</v>
      </c>
    </row>
    <row r="2914" spans="1:5" x14ac:dyDescent="0.25">
      <c r="A2914" s="41">
        <v>43587</v>
      </c>
      <c r="B2914" s="29">
        <v>143.28</v>
      </c>
      <c r="C2914" s="37">
        <f t="shared" si="96"/>
        <v>23.88</v>
      </c>
      <c r="D2914" s="37">
        <v>9.2870000000000008</v>
      </c>
      <c r="E2914" s="33">
        <f t="shared" si="97"/>
        <v>1.2150324950550994E-2</v>
      </c>
    </row>
    <row r="2915" spans="1:5" x14ac:dyDescent="0.25">
      <c r="A2915" s="41">
        <v>43587</v>
      </c>
      <c r="B2915" s="29">
        <v>143.80000000000001</v>
      </c>
      <c r="C2915" s="37">
        <f t="shared" si="96"/>
        <v>23.966666666666669</v>
      </c>
      <c r="D2915" s="37">
        <v>9.2870000000000008</v>
      </c>
      <c r="E2915" s="33">
        <f t="shared" si="97"/>
        <v>3.6292573981016904E-3</v>
      </c>
    </row>
    <row r="2916" spans="1:5" x14ac:dyDescent="0.25">
      <c r="A2916" s="41">
        <v>43587</v>
      </c>
      <c r="B2916" s="29">
        <v>144.27000000000001</v>
      </c>
      <c r="C2916" s="37">
        <f t="shared" si="96"/>
        <v>24.045000000000002</v>
      </c>
      <c r="D2916" s="37">
        <v>9.2870000000000008</v>
      </c>
      <c r="E2916" s="33">
        <f t="shared" si="97"/>
        <v>3.2684283727399083E-3</v>
      </c>
    </row>
    <row r="2917" spans="1:5" x14ac:dyDescent="0.25">
      <c r="A2917" s="41">
        <v>43587</v>
      </c>
      <c r="B2917" s="29">
        <v>144.25</v>
      </c>
      <c r="C2917" s="37">
        <f t="shared" si="96"/>
        <v>24.041666666666668</v>
      </c>
      <c r="D2917" s="37">
        <v>9.2870000000000008</v>
      </c>
      <c r="E2917" s="33">
        <f t="shared" si="97"/>
        <v>-1.386289595897292E-4</v>
      </c>
    </row>
    <row r="2918" spans="1:5" x14ac:dyDescent="0.25">
      <c r="A2918" s="41">
        <v>43587</v>
      </c>
      <c r="B2918" s="29">
        <v>144.19999999999999</v>
      </c>
      <c r="C2918" s="37">
        <f t="shared" si="96"/>
        <v>24.033333333333331</v>
      </c>
      <c r="D2918" s="37">
        <v>9.2870000000000008</v>
      </c>
      <c r="E2918" s="33">
        <f t="shared" si="97"/>
        <v>-3.4662045060666462E-4</v>
      </c>
    </row>
    <row r="2919" spans="1:5" x14ac:dyDescent="0.25">
      <c r="A2919" s="41">
        <v>43587</v>
      </c>
      <c r="B2919" s="29">
        <v>144.19999999999999</v>
      </c>
      <c r="C2919" s="37">
        <f t="shared" si="96"/>
        <v>24.033333333333331</v>
      </c>
      <c r="D2919" s="37">
        <v>9.2870000000000008</v>
      </c>
      <c r="E2919" s="33">
        <f t="shared" si="97"/>
        <v>0</v>
      </c>
    </row>
    <row r="2920" spans="1:5" x14ac:dyDescent="0.25">
      <c r="A2920" s="41">
        <v>43587</v>
      </c>
      <c r="B2920" s="29">
        <v>144.19999999999999</v>
      </c>
      <c r="C2920" s="37">
        <f t="shared" si="96"/>
        <v>24.033333333333331</v>
      </c>
      <c r="D2920" s="37">
        <v>9.2870000000000008</v>
      </c>
      <c r="E2920" s="33">
        <f t="shared" si="97"/>
        <v>0</v>
      </c>
    </row>
    <row r="2921" spans="1:5" x14ac:dyDescent="0.25">
      <c r="A2921" s="41">
        <v>43587</v>
      </c>
      <c r="B2921" s="29">
        <v>144.26</v>
      </c>
      <c r="C2921" s="37">
        <f t="shared" si="96"/>
        <v>24.043333333333333</v>
      </c>
      <c r="D2921" s="37">
        <v>9.2870000000000008</v>
      </c>
      <c r="E2921" s="33">
        <f t="shared" si="97"/>
        <v>4.1608876560334451E-4</v>
      </c>
    </row>
    <row r="2922" spans="1:5" x14ac:dyDescent="0.25">
      <c r="A2922" s="41">
        <v>43587</v>
      </c>
      <c r="B2922" s="29">
        <v>144.13</v>
      </c>
      <c r="C2922" s="37">
        <f t="shared" si="96"/>
        <v>24.021666666666668</v>
      </c>
      <c r="D2922" s="37">
        <v>9.2870000000000008</v>
      </c>
      <c r="E2922" s="33">
        <f t="shared" si="97"/>
        <v>-9.011507001247432E-4</v>
      </c>
    </row>
    <row r="2923" spans="1:5" x14ac:dyDescent="0.25">
      <c r="A2923" s="41">
        <v>43587</v>
      </c>
      <c r="B2923" s="29">
        <v>144.12</v>
      </c>
      <c r="C2923" s="37">
        <f t="shared" si="96"/>
        <v>24.02</v>
      </c>
      <c r="D2923" s="37">
        <v>9.2870000000000008</v>
      </c>
      <c r="E2923" s="33">
        <f t="shared" si="97"/>
        <v>-6.9381808089855724E-5</v>
      </c>
    </row>
    <row r="2924" spans="1:5" x14ac:dyDescent="0.25">
      <c r="A2924" s="41">
        <v>43587</v>
      </c>
      <c r="B2924" s="29">
        <v>144.47</v>
      </c>
      <c r="C2924" s="37">
        <f t="shared" si="96"/>
        <v>24.078333333333333</v>
      </c>
      <c r="D2924" s="37">
        <v>9.2870000000000008</v>
      </c>
      <c r="E2924" s="33">
        <f t="shared" si="97"/>
        <v>2.4285317790729553E-3</v>
      </c>
    </row>
    <row r="2925" spans="1:5" x14ac:dyDescent="0.25">
      <c r="A2925" s="41">
        <v>43587</v>
      </c>
      <c r="B2925" s="29">
        <v>144.31</v>
      </c>
      <c r="C2925" s="37">
        <f t="shared" si="96"/>
        <v>24.051666666666666</v>
      </c>
      <c r="D2925" s="37">
        <v>9.2870000000000008</v>
      </c>
      <c r="E2925" s="33">
        <f t="shared" si="97"/>
        <v>-1.1074963660275255E-3</v>
      </c>
    </row>
    <row r="2926" spans="1:5" x14ac:dyDescent="0.25">
      <c r="A2926" s="41">
        <v>43587</v>
      </c>
      <c r="B2926" s="29">
        <v>144.05000000000001</v>
      </c>
      <c r="C2926" s="37">
        <f t="shared" si="96"/>
        <v>24.008333333333336</v>
      </c>
      <c r="D2926" s="37">
        <v>9.2870000000000008</v>
      </c>
      <c r="E2926" s="33">
        <f t="shared" si="97"/>
        <v>-1.8016769454645618E-3</v>
      </c>
    </row>
    <row r="2927" spans="1:5" x14ac:dyDescent="0.25">
      <c r="A2927" s="41">
        <v>43587</v>
      </c>
      <c r="B2927" s="29">
        <v>144</v>
      </c>
      <c r="C2927" s="37">
        <f t="shared" si="96"/>
        <v>24</v>
      </c>
      <c r="D2927" s="37">
        <v>9.2870000000000008</v>
      </c>
      <c r="E2927" s="33">
        <f t="shared" si="97"/>
        <v>-3.4710170079841279E-4</v>
      </c>
    </row>
    <row r="2928" spans="1:5" x14ac:dyDescent="0.25">
      <c r="A2928" s="41">
        <v>43587</v>
      </c>
      <c r="B2928" s="29">
        <v>143.58000000000001</v>
      </c>
      <c r="C2928" s="37">
        <f t="shared" si="96"/>
        <v>23.930000000000003</v>
      </c>
      <c r="D2928" s="37">
        <v>9.2870000000000008</v>
      </c>
      <c r="E2928" s="33">
        <f t="shared" si="97"/>
        <v>-2.9166666666665796E-3</v>
      </c>
    </row>
    <row r="2929" spans="1:5" x14ac:dyDescent="0.25">
      <c r="A2929" s="41">
        <v>43587</v>
      </c>
      <c r="B2929" s="29">
        <v>142.51</v>
      </c>
      <c r="C2929" s="37">
        <f t="shared" si="96"/>
        <v>23.751666666666665</v>
      </c>
      <c r="D2929" s="37">
        <v>9.2870000000000008</v>
      </c>
      <c r="E2929" s="33">
        <f t="shared" si="97"/>
        <v>-7.4522914054883796E-3</v>
      </c>
    </row>
    <row r="2930" spans="1:5" x14ac:dyDescent="0.25">
      <c r="A2930" s="41">
        <v>43588</v>
      </c>
      <c r="B2930" s="29">
        <v>139.32</v>
      </c>
      <c r="C2930" s="37">
        <f t="shared" si="96"/>
        <v>23.22</v>
      </c>
      <c r="D2930" s="37">
        <v>8.83</v>
      </c>
      <c r="E2930" s="33">
        <f t="shared" si="97"/>
        <v>-2.2384394077608574E-2</v>
      </c>
    </row>
    <row r="2931" spans="1:5" x14ac:dyDescent="0.25">
      <c r="A2931" s="41">
        <v>43588</v>
      </c>
      <c r="B2931" s="29">
        <v>137.65</v>
      </c>
      <c r="C2931" s="37">
        <f t="shared" si="96"/>
        <v>22.941666666666666</v>
      </c>
      <c r="D2931" s="37">
        <v>8.83</v>
      </c>
      <c r="E2931" s="33">
        <f t="shared" si="97"/>
        <v>-1.1986792994544844E-2</v>
      </c>
    </row>
    <row r="2932" spans="1:5" x14ac:dyDescent="0.25">
      <c r="A2932" s="41">
        <v>43588</v>
      </c>
      <c r="B2932" s="29">
        <v>135.03</v>
      </c>
      <c r="C2932" s="37">
        <f t="shared" si="96"/>
        <v>22.504999999999999</v>
      </c>
      <c r="D2932" s="37">
        <v>8.83</v>
      </c>
      <c r="E2932" s="33">
        <f t="shared" si="97"/>
        <v>-1.9033781329458804E-2</v>
      </c>
    </row>
    <row r="2933" spans="1:5" x14ac:dyDescent="0.25">
      <c r="A2933" s="41">
        <v>43588</v>
      </c>
      <c r="B2933" s="29">
        <v>134.11000000000001</v>
      </c>
      <c r="C2933" s="37">
        <f t="shared" si="96"/>
        <v>22.35166666666667</v>
      </c>
      <c r="D2933" s="37">
        <v>8.83</v>
      </c>
      <c r="E2933" s="33">
        <f t="shared" si="97"/>
        <v>-6.8133007479818375E-3</v>
      </c>
    </row>
    <row r="2934" spans="1:5" x14ac:dyDescent="0.25">
      <c r="A2934" s="41">
        <v>43588</v>
      </c>
      <c r="B2934" s="29">
        <v>134.43</v>
      </c>
      <c r="C2934" s="37">
        <f t="shared" si="96"/>
        <v>22.405000000000001</v>
      </c>
      <c r="D2934" s="37">
        <v>8.83</v>
      </c>
      <c r="E2934" s="33">
        <f t="shared" si="97"/>
        <v>2.3861009618968993E-3</v>
      </c>
    </row>
    <row r="2935" spans="1:5" x14ac:dyDescent="0.25">
      <c r="A2935" s="41">
        <v>43588</v>
      </c>
      <c r="B2935" s="29">
        <v>138.51</v>
      </c>
      <c r="C2935" s="37">
        <f t="shared" si="96"/>
        <v>23.085000000000001</v>
      </c>
      <c r="D2935" s="37">
        <v>8.83</v>
      </c>
      <c r="E2935" s="33">
        <f t="shared" si="97"/>
        <v>3.0350368221379036E-2</v>
      </c>
    </row>
    <row r="2936" spans="1:5" x14ac:dyDescent="0.25">
      <c r="A2936" s="41">
        <v>43588</v>
      </c>
      <c r="B2936" s="29">
        <v>140.30000000000001</v>
      </c>
      <c r="C2936" s="37">
        <f t="shared" si="96"/>
        <v>23.383333333333336</v>
      </c>
      <c r="D2936" s="37">
        <v>8.83</v>
      </c>
      <c r="E2936" s="33">
        <f t="shared" si="97"/>
        <v>1.2923254638654397E-2</v>
      </c>
    </row>
    <row r="2937" spans="1:5" x14ac:dyDescent="0.25">
      <c r="A2937" s="41">
        <v>43588</v>
      </c>
      <c r="B2937" s="29">
        <v>141.99</v>
      </c>
      <c r="C2937" s="37">
        <f t="shared" si="96"/>
        <v>23.664999999999999</v>
      </c>
      <c r="D2937" s="37">
        <v>8.83</v>
      </c>
      <c r="E2937" s="33">
        <f t="shared" si="97"/>
        <v>1.2045616535994281E-2</v>
      </c>
    </row>
    <row r="2938" spans="1:5" x14ac:dyDescent="0.25">
      <c r="A2938" s="41">
        <v>43588</v>
      </c>
      <c r="B2938" s="29">
        <v>143.74</v>
      </c>
      <c r="C2938" s="37">
        <f t="shared" si="96"/>
        <v>23.956666666666667</v>
      </c>
      <c r="D2938" s="37">
        <v>8.83</v>
      </c>
      <c r="E2938" s="33">
        <f t="shared" si="97"/>
        <v>1.2324811606451158E-2</v>
      </c>
    </row>
    <row r="2939" spans="1:5" x14ac:dyDescent="0.25">
      <c r="A2939" s="41">
        <v>43588</v>
      </c>
      <c r="B2939" s="29">
        <v>143.76</v>
      </c>
      <c r="C2939" s="37">
        <f t="shared" si="96"/>
        <v>23.96</v>
      </c>
      <c r="D2939" s="37">
        <v>8.83</v>
      </c>
      <c r="E2939" s="33">
        <f t="shared" si="97"/>
        <v>1.39140114094767E-4</v>
      </c>
    </row>
    <row r="2940" spans="1:5" x14ac:dyDescent="0.25">
      <c r="A2940" s="41">
        <v>43588</v>
      </c>
      <c r="B2940" s="29">
        <v>144.05000000000001</v>
      </c>
      <c r="C2940" s="37">
        <f t="shared" si="96"/>
        <v>24.008333333333336</v>
      </c>
      <c r="D2940" s="37">
        <v>8.83</v>
      </c>
      <c r="E2940" s="33">
        <f t="shared" si="97"/>
        <v>2.01725097384544E-3</v>
      </c>
    </row>
    <row r="2941" spans="1:5" x14ac:dyDescent="0.25">
      <c r="A2941" s="41">
        <v>43588</v>
      </c>
      <c r="B2941" s="29">
        <v>144.09</v>
      </c>
      <c r="C2941" s="37">
        <f t="shared" si="96"/>
        <v>24.015000000000001</v>
      </c>
      <c r="D2941" s="37">
        <v>8.83</v>
      </c>
      <c r="E2941" s="33">
        <f t="shared" si="97"/>
        <v>2.7768136063861186E-4</v>
      </c>
    </row>
    <row r="2942" spans="1:5" x14ac:dyDescent="0.25">
      <c r="A2942" s="41">
        <v>43588</v>
      </c>
      <c r="B2942" s="29">
        <v>143.81</v>
      </c>
      <c r="C2942" s="37">
        <f t="shared" si="96"/>
        <v>23.968333333333334</v>
      </c>
      <c r="D2942" s="37">
        <v>8.83</v>
      </c>
      <c r="E2942" s="33">
        <f t="shared" si="97"/>
        <v>-1.9432299257408643E-3</v>
      </c>
    </row>
    <row r="2943" spans="1:5" x14ac:dyDescent="0.25">
      <c r="A2943" s="41">
        <v>43588</v>
      </c>
      <c r="B2943" s="29">
        <v>144.09</v>
      </c>
      <c r="C2943" s="37">
        <f t="shared" si="96"/>
        <v>24.015000000000001</v>
      </c>
      <c r="D2943" s="37">
        <v>8.83</v>
      </c>
      <c r="E2943" s="33">
        <f t="shared" si="97"/>
        <v>1.9470134204853705E-3</v>
      </c>
    </row>
    <row r="2944" spans="1:5" x14ac:dyDescent="0.25">
      <c r="A2944" s="41">
        <v>43588</v>
      </c>
      <c r="B2944" s="29">
        <v>145.03</v>
      </c>
      <c r="C2944" s="37">
        <f t="shared" si="96"/>
        <v>24.171666666666667</v>
      </c>
      <c r="D2944" s="37">
        <v>8.83</v>
      </c>
      <c r="E2944" s="33">
        <f t="shared" si="97"/>
        <v>6.5237004649871446E-3</v>
      </c>
    </row>
    <row r="2945" spans="1:5" x14ac:dyDescent="0.25">
      <c r="A2945" s="41">
        <v>43588</v>
      </c>
      <c r="B2945" s="29">
        <v>144.94</v>
      </c>
      <c r="C2945" s="37">
        <f t="shared" si="96"/>
        <v>24.156666666666666</v>
      </c>
      <c r="D2945" s="37">
        <v>8.83</v>
      </c>
      <c r="E2945" s="33">
        <f t="shared" si="97"/>
        <v>-6.2056126318695037E-4</v>
      </c>
    </row>
    <row r="2946" spans="1:5" x14ac:dyDescent="0.25">
      <c r="A2946" s="41">
        <v>43588</v>
      </c>
      <c r="B2946" s="29">
        <v>144.18</v>
      </c>
      <c r="C2946" s="37">
        <f t="shared" si="96"/>
        <v>24.03</v>
      </c>
      <c r="D2946" s="37">
        <v>8.83</v>
      </c>
      <c r="E2946" s="33">
        <f t="shared" si="97"/>
        <v>-5.2435490547812266E-3</v>
      </c>
    </row>
    <row r="2947" spans="1:5" x14ac:dyDescent="0.25">
      <c r="A2947" s="41">
        <v>43588</v>
      </c>
      <c r="B2947" s="29">
        <v>143.71</v>
      </c>
      <c r="C2947" s="37">
        <f t="shared" ref="C2947:C3010" si="98">(B2947*100/600)</f>
        <v>23.951666666666668</v>
      </c>
      <c r="D2947" s="37">
        <v>8.83</v>
      </c>
      <c r="E2947" s="33">
        <f t="shared" si="97"/>
        <v>-3.2598141212373342E-3</v>
      </c>
    </row>
    <row r="2948" spans="1:5" x14ac:dyDescent="0.25">
      <c r="A2948" s="41">
        <v>43588</v>
      </c>
      <c r="B2948" s="29">
        <v>144.94</v>
      </c>
      <c r="C2948" s="37">
        <f t="shared" si="98"/>
        <v>24.156666666666666</v>
      </c>
      <c r="D2948" s="37">
        <v>8.83</v>
      </c>
      <c r="E2948" s="33">
        <f t="shared" ref="E2948:E3011" si="99">(B2948-B2947)/B2947</f>
        <v>8.5589033470182298E-3</v>
      </c>
    </row>
    <row r="2949" spans="1:5" x14ac:dyDescent="0.25">
      <c r="A2949" s="41">
        <v>43588</v>
      </c>
      <c r="B2949" s="29">
        <v>143.91</v>
      </c>
      <c r="C2949" s="37">
        <f t="shared" si="98"/>
        <v>23.984999999999999</v>
      </c>
      <c r="D2949" s="37">
        <v>8.83</v>
      </c>
      <c r="E2949" s="33">
        <f t="shared" si="99"/>
        <v>-7.1063888505588603E-3</v>
      </c>
    </row>
    <row r="2950" spans="1:5" x14ac:dyDescent="0.25">
      <c r="A2950" s="41">
        <v>43588</v>
      </c>
      <c r="B2950" s="29">
        <v>143.72</v>
      </c>
      <c r="C2950" s="37">
        <f t="shared" si="98"/>
        <v>23.953333333333333</v>
      </c>
      <c r="D2950" s="37">
        <v>8.83</v>
      </c>
      <c r="E2950" s="33">
        <f t="shared" si="99"/>
        <v>-1.320269612952524E-3</v>
      </c>
    </row>
    <row r="2951" spans="1:5" x14ac:dyDescent="0.25">
      <c r="A2951" s="41">
        <v>43588</v>
      </c>
      <c r="B2951" s="29">
        <v>143.68</v>
      </c>
      <c r="C2951" s="37">
        <f t="shared" si="98"/>
        <v>23.946666666666665</v>
      </c>
      <c r="D2951" s="37">
        <v>8.83</v>
      </c>
      <c r="E2951" s="33">
        <f t="shared" si="99"/>
        <v>-2.7831895352067941E-4</v>
      </c>
    </row>
    <row r="2952" spans="1:5" x14ac:dyDescent="0.25">
      <c r="A2952" s="41">
        <v>43588</v>
      </c>
      <c r="B2952" s="29">
        <v>143.43</v>
      </c>
      <c r="C2952" s="37">
        <f t="shared" si="98"/>
        <v>23.905000000000001</v>
      </c>
      <c r="D2952" s="37">
        <v>8.83</v>
      </c>
      <c r="E2952" s="33">
        <f t="shared" si="99"/>
        <v>-1.7399777282850778E-3</v>
      </c>
    </row>
    <row r="2953" spans="1:5" x14ac:dyDescent="0.25">
      <c r="A2953" s="41">
        <v>43588</v>
      </c>
      <c r="B2953" s="29">
        <v>142.43</v>
      </c>
      <c r="C2953" s="37">
        <f t="shared" si="98"/>
        <v>23.738333333333333</v>
      </c>
      <c r="D2953" s="37">
        <v>8.83</v>
      </c>
      <c r="E2953" s="33">
        <f t="shared" si="99"/>
        <v>-6.9720421111343512E-3</v>
      </c>
    </row>
    <row r="2954" spans="1:5" x14ac:dyDescent="0.25">
      <c r="A2954" s="41">
        <v>43589</v>
      </c>
      <c r="B2954" s="29">
        <v>172.91</v>
      </c>
      <c r="C2954" s="37">
        <f t="shared" si="98"/>
        <v>28.818333333333332</v>
      </c>
      <c r="D2954" s="37">
        <v>8.8569999999999993</v>
      </c>
      <c r="E2954" s="33">
        <f t="shared" si="99"/>
        <v>0.21399985958014456</v>
      </c>
    </row>
    <row r="2955" spans="1:5" x14ac:dyDescent="0.25">
      <c r="A2955" s="41">
        <v>43589</v>
      </c>
      <c r="B2955" s="29">
        <v>171.12</v>
      </c>
      <c r="C2955" s="37">
        <f t="shared" si="98"/>
        <v>28.52</v>
      </c>
      <c r="D2955" s="37">
        <v>8.8569999999999993</v>
      </c>
      <c r="E2955" s="33">
        <f t="shared" si="99"/>
        <v>-1.0352206350124297E-2</v>
      </c>
    </row>
    <row r="2956" spans="1:5" x14ac:dyDescent="0.25">
      <c r="A2956" s="41">
        <v>43589</v>
      </c>
      <c r="B2956" s="29">
        <v>170.33</v>
      </c>
      <c r="C2956" s="37">
        <f t="shared" si="98"/>
        <v>28.388333333333332</v>
      </c>
      <c r="D2956" s="37">
        <v>8.8569999999999993</v>
      </c>
      <c r="E2956" s="33">
        <f t="shared" si="99"/>
        <v>-4.6166432912575503E-3</v>
      </c>
    </row>
    <row r="2957" spans="1:5" x14ac:dyDescent="0.25">
      <c r="A2957" s="41">
        <v>43589</v>
      </c>
      <c r="B2957" s="29">
        <v>170.3</v>
      </c>
      <c r="C2957" s="37">
        <f t="shared" si="98"/>
        <v>28.383333333333333</v>
      </c>
      <c r="D2957" s="37">
        <v>8.8569999999999993</v>
      </c>
      <c r="E2957" s="33">
        <f t="shared" si="99"/>
        <v>-1.7612869136382982E-4</v>
      </c>
    </row>
    <row r="2958" spans="1:5" x14ac:dyDescent="0.25">
      <c r="A2958" s="41">
        <v>43589</v>
      </c>
      <c r="B2958" s="29">
        <v>170.27</v>
      </c>
      <c r="C2958" s="37">
        <f t="shared" si="98"/>
        <v>28.378333333333334</v>
      </c>
      <c r="D2958" s="37">
        <v>8.8569999999999993</v>
      </c>
      <c r="E2958" s="33">
        <f t="shared" si="99"/>
        <v>-1.7615971814445764E-4</v>
      </c>
    </row>
    <row r="2959" spans="1:5" x14ac:dyDescent="0.25">
      <c r="A2959" s="41">
        <v>43589</v>
      </c>
      <c r="B2959" s="29">
        <v>170.24</v>
      </c>
      <c r="C2959" s="37">
        <f t="shared" si="98"/>
        <v>28.373333333333335</v>
      </c>
      <c r="D2959" s="37">
        <v>8.8569999999999993</v>
      </c>
      <c r="E2959" s="33">
        <f t="shared" si="99"/>
        <v>-1.761907558583493E-4</v>
      </c>
    </row>
    <row r="2960" spans="1:5" x14ac:dyDescent="0.25">
      <c r="A2960" s="41">
        <v>43589</v>
      </c>
      <c r="B2960" s="29">
        <v>170.21</v>
      </c>
      <c r="C2960" s="37">
        <f t="shared" si="98"/>
        <v>28.368333333333332</v>
      </c>
      <c r="D2960" s="37">
        <v>8.8569999999999993</v>
      </c>
      <c r="E2960" s="33">
        <f t="shared" si="99"/>
        <v>-1.7622180451128485E-4</v>
      </c>
    </row>
    <row r="2961" spans="1:5" x14ac:dyDescent="0.25">
      <c r="A2961" s="41">
        <v>43589</v>
      </c>
      <c r="B2961" s="29">
        <v>170.85</v>
      </c>
      <c r="C2961" s="37">
        <f t="shared" si="98"/>
        <v>28.475000000000001</v>
      </c>
      <c r="D2961" s="37">
        <v>8.8569999999999993</v>
      </c>
      <c r="E2961" s="33">
        <f t="shared" si="99"/>
        <v>3.7600611009928108E-3</v>
      </c>
    </row>
    <row r="2962" spans="1:5" x14ac:dyDescent="0.25">
      <c r="A2962" s="41">
        <v>43589</v>
      </c>
      <c r="B2962" s="29">
        <v>173.07</v>
      </c>
      <c r="C2962" s="37">
        <f t="shared" si="98"/>
        <v>28.844999999999999</v>
      </c>
      <c r="D2962" s="37">
        <v>8.8569999999999993</v>
      </c>
      <c r="E2962" s="33">
        <f t="shared" si="99"/>
        <v>1.2993854258121152E-2</v>
      </c>
    </row>
    <row r="2963" spans="1:5" x14ac:dyDescent="0.25">
      <c r="A2963" s="41">
        <v>43589</v>
      </c>
      <c r="B2963" s="29">
        <v>174.32</v>
      </c>
      <c r="C2963" s="37">
        <f t="shared" si="98"/>
        <v>29.053333333333335</v>
      </c>
      <c r="D2963" s="37">
        <v>8.8569999999999993</v>
      </c>
      <c r="E2963" s="33">
        <f t="shared" si="99"/>
        <v>7.2225111226671291E-3</v>
      </c>
    </row>
    <row r="2964" spans="1:5" x14ac:dyDescent="0.25">
      <c r="A2964" s="41">
        <v>43589</v>
      </c>
      <c r="B2964" s="29">
        <v>174.41</v>
      </c>
      <c r="C2964" s="37">
        <f t="shared" si="98"/>
        <v>29.068333333333332</v>
      </c>
      <c r="D2964" s="37">
        <v>8.8569999999999993</v>
      </c>
      <c r="E2964" s="33">
        <f t="shared" si="99"/>
        <v>5.1629187700782129E-4</v>
      </c>
    </row>
    <row r="2965" spans="1:5" x14ac:dyDescent="0.25">
      <c r="A2965" s="41">
        <v>43589</v>
      </c>
      <c r="B2965" s="29">
        <v>174.51</v>
      </c>
      <c r="C2965" s="37">
        <f t="shared" si="98"/>
        <v>29.085000000000001</v>
      </c>
      <c r="D2965" s="37">
        <v>8.8569999999999993</v>
      </c>
      <c r="E2965" s="33">
        <f t="shared" si="99"/>
        <v>5.7336161917317995E-4</v>
      </c>
    </row>
    <row r="2966" spans="1:5" x14ac:dyDescent="0.25">
      <c r="A2966" s="41">
        <v>43589</v>
      </c>
      <c r="B2966" s="29">
        <v>174.36</v>
      </c>
      <c r="C2966" s="37">
        <f t="shared" si="98"/>
        <v>29.06</v>
      </c>
      <c r="D2966" s="37">
        <v>8.8569999999999993</v>
      </c>
      <c r="E2966" s="33">
        <f t="shared" si="99"/>
        <v>-8.5954959601155958E-4</v>
      </c>
    </row>
    <row r="2967" spans="1:5" x14ac:dyDescent="0.25">
      <c r="A2967" s="41">
        <v>43589</v>
      </c>
      <c r="B2967" s="29">
        <v>174.34</v>
      </c>
      <c r="C2967" s="37">
        <f t="shared" si="98"/>
        <v>29.056666666666668</v>
      </c>
      <c r="D2967" s="37">
        <v>8.8569999999999993</v>
      </c>
      <c r="E2967" s="33">
        <f t="shared" si="99"/>
        <v>-1.1470520761648446E-4</v>
      </c>
    </row>
    <row r="2968" spans="1:5" x14ac:dyDescent="0.25">
      <c r="A2968" s="41">
        <v>43589</v>
      </c>
      <c r="B2968" s="29">
        <v>174.36</v>
      </c>
      <c r="C2968" s="37">
        <f t="shared" si="98"/>
        <v>29.06</v>
      </c>
      <c r="D2968" s="37">
        <v>8.8569999999999993</v>
      </c>
      <c r="E2968" s="33">
        <f t="shared" si="99"/>
        <v>1.1471836641052101E-4</v>
      </c>
    </row>
    <row r="2969" spans="1:5" x14ac:dyDescent="0.25">
      <c r="A2969" s="41">
        <v>43589</v>
      </c>
      <c r="B2969" s="29">
        <v>174.36</v>
      </c>
      <c r="C2969" s="37">
        <f t="shared" si="98"/>
        <v>29.06</v>
      </c>
      <c r="D2969" s="37">
        <v>8.8569999999999993</v>
      </c>
      <c r="E2969" s="33">
        <f t="shared" si="99"/>
        <v>0</v>
      </c>
    </row>
    <row r="2970" spans="1:5" x14ac:dyDescent="0.25">
      <c r="A2970" s="41">
        <v>43589</v>
      </c>
      <c r="B2970" s="29">
        <v>174.36</v>
      </c>
      <c r="C2970" s="37">
        <f t="shared" si="98"/>
        <v>29.06</v>
      </c>
      <c r="D2970" s="37">
        <v>8.8569999999999993</v>
      </c>
      <c r="E2970" s="33">
        <f t="shared" si="99"/>
        <v>0</v>
      </c>
    </row>
    <row r="2971" spans="1:5" x14ac:dyDescent="0.25">
      <c r="A2971" s="41">
        <v>43589</v>
      </c>
      <c r="B2971" s="29">
        <v>173.53</v>
      </c>
      <c r="C2971" s="37">
        <f t="shared" si="98"/>
        <v>28.921666666666667</v>
      </c>
      <c r="D2971" s="37">
        <v>8.8569999999999993</v>
      </c>
      <c r="E2971" s="33">
        <f t="shared" si="99"/>
        <v>-4.7602661160817414E-3</v>
      </c>
    </row>
    <row r="2972" spans="1:5" x14ac:dyDescent="0.25">
      <c r="A2972" s="41">
        <v>43589</v>
      </c>
      <c r="B2972" s="29">
        <v>174.98</v>
      </c>
      <c r="C2972" s="37">
        <f t="shared" si="98"/>
        <v>29.163333333333334</v>
      </c>
      <c r="D2972" s="37">
        <v>8.8569999999999993</v>
      </c>
      <c r="E2972" s="33">
        <f t="shared" si="99"/>
        <v>8.3559038782918729E-3</v>
      </c>
    </row>
    <row r="2973" spans="1:5" x14ac:dyDescent="0.25">
      <c r="A2973" s="41">
        <v>43589</v>
      </c>
      <c r="B2973" s="29">
        <v>174.98</v>
      </c>
      <c r="C2973" s="37">
        <f t="shared" si="98"/>
        <v>29.163333333333334</v>
      </c>
      <c r="D2973" s="37">
        <v>8.8569999999999993</v>
      </c>
      <c r="E2973" s="33">
        <f t="shared" si="99"/>
        <v>0</v>
      </c>
    </row>
    <row r="2974" spans="1:5" x14ac:dyDescent="0.25">
      <c r="A2974" s="41">
        <v>43589</v>
      </c>
      <c r="B2974" s="29">
        <v>174.36</v>
      </c>
      <c r="C2974" s="37">
        <f t="shared" si="98"/>
        <v>29.06</v>
      </c>
      <c r="D2974" s="37">
        <v>8.8569999999999993</v>
      </c>
      <c r="E2974" s="33">
        <f t="shared" si="99"/>
        <v>-3.5432620870955319E-3</v>
      </c>
    </row>
    <row r="2975" spans="1:5" x14ac:dyDescent="0.25">
      <c r="A2975" s="41">
        <v>43589</v>
      </c>
      <c r="B2975" s="29">
        <v>172.7</v>
      </c>
      <c r="C2975" s="37">
        <f t="shared" si="98"/>
        <v>28.783333333333335</v>
      </c>
      <c r="D2975" s="37">
        <v>8.8569999999999993</v>
      </c>
      <c r="E2975" s="33">
        <f t="shared" si="99"/>
        <v>-9.5205322321634828E-3</v>
      </c>
    </row>
    <row r="2976" spans="1:5" x14ac:dyDescent="0.25">
      <c r="A2976" s="41">
        <v>43589</v>
      </c>
      <c r="B2976" s="29">
        <v>173.06</v>
      </c>
      <c r="C2976" s="37">
        <f t="shared" si="98"/>
        <v>28.843333333333334</v>
      </c>
      <c r="D2976" s="37">
        <v>8.8569999999999993</v>
      </c>
      <c r="E2976" s="33">
        <f t="shared" si="99"/>
        <v>2.0845396641575777E-3</v>
      </c>
    </row>
    <row r="2977" spans="1:5" x14ac:dyDescent="0.25">
      <c r="A2977" s="41">
        <v>43589</v>
      </c>
      <c r="B2977" s="29">
        <v>172.15</v>
      </c>
      <c r="C2977" s="37">
        <f t="shared" si="98"/>
        <v>28.691666666666666</v>
      </c>
      <c r="D2977" s="37">
        <v>8.8569999999999993</v>
      </c>
      <c r="E2977" s="33">
        <f t="shared" si="99"/>
        <v>-5.2582919218767859E-3</v>
      </c>
    </row>
    <row r="2978" spans="1:5" x14ac:dyDescent="0.25">
      <c r="A2978" s="41">
        <v>43590</v>
      </c>
      <c r="B2978" s="29">
        <v>42.35</v>
      </c>
      <c r="C2978" s="37">
        <f t="shared" si="98"/>
        <v>7.0583333333333336</v>
      </c>
      <c r="D2978" s="37">
        <v>9.0760000000000005</v>
      </c>
      <c r="E2978" s="33">
        <f t="shared" si="99"/>
        <v>-0.7539936102236422</v>
      </c>
    </row>
    <row r="2979" spans="1:5" x14ac:dyDescent="0.25">
      <c r="A2979" s="41">
        <v>43590</v>
      </c>
      <c r="B2979" s="29">
        <v>42.35</v>
      </c>
      <c r="C2979" s="37">
        <f t="shared" si="98"/>
        <v>7.0583333333333336</v>
      </c>
      <c r="D2979" s="37">
        <v>9.0760000000000005</v>
      </c>
      <c r="E2979" s="33">
        <f t="shared" si="99"/>
        <v>0</v>
      </c>
    </row>
    <row r="2980" spans="1:5" x14ac:dyDescent="0.25">
      <c r="A2980" s="41">
        <v>43590</v>
      </c>
      <c r="B2980" s="29">
        <v>42.35</v>
      </c>
      <c r="C2980" s="37">
        <f t="shared" si="98"/>
        <v>7.0583333333333336</v>
      </c>
      <c r="D2980" s="37">
        <v>9.0760000000000005</v>
      </c>
      <c r="E2980" s="33">
        <f t="shared" si="99"/>
        <v>0</v>
      </c>
    </row>
    <row r="2981" spans="1:5" x14ac:dyDescent="0.25">
      <c r="A2981" s="41">
        <v>43590</v>
      </c>
      <c r="B2981" s="29">
        <v>42.35</v>
      </c>
      <c r="C2981" s="37">
        <f t="shared" si="98"/>
        <v>7.0583333333333336</v>
      </c>
      <c r="D2981" s="37">
        <v>9.0760000000000005</v>
      </c>
      <c r="E2981" s="33">
        <f t="shared" si="99"/>
        <v>0</v>
      </c>
    </row>
    <row r="2982" spans="1:5" x14ac:dyDescent="0.25">
      <c r="A2982" s="41">
        <v>43590</v>
      </c>
      <c r="B2982" s="29">
        <v>42.35</v>
      </c>
      <c r="C2982" s="37">
        <f t="shared" si="98"/>
        <v>7.0583333333333336</v>
      </c>
      <c r="D2982" s="37">
        <v>9.0760000000000005</v>
      </c>
      <c r="E2982" s="33">
        <f t="shared" si="99"/>
        <v>0</v>
      </c>
    </row>
    <row r="2983" spans="1:5" x14ac:dyDescent="0.25">
      <c r="A2983" s="41">
        <v>43590</v>
      </c>
      <c r="B2983" s="29">
        <v>42.35</v>
      </c>
      <c r="C2983" s="37">
        <f t="shared" si="98"/>
        <v>7.0583333333333336</v>
      </c>
      <c r="D2983" s="37">
        <v>9.0760000000000005</v>
      </c>
      <c r="E2983" s="33">
        <f t="shared" si="99"/>
        <v>0</v>
      </c>
    </row>
    <row r="2984" spans="1:5" x14ac:dyDescent="0.25">
      <c r="A2984" s="41">
        <v>43590</v>
      </c>
      <c r="B2984" s="29">
        <v>42.35</v>
      </c>
      <c r="C2984" s="37">
        <f t="shared" si="98"/>
        <v>7.0583333333333336</v>
      </c>
      <c r="D2984" s="37">
        <v>9.0760000000000005</v>
      </c>
      <c r="E2984" s="33">
        <f t="shared" si="99"/>
        <v>0</v>
      </c>
    </row>
    <row r="2985" spans="1:5" x14ac:dyDescent="0.25">
      <c r="A2985" s="41">
        <v>43590</v>
      </c>
      <c r="B2985" s="29">
        <v>42.35</v>
      </c>
      <c r="C2985" s="37">
        <f t="shared" si="98"/>
        <v>7.0583333333333336</v>
      </c>
      <c r="D2985" s="37">
        <v>9.0760000000000005</v>
      </c>
      <c r="E2985" s="33">
        <f t="shared" si="99"/>
        <v>0</v>
      </c>
    </row>
    <row r="2986" spans="1:5" x14ac:dyDescent="0.25">
      <c r="A2986" s="41">
        <v>43590</v>
      </c>
      <c r="B2986" s="29">
        <v>42.35</v>
      </c>
      <c r="C2986" s="37">
        <f t="shared" si="98"/>
        <v>7.0583333333333336</v>
      </c>
      <c r="D2986" s="37">
        <v>9.0760000000000005</v>
      </c>
      <c r="E2986" s="33">
        <f t="shared" si="99"/>
        <v>0</v>
      </c>
    </row>
    <row r="2987" spans="1:5" x14ac:dyDescent="0.25">
      <c r="A2987" s="41">
        <v>43590</v>
      </c>
      <c r="B2987" s="29">
        <v>42.35</v>
      </c>
      <c r="C2987" s="37">
        <f t="shared" si="98"/>
        <v>7.0583333333333336</v>
      </c>
      <c r="D2987" s="37">
        <v>9.0760000000000005</v>
      </c>
      <c r="E2987" s="33">
        <f t="shared" si="99"/>
        <v>0</v>
      </c>
    </row>
    <row r="2988" spans="1:5" x14ac:dyDescent="0.25">
      <c r="A2988" s="41">
        <v>43590</v>
      </c>
      <c r="B2988" s="29">
        <v>70.489999999999995</v>
      </c>
      <c r="C2988" s="37">
        <f t="shared" si="98"/>
        <v>11.748333333333331</v>
      </c>
      <c r="D2988" s="37">
        <v>9.0760000000000005</v>
      </c>
      <c r="E2988" s="33">
        <f t="shared" si="99"/>
        <v>0.66446280991735518</v>
      </c>
    </row>
    <row r="2989" spans="1:5" x14ac:dyDescent="0.25">
      <c r="A2989" s="41">
        <v>43590</v>
      </c>
      <c r="B2989" s="29">
        <v>148.77000000000001</v>
      </c>
      <c r="C2989" s="37">
        <f t="shared" si="98"/>
        <v>24.795000000000002</v>
      </c>
      <c r="D2989" s="37">
        <v>9.0760000000000005</v>
      </c>
      <c r="E2989" s="33">
        <f t="shared" si="99"/>
        <v>1.1105121293800542</v>
      </c>
    </row>
    <row r="2990" spans="1:5" x14ac:dyDescent="0.25">
      <c r="A2990" s="41">
        <v>43590</v>
      </c>
      <c r="B2990" s="29">
        <v>148.81</v>
      </c>
      <c r="C2990" s="37">
        <f t="shared" si="98"/>
        <v>24.801666666666666</v>
      </c>
      <c r="D2990" s="37">
        <v>9.0760000000000005</v>
      </c>
      <c r="E2990" s="33">
        <f t="shared" si="99"/>
        <v>2.688714122470393E-4</v>
      </c>
    </row>
    <row r="2991" spans="1:5" x14ac:dyDescent="0.25">
      <c r="A2991" s="41">
        <v>43590</v>
      </c>
      <c r="B2991" s="29">
        <v>148.81</v>
      </c>
      <c r="C2991" s="37">
        <f t="shared" si="98"/>
        <v>24.801666666666666</v>
      </c>
      <c r="D2991" s="37">
        <v>9.0760000000000005</v>
      </c>
      <c r="E2991" s="33">
        <f t="shared" si="99"/>
        <v>0</v>
      </c>
    </row>
    <row r="2992" spans="1:5" x14ac:dyDescent="0.25">
      <c r="A2992" s="41">
        <v>43590</v>
      </c>
      <c r="B2992" s="29">
        <v>149.37</v>
      </c>
      <c r="C2992" s="37">
        <f t="shared" si="98"/>
        <v>24.895</v>
      </c>
      <c r="D2992" s="37">
        <v>9.0760000000000005</v>
      </c>
      <c r="E2992" s="33">
        <f t="shared" si="99"/>
        <v>3.7631879577985504E-3</v>
      </c>
    </row>
    <row r="2993" spans="1:5" x14ac:dyDescent="0.25">
      <c r="A2993" s="41">
        <v>43590</v>
      </c>
      <c r="B2993" s="29">
        <v>157.27000000000001</v>
      </c>
      <c r="C2993" s="37">
        <f t="shared" si="98"/>
        <v>26.21166666666667</v>
      </c>
      <c r="D2993" s="37">
        <v>9.0760000000000005</v>
      </c>
      <c r="E2993" s="33">
        <f t="shared" si="99"/>
        <v>5.2888799625092089E-2</v>
      </c>
    </row>
    <row r="2994" spans="1:5" x14ac:dyDescent="0.25">
      <c r="A2994" s="41">
        <v>43590</v>
      </c>
      <c r="B2994" s="29">
        <v>161.88</v>
      </c>
      <c r="C2994" s="37">
        <f t="shared" si="98"/>
        <v>26.98</v>
      </c>
      <c r="D2994" s="37">
        <v>9.0760000000000005</v>
      </c>
      <c r="E2994" s="33">
        <f t="shared" si="99"/>
        <v>2.9312647040121986E-2</v>
      </c>
    </row>
    <row r="2995" spans="1:5" x14ac:dyDescent="0.25">
      <c r="A2995" s="41">
        <v>43590</v>
      </c>
      <c r="B2995" s="29">
        <v>163.1</v>
      </c>
      <c r="C2995" s="37">
        <f t="shared" si="98"/>
        <v>27.183333333333334</v>
      </c>
      <c r="D2995" s="37">
        <v>9.0760000000000005</v>
      </c>
      <c r="E2995" s="33">
        <f t="shared" si="99"/>
        <v>7.5364467506795086E-3</v>
      </c>
    </row>
    <row r="2996" spans="1:5" x14ac:dyDescent="0.25">
      <c r="A2996" s="41">
        <v>43590</v>
      </c>
      <c r="B2996" s="29">
        <v>166.92</v>
      </c>
      <c r="C2996" s="37">
        <f t="shared" si="98"/>
        <v>27.82</v>
      </c>
      <c r="D2996" s="37">
        <v>9.0760000000000005</v>
      </c>
      <c r="E2996" s="33">
        <f t="shared" si="99"/>
        <v>2.3421213979153852E-2</v>
      </c>
    </row>
    <row r="2997" spans="1:5" x14ac:dyDescent="0.25">
      <c r="A2997" s="41">
        <v>43590</v>
      </c>
      <c r="B2997" s="29">
        <v>167.01</v>
      </c>
      <c r="C2997" s="37">
        <f t="shared" si="98"/>
        <v>27.835000000000001</v>
      </c>
      <c r="D2997" s="37">
        <v>9.0760000000000005</v>
      </c>
      <c r="E2997" s="33">
        <f t="shared" si="99"/>
        <v>5.3918044572252226E-4</v>
      </c>
    </row>
    <row r="2998" spans="1:5" x14ac:dyDescent="0.25">
      <c r="A2998" s="41">
        <v>43590</v>
      </c>
      <c r="B2998" s="29">
        <v>166.44</v>
      </c>
      <c r="C2998" s="37">
        <f t="shared" si="98"/>
        <v>27.74</v>
      </c>
      <c r="D2998" s="37">
        <v>9.0760000000000005</v>
      </c>
      <c r="E2998" s="33">
        <f t="shared" si="99"/>
        <v>-3.4129692832764098E-3</v>
      </c>
    </row>
    <row r="2999" spans="1:5" x14ac:dyDescent="0.25">
      <c r="A2999" s="41">
        <v>43590</v>
      </c>
      <c r="B2999" s="29">
        <v>163.86</v>
      </c>
      <c r="C2999" s="37">
        <f t="shared" si="98"/>
        <v>27.31</v>
      </c>
      <c r="D2999" s="37">
        <v>9.0760000000000005</v>
      </c>
      <c r="E2999" s="33">
        <f t="shared" si="99"/>
        <v>-1.5501081470800192E-2</v>
      </c>
    </row>
    <row r="3000" spans="1:5" x14ac:dyDescent="0.25">
      <c r="A3000" s="41">
        <v>43590</v>
      </c>
      <c r="B3000" s="29">
        <v>163.47</v>
      </c>
      <c r="C3000" s="37">
        <f t="shared" si="98"/>
        <v>27.245000000000001</v>
      </c>
      <c r="D3000" s="37">
        <v>9.0760000000000005</v>
      </c>
      <c r="E3000" s="33">
        <f t="shared" si="99"/>
        <v>-2.3800805565727741E-3</v>
      </c>
    </row>
    <row r="3001" spans="1:5" x14ac:dyDescent="0.25">
      <c r="A3001" s="41">
        <v>43590</v>
      </c>
      <c r="B3001" s="29">
        <v>162.91</v>
      </c>
      <c r="C3001" s="37">
        <f t="shared" si="98"/>
        <v>27.151666666666667</v>
      </c>
      <c r="D3001" s="37">
        <v>9.0760000000000005</v>
      </c>
      <c r="E3001" s="33">
        <f t="shared" si="99"/>
        <v>-3.4257050223282697E-3</v>
      </c>
    </row>
    <row r="3002" spans="1:5" x14ac:dyDescent="0.25">
      <c r="A3002" s="41">
        <v>43591</v>
      </c>
      <c r="B3002" s="29">
        <v>164.42</v>
      </c>
      <c r="C3002" s="37">
        <f t="shared" si="98"/>
        <v>27.403333333333332</v>
      </c>
      <c r="D3002" s="37">
        <v>9.4930000000000003</v>
      </c>
      <c r="E3002" s="33">
        <f t="shared" si="99"/>
        <v>9.2689214903934128E-3</v>
      </c>
    </row>
    <row r="3003" spans="1:5" x14ac:dyDescent="0.25">
      <c r="A3003" s="41">
        <v>43591</v>
      </c>
      <c r="B3003" s="29">
        <v>146.16999999999999</v>
      </c>
      <c r="C3003" s="37">
        <f t="shared" si="98"/>
        <v>24.361666666666665</v>
      </c>
      <c r="D3003" s="37">
        <v>9.4930000000000003</v>
      </c>
      <c r="E3003" s="33">
        <f t="shared" si="99"/>
        <v>-0.11099622916920084</v>
      </c>
    </row>
    <row r="3004" spans="1:5" x14ac:dyDescent="0.25">
      <c r="A3004" s="41">
        <v>43591</v>
      </c>
      <c r="B3004" s="29">
        <v>137.93</v>
      </c>
      <c r="C3004" s="37">
        <f t="shared" si="98"/>
        <v>22.988333333333333</v>
      </c>
      <c r="D3004" s="37">
        <v>9.4930000000000003</v>
      </c>
      <c r="E3004" s="33">
        <f t="shared" si="99"/>
        <v>-5.6372716699733059E-2</v>
      </c>
    </row>
    <row r="3005" spans="1:5" x14ac:dyDescent="0.25">
      <c r="A3005" s="41">
        <v>43591</v>
      </c>
      <c r="B3005" s="29">
        <v>144.38999999999999</v>
      </c>
      <c r="C3005" s="37">
        <f t="shared" si="98"/>
        <v>24.064999999999998</v>
      </c>
      <c r="D3005" s="37">
        <v>9.4930000000000003</v>
      </c>
      <c r="E3005" s="33">
        <f t="shared" si="99"/>
        <v>4.6835351265134335E-2</v>
      </c>
    </row>
    <row r="3006" spans="1:5" x14ac:dyDescent="0.25">
      <c r="A3006" s="41">
        <v>43591</v>
      </c>
      <c r="B3006" s="29">
        <v>145.43</v>
      </c>
      <c r="C3006" s="37">
        <f t="shared" si="98"/>
        <v>24.238333333333333</v>
      </c>
      <c r="D3006" s="37">
        <v>9.4930000000000003</v>
      </c>
      <c r="E3006" s="33">
        <f t="shared" si="99"/>
        <v>7.2027148694509355E-3</v>
      </c>
    </row>
    <row r="3007" spans="1:5" x14ac:dyDescent="0.25">
      <c r="A3007" s="41">
        <v>43591</v>
      </c>
      <c r="B3007" s="29">
        <v>164.42</v>
      </c>
      <c r="C3007" s="37">
        <f t="shared" si="98"/>
        <v>27.403333333333332</v>
      </c>
      <c r="D3007" s="37">
        <v>9.4930000000000003</v>
      </c>
      <c r="E3007" s="33">
        <f t="shared" si="99"/>
        <v>0.13057828508560806</v>
      </c>
    </row>
    <row r="3008" spans="1:5" x14ac:dyDescent="0.25">
      <c r="A3008" s="41">
        <v>43591</v>
      </c>
      <c r="B3008" s="29">
        <v>172.91</v>
      </c>
      <c r="C3008" s="37">
        <f t="shared" si="98"/>
        <v>28.818333333333332</v>
      </c>
      <c r="D3008" s="37">
        <v>9.4930000000000003</v>
      </c>
      <c r="E3008" s="33">
        <f t="shared" si="99"/>
        <v>5.163605400802828E-2</v>
      </c>
    </row>
    <row r="3009" spans="1:5" x14ac:dyDescent="0.25">
      <c r="A3009" s="41">
        <v>43591</v>
      </c>
      <c r="B3009" s="29">
        <v>174.49</v>
      </c>
      <c r="C3009" s="37">
        <f t="shared" si="98"/>
        <v>29.081666666666667</v>
      </c>
      <c r="D3009" s="37">
        <v>9.4930000000000003</v>
      </c>
      <c r="E3009" s="33">
        <f t="shared" si="99"/>
        <v>9.1377016945232356E-3</v>
      </c>
    </row>
    <row r="3010" spans="1:5" x14ac:dyDescent="0.25">
      <c r="A3010" s="41">
        <v>43591</v>
      </c>
      <c r="B3010" s="29">
        <v>178.01</v>
      </c>
      <c r="C3010" s="37">
        <f t="shared" si="98"/>
        <v>29.668333333333333</v>
      </c>
      <c r="D3010" s="37">
        <v>9.4930000000000003</v>
      </c>
      <c r="E3010" s="33">
        <f t="shared" si="99"/>
        <v>2.0173075820963848E-2</v>
      </c>
    </row>
    <row r="3011" spans="1:5" x14ac:dyDescent="0.25">
      <c r="A3011" s="41">
        <v>43591</v>
      </c>
      <c r="B3011" s="29">
        <v>179.03</v>
      </c>
      <c r="C3011" s="37">
        <f t="shared" ref="C3011:C3074" si="100">(B3011*100/600)</f>
        <v>29.838333333333335</v>
      </c>
      <c r="D3011" s="37">
        <v>9.4930000000000003</v>
      </c>
      <c r="E3011" s="33">
        <f t="shared" si="99"/>
        <v>5.7300151676872666E-3</v>
      </c>
    </row>
    <row r="3012" spans="1:5" x14ac:dyDescent="0.25">
      <c r="A3012" s="41">
        <v>43591</v>
      </c>
      <c r="B3012" s="29">
        <v>179.9</v>
      </c>
      <c r="C3012" s="37">
        <f t="shared" si="100"/>
        <v>29.983333333333334</v>
      </c>
      <c r="D3012" s="37">
        <v>9.4930000000000003</v>
      </c>
      <c r="E3012" s="33">
        <f t="shared" ref="E3012:E3075" si="101">(B3012-B3011)/B3011</f>
        <v>4.8595207507121964E-3</v>
      </c>
    </row>
    <row r="3013" spans="1:5" x14ac:dyDescent="0.25">
      <c r="A3013" s="41">
        <v>43591</v>
      </c>
      <c r="B3013" s="29">
        <v>180</v>
      </c>
      <c r="C3013" s="37">
        <f t="shared" si="100"/>
        <v>30</v>
      </c>
      <c r="D3013" s="37">
        <v>9.4930000000000003</v>
      </c>
      <c r="E3013" s="33">
        <f t="shared" si="101"/>
        <v>5.558643690939095E-4</v>
      </c>
    </row>
    <row r="3014" spans="1:5" x14ac:dyDescent="0.25">
      <c r="A3014" s="41">
        <v>43591</v>
      </c>
      <c r="B3014" s="29">
        <v>179.98</v>
      </c>
      <c r="C3014" s="37">
        <f t="shared" si="100"/>
        <v>29.996666666666666</v>
      </c>
      <c r="D3014" s="37">
        <v>9.4930000000000003</v>
      </c>
      <c r="E3014" s="33">
        <f t="shared" si="101"/>
        <v>-1.1111111111116796E-4</v>
      </c>
    </row>
    <row r="3015" spans="1:5" x14ac:dyDescent="0.25">
      <c r="A3015" s="41">
        <v>43591</v>
      </c>
      <c r="B3015" s="29">
        <v>180</v>
      </c>
      <c r="C3015" s="37">
        <f t="shared" si="100"/>
        <v>30</v>
      </c>
      <c r="D3015" s="37">
        <v>9.4930000000000003</v>
      </c>
      <c r="E3015" s="33">
        <f t="shared" si="101"/>
        <v>1.1112345816207486E-4</v>
      </c>
    </row>
    <row r="3016" spans="1:5" x14ac:dyDescent="0.25">
      <c r="A3016" s="41">
        <v>43591</v>
      </c>
      <c r="B3016" s="29">
        <v>180.88</v>
      </c>
      <c r="C3016" s="37">
        <f t="shared" si="100"/>
        <v>30.146666666666668</v>
      </c>
      <c r="D3016" s="37">
        <v>9.4930000000000003</v>
      </c>
      <c r="E3016" s="33">
        <f t="shared" si="101"/>
        <v>4.8888888888888636E-3</v>
      </c>
    </row>
    <row r="3017" spans="1:5" x14ac:dyDescent="0.25">
      <c r="A3017" s="41">
        <v>43591</v>
      </c>
      <c r="B3017" s="29">
        <v>181.1</v>
      </c>
      <c r="C3017" s="37">
        <f t="shared" si="100"/>
        <v>30.183333333333334</v>
      </c>
      <c r="D3017" s="37">
        <v>9.4930000000000003</v>
      </c>
      <c r="E3017" s="33">
        <f t="shared" si="101"/>
        <v>1.2162759840778354E-3</v>
      </c>
    </row>
    <row r="3018" spans="1:5" x14ac:dyDescent="0.25">
      <c r="A3018" s="41">
        <v>43591</v>
      </c>
      <c r="B3018" s="29">
        <v>180.81</v>
      </c>
      <c r="C3018" s="37">
        <f t="shared" si="100"/>
        <v>30.135000000000002</v>
      </c>
      <c r="D3018" s="37">
        <v>9.4930000000000003</v>
      </c>
      <c r="E3018" s="33">
        <f t="shared" si="101"/>
        <v>-1.6013252346769302E-3</v>
      </c>
    </row>
    <row r="3019" spans="1:5" x14ac:dyDescent="0.25">
      <c r="A3019" s="41">
        <v>43591</v>
      </c>
      <c r="B3019" s="29">
        <v>179.97</v>
      </c>
      <c r="C3019" s="37">
        <f t="shared" si="100"/>
        <v>29.995000000000001</v>
      </c>
      <c r="D3019" s="37">
        <v>9.4930000000000003</v>
      </c>
      <c r="E3019" s="33">
        <f t="shared" si="101"/>
        <v>-4.645760743321738E-3</v>
      </c>
    </row>
    <row r="3020" spans="1:5" x14ac:dyDescent="0.25">
      <c r="A3020" s="41">
        <v>43591</v>
      </c>
      <c r="B3020" s="29">
        <v>179.97</v>
      </c>
      <c r="C3020" s="37">
        <f t="shared" si="100"/>
        <v>29.995000000000001</v>
      </c>
      <c r="D3020" s="37">
        <v>9.4930000000000003</v>
      </c>
      <c r="E3020" s="33">
        <f t="shared" si="101"/>
        <v>0</v>
      </c>
    </row>
    <row r="3021" spans="1:5" x14ac:dyDescent="0.25">
      <c r="A3021" s="41">
        <v>43591</v>
      </c>
      <c r="B3021" s="29">
        <v>179.97</v>
      </c>
      <c r="C3021" s="37">
        <f t="shared" si="100"/>
        <v>29.995000000000001</v>
      </c>
      <c r="D3021" s="37">
        <v>9.4930000000000003</v>
      </c>
      <c r="E3021" s="33">
        <f t="shared" si="101"/>
        <v>0</v>
      </c>
    </row>
    <row r="3022" spans="1:5" x14ac:dyDescent="0.25">
      <c r="A3022" s="41">
        <v>43591</v>
      </c>
      <c r="B3022" s="29">
        <v>179.97</v>
      </c>
      <c r="C3022" s="37">
        <f t="shared" si="100"/>
        <v>29.995000000000001</v>
      </c>
      <c r="D3022" s="37">
        <v>9.4930000000000003</v>
      </c>
      <c r="E3022" s="33">
        <f t="shared" si="101"/>
        <v>0</v>
      </c>
    </row>
    <row r="3023" spans="1:5" x14ac:dyDescent="0.25">
      <c r="A3023" s="41">
        <v>43591</v>
      </c>
      <c r="B3023" s="29">
        <v>179.39</v>
      </c>
      <c r="C3023" s="37">
        <f t="shared" si="100"/>
        <v>29.898333333333333</v>
      </c>
      <c r="D3023" s="37">
        <v>9.4930000000000003</v>
      </c>
      <c r="E3023" s="33">
        <f t="shared" si="101"/>
        <v>-3.2227593487804216E-3</v>
      </c>
    </row>
    <row r="3024" spans="1:5" x14ac:dyDescent="0.25">
      <c r="A3024" s="41">
        <v>43591</v>
      </c>
      <c r="B3024" s="29">
        <v>178.78</v>
      </c>
      <c r="C3024" s="37">
        <f t="shared" si="100"/>
        <v>29.796666666666667</v>
      </c>
      <c r="D3024" s="37">
        <v>9.4930000000000003</v>
      </c>
      <c r="E3024" s="33">
        <f t="shared" si="101"/>
        <v>-3.4004125090583938E-3</v>
      </c>
    </row>
    <row r="3025" spans="1:5" x14ac:dyDescent="0.25">
      <c r="A3025" s="41">
        <v>43591</v>
      </c>
      <c r="B3025" s="29">
        <v>177.31</v>
      </c>
      <c r="C3025" s="37">
        <f t="shared" si="100"/>
        <v>29.551666666666666</v>
      </c>
      <c r="D3025" s="37">
        <v>9.4930000000000003</v>
      </c>
      <c r="E3025" s="33">
        <f t="shared" si="101"/>
        <v>-8.2223962411902829E-3</v>
      </c>
    </row>
    <row r="3026" spans="1:5" x14ac:dyDescent="0.25">
      <c r="A3026" s="41">
        <v>43592</v>
      </c>
      <c r="B3026" s="29">
        <v>175.78</v>
      </c>
      <c r="C3026" s="37">
        <f t="shared" si="100"/>
        <v>29.296666666666667</v>
      </c>
      <c r="D3026" s="37">
        <v>9.8819999999999997</v>
      </c>
      <c r="E3026" s="33">
        <f t="shared" si="101"/>
        <v>-8.628954937679777E-3</v>
      </c>
    </row>
    <row r="3027" spans="1:5" x14ac:dyDescent="0.25">
      <c r="A3027" s="41">
        <v>43592</v>
      </c>
      <c r="B3027" s="29">
        <v>174.79</v>
      </c>
      <c r="C3027" s="37">
        <f t="shared" si="100"/>
        <v>29.131666666666668</v>
      </c>
      <c r="D3027" s="37">
        <v>9.8819999999999997</v>
      </c>
      <c r="E3027" s="33">
        <f t="shared" si="101"/>
        <v>-5.6320400500626299E-3</v>
      </c>
    </row>
    <row r="3028" spans="1:5" x14ac:dyDescent="0.25">
      <c r="A3028" s="41">
        <v>43592</v>
      </c>
      <c r="B3028" s="29">
        <v>174.71</v>
      </c>
      <c r="C3028" s="37">
        <f t="shared" si="100"/>
        <v>29.118333333333332</v>
      </c>
      <c r="D3028" s="37">
        <v>9.8819999999999997</v>
      </c>
      <c r="E3028" s="33">
        <f t="shared" si="101"/>
        <v>-4.5769208764794375E-4</v>
      </c>
    </row>
    <row r="3029" spans="1:5" x14ac:dyDescent="0.25">
      <c r="A3029" s="41">
        <v>43592</v>
      </c>
      <c r="B3029" s="29">
        <v>174.59</v>
      </c>
      <c r="C3029" s="37">
        <f t="shared" si="100"/>
        <v>29.098333333333333</v>
      </c>
      <c r="D3029" s="37">
        <v>9.8819999999999997</v>
      </c>
      <c r="E3029" s="33">
        <f t="shared" si="101"/>
        <v>-6.8685249842598902E-4</v>
      </c>
    </row>
    <row r="3030" spans="1:5" x14ac:dyDescent="0.25">
      <c r="A3030" s="41">
        <v>43592</v>
      </c>
      <c r="B3030" s="29">
        <v>174.71</v>
      </c>
      <c r="C3030" s="37">
        <f t="shared" si="100"/>
        <v>29.118333333333332</v>
      </c>
      <c r="D3030" s="37">
        <v>9.8819999999999997</v>
      </c>
      <c r="E3030" s="33">
        <f t="shared" si="101"/>
        <v>6.873245890371988E-4</v>
      </c>
    </row>
    <row r="3031" spans="1:5" x14ac:dyDescent="0.25">
      <c r="A3031" s="41">
        <v>43592</v>
      </c>
      <c r="B3031" s="29">
        <v>174.82</v>
      </c>
      <c r="C3031" s="37">
        <f t="shared" si="100"/>
        <v>29.136666666666667</v>
      </c>
      <c r="D3031" s="37">
        <v>9.8819999999999997</v>
      </c>
      <c r="E3031" s="33">
        <f t="shared" si="101"/>
        <v>6.2961479022371483E-4</v>
      </c>
    </row>
    <row r="3032" spans="1:5" x14ac:dyDescent="0.25">
      <c r="A3032" s="41">
        <v>43592</v>
      </c>
      <c r="B3032" s="29">
        <v>176.88</v>
      </c>
      <c r="C3032" s="37">
        <f t="shared" si="100"/>
        <v>29.48</v>
      </c>
      <c r="D3032" s="37">
        <v>9.8819999999999997</v>
      </c>
      <c r="E3032" s="33">
        <f t="shared" si="101"/>
        <v>1.1783548793044288E-2</v>
      </c>
    </row>
    <row r="3033" spans="1:5" x14ac:dyDescent="0.25">
      <c r="A3033" s="41">
        <v>43592</v>
      </c>
      <c r="B3033" s="29">
        <v>177.78</v>
      </c>
      <c r="C3033" s="37">
        <f t="shared" si="100"/>
        <v>29.63</v>
      </c>
      <c r="D3033" s="37">
        <v>9.8819999999999997</v>
      </c>
      <c r="E3033" s="33">
        <f t="shared" si="101"/>
        <v>5.0881953867028817E-3</v>
      </c>
    </row>
    <row r="3034" spans="1:5" x14ac:dyDescent="0.25">
      <c r="A3034" s="41">
        <v>43592</v>
      </c>
      <c r="B3034" s="29">
        <v>178.37</v>
      </c>
      <c r="C3034" s="37">
        <f t="shared" si="100"/>
        <v>29.728333333333332</v>
      </c>
      <c r="D3034" s="37">
        <v>9.8819999999999997</v>
      </c>
      <c r="E3034" s="33">
        <f t="shared" si="101"/>
        <v>3.3187085161435672E-3</v>
      </c>
    </row>
    <row r="3035" spans="1:5" x14ac:dyDescent="0.25">
      <c r="A3035" s="41">
        <v>43592</v>
      </c>
      <c r="B3035" s="29">
        <v>178.86</v>
      </c>
      <c r="C3035" s="37">
        <f t="shared" si="100"/>
        <v>29.81</v>
      </c>
      <c r="D3035" s="37">
        <v>9.8819999999999997</v>
      </c>
      <c r="E3035" s="33">
        <f t="shared" si="101"/>
        <v>2.7470987273645179E-3</v>
      </c>
    </row>
    <row r="3036" spans="1:5" x14ac:dyDescent="0.25">
      <c r="A3036" s="41">
        <v>43592</v>
      </c>
      <c r="B3036" s="29">
        <v>179.25</v>
      </c>
      <c r="C3036" s="37">
        <f t="shared" si="100"/>
        <v>29.875</v>
      </c>
      <c r="D3036" s="37">
        <v>9.8819999999999997</v>
      </c>
      <c r="E3036" s="33">
        <f t="shared" si="101"/>
        <v>2.1804763502179711E-3</v>
      </c>
    </row>
    <row r="3037" spans="1:5" x14ac:dyDescent="0.25">
      <c r="A3037" s="41">
        <v>43592</v>
      </c>
      <c r="B3037" s="29">
        <v>179.28</v>
      </c>
      <c r="C3037" s="37">
        <f t="shared" si="100"/>
        <v>29.88</v>
      </c>
      <c r="D3037" s="37">
        <v>9.8819999999999997</v>
      </c>
      <c r="E3037" s="33">
        <f t="shared" si="101"/>
        <v>1.6736401673640803E-4</v>
      </c>
    </row>
    <row r="3038" spans="1:5" x14ac:dyDescent="0.25">
      <c r="A3038" s="41">
        <v>43592</v>
      </c>
      <c r="B3038" s="29">
        <v>179.14</v>
      </c>
      <c r="C3038" s="37">
        <f t="shared" si="100"/>
        <v>29.856666666666666</v>
      </c>
      <c r="D3038" s="37">
        <v>9.8819999999999997</v>
      </c>
      <c r="E3038" s="33">
        <f t="shared" si="101"/>
        <v>-7.8090138331110429E-4</v>
      </c>
    </row>
    <row r="3039" spans="1:5" x14ac:dyDescent="0.25">
      <c r="A3039" s="41">
        <v>43592</v>
      </c>
      <c r="B3039" s="29">
        <v>179.28</v>
      </c>
      <c r="C3039" s="37">
        <f t="shared" si="100"/>
        <v>29.88</v>
      </c>
      <c r="D3039" s="37">
        <v>9.8819999999999997</v>
      </c>
      <c r="E3039" s="33">
        <f t="shared" si="101"/>
        <v>7.8151166685282343E-4</v>
      </c>
    </row>
    <row r="3040" spans="1:5" x14ac:dyDescent="0.25">
      <c r="A3040" s="41">
        <v>43592</v>
      </c>
      <c r="B3040" s="29">
        <v>179.33</v>
      </c>
      <c r="C3040" s="37">
        <f t="shared" si="100"/>
        <v>29.888333333333332</v>
      </c>
      <c r="D3040" s="37">
        <v>9.8819999999999997</v>
      </c>
      <c r="E3040" s="33">
        <f t="shared" si="101"/>
        <v>2.788933511825712E-4</v>
      </c>
    </row>
    <row r="3041" spans="1:5" x14ac:dyDescent="0.25">
      <c r="A3041" s="41">
        <v>43592</v>
      </c>
      <c r="B3041" s="29">
        <v>179.37</v>
      </c>
      <c r="C3041" s="37">
        <f t="shared" si="100"/>
        <v>29.895</v>
      </c>
      <c r="D3041" s="37">
        <v>9.8819999999999997</v>
      </c>
      <c r="E3041" s="33">
        <f t="shared" si="101"/>
        <v>2.2305247309425104E-4</v>
      </c>
    </row>
    <row r="3042" spans="1:5" x14ac:dyDescent="0.25">
      <c r="A3042" s="41">
        <v>43592</v>
      </c>
      <c r="B3042" s="29">
        <v>179.33</v>
      </c>
      <c r="C3042" s="37">
        <f t="shared" si="100"/>
        <v>29.888333333333332</v>
      </c>
      <c r="D3042" s="37">
        <v>9.8819999999999997</v>
      </c>
      <c r="E3042" s="33">
        <f t="shared" si="101"/>
        <v>-2.2300273178341997E-4</v>
      </c>
    </row>
    <row r="3043" spans="1:5" x14ac:dyDescent="0.25">
      <c r="A3043" s="41">
        <v>43592</v>
      </c>
      <c r="B3043" s="29">
        <v>179.32</v>
      </c>
      <c r="C3043" s="37">
        <f t="shared" si="100"/>
        <v>29.886666666666667</v>
      </c>
      <c r="D3043" s="37">
        <v>9.8819999999999997</v>
      </c>
      <c r="E3043" s="33">
        <f t="shared" si="101"/>
        <v>-5.5763118273681628E-5</v>
      </c>
    </row>
    <row r="3044" spans="1:5" x14ac:dyDescent="0.25">
      <c r="A3044" s="41">
        <v>43592</v>
      </c>
      <c r="B3044" s="29">
        <v>179.33</v>
      </c>
      <c r="C3044" s="37">
        <f t="shared" si="100"/>
        <v>29.888333333333332</v>
      </c>
      <c r="D3044" s="37">
        <v>9.8819999999999997</v>
      </c>
      <c r="E3044" s="33">
        <f t="shared" si="101"/>
        <v>5.5766227972447731E-5</v>
      </c>
    </row>
    <row r="3045" spans="1:5" x14ac:dyDescent="0.25">
      <c r="A3045" s="41">
        <v>43592</v>
      </c>
      <c r="B3045" s="29">
        <v>179.26</v>
      </c>
      <c r="C3045" s="37">
        <f t="shared" si="100"/>
        <v>29.876666666666665</v>
      </c>
      <c r="D3045" s="37">
        <v>9.8819999999999997</v>
      </c>
      <c r="E3045" s="33">
        <f t="shared" si="101"/>
        <v>-3.9034182791513743E-4</v>
      </c>
    </row>
    <row r="3046" spans="1:5" x14ac:dyDescent="0.25">
      <c r="A3046" s="41">
        <v>43592</v>
      </c>
      <c r="B3046" s="29">
        <v>178.54</v>
      </c>
      <c r="C3046" s="37">
        <f t="shared" si="100"/>
        <v>29.756666666666668</v>
      </c>
      <c r="D3046" s="37">
        <v>9.8819999999999997</v>
      </c>
      <c r="E3046" s="33">
        <f t="shared" si="101"/>
        <v>-4.0165123284614463E-3</v>
      </c>
    </row>
    <row r="3047" spans="1:5" x14ac:dyDescent="0.25">
      <c r="A3047" s="41">
        <v>43592</v>
      </c>
      <c r="B3047" s="29">
        <v>178.48</v>
      </c>
      <c r="C3047" s="37">
        <f t="shared" si="100"/>
        <v>29.746666666666666</v>
      </c>
      <c r="D3047" s="37">
        <v>9.8819999999999997</v>
      </c>
      <c r="E3047" s="33">
        <f t="shared" si="101"/>
        <v>-3.3605914640978088E-4</v>
      </c>
    </row>
    <row r="3048" spans="1:5" x14ac:dyDescent="0.25">
      <c r="A3048" s="41">
        <v>43592</v>
      </c>
      <c r="B3048" s="29">
        <v>178.24</v>
      </c>
      <c r="C3048" s="37">
        <f t="shared" si="100"/>
        <v>29.706666666666667</v>
      </c>
      <c r="D3048" s="37">
        <v>9.8819999999999997</v>
      </c>
      <c r="E3048" s="33">
        <f t="shared" si="101"/>
        <v>-1.3446884805019088E-3</v>
      </c>
    </row>
    <row r="3049" spans="1:5" x14ac:dyDescent="0.25">
      <c r="A3049" s="41">
        <v>43592</v>
      </c>
      <c r="B3049" s="29">
        <v>177.34</v>
      </c>
      <c r="C3049" s="37">
        <f t="shared" si="100"/>
        <v>29.556666666666668</v>
      </c>
      <c r="D3049" s="37">
        <v>9.8819999999999997</v>
      </c>
      <c r="E3049" s="33">
        <f t="shared" si="101"/>
        <v>-5.0493716337522759E-3</v>
      </c>
    </row>
    <row r="3050" spans="1:5" x14ac:dyDescent="0.25">
      <c r="A3050" s="41">
        <v>43593</v>
      </c>
      <c r="B3050" s="29">
        <v>174.31</v>
      </c>
      <c r="C3050" s="37">
        <f t="shared" si="100"/>
        <v>29.051666666666666</v>
      </c>
      <c r="D3050" s="37">
        <v>9.7070000000000007</v>
      </c>
      <c r="E3050" s="33">
        <f t="shared" si="101"/>
        <v>-1.7085823841208984E-2</v>
      </c>
    </row>
    <row r="3051" spans="1:5" x14ac:dyDescent="0.25">
      <c r="A3051" s="41">
        <v>43593</v>
      </c>
      <c r="B3051" s="29">
        <v>173</v>
      </c>
      <c r="C3051" s="37">
        <f t="shared" si="100"/>
        <v>28.833333333333332</v>
      </c>
      <c r="D3051" s="37">
        <v>9.7070000000000007</v>
      </c>
      <c r="E3051" s="33">
        <f t="shared" si="101"/>
        <v>-7.5153462222477324E-3</v>
      </c>
    </row>
    <row r="3052" spans="1:5" x14ac:dyDescent="0.25">
      <c r="A3052" s="41">
        <v>43593</v>
      </c>
      <c r="B3052" s="29">
        <v>172.19</v>
      </c>
      <c r="C3052" s="37">
        <f t="shared" si="100"/>
        <v>28.698333333333334</v>
      </c>
      <c r="D3052" s="37">
        <v>9.7070000000000007</v>
      </c>
      <c r="E3052" s="33">
        <f t="shared" si="101"/>
        <v>-4.6820809248555046E-3</v>
      </c>
    </row>
    <row r="3053" spans="1:5" x14ac:dyDescent="0.25">
      <c r="A3053" s="41">
        <v>43593</v>
      </c>
      <c r="B3053" s="29">
        <v>171.1</v>
      </c>
      <c r="C3053" s="37">
        <f t="shared" si="100"/>
        <v>28.516666666666666</v>
      </c>
      <c r="D3053" s="37">
        <v>9.7070000000000007</v>
      </c>
      <c r="E3053" s="33">
        <f t="shared" si="101"/>
        <v>-6.3302166211743043E-3</v>
      </c>
    </row>
    <row r="3054" spans="1:5" x14ac:dyDescent="0.25">
      <c r="A3054" s="41">
        <v>43593</v>
      </c>
      <c r="B3054" s="29">
        <v>171.49</v>
      </c>
      <c r="C3054" s="37">
        <f t="shared" si="100"/>
        <v>28.581666666666667</v>
      </c>
      <c r="D3054" s="37">
        <v>9.7070000000000007</v>
      </c>
      <c r="E3054" s="33">
        <f t="shared" si="101"/>
        <v>2.2793687901812671E-3</v>
      </c>
    </row>
    <row r="3055" spans="1:5" x14ac:dyDescent="0.25">
      <c r="A3055" s="41">
        <v>43593</v>
      </c>
      <c r="B3055" s="29">
        <v>173</v>
      </c>
      <c r="C3055" s="37">
        <f t="shared" si="100"/>
        <v>28.833333333333332</v>
      </c>
      <c r="D3055" s="37">
        <v>9.7070000000000007</v>
      </c>
      <c r="E3055" s="33">
        <f t="shared" si="101"/>
        <v>8.8051781444981672E-3</v>
      </c>
    </row>
    <row r="3056" spans="1:5" x14ac:dyDescent="0.25">
      <c r="A3056" s="41">
        <v>43593</v>
      </c>
      <c r="B3056" s="29">
        <v>175.3</v>
      </c>
      <c r="C3056" s="37">
        <f t="shared" si="100"/>
        <v>29.216666666666665</v>
      </c>
      <c r="D3056" s="37">
        <v>9.7070000000000007</v>
      </c>
      <c r="E3056" s="33">
        <f t="shared" si="101"/>
        <v>1.3294797687861338E-2</v>
      </c>
    </row>
    <row r="3057" spans="1:5" x14ac:dyDescent="0.25">
      <c r="A3057" s="41">
        <v>43593</v>
      </c>
      <c r="B3057" s="29">
        <v>176.38</v>
      </c>
      <c r="C3057" s="37">
        <f t="shared" si="100"/>
        <v>29.396666666666668</v>
      </c>
      <c r="D3057" s="37">
        <v>9.7070000000000007</v>
      </c>
      <c r="E3057" s="33">
        <f t="shared" si="101"/>
        <v>6.1608670849970567E-3</v>
      </c>
    </row>
    <row r="3058" spans="1:5" x14ac:dyDescent="0.25">
      <c r="A3058" s="41">
        <v>43593</v>
      </c>
      <c r="B3058" s="29">
        <v>177.24</v>
      </c>
      <c r="C3058" s="37">
        <f t="shared" si="100"/>
        <v>29.54</v>
      </c>
      <c r="D3058" s="37">
        <v>9.7070000000000007</v>
      </c>
      <c r="E3058" s="33">
        <f t="shared" si="101"/>
        <v>4.8758362626148861E-3</v>
      </c>
    </row>
    <row r="3059" spans="1:5" x14ac:dyDescent="0.25">
      <c r="A3059" s="41">
        <v>43593</v>
      </c>
      <c r="B3059" s="29">
        <v>178.12</v>
      </c>
      <c r="C3059" s="37">
        <f t="shared" si="100"/>
        <v>29.686666666666667</v>
      </c>
      <c r="D3059" s="37">
        <v>9.7070000000000007</v>
      </c>
      <c r="E3059" s="33">
        <f t="shared" si="101"/>
        <v>4.9650191830286359E-3</v>
      </c>
    </row>
    <row r="3060" spans="1:5" x14ac:dyDescent="0.25">
      <c r="A3060" s="41">
        <v>43593</v>
      </c>
      <c r="B3060" s="29">
        <v>178.33</v>
      </c>
      <c r="C3060" s="37">
        <f t="shared" si="100"/>
        <v>29.721666666666668</v>
      </c>
      <c r="D3060" s="37">
        <v>9.7070000000000007</v>
      </c>
      <c r="E3060" s="33">
        <f t="shared" si="101"/>
        <v>1.1789804626095215E-3</v>
      </c>
    </row>
    <row r="3061" spans="1:5" x14ac:dyDescent="0.25">
      <c r="A3061" s="41">
        <v>43593</v>
      </c>
      <c r="B3061" s="29">
        <v>178.3</v>
      </c>
      <c r="C3061" s="37">
        <f t="shared" si="100"/>
        <v>29.716666666666665</v>
      </c>
      <c r="D3061" s="37">
        <v>9.7070000000000007</v>
      </c>
      <c r="E3061" s="33">
        <f t="shared" si="101"/>
        <v>-1.6822744350362324E-4</v>
      </c>
    </row>
    <row r="3062" spans="1:5" x14ac:dyDescent="0.25">
      <c r="A3062" s="41">
        <v>43593</v>
      </c>
      <c r="B3062" s="29">
        <v>178.22</v>
      </c>
      <c r="C3062" s="37">
        <f t="shared" si="100"/>
        <v>29.703333333333333</v>
      </c>
      <c r="D3062" s="37">
        <v>9.7070000000000007</v>
      </c>
      <c r="E3062" s="33">
        <f t="shared" si="101"/>
        <v>-4.4868199663495516E-4</v>
      </c>
    </row>
    <row r="3063" spans="1:5" x14ac:dyDescent="0.25">
      <c r="A3063" s="41">
        <v>43593</v>
      </c>
      <c r="B3063" s="29">
        <v>178.24</v>
      </c>
      <c r="C3063" s="37">
        <f t="shared" si="100"/>
        <v>29.706666666666667</v>
      </c>
      <c r="D3063" s="37">
        <v>9.7070000000000007</v>
      </c>
      <c r="E3063" s="33">
        <f t="shared" si="101"/>
        <v>1.1222085063410522E-4</v>
      </c>
    </row>
    <row r="3064" spans="1:5" x14ac:dyDescent="0.25">
      <c r="A3064" s="41">
        <v>43593</v>
      </c>
      <c r="B3064" s="29">
        <v>178.23</v>
      </c>
      <c r="C3064" s="37">
        <f t="shared" si="100"/>
        <v>29.704999999999998</v>
      </c>
      <c r="D3064" s="37">
        <v>9.7070000000000007</v>
      </c>
      <c r="E3064" s="33">
        <f t="shared" si="101"/>
        <v>-5.6104129264022253E-5</v>
      </c>
    </row>
    <row r="3065" spans="1:5" x14ac:dyDescent="0.25">
      <c r="A3065" s="41">
        <v>43593</v>
      </c>
      <c r="B3065" s="29">
        <v>178.18</v>
      </c>
      <c r="C3065" s="37">
        <f t="shared" si="100"/>
        <v>29.696666666666665</v>
      </c>
      <c r="D3065" s="37">
        <v>9.7070000000000007</v>
      </c>
      <c r="E3065" s="33">
        <f t="shared" si="101"/>
        <v>-2.8053638556911267E-4</v>
      </c>
    </row>
    <row r="3066" spans="1:5" x14ac:dyDescent="0.25">
      <c r="A3066" s="41">
        <v>43593</v>
      </c>
      <c r="B3066" s="29">
        <v>178.15</v>
      </c>
      <c r="C3066" s="37">
        <f t="shared" si="100"/>
        <v>29.691666666666666</v>
      </c>
      <c r="D3066" s="37">
        <v>9.7070000000000007</v>
      </c>
      <c r="E3066" s="33">
        <f t="shared" si="101"/>
        <v>-1.6836906499046546E-4</v>
      </c>
    </row>
    <row r="3067" spans="1:5" x14ac:dyDescent="0.25">
      <c r="A3067" s="41">
        <v>43593</v>
      </c>
      <c r="B3067" s="29">
        <v>178.12</v>
      </c>
      <c r="C3067" s="37">
        <f t="shared" si="100"/>
        <v>29.686666666666667</v>
      </c>
      <c r="D3067" s="37">
        <v>9.7070000000000007</v>
      </c>
      <c r="E3067" s="33">
        <f t="shared" si="101"/>
        <v>-1.6839741790626516E-4</v>
      </c>
    </row>
    <row r="3068" spans="1:5" x14ac:dyDescent="0.25">
      <c r="A3068" s="41">
        <v>43593</v>
      </c>
      <c r="B3068" s="29">
        <v>178.26</v>
      </c>
      <c r="C3068" s="37">
        <f t="shared" si="100"/>
        <v>29.71</v>
      </c>
      <c r="D3068" s="37">
        <v>9.7070000000000007</v>
      </c>
      <c r="E3068" s="33">
        <f t="shared" si="101"/>
        <v>7.8598697507290785E-4</v>
      </c>
    </row>
    <row r="3069" spans="1:5" x14ac:dyDescent="0.25">
      <c r="A3069" s="41">
        <v>43593</v>
      </c>
      <c r="B3069" s="29">
        <v>178.05</v>
      </c>
      <c r="C3069" s="37">
        <f t="shared" si="100"/>
        <v>29.675000000000001</v>
      </c>
      <c r="D3069" s="37">
        <v>9.7070000000000007</v>
      </c>
      <c r="E3069" s="33">
        <f t="shared" si="101"/>
        <v>-1.1780545270951394E-3</v>
      </c>
    </row>
    <row r="3070" spans="1:5" x14ac:dyDescent="0.25">
      <c r="A3070" s="41">
        <v>43593</v>
      </c>
      <c r="B3070" s="29">
        <v>178.02</v>
      </c>
      <c r="C3070" s="37">
        <f t="shared" si="100"/>
        <v>29.67</v>
      </c>
      <c r="D3070" s="37">
        <v>9.7070000000000007</v>
      </c>
      <c r="E3070" s="33">
        <f t="shared" si="101"/>
        <v>-1.6849199663016644E-4</v>
      </c>
    </row>
    <row r="3071" spans="1:5" x14ac:dyDescent="0.25">
      <c r="A3071" s="41">
        <v>43593</v>
      </c>
      <c r="B3071" s="29">
        <v>177.64</v>
      </c>
      <c r="C3071" s="37">
        <f t="shared" si="100"/>
        <v>29.606666666666666</v>
      </c>
      <c r="D3071" s="37">
        <v>9.7070000000000007</v>
      </c>
      <c r="E3071" s="33">
        <f t="shared" si="101"/>
        <v>-2.1345916189193567E-3</v>
      </c>
    </row>
    <row r="3072" spans="1:5" x14ac:dyDescent="0.25">
      <c r="A3072" s="41">
        <v>43593</v>
      </c>
      <c r="B3072" s="29">
        <v>177.12</v>
      </c>
      <c r="C3072" s="37">
        <f t="shared" si="100"/>
        <v>29.52</v>
      </c>
      <c r="D3072" s="37">
        <v>9.7070000000000007</v>
      </c>
      <c r="E3072" s="33">
        <f t="shared" si="101"/>
        <v>-2.9272686331906208E-3</v>
      </c>
    </row>
    <row r="3073" spans="1:5" x14ac:dyDescent="0.25">
      <c r="A3073" s="41">
        <v>43593</v>
      </c>
      <c r="B3073" s="29">
        <v>175.86</v>
      </c>
      <c r="C3073" s="37">
        <f t="shared" si="100"/>
        <v>29.31</v>
      </c>
      <c r="D3073" s="37">
        <v>9.7070000000000007</v>
      </c>
      <c r="E3073" s="33">
        <f t="shared" si="101"/>
        <v>-7.1138211382113306E-3</v>
      </c>
    </row>
    <row r="3074" spans="1:5" x14ac:dyDescent="0.25">
      <c r="A3074" s="41">
        <v>43594</v>
      </c>
      <c r="B3074" s="29">
        <v>173.84</v>
      </c>
      <c r="C3074" s="37">
        <f t="shared" si="100"/>
        <v>28.973333333333333</v>
      </c>
      <c r="D3074" s="37">
        <v>9.3000000000000007</v>
      </c>
      <c r="E3074" s="33">
        <f t="shared" si="101"/>
        <v>-1.1486409644035085E-2</v>
      </c>
    </row>
    <row r="3075" spans="1:5" x14ac:dyDescent="0.25">
      <c r="A3075" s="41">
        <v>43594</v>
      </c>
      <c r="B3075" s="29">
        <v>172.15</v>
      </c>
      <c r="C3075" s="37">
        <f t="shared" ref="C3075:C3138" si="102">(B3075*100/600)</f>
        <v>28.691666666666666</v>
      </c>
      <c r="D3075" s="37">
        <v>9.3000000000000007</v>
      </c>
      <c r="E3075" s="33">
        <f t="shared" si="101"/>
        <v>-9.7215830648872386E-3</v>
      </c>
    </row>
    <row r="3076" spans="1:5" x14ac:dyDescent="0.25">
      <c r="A3076" s="41">
        <v>43594</v>
      </c>
      <c r="B3076" s="29">
        <v>171.98</v>
      </c>
      <c r="C3076" s="37">
        <f t="shared" si="102"/>
        <v>28.663333333333334</v>
      </c>
      <c r="D3076" s="37">
        <v>9.3000000000000007</v>
      </c>
      <c r="E3076" s="33">
        <f t="shared" ref="E3076:E3139" si="103">(B3076-B3075)/B3075</f>
        <v>-9.8751089166433876E-4</v>
      </c>
    </row>
    <row r="3077" spans="1:5" x14ac:dyDescent="0.25">
      <c r="A3077" s="41">
        <v>43594</v>
      </c>
      <c r="B3077" s="29">
        <v>171.21</v>
      </c>
      <c r="C3077" s="37">
        <f t="shared" si="102"/>
        <v>28.535</v>
      </c>
      <c r="D3077" s="37">
        <v>9.3000000000000007</v>
      </c>
      <c r="E3077" s="33">
        <f t="shared" si="103"/>
        <v>-4.4772647982322467E-3</v>
      </c>
    </row>
    <row r="3078" spans="1:5" x14ac:dyDescent="0.25">
      <c r="A3078" s="41">
        <v>43594</v>
      </c>
      <c r="B3078" s="29">
        <v>171.29</v>
      </c>
      <c r="C3078" s="37">
        <f t="shared" si="102"/>
        <v>28.548333333333332</v>
      </c>
      <c r="D3078" s="37">
        <v>9.3000000000000007</v>
      </c>
      <c r="E3078" s="33">
        <f t="shared" si="103"/>
        <v>4.6726242626005538E-4</v>
      </c>
    </row>
    <row r="3079" spans="1:5" x14ac:dyDescent="0.25">
      <c r="A3079" s="41">
        <v>43594</v>
      </c>
      <c r="B3079" s="29">
        <v>172.15</v>
      </c>
      <c r="C3079" s="37">
        <f t="shared" si="102"/>
        <v>28.691666666666666</v>
      </c>
      <c r="D3079" s="37">
        <v>9.3000000000000007</v>
      </c>
      <c r="E3079" s="33">
        <f t="shared" si="103"/>
        <v>5.0207250861113535E-3</v>
      </c>
    </row>
    <row r="3080" spans="1:5" x14ac:dyDescent="0.25">
      <c r="A3080" s="41">
        <v>43594</v>
      </c>
      <c r="B3080" s="29">
        <v>174.53</v>
      </c>
      <c r="C3080" s="37">
        <f t="shared" si="102"/>
        <v>29.088333333333335</v>
      </c>
      <c r="D3080" s="37">
        <v>9.3000000000000007</v>
      </c>
      <c r="E3080" s="33">
        <f t="shared" si="103"/>
        <v>1.3825152483299422E-2</v>
      </c>
    </row>
    <row r="3081" spans="1:5" x14ac:dyDescent="0.25">
      <c r="A3081" s="41">
        <v>43594</v>
      </c>
      <c r="B3081" s="29">
        <v>175.06</v>
      </c>
      <c r="C3081" s="37">
        <f t="shared" si="102"/>
        <v>29.176666666666666</v>
      </c>
      <c r="D3081" s="37">
        <v>9.3000000000000007</v>
      </c>
      <c r="E3081" s="33">
        <f t="shared" si="103"/>
        <v>3.0367272102217449E-3</v>
      </c>
    </row>
    <row r="3082" spans="1:5" x14ac:dyDescent="0.25">
      <c r="A3082" s="41">
        <v>43594</v>
      </c>
      <c r="B3082" s="29">
        <v>176.74</v>
      </c>
      <c r="C3082" s="37">
        <f t="shared" si="102"/>
        <v>29.456666666666667</v>
      </c>
      <c r="D3082" s="37">
        <v>9.3000000000000007</v>
      </c>
      <c r="E3082" s="33">
        <f t="shared" si="103"/>
        <v>9.5967096995316272E-3</v>
      </c>
    </row>
    <row r="3083" spans="1:5" x14ac:dyDescent="0.25">
      <c r="A3083" s="41">
        <v>43594</v>
      </c>
      <c r="B3083" s="29">
        <v>177.59</v>
      </c>
      <c r="C3083" s="37">
        <f t="shared" si="102"/>
        <v>29.598333333333333</v>
      </c>
      <c r="D3083" s="37">
        <v>9.3000000000000007</v>
      </c>
      <c r="E3083" s="33">
        <f t="shared" si="103"/>
        <v>4.8093244313680786E-3</v>
      </c>
    </row>
    <row r="3084" spans="1:5" x14ac:dyDescent="0.25">
      <c r="A3084" s="41">
        <v>43594</v>
      </c>
      <c r="B3084" s="29">
        <v>178.81</v>
      </c>
      <c r="C3084" s="37">
        <f t="shared" si="102"/>
        <v>29.801666666666666</v>
      </c>
      <c r="D3084" s="37">
        <v>9.3000000000000007</v>
      </c>
      <c r="E3084" s="33">
        <f t="shared" si="103"/>
        <v>6.8697561799650813E-3</v>
      </c>
    </row>
    <row r="3085" spans="1:5" x14ac:dyDescent="0.25">
      <c r="A3085" s="41">
        <v>43594</v>
      </c>
      <c r="B3085" s="29">
        <v>178.82</v>
      </c>
      <c r="C3085" s="37">
        <f t="shared" si="102"/>
        <v>29.803333333333335</v>
      </c>
      <c r="D3085" s="37">
        <v>9.3000000000000007</v>
      </c>
      <c r="E3085" s="33">
        <f t="shared" si="103"/>
        <v>5.5925283820764529E-5</v>
      </c>
    </row>
    <row r="3086" spans="1:5" x14ac:dyDescent="0.25">
      <c r="A3086" s="41">
        <v>43594</v>
      </c>
      <c r="B3086" s="29">
        <v>177.93</v>
      </c>
      <c r="C3086" s="37">
        <f t="shared" si="102"/>
        <v>29.655000000000001</v>
      </c>
      <c r="D3086" s="37">
        <v>9.3000000000000007</v>
      </c>
      <c r="E3086" s="33">
        <f t="shared" si="103"/>
        <v>-4.9770719158930008E-3</v>
      </c>
    </row>
    <row r="3087" spans="1:5" x14ac:dyDescent="0.25">
      <c r="A3087" s="41">
        <v>43594</v>
      </c>
      <c r="B3087" s="29">
        <v>178.84</v>
      </c>
      <c r="C3087" s="37">
        <f t="shared" si="102"/>
        <v>29.806666666666668</v>
      </c>
      <c r="D3087" s="37">
        <v>9.3000000000000007</v>
      </c>
      <c r="E3087" s="33">
        <f t="shared" si="103"/>
        <v>5.1143708199853678E-3</v>
      </c>
    </row>
    <row r="3088" spans="1:5" x14ac:dyDescent="0.25">
      <c r="A3088" s="41">
        <v>43594</v>
      </c>
      <c r="B3088" s="29">
        <v>179.21</v>
      </c>
      <c r="C3088" s="37">
        <f t="shared" si="102"/>
        <v>29.868333333333332</v>
      </c>
      <c r="D3088" s="37">
        <v>9.3000000000000007</v>
      </c>
      <c r="E3088" s="33">
        <f t="shared" si="103"/>
        <v>2.0688883918586701E-3</v>
      </c>
    </row>
    <row r="3089" spans="1:5" x14ac:dyDescent="0.25">
      <c r="A3089" s="41">
        <v>43594</v>
      </c>
      <c r="B3089" s="29">
        <v>179.33</v>
      </c>
      <c r="C3089" s="37">
        <f t="shared" si="102"/>
        <v>29.888333333333332</v>
      </c>
      <c r="D3089" s="37">
        <v>9.3000000000000007</v>
      </c>
      <c r="E3089" s="33">
        <f t="shared" si="103"/>
        <v>6.6960549076504957E-4</v>
      </c>
    </row>
    <row r="3090" spans="1:5" x14ac:dyDescent="0.25">
      <c r="A3090" s="41">
        <v>43594</v>
      </c>
      <c r="B3090" s="29">
        <v>178.87</v>
      </c>
      <c r="C3090" s="37">
        <f t="shared" si="102"/>
        <v>29.811666666666667</v>
      </c>
      <c r="D3090" s="37">
        <v>9.3000000000000007</v>
      </c>
      <c r="E3090" s="33">
        <f t="shared" si="103"/>
        <v>-2.5651034405844418E-3</v>
      </c>
    </row>
    <row r="3091" spans="1:5" x14ac:dyDescent="0.25">
      <c r="A3091" s="41">
        <v>43594</v>
      </c>
      <c r="B3091" s="29">
        <v>178.59</v>
      </c>
      <c r="C3091" s="37">
        <f t="shared" si="102"/>
        <v>29.765000000000001</v>
      </c>
      <c r="D3091" s="37">
        <v>9.3000000000000007</v>
      </c>
      <c r="E3091" s="33">
        <f t="shared" si="103"/>
        <v>-1.5653826801587808E-3</v>
      </c>
    </row>
    <row r="3092" spans="1:5" x14ac:dyDescent="0.25">
      <c r="A3092" s="41">
        <v>43594</v>
      </c>
      <c r="B3092" s="29">
        <v>179.17</v>
      </c>
      <c r="C3092" s="37">
        <f t="shared" si="102"/>
        <v>29.861666666666668</v>
      </c>
      <c r="D3092" s="37">
        <v>9.3000000000000007</v>
      </c>
      <c r="E3092" s="33">
        <f t="shared" si="103"/>
        <v>3.2476622431266257E-3</v>
      </c>
    </row>
    <row r="3093" spans="1:5" x14ac:dyDescent="0.25">
      <c r="A3093" s="41">
        <v>43594</v>
      </c>
      <c r="B3093" s="29">
        <v>178.9</v>
      </c>
      <c r="C3093" s="37">
        <f t="shared" si="102"/>
        <v>29.816666666666666</v>
      </c>
      <c r="D3093" s="37">
        <v>9.3000000000000007</v>
      </c>
      <c r="E3093" s="33">
        <f t="shared" si="103"/>
        <v>-1.5069487079309139E-3</v>
      </c>
    </row>
    <row r="3094" spans="1:5" x14ac:dyDescent="0.25">
      <c r="A3094" s="41">
        <v>43594</v>
      </c>
      <c r="B3094" s="29">
        <v>177.71</v>
      </c>
      <c r="C3094" s="37">
        <f t="shared" si="102"/>
        <v>29.618333333333332</v>
      </c>
      <c r="D3094" s="37">
        <v>9.3000000000000007</v>
      </c>
      <c r="E3094" s="33">
        <f t="shared" si="103"/>
        <v>-6.6517607602012167E-3</v>
      </c>
    </row>
    <row r="3095" spans="1:5" x14ac:dyDescent="0.25">
      <c r="A3095" s="41">
        <v>43594</v>
      </c>
      <c r="B3095" s="29">
        <v>177.21</v>
      </c>
      <c r="C3095" s="37">
        <f t="shared" si="102"/>
        <v>29.535</v>
      </c>
      <c r="D3095" s="37">
        <v>9.3000000000000007</v>
      </c>
      <c r="E3095" s="33">
        <f t="shared" si="103"/>
        <v>-2.8135726745821842E-3</v>
      </c>
    </row>
    <row r="3096" spans="1:5" x14ac:dyDescent="0.25">
      <c r="A3096" s="41">
        <v>43594</v>
      </c>
      <c r="B3096" s="29">
        <v>176.5</v>
      </c>
      <c r="C3096" s="37">
        <f t="shared" si="102"/>
        <v>29.416666666666668</v>
      </c>
      <c r="D3096" s="37">
        <v>9.3000000000000007</v>
      </c>
      <c r="E3096" s="33">
        <f t="shared" si="103"/>
        <v>-4.0065459059872915E-3</v>
      </c>
    </row>
    <row r="3097" spans="1:5" x14ac:dyDescent="0.25">
      <c r="A3097" s="41">
        <v>43594</v>
      </c>
      <c r="B3097" s="29">
        <v>174.99</v>
      </c>
      <c r="C3097" s="37">
        <f t="shared" si="102"/>
        <v>29.164999999999999</v>
      </c>
      <c r="D3097" s="37">
        <v>9.3000000000000007</v>
      </c>
      <c r="E3097" s="33">
        <f t="shared" si="103"/>
        <v>-8.5552407932010816E-3</v>
      </c>
    </row>
    <row r="3098" spans="1:5" x14ac:dyDescent="0.25">
      <c r="A3098" s="41">
        <v>43595</v>
      </c>
      <c r="B3098" s="29">
        <v>172.08</v>
      </c>
      <c r="C3098" s="37">
        <f t="shared" si="102"/>
        <v>28.68</v>
      </c>
      <c r="D3098" s="37">
        <v>10.223000000000001</v>
      </c>
      <c r="E3098" s="33">
        <f t="shared" si="103"/>
        <v>-1.662952168695352E-2</v>
      </c>
    </row>
    <row r="3099" spans="1:5" x14ac:dyDescent="0.25">
      <c r="A3099" s="41">
        <v>43595</v>
      </c>
      <c r="B3099" s="29">
        <v>170.39</v>
      </c>
      <c r="C3099" s="37">
        <f t="shared" si="102"/>
        <v>28.398333333333333</v>
      </c>
      <c r="D3099" s="37">
        <v>10.223000000000001</v>
      </c>
      <c r="E3099" s="33">
        <f t="shared" si="103"/>
        <v>-9.8210134821014993E-3</v>
      </c>
    </row>
    <row r="3100" spans="1:5" x14ac:dyDescent="0.25">
      <c r="A3100" s="41">
        <v>43595</v>
      </c>
      <c r="B3100" s="29">
        <v>169.06</v>
      </c>
      <c r="C3100" s="37">
        <f t="shared" si="102"/>
        <v>28.176666666666666</v>
      </c>
      <c r="D3100" s="37">
        <v>10.223000000000001</v>
      </c>
      <c r="E3100" s="33">
        <f t="shared" si="103"/>
        <v>-7.805622395680405E-3</v>
      </c>
    </row>
    <row r="3101" spans="1:5" x14ac:dyDescent="0.25">
      <c r="A3101" s="41">
        <v>43595</v>
      </c>
      <c r="B3101" s="29">
        <v>168.19</v>
      </c>
      <c r="C3101" s="37">
        <f t="shared" si="102"/>
        <v>28.031666666666666</v>
      </c>
      <c r="D3101" s="37">
        <v>10.223000000000001</v>
      </c>
      <c r="E3101" s="33">
        <f t="shared" si="103"/>
        <v>-5.1461019756299806E-3</v>
      </c>
    </row>
    <row r="3102" spans="1:5" x14ac:dyDescent="0.25">
      <c r="A3102" s="41">
        <v>43595</v>
      </c>
      <c r="B3102" s="29">
        <v>168.98</v>
      </c>
      <c r="C3102" s="37">
        <f t="shared" si="102"/>
        <v>28.163333333333334</v>
      </c>
      <c r="D3102" s="37">
        <v>10.223000000000001</v>
      </c>
      <c r="E3102" s="33">
        <f t="shared" si="103"/>
        <v>4.6970687912479461E-3</v>
      </c>
    </row>
    <row r="3103" spans="1:5" x14ac:dyDescent="0.25">
      <c r="A3103" s="41">
        <v>43595</v>
      </c>
      <c r="B3103" s="29">
        <v>170.61</v>
      </c>
      <c r="C3103" s="37">
        <f t="shared" si="102"/>
        <v>28.434999999999999</v>
      </c>
      <c r="D3103" s="37">
        <v>10.223000000000001</v>
      </c>
      <c r="E3103" s="33">
        <f t="shared" si="103"/>
        <v>9.6461119659132684E-3</v>
      </c>
    </row>
    <row r="3104" spans="1:5" x14ac:dyDescent="0.25">
      <c r="A3104" s="41">
        <v>43595</v>
      </c>
      <c r="B3104" s="29">
        <v>173.66</v>
      </c>
      <c r="C3104" s="37">
        <f t="shared" si="102"/>
        <v>28.943333333333332</v>
      </c>
      <c r="D3104" s="37">
        <v>10.223000000000001</v>
      </c>
      <c r="E3104" s="33">
        <f t="shared" si="103"/>
        <v>1.7877029482445243E-2</v>
      </c>
    </row>
    <row r="3105" spans="1:5" x14ac:dyDescent="0.25">
      <c r="A3105" s="41">
        <v>43595</v>
      </c>
      <c r="B3105" s="29">
        <v>175.15</v>
      </c>
      <c r="C3105" s="37">
        <f t="shared" si="102"/>
        <v>29.191666666666666</v>
      </c>
      <c r="D3105" s="37">
        <v>10.223000000000001</v>
      </c>
      <c r="E3105" s="33">
        <f t="shared" si="103"/>
        <v>8.5799838765404195E-3</v>
      </c>
    </row>
    <row r="3106" spans="1:5" x14ac:dyDescent="0.25">
      <c r="A3106" s="41">
        <v>43595</v>
      </c>
      <c r="B3106" s="29">
        <v>176.54</v>
      </c>
      <c r="C3106" s="37">
        <f t="shared" si="102"/>
        <v>29.423333333333332</v>
      </c>
      <c r="D3106" s="37">
        <v>10.223000000000001</v>
      </c>
      <c r="E3106" s="33">
        <f t="shared" si="103"/>
        <v>7.9360548101626398E-3</v>
      </c>
    </row>
    <row r="3107" spans="1:5" x14ac:dyDescent="0.25">
      <c r="A3107" s="41">
        <v>43595</v>
      </c>
      <c r="B3107" s="29">
        <v>177.81</v>
      </c>
      <c r="C3107" s="37">
        <f t="shared" si="102"/>
        <v>29.635000000000002</v>
      </c>
      <c r="D3107" s="37">
        <v>10.223000000000001</v>
      </c>
      <c r="E3107" s="33">
        <f t="shared" si="103"/>
        <v>7.1938370907443658E-3</v>
      </c>
    </row>
    <row r="3108" spans="1:5" x14ac:dyDescent="0.25">
      <c r="A3108" s="41">
        <v>43595</v>
      </c>
      <c r="B3108" s="29">
        <v>178.89</v>
      </c>
      <c r="C3108" s="37">
        <f t="shared" si="102"/>
        <v>29.815000000000001</v>
      </c>
      <c r="D3108" s="37">
        <v>10.223000000000001</v>
      </c>
      <c r="E3108" s="33">
        <f t="shared" si="103"/>
        <v>6.0738991057869866E-3</v>
      </c>
    </row>
    <row r="3109" spans="1:5" x14ac:dyDescent="0.25">
      <c r="A3109" s="41">
        <v>43595</v>
      </c>
      <c r="B3109" s="29">
        <v>179.09</v>
      </c>
      <c r="C3109" s="37">
        <f t="shared" si="102"/>
        <v>29.848333333333333</v>
      </c>
      <c r="D3109" s="37">
        <v>10.223000000000001</v>
      </c>
      <c r="E3109" s="33">
        <f t="shared" si="103"/>
        <v>1.1180054782269388E-3</v>
      </c>
    </row>
    <row r="3110" spans="1:5" x14ac:dyDescent="0.25">
      <c r="A3110" s="41">
        <v>43595</v>
      </c>
      <c r="B3110" s="29">
        <v>177.84</v>
      </c>
      <c r="C3110" s="37">
        <f t="shared" si="102"/>
        <v>29.64</v>
      </c>
      <c r="D3110" s="37">
        <v>10.223000000000001</v>
      </c>
      <c r="E3110" s="33">
        <f t="shared" si="103"/>
        <v>-6.9797308615779773E-3</v>
      </c>
    </row>
    <row r="3111" spans="1:5" x14ac:dyDescent="0.25">
      <c r="A3111" s="41">
        <v>43595</v>
      </c>
      <c r="B3111" s="29">
        <v>179.03</v>
      </c>
      <c r="C3111" s="37">
        <f t="shared" si="102"/>
        <v>29.838333333333335</v>
      </c>
      <c r="D3111" s="37">
        <v>10.223000000000001</v>
      </c>
      <c r="E3111" s="33">
        <f t="shared" si="103"/>
        <v>6.6914080071974677E-3</v>
      </c>
    </row>
    <row r="3112" spans="1:5" x14ac:dyDescent="0.25">
      <c r="A3112" s="41">
        <v>43595</v>
      </c>
      <c r="B3112" s="29">
        <v>178.99</v>
      </c>
      <c r="C3112" s="37">
        <f t="shared" si="102"/>
        <v>29.831666666666667</v>
      </c>
      <c r="D3112" s="37">
        <v>10.223000000000001</v>
      </c>
      <c r="E3112" s="33">
        <f t="shared" si="103"/>
        <v>-2.234262414120094E-4</v>
      </c>
    </row>
    <row r="3113" spans="1:5" x14ac:dyDescent="0.25">
      <c r="A3113" s="41">
        <v>43595</v>
      </c>
      <c r="B3113" s="29">
        <v>178.96</v>
      </c>
      <c r="C3113" s="37">
        <f t="shared" si="102"/>
        <v>29.826666666666668</v>
      </c>
      <c r="D3113" s="37">
        <v>10.223000000000001</v>
      </c>
      <c r="E3113" s="33">
        <f t="shared" si="103"/>
        <v>-1.6760712888988846E-4</v>
      </c>
    </row>
    <row r="3114" spans="1:5" x14ac:dyDescent="0.25">
      <c r="A3114" s="41">
        <v>43595</v>
      </c>
      <c r="B3114" s="29">
        <v>178.93</v>
      </c>
      <c r="C3114" s="37">
        <f t="shared" si="102"/>
        <v>29.821666666666665</v>
      </c>
      <c r="D3114" s="37">
        <v>10.223000000000001</v>
      </c>
      <c r="E3114" s="33">
        <f t="shared" si="103"/>
        <v>-1.6763522574877703E-4</v>
      </c>
    </row>
    <row r="3115" spans="1:5" x14ac:dyDescent="0.25">
      <c r="A3115" s="41">
        <v>43595</v>
      </c>
      <c r="B3115" s="29">
        <v>178.89</v>
      </c>
      <c r="C3115" s="37">
        <f t="shared" si="102"/>
        <v>29.815000000000001</v>
      </c>
      <c r="D3115" s="37">
        <v>10.223000000000001</v>
      </c>
      <c r="E3115" s="33">
        <f t="shared" si="103"/>
        <v>-2.2355110937249462E-4</v>
      </c>
    </row>
    <row r="3116" spans="1:5" x14ac:dyDescent="0.25">
      <c r="A3116" s="41">
        <v>43595</v>
      </c>
      <c r="B3116" s="29">
        <v>178.86</v>
      </c>
      <c r="C3116" s="37">
        <f t="shared" si="102"/>
        <v>29.81</v>
      </c>
      <c r="D3116" s="37">
        <v>10.223000000000001</v>
      </c>
      <c r="E3116" s="33">
        <f t="shared" si="103"/>
        <v>-1.6770082173387399E-4</v>
      </c>
    </row>
    <row r="3117" spans="1:5" x14ac:dyDescent="0.25">
      <c r="A3117" s="41">
        <v>43595</v>
      </c>
      <c r="B3117" s="29">
        <v>178.83</v>
      </c>
      <c r="C3117" s="37">
        <f t="shared" si="102"/>
        <v>29.805</v>
      </c>
      <c r="D3117" s="37">
        <v>10.223000000000001</v>
      </c>
      <c r="E3117" s="33">
        <f t="shared" si="103"/>
        <v>-1.6772895001677924E-4</v>
      </c>
    </row>
    <row r="3118" spans="1:5" x14ac:dyDescent="0.25">
      <c r="A3118" s="41">
        <v>43595</v>
      </c>
      <c r="B3118" s="29">
        <v>177.85</v>
      </c>
      <c r="C3118" s="37">
        <f t="shared" si="102"/>
        <v>29.641666666666666</v>
      </c>
      <c r="D3118" s="37">
        <v>10.223000000000001</v>
      </c>
      <c r="E3118" s="33">
        <f t="shared" si="103"/>
        <v>-5.4800648660740265E-3</v>
      </c>
    </row>
    <row r="3119" spans="1:5" x14ac:dyDescent="0.25">
      <c r="A3119" s="41">
        <v>43595</v>
      </c>
      <c r="B3119" s="29">
        <v>177.72</v>
      </c>
      <c r="C3119" s="37">
        <f t="shared" si="102"/>
        <v>29.62</v>
      </c>
      <c r="D3119" s="37">
        <v>10.223000000000001</v>
      </c>
      <c r="E3119" s="33">
        <f t="shared" si="103"/>
        <v>-7.309530503232806E-4</v>
      </c>
    </row>
    <row r="3120" spans="1:5" x14ac:dyDescent="0.25">
      <c r="A3120" s="41">
        <v>43595</v>
      </c>
      <c r="B3120" s="29">
        <v>176.33</v>
      </c>
      <c r="C3120" s="37">
        <f t="shared" si="102"/>
        <v>29.388333333333332</v>
      </c>
      <c r="D3120" s="37">
        <v>10.223000000000001</v>
      </c>
      <c r="E3120" s="33">
        <f t="shared" si="103"/>
        <v>-7.821291919873883E-3</v>
      </c>
    </row>
    <row r="3121" spans="1:5" x14ac:dyDescent="0.25">
      <c r="A3121" s="41">
        <v>43595</v>
      </c>
      <c r="B3121" s="29">
        <v>174.13</v>
      </c>
      <c r="C3121" s="37">
        <f t="shared" si="102"/>
        <v>29.021666666666668</v>
      </c>
      <c r="D3121" s="37">
        <v>10.223000000000001</v>
      </c>
      <c r="E3121" s="33">
        <f t="shared" si="103"/>
        <v>-1.2476606363069341E-2</v>
      </c>
    </row>
    <row r="3122" spans="1:5" x14ac:dyDescent="0.25">
      <c r="A3122" s="41">
        <v>43596</v>
      </c>
      <c r="B3122" s="29">
        <v>95.98</v>
      </c>
      <c r="C3122" s="37">
        <f t="shared" si="102"/>
        <v>15.996666666666666</v>
      </c>
      <c r="D3122" s="37">
        <v>15.397</v>
      </c>
      <c r="E3122" s="33">
        <f t="shared" si="103"/>
        <v>-0.44880261873313038</v>
      </c>
    </row>
    <row r="3123" spans="1:5" x14ac:dyDescent="0.25">
      <c r="A3123" s="41">
        <v>43596</v>
      </c>
      <c r="B3123" s="29">
        <v>95.08</v>
      </c>
      <c r="C3123" s="37">
        <f t="shared" si="102"/>
        <v>15.846666666666666</v>
      </c>
      <c r="D3123" s="37">
        <v>15.397</v>
      </c>
      <c r="E3123" s="33">
        <f t="shared" si="103"/>
        <v>-9.3769535319858897E-3</v>
      </c>
    </row>
    <row r="3124" spans="1:5" x14ac:dyDescent="0.25">
      <c r="A3124" s="41">
        <v>43596</v>
      </c>
      <c r="B3124" s="29">
        <v>94.86</v>
      </c>
      <c r="C3124" s="37">
        <f t="shared" si="102"/>
        <v>15.81</v>
      </c>
      <c r="D3124" s="37">
        <v>15.397</v>
      </c>
      <c r="E3124" s="33">
        <f t="shared" si="103"/>
        <v>-2.3138409760201815E-3</v>
      </c>
    </row>
    <row r="3125" spans="1:5" x14ac:dyDescent="0.25">
      <c r="A3125" s="41">
        <v>43596</v>
      </c>
      <c r="B3125" s="29">
        <v>94.68</v>
      </c>
      <c r="C3125" s="37">
        <f t="shared" si="102"/>
        <v>15.78</v>
      </c>
      <c r="D3125" s="37">
        <v>15.397</v>
      </c>
      <c r="E3125" s="33">
        <f t="shared" si="103"/>
        <v>-1.8975332068310417E-3</v>
      </c>
    </row>
    <row r="3126" spans="1:5" x14ac:dyDescent="0.25">
      <c r="A3126" s="41">
        <v>43596</v>
      </c>
      <c r="B3126" s="29">
        <v>94.49</v>
      </c>
      <c r="C3126" s="37">
        <f t="shared" si="102"/>
        <v>15.748333333333333</v>
      </c>
      <c r="D3126" s="37">
        <v>15.397</v>
      </c>
      <c r="E3126" s="33">
        <f t="shared" si="103"/>
        <v>-2.0067596113224747E-3</v>
      </c>
    </row>
    <row r="3127" spans="1:5" x14ac:dyDescent="0.25">
      <c r="A3127" s="41">
        <v>43596</v>
      </c>
      <c r="B3127" s="29">
        <v>94.73</v>
      </c>
      <c r="C3127" s="37">
        <f t="shared" si="102"/>
        <v>15.788333333333334</v>
      </c>
      <c r="D3127" s="37">
        <v>15.397</v>
      </c>
      <c r="E3127" s="33">
        <f t="shared" si="103"/>
        <v>2.5399513175998422E-3</v>
      </c>
    </row>
    <row r="3128" spans="1:5" x14ac:dyDescent="0.25">
      <c r="A3128" s="41">
        <v>43596</v>
      </c>
      <c r="B3128" s="29">
        <v>94.94</v>
      </c>
      <c r="C3128" s="37">
        <f t="shared" si="102"/>
        <v>15.823333333333334</v>
      </c>
      <c r="D3128" s="37">
        <v>15.397</v>
      </c>
      <c r="E3128" s="33">
        <f t="shared" si="103"/>
        <v>2.2168267708222709E-3</v>
      </c>
    </row>
    <row r="3129" spans="1:5" x14ac:dyDescent="0.25">
      <c r="A3129" s="41">
        <v>43596</v>
      </c>
      <c r="B3129" s="29">
        <v>95.16</v>
      </c>
      <c r="C3129" s="37">
        <f t="shared" si="102"/>
        <v>15.86</v>
      </c>
      <c r="D3129" s="37">
        <v>15.397</v>
      </c>
      <c r="E3129" s="33">
        <f t="shared" si="103"/>
        <v>2.3172530018959222E-3</v>
      </c>
    </row>
    <row r="3130" spans="1:5" x14ac:dyDescent="0.25">
      <c r="A3130" s="41">
        <v>43596</v>
      </c>
      <c r="B3130" s="29">
        <v>95.98</v>
      </c>
      <c r="C3130" s="37">
        <f t="shared" si="102"/>
        <v>15.996666666666666</v>
      </c>
      <c r="D3130" s="37">
        <v>15.397</v>
      </c>
      <c r="E3130" s="33">
        <f t="shared" si="103"/>
        <v>8.6170659941152521E-3</v>
      </c>
    </row>
    <row r="3131" spans="1:5" x14ac:dyDescent="0.25">
      <c r="A3131" s="41">
        <v>43596</v>
      </c>
      <c r="B3131" s="29">
        <v>96.89</v>
      </c>
      <c r="C3131" s="37">
        <f t="shared" si="102"/>
        <v>16.148333333333333</v>
      </c>
      <c r="D3131" s="37">
        <v>15.397</v>
      </c>
      <c r="E3131" s="33">
        <f t="shared" si="103"/>
        <v>9.481141904563414E-3</v>
      </c>
    </row>
    <row r="3132" spans="1:5" x14ac:dyDescent="0.25">
      <c r="A3132" s="41">
        <v>43596</v>
      </c>
      <c r="B3132" s="29">
        <v>98.35</v>
      </c>
      <c r="C3132" s="37">
        <f t="shared" si="102"/>
        <v>16.391666666666666</v>
      </c>
      <c r="D3132" s="37">
        <v>15.397</v>
      </c>
      <c r="E3132" s="33">
        <f t="shared" si="103"/>
        <v>1.5068634534007573E-2</v>
      </c>
    </row>
    <row r="3133" spans="1:5" x14ac:dyDescent="0.25">
      <c r="A3133" s="41">
        <v>43596</v>
      </c>
      <c r="B3133" s="29">
        <v>98.39</v>
      </c>
      <c r="C3133" s="37">
        <f t="shared" si="102"/>
        <v>16.398333333333333</v>
      </c>
      <c r="D3133" s="37">
        <v>15.397</v>
      </c>
      <c r="E3133" s="33">
        <f t="shared" si="103"/>
        <v>4.0671072699548813E-4</v>
      </c>
    </row>
    <row r="3134" spans="1:5" x14ac:dyDescent="0.25">
      <c r="A3134" s="41">
        <v>43596</v>
      </c>
      <c r="B3134" s="29">
        <v>98.35</v>
      </c>
      <c r="C3134" s="37">
        <f t="shared" si="102"/>
        <v>16.391666666666666</v>
      </c>
      <c r="D3134" s="37">
        <v>15.397</v>
      </c>
      <c r="E3134" s="33">
        <f t="shared" si="103"/>
        <v>-4.0654538062817619E-4</v>
      </c>
    </row>
    <row r="3135" spans="1:5" x14ac:dyDescent="0.25">
      <c r="A3135" s="41">
        <v>43596</v>
      </c>
      <c r="B3135" s="29">
        <v>98.15</v>
      </c>
      <c r="C3135" s="37">
        <f t="shared" si="102"/>
        <v>16.358333333333334</v>
      </c>
      <c r="D3135" s="37">
        <v>15.397</v>
      </c>
      <c r="E3135" s="33">
        <f t="shared" si="103"/>
        <v>-2.0335536349770072E-3</v>
      </c>
    </row>
    <row r="3136" spans="1:5" x14ac:dyDescent="0.25">
      <c r="A3136" s="41">
        <v>43596</v>
      </c>
      <c r="B3136" s="29">
        <v>98.14</v>
      </c>
      <c r="C3136" s="37">
        <f t="shared" si="102"/>
        <v>16.356666666666666</v>
      </c>
      <c r="D3136" s="37">
        <v>15.397</v>
      </c>
      <c r="E3136" s="33">
        <f t="shared" si="103"/>
        <v>-1.0188487009684275E-4</v>
      </c>
    </row>
    <row r="3137" spans="1:5" x14ac:dyDescent="0.25">
      <c r="A3137" s="41">
        <v>43596</v>
      </c>
      <c r="B3137" s="29">
        <v>98.17</v>
      </c>
      <c r="C3137" s="37">
        <f t="shared" si="102"/>
        <v>16.361666666666668</v>
      </c>
      <c r="D3137" s="37">
        <v>15.397</v>
      </c>
      <c r="E3137" s="33">
        <f t="shared" si="103"/>
        <v>3.0568575504382655E-4</v>
      </c>
    </row>
    <row r="3138" spans="1:5" x14ac:dyDescent="0.25">
      <c r="A3138" s="41">
        <v>43596</v>
      </c>
      <c r="B3138" s="29">
        <v>98.39</v>
      </c>
      <c r="C3138" s="37">
        <f t="shared" si="102"/>
        <v>16.398333333333333</v>
      </c>
      <c r="D3138" s="37">
        <v>15.397</v>
      </c>
      <c r="E3138" s="33">
        <f t="shared" si="103"/>
        <v>2.2410104920036556E-3</v>
      </c>
    </row>
    <row r="3139" spans="1:5" x14ac:dyDescent="0.25">
      <c r="A3139" s="41">
        <v>43596</v>
      </c>
      <c r="B3139" s="29">
        <v>99.18</v>
      </c>
      <c r="C3139" s="37">
        <f t="shared" ref="C3139:C3202" si="104">(B3139*100/600)</f>
        <v>16.53</v>
      </c>
      <c r="D3139" s="37">
        <v>15.397</v>
      </c>
      <c r="E3139" s="33">
        <f t="shared" si="103"/>
        <v>8.0292712674052882E-3</v>
      </c>
    </row>
    <row r="3140" spans="1:5" x14ac:dyDescent="0.25">
      <c r="A3140" s="41">
        <v>43596</v>
      </c>
      <c r="B3140" s="29">
        <v>100.39</v>
      </c>
      <c r="C3140" s="37">
        <f t="shared" si="104"/>
        <v>16.731666666666666</v>
      </c>
      <c r="D3140" s="37">
        <v>15.397</v>
      </c>
      <c r="E3140" s="33">
        <f t="shared" ref="E3140:E3203" si="105">(B3140-B3139)/B3139</f>
        <v>1.2200040330711773E-2</v>
      </c>
    </row>
    <row r="3141" spans="1:5" x14ac:dyDescent="0.25">
      <c r="A3141" s="41">
        <v>43596</v>
      </c>
      <c r="B3141" s="29">
        <v>100.17</v>
      </c>
      <c r="C3141" s="37">
        <f t="shared" si="104"/>
        <v>16.695</v>
      </c>
      <c r="D3141" s="37">
        <v>15.397</v>
      </c>
      <c r="E3141" s="33">
        <f t="shared" si="105"/>
        <v>-2.1914533320051685E-3</v>
      </c>
    </row>
    <row r="3142" spans="1:5" x14ac:dyDescent="0.25">
      <c r="A3142" s="41">
        <v>43596</v>
      </c>
      <c r="B3142" s="29">
        <v>99.47</v>
      </c>
      <c r="C3142" s="37">
        <f t="shared" si="104"/>
        <v>16.578333333333333</v>
      </c>
      <c r="D3142" s="37">
        <v>15.397</v>
      </c>
      <c r="E3142" s="33">
        <f t="shared" si="105"/>
        <v>-6.9881201956673933E-3</v>
      </c>
    </row>
    <row r="3143" spans="1:5" x14ac:dyDescent="0.25">
      <c r="A3143" s="41">
        <v>43596</v>
      </c>
      <c r="B3143" s="29">
        <v>98.92</v>
      </c>
      <c r="C3143" s="37">
        <f t="shared" si="104"/>
        <v>16.486666666666668</v>
      </c>
      <c r="D3143" s="37">
        <v>15.397</v>
      </c>
      <c r="E3143" s="33">
        <f t="shared" si="105"/>
        <v>-5.5293053181863592E-3</v>
      </c>
    </row>
    <row r="3144" spans="1:5" x14ac:dyDescent="0.25">
      <c r="A3144" s="41">
        <v>43596</v>
      </c>
      <c r="B3144" s="29">
        <v>97.93</v>
      </c>
      <c r="C3144" s="37">
        <f t="shared" si="104"/>
        <v>16.321666666666665</v>
      </c>
      <c r="D3144" s="37">
        <v>15.397</v>
      </c>
      <c r="E3144" s="33">
        <f t="shared" si="105"/>
        <v>-1.0008087343307671E-2</v>
      </c>
    </row>
    <row r="3145" spans="1:5" x14ac:dyDescent="0.25">
      <c r="A3145" s="41">
        <v>43596</v>
      </c>
      <c r="B3145" s="29">
        <v>96.5</v>
      </c>
      <c r="C3145" s="37">
        <f t="shared" si="104"/>
        <v>16.083333333333332</v>
      </c>
      <c r="D3145" s="37">
        <v>15.397</v>
      </c>
      <c r="E3145" s="33">
        <f t="shared" si="105"/>
        <v>-1.4602266925354913E-2</v>
      </c>
    </row>
    <row r="3146" spans="1:5" x14ac:dyDescent="0.25">
      <c r="A3146" s="41">
        <v>43597</v>
      </c>
      <c r="B3146" s="29">
        <v>74.73</v>
      </c>
      <c r="C3146" s="37">
        <f t="shared" si="104"/>
        <v>12.455</v>
      </c>
      <c r="D3146" s="37">
        <v>18.571999999999999</v>
      </c>
      <c r="E3146" s="33">
        <f t="shared" si="105"/>
        <v>-0.22559585492227976</v>
      </c>
    </row>
    <row r="3147" spans="1:5" x14ac:dyDescent="0.25">
      <c r="A3147" s="41">
        <v>43597</v>
      </c>
      <c r="B3147" s="29">
        <v>42.35</v>
      </c>
      <c r="C3147" s="37">
        <f t="shared" si="104"/>
        <v>7.0583333333333336</v>
      </c>
      <c r="D3147" s="37">
        <v>18.571999999999999</v>
      </c>
      <c r="E3147" s="33">
        <f t="shared" si="105"/>
        <v>-0.43329318881306034</v>
      </c>
    </row>
    <row r="3148" spans="1:5" x14ac:dyDescent="0.25">
      <c r="A3148" s="41">
        <v>43597</v>
      </c>
      <c r="B3148" s="29">
        <v>42.35</v>
      </c>
      <c r="C3148" s="37">
        <f t="shared" si="104"/>
        <v>7.0583333333333336</v>
      </c>
      <c r="D3148" s="37">
        <v>18.571999999999999</v>
      </c>
      <c r="E3148" s="33">
        <f t="shared" si="105"/>
        <v>0</v>
      </c>
    </row>
    <row r="3149" spans="1:5" x14ac:dyDescent="0.25">
      <c r="A3149" s="41">
        <v>43597</v>
      </c>
      <c r="B3149" s="29">
        <v>42.35</v>
      </c>
      <c r="C3149" s="37">
        <f t="shared" si="104"/>
        <v>7.0583333333333336</v>
      </c>
      <c r="D3149" s="37">
        <v>18.571999999999999</v>
      </c>
      <c r="E3149" s="33">
        <f t="shared" si="105"/>
        <v>0</v>
      </c>
    </row>
    <row r="3150" spans="1:5" x14ac:dyDescent="0.25">
      <c r="A3150" s="41">
        <v>43597</v>
      </c>
      <c r="B3150" s="29">
        <v>42.35</v>
      </c>
      <c r="C3150" s="37">
        <f t="shared" si="104"/>
        <v>7.0583333333333336</v>
      </c>
      <c r="D3150" s="37">
        <v>18.571999999999999</v>
      </c>
      <c r="E3150" s="33">
        <f t="shared" si="105"/>
        <v>0</v>
      </c>
    </row>
    <row r="3151" spans="1:5" x14ac:dyDescent="0.25">
      <c r="A3151" s="41">
        <v>43597</v>
      </c>
      <c r="B3151" s="29">
        <v>42.35</v>
      </c>
      <c r="C3151" s="37">
        <f t="shared" si="104"/>
        <v>7.0583333333333336</v>
      </c>
      <c r="D3151" s="37">
        <v>18.571999999999999</v>
      </c>
      <c r="E3151" s="33">
        <f t="shared" si="105"/>
        <v>0</v>
      </c>
    </row>
    <row r="3152" spans="1:5" x14ac:dyDescent="0.25">
      <c r="A3152" s="41">
        <v>43597</v>
      </c>
      <c r="B3152" s="29">
        <v>42.35</v>
      </c>
      <c r="C3152" s="37">
        <f t="shared" si="104"/>
        <v>7.0583333333333336</v>
      </c>
      <c r="D3152" s="37">
        <v>18.571999999999999</v>
      </c>
      <c r="E3152" s="33">
        <f t="shared" si="105"/>
        <v>0</v>
      </c>
    </row>
    <row r="3153" spans="1:5" x14ac:dyDescent="0.25">
      <c r="A3153" s="41">
        <v>43597</v>
      </c>
      <c r="B3153" s="29">
        <v>42.35</v>
      </c>
      <c r="C3153" s="37">
        <f t="shared" si="104"/>
        <v>7.0583333333333336</v>
      </c>
      <c r="D3153" s="37">
        <v>18.571999999999999</v>
      </c>
      <c r="E3153" s="33">
        <f t="shared" si="105"/>
        <v>0</v>
      </c>
    </row>
    <row r="3154" spans="1:5" x14ac:dyDescent="0.25">
      <c r="A3154" s="41">
        <v>43597</v>
      </c>
      <c r="B3154" s="29">
        <v>42.35</v>
      </c>
      <c r="C3154" s="37">
        <f t="shared" si="104"/>
        <v>7.0583333333333336</v>
      </c>
      <c r="D3154" s="37">
        <v>18.571999999999999</v>
      </c>
      <c r="E3154" s="33">
        <f t="shared" si="105"/>
        <v>0</v>
      </c>
    </row>
    <row r="3155" spans="1:5" x14ac:dyDescent="0.25">
      <c r="A3155" s="41">
        <v>43597</v>
      </c>
      <c r="B3155" s="29">
        <v>76.849999999999994</v>
      </c>
      <c r="C3155" s="37">
        <f t="shared" si="104"/>
        <v>12.808333333333332</v>
      </c>
      <c r="D3155" s="37">
        <v>18.571999999999999</v>
      </c>
      <c r="E3155" s="33">
        <f t="shared" si="105"/>
        <v>0.81463990554899623</v>
      </c>
    </row>
    <row r="3156" spans="1:5" x14ac:dyDescent="0.25">
      <c r="A3156" s="41">
        <v>43597</v>
      </c>
      <c r="B3156" s="29">
        <v>90.56</v>
      </c>
      <c r="C3156" s="37">
        <f t="shared" si="104"/>
        <v>15.093333333333334</v>
      </c>
      <c r="D3156" s="37">
        <v>18.571999999999999</v>
      </c>
      <c r="E3156" s="33">
        <f t="shared" si="105"/>
        <v>0.17839947950553037</v>
      </c>
    </row>
    <row r="3157" spans="1:5" x14ac:dyDescent="0.25">
      <c r="A3157" s="41">
        <v>43597</v>
      </c>
      <c r="B3157" s="29">
        <v>91.13</v>
      </c>
      <c r="C3157" s="37">
        <f t="shared" si="104"/>
        <v>15.188333333333333</v>
      </c>
      <c r="D3157" s="37">
        <v>18.571999999999999</v>
      </c>
      <c r="E3157" s="33">
        <f t="shared" si="105"/>
        <v>6.2941696113073447E-3</v>
      </c>
    </row>
    <row r="3158" spans="1:5" x14ac:dyDescent="0.25">
      <c r="A3158" s="41">
        <v>43597</v>
      </c>
      <c r="B3158" s="29">
        <v>90.41</v>
      </c>
      <c r="C3158" s="37">
        <f t="shared" si="104"/>
        <v>15.068333333333333</v>
      </c>
      <c r="D3158" s="37">
        <v>18.571999999999999</v>
      </c>
      <c r="E3158" s="33">
        <f t="shared" si="105"/>
        <v>-7.900801053440128E-3</v>
      </c>
    </row>
    <row r="3159" spans="1:5" x14ac:dyDescent="0.25">
      <c r="A3159" s="41">
        <v>43597</v>
      </c>
      <c r="B3159" s="29">
        <v>88.05</v>
      </c>
      <c r="C3159" s="37">
        <f t="shared" si="104"/>
        <v>14.675000000000001</v>
      </c>
      <c r="D3159" s="37">
        <v>18.571999999999999</v>
      </c>
      <c r="E3159" s="33">
        <f t="shared" si="105"/>
        <v>-2.6103307156288016E-2</v>
      </c>
    </row>
    <row r="3160" spans="1:5" x14ac:dyDescent="0.25">
      <c r="A3160" s="41">
        <v>43597</v>
      </c>
      <c r="B3160" s="29">
        <v>87.73</v>
      </c>
      <c r="C3160" s="37">
        <f t="shared" si="104"/>
        <v>14.621666666666666</v>
      </c>
      <c r="D3160" s="37">
        <v>18.571999999999999</v>
      </c>
      <c r="E3160" s="33">
        <f t="shared" si="105"/>
        <v>-3.6342986939238296E-3</v>
      </c>
    </row>
    <row r="3161" spans="1:5" x14ac:dyDescent="0.25">
      <c r="A3161" s="41">
        <v>43597</v>
      </c>
      <c r="B3161" s="29">
        <v>88.05</v>
      </c>
      <c r="C3161" s="37">
        <f t="shared" si="104"/>
        <v>14.675000000000001</v>
      </c>
      <c r="D3161" s="37">
        <v>18.571999999999999</v>
      </c>
      <c r="E3161" s="33">
        <f t="shared" si="105"/>
        <v>3.6475549982901306E-3</v>
      </c>
    </row>
    <row r="3162" spans="1:5" x14ac:dyDescent="0.25">
      <c r="A3162" s="41">
        <v>43597</v>
      </c>
      <c r="B3162" s="29">
        <v>91.95</v>
      </c>
      <c r="C3162" s="37">
        <f t="shared" si="104"/>
        <v>15.324999999999999</v>
      </c>
      <c r="D3162" s="37">
        <v>18.571999999999999</v>
      </c>
      <c r="E3162" s="33">
        <f t="shared" si="105"/>
        <v>4.4293015332197684E-2</v>
      </c>
    </row>
    <row r="3163" spans="1:5" x14ac:dyDescent="0.25">
      <c r="A3163" s="41">
        <v>43597</v>
      </c>
      <c r="B3163" s="29">
        <v>95</v>
      </c>
      <c r="C3163" s="37">
        <f t="shared" si="104"/>
        <v>15.833333333333334</v>
      </c>
      <c r="D3163" s="37">
        <v>18.571999999999999</v>
      </c>
      <c r="E3163" s="33">
        <f t="shared" si="105"/>
        <v>3.3170201196302304E-2</v>
      </c>
    </row>
    <row r="3164" spans="1:5" x14ac:dyDescent="0.25">
      <c r="A3164" s="41">
        <v>43597</v>
      </c>
      <c r="B3164" s="29">
        <v>98.98</v>
      </c>
      <c r="C3164" s="37">
        <f t="shared" si="104"/>
        <v>16.496666666666666</v>
      </c>
      <c r="D3164" s="37">
        <v>18.571999999999999</v>
      </c>
      <c r="E3164" s="33">
        <f t="shared" si="105"/>
        <v>4.1894736842105304E-2</v>
      </c>
    </row>
    <row r="3165" spans="1:5" x14ac:dyDescent="0.25">
      <c r="A3165" s="41">
        <v>43597</v>
      </c>
      <c r="B3165" s="29">
        <v>98.36</v>
      </c>
      <c r="C3165" s="37">
        <f t="shared" si="104"/>
        <v>16.393333333333334</v>
      </c>
      <c r="D3165" s="37">
        <v>18.571999999999999</v>
      </c>
      <c r="E3165" s="33">
        <f t="shared" si="105"/>
        <v>-6.2638916952920242E-3</v>
      </c>
    </row>
    <row r="3166" spans="1:5" x14ac:dyDescent="0.25">
      <c r="A3166" s="41">
        <v>43597</v>
      </c>
      <c r="B3166" s="29">
        <v>97.98</v>
      </c>
      <c r="C3166" s="37">
        <f t="shared" si="104"/>
        <v>16.329999999999998</v>
      </c>
      <c r="D3166" s="37">
        <v>18.571999999999999</v>
      </c>
      <c r="E3166" s="33">
        <f t="shared" si="105"/>
        <v>-3.8633590890605474E-3</v>
      </c>
    </row>
    <row r="3167" spans="1:5" x14ac:dyDescent="0.25">
      <c r="A3167" s="41">
        <v>43597</v>
      </c>
      <c r="B3167" s="29">
        <v>97.59</v>
      </c>
      <c r="C3167" s="37">
        <f t="shared" si="104"/>
        <v>16.265000000000001</v>
      </c>
      <c r="D3167" s="37">
        <v>18.571999999999999</v>
      </c>
      <c r="E3167" s="33">
        <f t="shared" si="105"/>
        <v>-3.9804041641151311E-3</v>
      </c>
    </row>
    <row r="3168" spans="1:5" x14ac:dyDescent="0.25">
      <c r="A3168" s="41">
        <v>43597</v>
      </c>
      <c r="B3168" s="29">
        <v>96.12</v>
      </c>
      <c r="C3168" s="37">
        <f t="shared" si="104"/>
        <v>16.02</v>
      </c>
      <c r="D3168" s="37">
        <v>18.571999999999999</v>
      </c>
      <c r="E3168" s="33">
        <f t="shared" si="105"/>
        <v>-1.5063018751921292E-2</v>
      </c>
    </row>
    <row r="3169" spans="1:5" x14ac:dyDescent="0.25">
      <c r="A3169" s="41">
        <v>43597</v>
      </c>
      <c r="B3169" s="29">
        <v>95</v>
      </c>
      <c r="C3169" s="37">
        <f t="shared" si="104"/>
        <v>15.833333333333334</v>
      </c>
      <c r="D3169" s="37">
        <v>18.571999999999999</v>
      </c>
      <c r="E3169" s="33">
        <f t="shared" si="105"/>
        <v>-1.1652101539742036E-2</v>
      </c>
    </row>
    <row r="3170" spans="1:5" x14ac:dyDescent="0.25">
      <c r="A3170" s="41">
        <v>43598</v>
      </c>
      <c r="B3170" s="29">
        <v>73.349999999999994</v>
      </c>
      <c r="C3170" s="37">
        <f t="shared" si="104"/>
        <v>12.224999999999998</v>
      </c>
      <c r="D3170" s="37">
        <v>17.181999999999999</v>
      </c>
      <c r="E3170" s="33">
        <f t="shared" si="105"/>
        <v>-0.22789473684210532</v>
      </c>
    </row>
    <row r="3171" spans="1:5" x14ac:dyDescent="0.25">
      <c r="A3171" s="41">
        <v>43598</v>
      </c>
      <c r="B3171" s="29">
        <v>42.35</v>
      </c>
      <c r="C3171" s="37">
        <f t="shared" si="104"/>
        <v>7.0583333333333336</v>
      </c>
      <c r="D3171" s="37">
        <v>17.181999999999999</v>
      </c>
      <c r="E3171" s="33">
        <f t="shared" si="105"/>
        <v>-0.42263122017723237</v>
      </c>
    </row>
    <row r="3172" spans="1:5" x14ac:dyDescent="0.25">
      <c r="A3172" s="41">
        <v>43598</v>
      </c>
      <c r="B3172" s="29">
        <v>42.35</v>
      </c>
      <c r="C3172" s="37">
        <f t="shared" si="104"/>
        <v>7.0583333333333336</v>
      </c>
      <c r="D3172" s="37">
        <v>17.181999999999999</v>
      </c>
      <c r="E3172" s="33">
        <f t="shared" si="105"/>
        <v>0</v>
      </c>
    </row>
    <row r="3173" spans="1:5" x14ac:dyDescent="0.25">
      <c r="A3173" s="41">
        <v>43598</v>
      </c>
      <c r="B3173" s="29">
        <v>42.35</v>
      </c>
      <c r="C3173" s="37">
        <f t="shared" si="104"/>
        <v>7.0583333333333336</v>
      </c>
      <c r="D3173" s="37">
        <v>17.181999999999999</v>
      </c>
      <c r="E3173" s="33">
        <f t="shared" si="105"/>
        <v>0</v>
      </c>
    </row>
    <row r="3174" spans="1:5" x14ac:dyDescent="0.25">
      <c r="A3174" s="41">
        <v>43598</v>
      </c>
      <c r="B3174" s="29">
        <v>42.35</v>
      </c>
      <c r="C3174" s="37">
        <f t="shared" si="104"/>
        <v>7.0583333333333336</v>
      </c>
      <c r="D3174" s="37">
        <v>17.181999999999999</v>
      </c>
      <c r="E3174" s="33">
        <f t="shared" si="105"/>
        <v>0</v>
      </c>
    </row>
    <row r="3175" spans="1:5" x14ac:dyDescent="0.25">
      <c r="A3175" s="41">
        <v>43598</v>
      </c>
      <c r="B3175" s="29">
        <v>75.58</v>
      </c>
      <c r="C3175" s="37">
        <f t="shared" si="104"/>
        <v>12.596666666666666</v>
      </c>
      <c r="D3175" s="37">
        <v>17.181999999999999</v>
      </c>
      <c r="E3175" s="33">
        <f t="shared" si="105"/>
        <v>0.78465171192443905</v>
      </c>
    </row>
    <row r="3176" spans="1:5" x14ac:dyDescent="0.25">
      <c r="A3176" s="41">
        <v>43598</v>
      </c>
      <c r="B3176" s="29">
        <v>96.85</v>
      </c>
      <c r="C3176" s="37">
        <f t="shared" si="104"/>
        <v>16.141666666666666</v>
      </c>
      <c r="D3176" s="37">
        <v>17.181999999999999</v>
      </c>
      <c r="E3176" s="33">
        <f t="shared" si="105"/>
        <v>0.28142365705213013</v>
      </c>
    </row>
    <row r="3177" spans="1:5" x14ac:dyDescent="0.25">
      <c r="A3177" s="41">
        <v>43598</v>
      </c>
      <c r="B3177" s="29">
        <v>98.84</v>
      </c>
      <c r="C3177" s="37">
        <f t="shared" si="104"/>
        <v>16.473333333333333</v>
      </c>
      <c r="D3177" s="37">
        <v>17.181999999999999</v>
      </c>
      <c r="E3177" s="33">
        <f t="shared" si="105"/>
        <v>2.0547237996902522E-2</v>
      </c>
    </row>
    <row r="3178" spans="1:5" x14ac:dyDescent="0.25">
      <c r="A3178" s="41">
        <v>43598</v>
      </c>
      <c r="B3178" s="29">
        <v>100.96</v>
      </c>
      <c r="C3178" s="37">
        <f t="shared" si="104"/>
        <v>16.826666666666668</v>
      </c>
      <c r="D3178" s="37">
        <v>17.181999999999999</v>
      </c>
      <c r="E3178" s="33">
        <f t="shared" si="105"/>
        <v>2.1448806151355627E-2</v>
      </c>
    </row>
    <row r="3179" spans="1:5" x14ac:dyDescent="0.25">
      <c r="A3179" s="41">
        <v>43598</v>
      </c>
      <c r="B3179" s="29">
        <v>101.4</v>
      </c>
      <c r="C3179" s="37">
        <f t="shared" si="104"/>
        <v>16.899999999999999</v>
      </c>
      <c r="D3179" s="37">
        <v>17.181999999999999</v>
      </c>
      <c r="E3179" s="33">
        <f t="shared" si="105"/>
        <v>4.3581616481776142E-3</v>
      </c>
    </row>
    <row r="3180" spans="1:5" x14ac:dyDescent="0.25">
      <c r="A3180" s="41">
        <v>43598</v>
      </c>
      <c r="B3180" s="29">
        <v>101.54</v>
      </c>
      <c r="C3180" s="37">
        <f t="shared" si="104"/>
        <v>16.923333333333332</v>
      </c>
      <c r="D3180" s="37">
        <v>17.181999999999999</v>
      </c>
      <c r="E3180" s="33">
        <f t="shared" si="105"/>
        <v>1.3806706114398478E-3</v>
      </c>
    </row>
    <row r="3181" spans="1:5" x14ac:dyDescent="0.25">
      <c r="A3181" s="41">
        <v>43598</v>
      </c>
      <c r="B3181" s="29">
        <v>101.81</v>
      </c>
      <c r="C3181" s="37">
        <f t="shared" si="104"/>
        <v>16.968333333333334</v>
      </c>
      <c r="D3181" s="37">
        <v>17.181999999999999</v>
      </c>
      <c r="E3181" s="33">
        <f t="shared" si="105"/>
        <v>2.6590506204451055E-3</v>
      </c>
    </row>
    <row r="3182" spans="1:5" x14ac:dyDescent="0.25">
      <c r="A3182" s="41">
        <v>43598</v>
      </c>
      <c r="B3182" s="29">
        <v>101.51</v>
      </c>
      <c r="C3182" s="37">
        <f t="shared" si="104"/>
        <v>16.918333333333333</v>
      </c>
      <c r="D3182" s="37">
        <v>17.181999999999999</v>
      </c>
      <c r="E3182" s="33">
        <f t="shared" si="105"/>
        <v>-2.9466653570375911E-3</v>
      </c>
    </row>
    <row r="3183" spans="1:5" x14ac:dyDescent="0.25">
      <c r="A3183" s="41">
        <v>43598</v>
      </c>
      <c r="B3183" s="29">
        <v>101.85</v>
      </c>
      <c r="C3183" s="37">
        <f t="shared" si="104"/>
        <v>16.975000000000001</v>
      </c>
      <c r="D3183" s="37">
        <v>17.181999999999999</v>
      </c>
      <c r="E3183" s="33">
        <f t="shared" si="105"/>
        <v>3.3494237020982088E-3</v>
      </c>
    </row>
    <row r="3184" spans="1:5" x14ac:dyDescent="0.25">
      <c r="A3184" s="41">
        <v>43598</v>
      </c>
      <c r="B3184" s="29">
        <v>101.9</v>
      </c>
      <c r="C3184" s="37">
        <f t="shared" si="104"/>
        <v>16.983333333333334</v>
      </c>
      <c r="D3184" s="37">
        <v>17.181999999999999</v>
      </c>
      <c r="E3184" s="33">
        <f t="shared" si="105"/>
        <v>4.9091801669132423E-4</v>
      </c>
    </row>
    <row r="3185" spans="1:5" x14ac:dyDescent="0.25">
      <c r="A3185" s="41">
        <v>43598</v>
      </c>
      <c r="B3185" s="29">
        <v>101.92</v>
      </c>
      <c r="C3185" s="37">
        <f t="shared" si="104"/>
        <v>16.986666666666668</v>
      </c>
      <c r="D3185" s="37">
        <v>17.181999999999999</v>
      </c>
      <c r="E3185" s="33">
        <f t="shared" si="105"/>
        <v>1.9627085377817488E-4</v>
      </c>
    </row>
    <row r="3186" spans="1:5" x14ac:dyDescent="0.25">
      <c r="A3186" s="41">
        <v>43598</v>
      </c>
      <c r="B3186" s="29">
        <v>101.93</v>
      </c>
      <c r="C3186" s="37">
        <f t="shared" si="104"/>
        <v>16.988333333333333</v>
      </c>
      <c r="D3186" s="37">
        <v>17.181999999999999</v>
      </c>
      <c r="E3186" s="33">
        <f t="shared" si="105"/>
        <v>9.8116169544791164E-5</v>
      </c>
    </row>
    <row r="3187" spans="1:5" x14ac:dyDescent="0.25">
      <c r="A3187" s="41">
        <v>43598</v>
      </c>
      <c r="B3187" s="29">
        <v>101.88</v>
      </c>
      <c r="C3187" s="37">
        <f t="shared" si="104"/>
        <v>16.98</v>
      </c>
      <c r="D3187" s="37">
        <v>17.181999999999999</v>
      </c>
      <c r="E3187" s="33">
        <f t="shared" si="105"/>
        <v>-4.9053271853243755E-4</v>
      </c>
    </row>
    <row r="3188" spans="1:5" x14ac:dyDescent="0.25">
      <c r="A3188" s="41">
        <v>43598</v>
      </c>
      <c r="B3188" s="29">
        <v>101.95</v>
      </c>
      <c r="C3188" s="37">
        <f t="shared" si="104"/>
        <v>16.991666666666667</v>
      </c>
      <c r="D3188" s="37">
        <v>17.181999999999999</v>
      </c>
      <c r="E3188" s="33">
        <f t="shared" si="105"/>
        <v>6.8708284255994693E-4</v>
      </c>
    </row>
    <row r="3189" spans="1:5" x14ac:dyDescent="0.25">
      <c r="A3189" s="41">
        <v>43598</v>
      </c>
      <c r="B3189" s="29">
        <v>101.93</v>
      </c>
      <c r="C3189" s="37">
        <f t="shared" si="104"/>
        <v>16.988333333333333</v>
      </c>
      <c r="D3189" s="37">
        <v>17.181999999999999</v>
      </c>
      <c r="E3189" s="33">
        <f t="shared" si="105"/>
        <v>-1.9617459538985796E-4</v>
      </c>
    </row>
    <row r="3190" spans="1:5" x14ac:dyDescent="0.25">
      <c r="A3190" s="41">
        <v>43598</v>
      </c>
      <c r="B3190" s="29">
        <v>101.89</v>
      </c>
      <c r="C3190" s="37">
        <f t="shared" si="104"/>
        <v>16.981666666666666</v>
      </c>
      <c r="D3190" s="37">
        <v>17.181999999999999</v>
      </c>
      <c r="E3190" s="33">
        <f t="shared" si="105"/>
        <v>-3.9242617482592221E-4</v>
      </c>
    </row>
    <row r="3191" spans="1:5" x14ac:dyDescent="0.25">
      <c r="A3191" s="41">
        <v>43598</v>
      </c>
      <c r="B3191" s="29">
        <v>101.38</v>
      </c>
      <c r="C3191" s="37">
        <f t="shared" si="104"/>
        <v>16.896666666666668</v>
      </c>
      <c r="D3191" s="37">
        <v>17.181999999999999</v>
      </c>
      <c r="E3191" s="33">
        <f t="shared" si="105"/>
        <v>-5.0053979782118474E-3</v>
      </c>
    </row>
    <row r="3192" spans="1:5" x14ac:dyDescent="0.25">
      <c r="A3192" s="41">
        <v>43598</v>
      </c>
      <c r="B3192" s="29">
        <v>101.13</v>
      </c>
      <c r="C3192" s="37">
        <f t="shared" si="104"/>
        <v>16.855</v>
      </c>
      <c r="D3192" s="37">
        <v>17.181999999999999</v>
      </c>
      <c r="E3192" s="33">
        <f t="shared" si="105"/>
        <v>-2.4659696192542908E-3</v>
      </c>
    </row>
    <row r="3193" spans="1:5" x14ac:dyDescent="0.25">
      <c r="A3193" s="41">
        <v>43598</v>
      </c>
      <c r="B3193" s="29">
        <v>100.27</v>
      </c>
      <c r="C3193" s="37">
        <f t="shared" si="104"/>
        <v>16.711666666666666</v>
      </c>
      <c r="D3193" s="37">
        <v>17.181999999999999</v>
      </c>
      <c r="E3193" s="33">
        <f t="shared" si="105"/>
        <v>-8.5039058637397351E-3</v>
      </c>
    </row>
    <row r="3194" spans="1:5" x14ac:dyDescent="0.25">
      <c r="A3194" s="41">
        <v>43599</v>
      </c>
      <c r="B3194" s="29">
        <v>99.27</v>
      </c>
      <c r="C3194" s="37">
        <f t="shared" si="104"/>
        <v>16.545000000000002</v>
      </c>
      <c r="D3194" s="37">
        <v>14.817</v>
      </c>
      <c r="E3194" s="33">
        <f t="shared" si="105"/>
        <v>-9.9730727037000109E-3</v>
      </c>
    </row>
    <row r="3195" spans="1:5" x14ac:dyDescent="0.25">
      <c r="A3195" s="41">
        <v>43599</v>
      </c>
      <c r="B3195" s="29">
        <v>97.67</v>
      </c>
      <c r="C3195" s="37">
        <f t="shared" si="104"/>
        <v>16.278333333333332</v>
      </c>
      <c r="D3195" s="37">
        <v>14.817</v>
      </c>
      <c r="E3195" s="33">
        <f t="shared" si="105"/>
        <v>-1.6117658910043259E-2</v>
      </c>
    </row>
    <row r="3196" spans="1:5" x14ac:dyDescent="0.25">
      <c r="A3196" s="41">
        <v>43599</v>
      </c>
      <c r="B3196" s="29">
        <v>96.49</v>
      </c>
      <c r="C3196" s="37">
        <f t="shared" si="104"/>
        <v>16.081666666666667</v>
      </c>
      <c r="D3196" s="37">
        <v>14.817</v>
      </c>
      <c r="E3196" s="33">
        <f t="shared" si="105"/>
        <v>-1.2081498924951436E-2</v>
      </c>
    </row>
    <row r="3197" spans="1:5" x14ac:dyDescent="0.25">
      <c r="A3197" s="41">
        <v>43599</v>
      </c>
      <c r="B3197" s="29">
        <v>96.37</v>
      </c>
      <c r="C3197" s="37">
        <f t="shared" si="104"/>
        <v>16.061666666666667</v>
      </c>
      <c r="D3197" s="37">
        <v>14.817</v>
      </c>
      <c r="E3197" s="33">
        <f t="shared" si="105"/>
        <v>-1.2436521919368883E-3</v>
      </c>
    </row>
    <row r="3198" spans="1:5" x14ac:dyDescent="0.25">
      <c r="A3198" s="41">
        <v>43599</v>
      </c>
      <c r="B3198" s="29">
        <v>96.48</v>
      </c>
      <c r="C3198" s="37">
        <f t="shared" si="104"/>
        <v>16.079999999999998</v>
      </c>
      <c r="D3198" s="37">
        <v>14.817</v>
      </c>
      <c r="E3198" s="33">
        <f t="shared" si="105"/>
        <v>1.141434056241563E-3</v>
      </c>
    </row>
    <row r="3199" spans="1:5" x14ac:dyDescent="0.25">
      <c r="A3199" s="41">
        <v>43599</v>
      </c>
      <c r="B3199" s="29">
        <v>97.75</v>
      </c>
      <c r="C3199" s="37">
        <f t="shared" si="104"/>
        <v>16.291666666666668</v>
      </c>
      <c r="D3199" s="37">
        <v>14.817</v>
      </c>
      <c r="E3199" s="33">
        <f t="shared" si="105"/>
        <v>1.3163349917081218E-2</v>
      </c>
    </row>
    <row r="3200" spans="1:5" x14ac:dyDescent="0.25">
      <c r="A3200" s="41">
        <v>43599</v>
      </c>
      <c r="B3200" s="29">
        <v>99.66</v>
      </c>
      <c r="C3200" s="37">
        <f t="shared" si="104"/>
        <v>16.61</v>
      </c>
      <c r="D3200" s="37">
        <v>14.817</v>
      </c>
      <c r="E3200" s="33">
        <f t="shared" si="105"/>
        <v>1.953964194373398E-2</v>
      </c>
    </row>
    <row r="3201" spans="1:5" x14ac:dyDescent="0.25">
      <c r="A3201" s="41">
        <v>43599</v>
      </c>
      <c r="B3201" s="29">
        <v>100.53</v>
      </c>
      <c r="C3201" s="37">
        <f t="shared" si="104"/>
        <v>16.754999999999999</v>
      </c>
      <c r="D3201" s="37">
        <v>14.817</v>
      </c>
      <c r="E3201" s="33">
        <f t="shared" si="105"/>
        <v>8.7296809151114242E-3</v>
      </c>
    </row>
    <row r="3202" spans="1:5" x14ac:dyDescent="0.25">
      <c r="A3202" s="41">
        <v>43599</v>
      </c>
      <c r="B3202" s="29">
        <v>100.93</v>
      </c>
      <c r="C3202" s="37">
        <f t="shared" si="104"/>
        <v>16.821666666666665</v>
      </c>
      <c r="D3202" s="37">
        <v>14.817</v>
      </c>
      <c r="E3202" s="33">
        <f t="shared" si="105"/>
        <v>3.9789117676316092E-3</v>
      </c>
    </row>
    <row r="3203" spans="1:5" x14ac:dyDescent="0.25">
      <c r="A3203" s="41">
        <v>43599</v>
      </c>
      <c r="B3203" s="29">
        <v>101.2</v>
      </c>
      <c r="C3203" s="37">
        <f t="shared" ref="C3203:C3266" si="106">(B3203*100/600)</f>
        <v>16.866666666666667</v>
      </c>
      <c r="D3203" s="37">
        <v>14.817</v>
      </c>
      <c r="E3203" s="33">
        <f t="shared" si="105"/>
        <v>2.6751213712473596E-3</v>
      </c>
    </row>
    <row r="3204" spans="1:5" x14ac:dyDescent="0.25">
      <c r="A3204" s="41">
        <v>43599</v>
      </c>
      <c r="B3204" s="29">
        <v>102.77</v>
      </c>
      <c r="C3204" s="37">
        <f t="shared" si="106"/>
        <v>17.128333333333334</v>
      </c>
      <c r="D3204" s="37">
        <v>14.817</v>
      </c>
      <c r="E3204" s="33">
        <f t="shared" ref="E3204:E3267" si="107">(B3204-B3203)/B3203</f>
        <v>1.5513833992094795E-2</v>
      </c>
    </row>
    <row r="3205" spans="1:5" x14ac:dyDescent="0.25">
      <c r="A3205" s="41">
        <v>43599</v>
      </c>
      <c r="B3205" s="29">
        <v>102.92</v>
      </c>
      <c r="C3205" s="37">
        <f t="shared" si="106"/>
        <v>17.153333333333332</v>
      </c>
      <c r="D3205" s="37">
        <v>14.817</v>
      </c>
      <c r="E3205" s="33">
        <f t="shared" si="107"/>
        <v>1.4595699133989073E-3</v>
      </c>
    </row>
    <row r="3206" spans="1:5" x14ac:dyDescent="0.25">
      <c r="A3206" s="41">
        <v>43599</v>
      </c>
      <c r="B3206" s="29">
        <v>102.13</v>
      </c>
      <c r="C3206" s="37">
        <f t="shared" si="106"/>
        <v>17.021666666666668</v>
      </c>
      <c r="D3206" s="37">
        <v>14.817</v>
      </c>
      <c r="E3206" s="33">
        <f t="shared" si="107"/>
        <v>-7.6758647493199205E-3</v>
      </c>
    </row>
    <row r="3207" spans="1:5" x14ac:dyDescent="0.25">
      <c r="A3207" s="41">
        <v>43599</v>
      </c>
      <c r="B3207" s="29">
        <v>102.92</v>
      </c>
      <c r="C3207" s="37">
        <f t="shared" si="106"/>
        <v>17.153333333333332</v>
      </c>
      <c r="D3207" s="37">
        <v>14.817</v>
      </c>
      <c r="E3207" s="33">
        <f t="shared" si="107"/>
        <v>7.7352394007637942E-3</v>
      </c>
    </row>
    <row r="3208" spans="1:5" x14ac:dyDescent="0.25">
      <c r="A3208" s="41">
        <v>43599</v>
      </c>
      <c r="B3208" s="29">
        <v>103.4</v>
      </c>
      <c r="C3208" s="37">
        <f t="shared" si="106"/>
        <v>17.233333333333334</v>
      </c>
      <c r="D3208" s="37">
        <v>14.817</v>
      </c>
      <c r="E3208" s="33">
        <f t="shared" si="107"/>
        <v>4.6638165565488143E-3</v>
      </c>
    </row>
    <row r="3209" spans="1:5" x14ac:dyDescent="0.25">
      <c r="A3209" s="41">
        <v>43599</v>
      </c>
      <c r="B3209" s="29">
        <v>103.43</v>
      </c>
      <c r="C3209" s="37">
        <f t="shared" si="106"/>
        <v>17.238333333333333</v>
      </c>
      <c r="D3209" s="37">
        <v>14.817</v>
      </c>
      <c r="E3209" s="33">
        <f t="shared" si="107"/>
        <v>2.9013539651838623E-4</v>
      </c>
    </row>
    <row r="3210" spans="1:5" x14ac:dyDescent="0.25">
      <c r="A3210" s="41">
        <v>43599</v>
      </c>
      <c r="B3210" s="29">
        <v>103.42</v>
      </c>
      <c r="C3210" s="37">
        <f t="shared" si="106"/>
        <v>17.236666666666668</v>
      </c>
      <c r="D3210" s="37">
        <v>14.817</v>
      </c>
      <c r="E3210" s="33">
        <f t="shared" si="107"/>
        <v>-9.668374746210108E-5</v>
      </c>
    </row>
    <row r="3211" spans="1:5" x14ac:dyDescent="0.25">
      <c r="A3211" s="41">
        <v>43599</v>
      </c>
      <c r="B3211" s="29">
        <v>102.81</v>
      </c>
      <c r="C3211" s="37">
        <f t="shared" si="106"/>
        <v>17.135000000000002</v>
      </c>
      <c r="D3211" s="37">
        <v>14.817</v>
      </c>
      <c r="E3211" s="33">
        <f t="shared" si="107"/>
        <v>-5.8982788628891844E-3</v>
      </c>
    </row>
    <row r="3212" spans="1:5" x14ac:dyDescent="0.25">
      <c r="A3212" s="41">
        <v>43599</v>
      </c>
      <c r="B3212" s="29">
        <v>103.37</v>
      </c>
      <c r="C3212" s="37">
        <f t="shared" si="106"/>
        <v>17.228333333333332</v>
      </c>
      <c r="D3212" s="37">
        <v>14.817</v>
      </c>
      <c r="E3212" s="33">
        <f t="shared" si="107"/>
        <v>5.4469409590506982E-3</v>
      </c>
    </row>
    <row r="3213" spans="1:5" x14ac:dyDescent="0.25">
      <c r="A3213" s="41">
        <v>43599</v>
      </c>
      <c r="B3213" s="29">
        <v>102.62</v>
      </c>
      <c r="C3213" s="37">
        <f t="shared" si="106"/>
        <v>17.103333333333332</v>
      </c>
      <c r="D3213" s="37">
        <v>14.817</v>
      </c>
      <c r="E3213" s="33">
        <f t="shared" si="107"/>
        <v>-7.2554899874238167E-3</v>
      </c>
    </row>
    <row r="3214" spans="1:5" x14ac:dyDescent="0.25">
      <c r="A3214" s="41">
        <v>43599</v>
      </c>
      <c r="B3214" s="29">
        <v>101.63</v>
      </c>
      <c r="C3214" s="37">
        <f t="shared" si="106"/>
        <v>16.938333333333333</v>
      </c>
      <c r="D3214" s="37">
        <v>14.817</v>
      </c>
      <c r="E3214" s="33">
        <f t="shared" si="107"/>
        <v>-9.6472422529722181E-3</v>
      </c>
    </row>
    <row r="3215" spans="1:5" x14ac:dyDescent="0.25">
      <c r="A3215" s="41">
        <v>43599</v>
      </c>
      <c r="B3215" s="29">
        <v>101.54</v>
      </c>
      <c r="C3215" s="37">
        <f t="shared" si="106"/>
        <v>16.923333333333332</v>
      </c>
      <c r="D3215" s="37">
        <v>14.817</v>
      </c>
      <c r="E3215" s="33">
        <f t="shared" si="107"/>
        <v>-8.8556528584068884E-4</v>
      </c>
    </row>
    <row r="3216" spans="1:5" x14ac:dyDescent="0.25">
      <c r="A3216" s="41">
        <v>43599</v>
      </c>
      <c r="B3216" s="29">
        <v>100.75</v>
      </c>
      <c r="C3216" s="37">
        <f t="shared" si="106"/>
        <v>16.791666666666668</v>
      </c>
      <c r="D3216" s="37">
        <v>14.817</v>
      </c>
      <c r="E3216" s="33">
        <f t="shared" si="107"/>
        <v>-7.7801851487099291E-3</v>
      </c>
    </row>
    <row r="3217" spans="1:5" x14ac:dyDescent="0.25">
      <c r="A3217" s="41">
        <v>43599</v>
      </c>
      <c r="B3217" s="29">
        <v>100.51</v>
      </c>
      <c r="C3217" s="37">
        <f t="shared" si="106"/>
        <v>16.751666666666665</v>
      </c>
      <c r="D3217" s="37">
        <v>14.817</v>
      </c>
      <c r="E3217" s="33">
        <f t="shared" si="107"/>
        <v>-2.3821339950371701E-3</v>
      </c>
    </row>
    <row r="3218" spans="1:5" x14ac:dyDescent="0.25">
      <c r="A3218" s="41">
        <v>43600</v>
      </c>
      <c r="B3218" s="29">
        <v>98.09</v>
      </c>
      <c r="C3218" s="37">
        <f t="shared" si="106"/>
        <v>16.348333333333333</v>
      </c>
      <c r="D3218" s="37">
        <v>12.723000000000001</v>
      </c>
      <c r="E3218" s="33">
        <f t="shared" si="107"/>
        <v>-2.4077206248134531E-2</v>
      </c>
    </row>
    <row r="3219" spans="1:5" x14ac:dyDescent="0.25">
      <c r="A3219" s="41">
        <v>43600</v>
      </c>
      <c r="B3219" s="29">
        <v>97.63</v>
      </c>
      <c r="C3219" s="37">
        <f t="shared" si="106"/>
        <v>16.271666666666668</v>
      </c>
      <c r="D3219" s="37">
        <v>12.723000000000001</v>
      </c>
      <c r="E3219" s="33">
        <f t="shared" si="107"/>
        <v>-4.6895708023244765E-3</v>
      </c>
    </row>
    <row r="3220" spans="1:5" x14ac:dyDescent="0.25">
      <c r="A3220" s="41">
        <v>43600</v>
      </c>
      <c r="B3220" s="29">
        <v>97.28</v>
      </c>
      <c r="C3220" s="37">
        <f t="shared" si="106"/>
        <v>16.213333333333335</v>
      </c>
      <c r="D3220" s="37">
        <v>12.723000000000001</v>
      </c>
      <c r="E3220" s="33">
        <f t="shared" si="107"/>
        <v>-3.5849636382258971E-3</v>
      </c>
    </row>
    <row r="3221" spans="1:5" x14ac:dyDescent="0.25">
      <c r="A3221" s="41">
        <v>43600</v>
      </c>
      <c r="B3221" s="29">
        <v>96.89</v>
      </c>
      <c r="C3221" s="37">
        <f t="shared" si="106"/>
        <v>16.148333333333333</v>
      </c>
      <c r="D3221" s="37">
        <v>12.723000000000001</v>
      </c>
      <c r="E3221" s="33">
        <f t="shared" si="107"/>
        <v>-4.0090460526315845E-3</v>
      </c>
    </row>
    <row r="3222" spans="1:5" x14ac:dyDescent="0.25">
      <c r="A3222" s="41">
        <v>43600</v>
      </c>
      <c r="B3222" s="29">
        <v>96.96</v>
      </c>
      <c r="C3222" s="37">
        <f t="shared" si="106"/>
        <v>16.16</v>
      </c>
      <c r="D3222" s="37">
        <v>12.723000000000001</v>
      </c>
      <c r="E3222" s="33">
        <f t="shared" si="107"/>
        <v>7.2246877902769303E-4</v>
      </c>
    </row>
    <row r="3223" spans="1:5" x14ac:dyDescent="0.25">
      <c r="A3223" s="41">
        <v>43600</v>
      </c>
      <c r="B3223" s="29">
        <v>97.63</v>
      </c>
      <c r="C3223" s="37">
        <f t="shared" si="106"/>
        <v>16.271666666666668</v>
      </c>
      <c r="D3223" s="37">
        <v>12.723000000000001</v>
      </c>
      <c r="E3223" s="33">
        <f t="shared" si="107"/>
        <v>6.9100660066006778E-3</v>
      </c>
    </row>
    <row r="3224" spans="1:5" x14ac:dyDescent="0.25">
      <c r="A3224" s="41">
        <v>43600</v>
      </c>
      <c r="B3224" s="29">
        <v>99.5</v>
      </c>
      <c r="C3224" s="37">
        <f t="shared" si="106"/>
        <v>16.583333333333332</v>
      </c>
      <c r="D3224" s="37">
        <v>12.723000000000001</v>
      </c>
      <c r="E3224" s="33">
        <f t="shared" si="107"/>
        <v>1.9153948581378723E-2</v>
      </c>
    </row>
    <row r="3225" spans="1:5" x14ac:dyDescent="0.25">
      <c r="A3225" s="41">
        <v>43600</v>
      </c>
      <c r="B3225" s="29">
        <v>100.42</v>
      </c>
      <c r="C3225" s="37">
        <f t="shared" si="106"/>
        <v>16.736666666666668</v>
      </c>
      <c r="D3225" s="37">
        <v>12.723000000000001</v>
      </c>
      <c r="E3225" s="33">
        <f t="shared" si="107"/>
        <v>9.2462311557789112E-3</v>
      </c>
    </row>
    <row r="3226" spans="1:5" x14ac:dyDescent="0.25">
      <c r="A3226" s="41">
        <v>43600</v>
      </c>
      <c r="B3226" s="29">
        <v>100.56</v>
      </c>
      <c r="C3226" s="37">
        <f t="shared" si="106"/>
        <v>16.760000000000002</v>
      </c>
      <c r="D3226" s="37">
        <v>12.723000000000001</v>
      </c>
      <c r="E3226" s="33">
        <f t="shared" si="107"/>
        <v>1.394144592710621E-3</v>
      </c>
    </row>
    <row r="3227" spans="1:5" x14ac:dyDescent="0.25">
      <c r="A3227" s="41">
        <v>43600</v>
      </c>
      <c r="B3227" s="29">
        <v>100.81</v>
      </c>
      <c r="C3227" s="37">
        <f t="shared" si="106"/>
        <v>16.801666666666666</v>
      </c>
      <c r="D3227" s="37">
        <v>12.723000000000001</v>
      </c>
      <c r="E3227" s="33">
        <f t="shared" si="107"/>
        <v>2.4860779634049324E-3</v>
      </c>
    </row>
    <row r="3228" spans="1:5" x14ac:dyDescent="0.25">
      <c r="A3228" s="41">
        <v>43600</v>
      </c>
      <c r="B3228" s="29">
        <v>101.28</v>
      </c>
      <c r="C3228" s="37">
        <f t="shared" si="106"/>
        <v>16.88</v>
      </c>
      <c r="D3228" s="37">
        <v>12.723000000000001</v>
      </c>
      <c r="E3228" s="33">
        <f t="shared" si="107"/>
        <v>4.6622358892966856E-3</v>
      </c>
    </row>
    <row r="3229" spans="1:5" x14ac:dyDescent="0.25">
      <c r="A3229" s="41">
        <v>43600</v>
      </c>
      <c r="B3229" s="29">
        <v>101.31</v>
      </c>
      <c r="C3229" s="37">
        <f t="shared" si="106"/>
        <v>16.885000000000002</v>
      </c>
      <c r="D3229" s="37">
        <v>12.723000000000001</v>
      </c>
      <c r="E3229" s="33">
        <f t="shared" si="107"/>
        <v>2.9620853080569845E-4</v>
      </c>
    </row>
    <row r="3230" spans="1:5" x14ac:dyDescent="0.25">
      <c r="A3230" s="41">
        <v>43600</v>
      </c>
      <c r="B3230" s="29">
        <v>100.87</v>
      </c>
      <c r="C3230" s="37">
        <f t="shared" si="106"/>
        <v>16.811666666666667</v>
      </c>
      <c r="D3230" s="37">
        <v>12.723000000000001</v>
      </c>
      <c r="E3230" s="33">
        <f t="shared" si="107"/>
        <v>-4.343105320303995E-3</v>
      </c>
    </row>
    <row r="3231" spans="1:5" x14ac:dyDescent="0.25">
      <c r="A3231" s="41">
        <v>43600</v>
      </c>
      <c r="B3231" s="29">
        <v>101.3</v>
      </c>
      <c r="C3231" s="37">
        <f t="shared" si="106"/>
        <v>16.883333333333333</v>
      </c>
      <c r="D3231" s="37">
        <v>12.723000000000001</v>
      </c>
      <c r="E3231" s="33">
        <f t="shared" si="107"/>
        <v>4.2629126598591515E-3</v>
      </c>
    </row>
    <row r="3232" spans="1:5" x14ac:dyDescent="0.25">
      <c r="A3232" s="41">
        <v>43600</v>
      </c>
      <c r="B3232" s="29">
        <v>101.43</v>
      </c>
      <c r="C3232" s="37">
        <f t="shared" si="106"/>
        <v>16.905000000000001</v>
      </c>
      <c r="D3232" s="37">
        <v>12.723000000000001</v>
      </c>
      <c r="E3232" s="33">
        <f t="shared" si="107"/>
        <v>1.2833168805529089E-3</v>
      </c>
    </row>
    <row r="3233" spans="1:5" x14ac:dyDescent="0.25">
      <c r="A3233" s="41">
        <v>43600</v>
      </c>
      <c r="B3233" s="29">
        <v>101.45</v>
      </c>
      <c r="C3233" s="37">
        <f t="shared" si="106"/>
        <v>16.908333333333335</v>
      </c>
      <c r="D3233" s="37">
        <v>12.723000000000001</v>
      </c>
      <c r="E3233" s="33">
        <f t="shared" si="107"/>
        <v>1.9718032140388463E-4</v>
      </c>
    </row>
    <row r="3234" spans="1:5" x14ac:dyDescent="0.25">
      <c r="A3234" s="41">
        <v>43600</v>
      </c>
      <c r="B3234" s="29">
        <v>101.46</v>
      </c>
      <c r="C3234" s="37">
        <f t="shared" si="106"/>
        <v>16.91</v>
      </c>
      <c r="D3234" s="37">
        <v>12.723000000000001</v>
      </c>
      <c r="E3234" s="33">
        <f t="shared" si="107"/>
        <v>9.857072449473539E-5</v>
      </c>
    </row>
    <row r="3235" spans="1:5" x14ac:dyDescent="0.25">
      <c r="A3235" s="41">
        <v>43600</v>
      </c>
      <c r="B3235" s="29">
        <v>101.4</v>
      </c>
      <c r="C3235" s="37">
        <f t="shared" si="106"/>
        <v>16.899999999999999</v>
      </c>
      <c r="D3235" s="37">
        <v>12.723000000000001</v>
      </c>
      <c r="E3235" s="33">
        <f t="shared" si="107"/>
        <v>-5.9136605558829164E-4</v>
      </c>
    </row>
    <row r="3236" spans="1:5" x14ac:dyDescent="0.25">
      <c r="A3236" s="41">
        <v>43600</v>
      </c>
      <c r="B3236" s="29">
        <v>102.08</v>
      </c>
      <c r="C3236" s="37">
        <f t="shared" si="106"/>
        <v>17.013333333333332</v>
      </c>
      <c r="D3236" s="37">
        <v>12.723000000000001</v>
      </c>
      <c r="E3236" s="33">
        <f t="shared" si="107"/>
        <v>6.7061143984220176E-3</v>
      </c>
    </row>
    <row r="3237" spans="1:5" x14ac:dyDescent="0.25">
      <c r="A3237" s="41">
        <v>43600</v>
      </c>
      <c r="B3237" s="29">
        <v>101.43</v>
      </c>
      <c r="C3237" s="37">
        <f t="shared" si="106"/>
        <v>16.905000000000001</v>
      </c>
      <c r="D3237" s="37">
        <v>12.723000000000001</v>
      </c>
      <c r="E3237" s="33">
        <f t="shared" si="107"/>
        <v>-6.3675548589340863E-3</v>
      </c>
    </row>
    <row r="3238" spans="1:5" x14ac:dyDescent="0.25">
      <c r="A3238" s="41">
        <v>43600</v>
      </c>
      <c r="B3238" s="29">
        <v>100.92</v>
      </c>
      <c r="C3238" s="37">
        <f t="shared" si="106"/>
        <v>16.82</v>
      </c>
      <c r="D3238" s="37">
        <v>12.723000000000001</v>
      </c>
      <c r="E3238" s="33">
        <f t="shared" si="107"/>
        <v>-5.0280981958001096E-3</v>
      </c>
    </row>
    <row r="3239" spans="1:5" x14ac:dyDescent="0.25">
      <c r="A3239" s="41">
        <v>43600</v>
      </c>
      <c r="B3239" s="29">
        <v>100.87</v>
      </c>
      <c r="C3239" s="37">
        <f t="shared" si="106"/>
        <v>16.811666666666667</v>
      </c>
      <c r="D3239" s="37">
        <v>12.723000000000001</v>
      </c>
      <c r="E3239" s="33">
        <f t="shared" si="107"/>
        <v>-4.9544193420528301E-4</v>
      </c>
    </row>
    <row r="3240" spans="1:5" x14ac:dyDescent="0.25">
      <c r="A3240" s="41">
        <v>43600</v>
      </c>
      <c r="B3240" s="29">
        <v>100.34</v>
      </c>
      <c r="C3240" s="37">
        <f t="shared" si="106"/>
        <v>16.723333333333333</v>
      </c>
      <c r="D3240" s="37">
        <v>12.723000000000001</v>
      </c>
      <c r="E3240" s="33">
        <f t="shared" si="107"/>
        <v>-5.2542876970357996E-3</v>
      </c>
    </row>
    <row r="3241" spans="1:5" x14ac:dyDescent="0.25">
      <c r="A3241" s="41">
        <v>43600</v>
      </c>
      <c r="B3241" s="29">
        <v>100</v>
      </c>
      <c r="C3241" s="37">
        <f t="shared" si="106"/>
        <v>16.666666666666668</v>
      </c>
      <c r="D3241" s="37">
        <v>12.723000000000001</v>
      </c>
      <c r="E3241" s="33">
        <f t="shared" si="107"/>
        <v>-3.3884791708192487E-3</v>
      </c>
    </row>
    <row r="3242" spans="1:5" x14ac:dyDescent="0.25">
      <c r="A3242" s="41">
        <v>43601</v>
      </c>
      <c r="B3242" s="29">
        <v>93.72</v>
      </c>
      <c r="C3242" s="37">
        <f t="shared" si="106"/>
        <v>15.62</v>
      </c>
      <c r="D3242" s="37">
        <v>11.324999999999999</v>
      </c>
      <c r="E3242" s="33">
        <f t="shared" si="107"/>
        <v>-6.2800000000000009E-2</v>
      </c>
    </row>
    <row r="3243" spans="1:5" x14ac:dyDescent="0.25">
      <c r="A3243" s="41">
        <v>43601</v>
      </c>
      <c r="B3243" s="29">
        <v>42.35</v>
      </c>
      <c r="C3243" s="37">
        <f t="shared" si="106"/>
        <v>7.0583333333333336</v>
      </c>
      <c r="D3243" s="37">
        <v>11.324999999999999</v>
      </c>
      <c r="E3243" s="33">
        <f t="shared" si="107"/>
        <v>-0.5481220657276995</v>
      </c>
    </row>
    <row r="3244" spans="1:5" x14ac:dyDescent="0.25">
      <c r="A3244" s="41">
        <v>43601</v>
      </c>
      <c r="B3244" s="29">
        <v>42.35</v>
      </c>
      <c r="C3244" s="37">
        <f t="shared" si="106"/>
        <v>7.0583333333333336</v>
      </c>
      <c r="D3244" s="37">
        <v>11.324999999999999</v>
      </c>
      <c r="E3244" s="33">
        <f t="shared" si="107"/>
        <v>0</v>
      </c>
    </row>
    <row r="3245" spans="1:5" x14ac:dyDescent="0.25">
      <c r="A3245" s="41">
        <v>43601</v>
      </c>
      <c r="B3245" s="29">
        <v>42.35</v>
      </c>
      <c r="C3245" s="37">
        <f t="shared" si="106"/>
        <v>7.0583333333333336</v>
      </c>
      <c r="D3245" s="37">
        <v>11.324999999999999</v>
      </c>
      <c r="E3245" s="33">
        <f t="shared" si="107"/>
        <v>0</v>
      </c>
    </row>
    <row r="3246" spans="1:5" x14ac:dyDescent="0.25">
      <c r="A3246" s="41">
        <v>43601</v>
      </c>
      <c r="B3246" s="29">
        <v>42.35</v>
      </c>
      <c r="C3246" s="37">
        <f t="shared" si="106"/>
        <v>7.0583333333333336</v>
      </c>
      <c r="D3246" s="37">
        <v>11.324999999999999</v>
      </c>
      <c r="E3246" s="33">
        <f t="shared" si="107"/>
        <v>0</v>
      </c>
    </row>
    <row r="3247" spans="1:5" x14ac:dyDescent="0.25">
      <c r="A3247" s="41">
        <v>43601</v>
      </c>
      <c r="B3247" s="29">
        <v>42.35</v>
      </c>
      <c r="C3247" s="37">
        <f t="shared" si="106"/>
        <v>7.0583333333333336</v>
      </c>
      <c r="D3247" s="37">
        <v>11.324999999999999</v>
      </c>
      <c r="E3247" s="33">
        <f t="shared" si="107"/>
        <v>0</v>
      </c>
    </row>
    <row r="3248" spans="1:5" x14ac:dyDescent="0.25">
      <c r="A3248" s="41">
        <v>43601</v>
      </c>
      <c r="B3248" s="29">
        <v>93.86</v>
      </c>
      <c r="C3248" s="37">
        <f t="shared" si="106"/>
        <v>15.643333333333333</v>
      </c>
      <c r="D3248" s="37">
        <v>11.324999999999999</v>
      </c>
      <c r="E3248" s="33">
        <f t="shared" si="107"/>
        <v>1.2162927981109799</v>
      </c>
    </row>
    <row r="3249" spans="1:5" x14ac:dyDescent="0.25">
      <c r="A3249" s="41">
        <v>43601</v>
      </c>
      <c r="B3249" s="29">
        <v>96.16</v>
      </c>
      <c r="C3249" s="37">
        <f t="shared" si="106"/>
        <v>16.026666666666667</v>
      </c>
      <c r="D3249" s="37">
        <v>11.324999999999999</v>
      </c>
      <c r="E3249" s="33">
        <f t="shared" si="107"/>
        <v>2.4504581291284862E-2</v>
      </c>
    </row>
    <row r="3250" spans="1:5" x14ac:dyDescent="0.25">
      <c r="A3250" s="41">
        <v>43601</v>
      </c>
      <c r="B3250" s="29">
        <v>98.18</v>
      </c>
      <c r="C3250" s="37">
        <f t="shared" si="106"/>
        <v>16.363333333333333</v>
      </c>
      <c r="D3250" s="37">
        <v>11.324999999999999</v>
      </c>
      <c r="E3250" s="33">
        <f t="shared" si="107"/>
        <v>2.1006655574043367E-2</v>
      </c>
    </row>
    <row r="3251" spans="1:5" x14ac:dyDescent="0.25">
      <c r="A3251" s="41">
        <v>43601</v>
      </c>
      <c r="B3251" s="29">
        <v>99.09</v>
      </c>
      <c r="C3251" s="37">
        <f t="shared" si="106"/>
        <v>16.515000000000001</v>
      </c>
      <c r="D3251" s="37">
        <v>11.324999999999999</v>
      </c>
      <c r="E3251" s="33">
        <f t="shared" si="107"/>
        <v>9.2686901609288705E-3</v>
      </c>
    </row>
    <row r="3252" spans="1:5" x14ac:dyDescent="0.25">
      <c r="A3252" s="41">
        <v>43601</v>
      </c>
      <c r="B3252" s="29">
        <v>99.9</v>
      </c>
      <c r="C3252" s="37">
        <f t="shared" si="106"/>
        <v>16.649999999999999</v>
      </c>
      <c r="D3252" s="37">
        <v>11.324999999999999</v>
      </c>
      <c r="E3252" s="33">
        <f t="shared" si="107"/>
        <v>8.1743869209809483E-3</v>
      </c>
    </row>
    <row r="3253" spans="1:5" x14ac:dyDescent="0.25">
      <c r="A3253" s="41">
        <v>43601</v>
      </c>
      <c r="B3253" s="29">
        <v>99.92</v>
      </c>
      <c r="C3253" s="37">
        <f t="shared" si="106"/>
        <v>16.653333333333332</v>
      </c>
      <c r="D3253" s="37">
        <v>11.324999999999999</v>
      </c>
      <c r="E3253" s="33">
        <f t="shared" si="107"/>
        <v>2.0020020020016036E-4</v>
      </c>
    </row>
    <row r="3254" spans="1:5" x14ac:dyDescent="0.25">
      <c r="A3254" s="41">
        <v>43601</v>
      </c>
      <c r="B3254" s="29">
        <v>99.12</v>
      </c>
      <c r="C3254" s="37">
        <f t="shared" si="106"/>
        <v>16.52</v>
      </c>
      <c r="D3254" s="37">
        <v>11.324999999999999</v>
      </c>
      <c r="E3254" s="33">
        <f t="shared" si="107"/>
        <v>-8.0064051240992511E-3</v>
      </c>
    </row>
    <row r="3255" spans="1:5" x14ac:dyDescent="0.25">
      <c r="A3255" s="41">
        <v>43601</v>
      </c>
      <c r="B3255" s="29">
        <v>99.5</v>
      </c>
      <c r="C3255" s="37">
        <f t="shared" si="106"/>
        <v>16.583333333333332</v>
      </c>
      <c r="D3255" s="37">
        <v>11.324999999999999</v>
      </c>
      <c r="E3255" s="33">
        <f t="shared" si="107"/>
        <v>3.8337368845842964E-3</v>
      </c>
    </row>
    <row r="3256" spans="1:5" x14ac:dyDescent="0.25">
      <c r="A3256" s="41">
        <v>43601</v>
      </c>
      <c r="B3256" s="29">
        <v>99.91</v>
      </c>
      <c r="C3256" s="37">
        <f t="shared" si="106"/>
        <v>16.651666666666667</v>
      </c>
      <c r="D3256" s="37">
        <v>11.324999999999999</v>
      </c>
      <c r="E3256" s="33">
        <f t="shared" si="107"/>
        <v>4.1206030150753425E-3</v>
      </c>
    </row>
    <row r="3257" spans="1:5" x14ac:dyDescent="0.25">
      <c r="A3257" s="41">
        <v>43601</v>
      </c>
      <c r="B3257" s="29">
        <v>99.9</v>
      </c>
      <c r="C3257" s="37">
        <f t="shared" si="106"/>
        <v>16.649999999999999</v>
      </c>
      <c r="D3257" s="37">
        <v>11.324999999999999</v>
      </c>
      <c r="E3257" s="33">
        <f t="shared" si="107"/>
        <v>-1.0009008107287464E-4</v>
      </c>
    </row>
    <row r="3258" spans="1:5" x14ac:dyDescent="0.25">
      <c r="A3258" s="41">
        <v>43601</v>
      </c>
      <c r="B3258" s="29">
        <v>99.88</v>
      </c>
      <c r="C3258" s="37">
        <f t="shared" si="106"/>
        <v>16.646666666666668</v>
      </c>
      <c r="D3258" s="37">
        <v>11.324999999999999</v>
      </c>
      <c r="E3258" s="33">
        <f t="shared" si="107"/>
        <v>-2.0020020020030261E-4</v>
      </c>
    </row>
    <row r="3259" spans="1:5" x14ac:dyDescent="0.25">
      <c r="A3259" s="41">
        <v>43601</v>
      </c>
      <c r="B3259" s="29">
        <v>99.49</v>
      </c>
      <c r="C3259" s="37">
        <f t="shared" si="106"/>
        <v>16.581666666666667</v>
      </c>
      <c r="D3259" s="37">
        <v>11.324999999999999</v>
      </c>
      <c r="E3259" s="33">
        <f t="shared" si="107"/>
        <v>-3.9046856227473027E-3</v>
      </c>
    </row>
    <row r="3260" spans="1:5" x14ac:dyDescent="0.25">
      <c r="A3260" s="41">
        <v>43601</v>
      </c>
      <c r="B3260" s="29">
        <v>99.85</v>
      </c>
      <c r="C3260" s="37">
        <f t="shared" si="106"/>
        <v>16.641666666666666</v>
      </c>
      <c r="D3260" s="37">
        <v>11.324999999999999</v>
      </c>
      <c r="E3260" s="33">
        <f t="shared" si="107"/>
        <v>3.6184541159915515E-3</v>
      </c>
    </row>
    <row r="3261" spans="1:5" x14ac:dyDescent="0.25">
      <c r="A3261" s="41">
        <v>43601</v>
      </c>
      <c r="B3261" s="29">
        <v>99.83</v>
      </c>
      <c r="C3261" s="37">
        <f t="shared" si="106"/>
        <v>16.638333333333332</v>
      </c>
      <c r="D3261" s="37">
        <v>11.324999999999999</v>
      </c>
      <c r="E3261" s="33">
        <f t="shared" si="107"/>
        <v>-2.0030045067597418E-4</v>
      </c>
    </row>
    <row r="3262" spans="1:5" x14ac:dyDescent="0.25">
      <c r="A3262" s="41">
        <v>43601</v>
      </c>
      <c r="B3262" s="29">
        <v>99.25</v>
      </c>
      <c r="C3262" s="37">
        <f t="shared" si="106"/>
        <v>16.541666666666668</v>
      </c>
      <c r="D3262" s="37">
        <v>11.324999999999999</v>
      </c>
      <c r="E3262" s="33">
        <f t="shared" si="107"/>
        <v>-5.8098767905439075E-3</v>
      </c>
    </row>
    <row r="3263" spans="1:5" x14ac:dyDescent="0.25">
      <c r="A3263" s="41">
        <v>43601</v>
      </c>
      <c r="B3263" s="29">
        <v>98.99</v>
      </c>
      <c r="C3263" s="37">
        <f t="shared" si="106"/>
        <v>16.498333333333335</v>
      </c>
      <c r="D3263" s="37">
        <v>11.324999999999999</v>
      </c>
      <c r="E3263" s="33">
        <f t="shared" si="107"/>
        <v>-2.6196473551637796E-3</v>
      </c>
    </row>
    <row r="3264" spans="1:5" x14ac:dyDescent="0.25">
      <c r="A3264" s="41">
        <v>43601</v>
      </c>
      <c r="B3264" s="29">
        <v>98.3</v>
      </c>
      <c r="C3264" s="37">
        <f t="shared" si="106"/>
        <v>16.383333333333333</v>
      </c>
      <c r="D3264" s="37">
        <v>11.324999999999999</v>
      </c>
      <c r="E3264" s="33">
        <f t="shared" si="107"/>
        <v>-6.97040105061115E-3</v>
      </c>
    </row>
    <row r="3265" spans="1:5" x14ac:dyDescent="0.25">
      <c r="A3265" s="41">
        <v>43601</v>
      </c>
      <c r="B3265" s="29">
        <v>96.35</v>
      </c>
      <c r="C3265" s="37">
        <f t="shared" si="106"/>
        <v>16.058333333333334</v>
      </c>
      <c r="D3265" s="37">
        <v>11.324999999999999</v>
      </c>
      <c r="E3265" s="33">
        <f t="shared" si="107"/>
        <v>-1.9837232960325562E-2</v>
      </c>
    </row>
    <row r="3266" spans="1:5" x14ac:dyDescent="0.25">
      <c r="A3266" s="41">
        <v>43602</v>
      </c>
      <c r="B3266" s="29">
        <v>42.35</v>
      </c>
      <c r="C3266" s="37">
        <f t="shared" si="106"/>
        <v>7.0583333333333336</v>
      </c>
      <c r="D3266" s="37">
        <v>10.616</v>
      </c>
      <c r="E3266" s="33">
        <f t="shared" si="107"/>
        <v>-0.56045666839647112</v>
      </c>
    </row>
    <row r="3267" spans="1:5" x14ac:dyDescent="0.25">
      <c r="A3267" s="41">
        <v>43602</v>
      </c>
      <c r="B3267" s="29">
        <v>42.35</v>
      </c>
      <c r="C3267" s="37">
        <f t="shared" ref="C3267:C3330" si="108">(B3267*100/600)</f>
        <v>7.0583333333333336</v>
      </c>
      <c r="D3267" s="37">
        <v>10.616</v>
      </c>
      <c r="E3267" s="33">
        <f t="shared" si="107"/>
        <v>0</v>
      </c>
    </row>
    <row r="3268" spans="1:5" x14ac:dyDescent="0.25">
      <c r="A3268" s="41">
        <v>43602</v>
      </c>
      <c r="B3268" s="29">
        <v>42.35</v>
      </c>
      <c r="C3268" s="37">
        <f t="shared" si="108"/>
        <v>7.0583333333333336</v>
      </c>
      <c r="D3268" s="37">
        <v>10.616</v>
      </c>
      <c r="E3268" s="33">
        <f t="shared" ref="E3268:E3331" si="109">(B3268-B3267)/B3267</f>
        <v>0</v>
      </c>
    </row>
    <row r="3269" spans="1:5" x14ac:dyDescent="0.25">
      <c r="A3269" s="41">
        <v>43602</v>
      </c>
      <c r="B3269" s="29">
        <v>42.35</v>
      </c>
      <c r="C3269" s="37">
        <f t="shared" si="108"/>
        <v>7.0583333333333336</v>
      </c>
      <c r="D3269" s="37">
        <v>10.616</v>
      </c>
      <c r="E3269" s="33">
        <f t="shared" si="109"/>
        <v>0</v>
      </c>
    </row>
    <row r="3270" spans="1:5" x14ac:dyDescent="0.25">
      <c r="A3270" s="41">
        <v>43602</v>
      </c>
      <c r="B3270" s="29">
        <v>42.35</v>
      </c>
      <c r="C3270" s="37">
        <f t="shared" si="108"/>
        <v>7.0583333333333336</v>
      </c>
      <c r="D3270" s="37">
        <v>10.616</v>
      </c>
      <c r="E3270" s="33">
        <f t="shared" si="109"/>
        <v>0</v>
      </c>
    </row>
    <row r="3271" spans="1:5" x14ac:dyDescent="0.25">
      <c r="A3271" s="41">
        <v>43602</v>
      </c>
      <c r="B3271" s="29">
        <v>42.35</v>
      </c>
      <c r="C3271" s="37">
        <f t="shared" si="108"/>
        <v>7.0583333333333336</v>
      </c>
      <c r="D3271" s="37">
        <v>10.616</v>
      </c>
      <c r="E3271" s="33">
        <f t="shared" si="109"/>
        <v>0</v>
      </c>
    </row>
    <row r="3272" spans="1:5" x14ac:dyDescent="0.25">
      <c r="A3272" s="41">
        <v>43602</v>
      </c>
      <c r="B3272" s="29">
        <v>89.51</v>
      </c>
      <c r="C3272" s="37">
        <f t="shared" si="108"/>
        <v>14.918333333333333</v>
      </c>
      <c r="D3272" s="37">
        <v>10.616</v>
      </c>
      <c r="E3272" s="33">
        <f t="shared" si="109"/>
        <v>1.11357733175915</v>
      </c>
    </row>
    <row r="3273" spans="1:5" x14ac:dyDescent="0.25">
      <c r="A3273" s="41">
        <v>43602</v>
      </c>
      <c r="B3273" s="29">
        <v>92.97</v>
      </c>
      <c r="C3273" s="37">
        <f t="shared" si="108"/>
        <v>15.494999999999999</v>
      </c>
      <c r="D3273" s="37">
        <v>10.616</v>
      </c>
      <c r="E3273" s="33">
        <f t="shared" si="109"/>
        <v>3.8654898893978253E-2</v>
      </c>
    </row>
    <row r="3274" spans="1:5" x14ac:dyDescent="0.25">
      <c r="A3274" s="41">
        <v>43602</v>
      </c>
      <c r="B3274" s="29">
        <v>97.79</v>
      </c>
      <c r="C3274" s="37">
        <f t="shared" si="108"/>
        <v>16.298333333333332</v>
      </c>
      <c r="D3274" s="37">
        <v>10.616</v>
      </c>
      <c r="E3274" s="33">
        <f t="shared" si="109"/>
        <v>5.1844681079918332E-2</v>
      </c>
    </row>
    <row r="3275" spans="1:5" x14ac:dyDescent="0.25">
      <c r="A3275" s="41">
        <v>43602</v>
      </c>
      <c r="B3275" s="29">
        <v>97.96</v>
      </c>
      <c r="C3275" s="37">
        <f t="shared" si="108"/>
        <v>16.326666666666668</v>
      </c>
      <c r="D3275" s="37">
        <v>10.616</v>
      </c>
      <c r="E3275" s="33">
        <f t="shared" si="109"/>
        <v>1.738419061253579E-3</v>
      </c>
    </row>
    <row r="3276" spans="1:5" x14ac:dyDescent="0.25">
      <c r="A3276" s="41">
        <v>43602</v>
      </c>
      <c r="B3276" s="29">
        <v>98.18</v>
      </c>
      <c r="C3276" s="37">
        <f t="shared" si="108"/>
        <v>16.363333333333333</v>
      </c>
      <c r="D3276" s="37">
        <v>10.616</v>
      </c>
      <c r="E3276" s="33">
        <f t="shared" si="109"/>
        <v>2.2458146182116486E-3</v>
      </c>
    </row>
    <row r="3277" spans="1:5" x14ac:dyDescent="0.25">
      <c r="A3277" s="41">
        <v>43602</v>
      </c>
      <c r="B3277" s="29">
        <v>98.2</v>
      </c>
      <c r="C3277" s="37">
        <f t="shared" si="108"/>
        <v>16.366666666666667</v>
      </c>
      <c r="D3277" s="37">
        <v>10.616</v>
      </c>
      <c r="E3277" s="33">
        <f t="shared" si="109"/>
        <v>2.0370747606433102E-4</v>
      </c>
    </row>
    <row r="3278" spans="1:5" x14ac:dyDescent="0.25">
      <c r="A3278" s="41">
        <v>43602</v>
      </c>
      <c r="B3278" s="29">
        <v>98.06</v>
      </c>
      <c r="C3278" s="37">
        <f t="shared" si="108"/>
        <v>16.343333333333334</v>
      </c>
      <c r="D3278" s="37">
        <v>10.616</v>
      </c>
      <c r="E3278" s="33">
        <f t="shared" si="109"/>
        <v>-1.4256619144602909E-3</v>
      </c>
    </row>
    <row r="3279" spans="1:5" x14ac:dyDescent="0.25">
      <c r="A3279" s="41">
        <v>43602</v>
      </c>
      <c r="B3279" s="29">
        <v>98.2</v>
      </c>
      <c r="C3279" s="37">
        <f t="shared" si="108"/>
        <v>16.366666666666667</v>
      </c>
      <c r="D3279" s="37">
        <v>10.616</v>
      </c>
      <c r="E3279" s="33">
        <f t="shared" si="109"/>
        <v>1.4276973281664345E-3</v>
      </c>
    </row>
    <row r="3280" spans="1:5" x14ac:dyDescent="0.25">
      <c r="A3280" s="41">
        <v>43602</v>
      </c>
      <c r="B3280" s="29">
        <v>98.25</v>
      </c>
      <c r="C3280" s="37">
        <f t="shared" si="108"/>
        <v>16.375</v>
      </c>
      <c r="D3280" s="37">
        <v>10.616</v>
      </c>
      <c r="E3280" s="33">
        <f t="shared" si="109"/>
        <v>5.0916496945007284E-4</v>
      </c>
    </row>
    <row r="3281" spans="1:5" x14ac:dyDescent="0.25">
      <c r="A3281" s="41">
        <v>43602</v>
      </c>
      <c r="B3281" s="29">
        <v>98.34</v>
      </c>
      <c r="C3281" s="37">
        <f t="shared" si="108"/>
        <v>16.39</v>
      </c>
      <c r="D3281" s="37">
        <v>10.616</v>
      </c>
      <c r="E3281" s="33">
        <f t="shared" si="109"/>
        <v>9.160305343511797E-4</v>
      </c>
    </row>
    <row r="3282" spans="1:5" x14ac:dyDescent="0.25">
      <c r="A3282" s="41">
        <v>43602</v>
      </c>
      <c r="B3282" s="29">
        <v>98.34</v>
      </c>
      <c r="C3282" s="37">
        <f t="shared" si="108"/>
        <v>16.39</v>
      </c>
      <c r="D3282" s="37">
        <v>10.616</v>
      </c>
      <c r="E3282" s="33">
        <f t="shared" si="109"/>
        <v>0</v>
      </c>
    </row>
    <row r="3283" spans="1:5" x14ac:dyDescent="0.25">
      <c r="A3283" s="41">
        <v>43602</v>
      </c>
      <c r="B3283" s="29">
        <v>98.32</v>
      </c>
      <c r="C3283" s="37">
        <f t="shared" si="108"/>
        <v>16.386666666666667</v>
      </c>
      <c r="D3283" s="37">
        <v>10.616</v>
      </c>
      <c r="E3283" s="33">
        <f t="shared" si="109"/>
        <v>-2.0337604230232084E-4</v>
      </c>
    </row>
    <row r="3284" spans="1:5" x14ac:dyDescent="0.25">
      <c r="A3284" s="41">
        <v>43602</v>
      </c>
      <c r="B3284" s="29">
        <v>98.72</v>
      </c>
      <c r="C3284" s="37">
        <f t="shared" si="108"/>
        <v>16.453333333333333</v>
      </c>
      <c r="D3284" s="37">
        <v>10.616</v>
      </c>
      <c r="E3284" s="33">
        <f t="shared" si="109"/>
        <v>4.0683482506103106E-3</v>
      </c>
    </row>
    <row r="3285" spans="1:5" x14ac:dyDescent="0.25">
      <c r="A3285" s="41">
        <v>43602</v>
      </c>
      <c r="B3285" s="29">
        <v>98.32</v>
      </c>
      <c r="C3285" s="37">
        <f t="shared" si="108"/>
        <v>16.386666666666667</v>
      </c>
      <c r="D3285" s="37">
        <v>10.616</v>
      </c>
      <c r="E3285" s="33">
        <f t="shared" si="109"/>
        <v>-4.0518638573744502E-3</v>
      </c>
    </row>
    <row r="3286" spans="1:5" x14ac:dyDescent="0.25">
      <c r="A3286" s="41">
        <v>43602</v>
      </c>
      <c r="B3286" s="29">
        <v>98.22</v>
      </c>
      <c r="C3286" s="37">
        <f t="shared" si="108"/>
        <v>16.37</v>
      </c>
      <c r="D3286" s="37">
        <v>10.616</v>
      </c>
      <c r="E3286" s="33">
        <f t="shared" si="109"/>
        <v>-1.0170870626525052E-3</v>
      </c>
    </row>
    <row r="3287" spans="1:5" x14ac:dyDescent="0.25">
      <c r="A3287" s="41">
        <v>43602</v>
      </c>
      <c r="B3287" s="29">
        <v>97.74</v>
      </c>
      <c r="C3287" s="37">
        <f t="shared" si="108"/>
        <v>16.29</v>
      </c>
      <c r="D3287" s="37">
        <v>10.616</v>
      </c>
      <c r="E3287" s="33">
        <f t="shared" si="109"/>
        <v>-4.8869883934026066E-3</v>
      </c>
    </row>
    <row r="3288" spans="1:5" x14ac:dyDescent="0.25">
      <c r="A3288" s="41">
        <v>43602</v>
      </c>
      <c r="B3288" s="29">
        <v>96.49</v>
      </c>
      <c r="C3288" s="37">
        <f t="shared" si="108"/>
        <v>16.081666666666667</v>
      </c>
      <c r="D3288" s="37">
        <v>10.616</v>
      </c>
      <c r="E3288" s="33">
        <f t="shared" si="109"/>
        <v>-1.2789032126048702E-2</v>
      </c>
    </row>
    <row r="3289" spans="1:5" x14ac:dyDescent="0.25">
      <c r="A3289" s="41">
        <v>43602</v>
      </c>
      <c r="B3289" s="29">
        <v>92.48</v>
      </c>
      <c r="C3289" s="37">
        <f t="shared" si="108"/>
        <v>15.413333333333334</v>
      </c>
      <c r="D3289" s="37">
        <v>10.616</v>
      </c>
      <c r="E3289" s="33">
        <f t="shared" si="109"/>
        <v>-4.1558710747227598E-2</v>
      </c>
    </row>
    <row r="3290" spans="1:5" x14ac:dyDescent="0.25">
      <c r="A3290" s="41">
        <v>43603</v>
      </c>
      <c r="B3290" s="29">
        <v>119.74</v>
      </c>
      <c r="C3290" s="37">
        <f t="shared" si="108"/>
        <v>19.956666666666667</v>
      </c>
      <c r="D3290" s="37">
        <v>9.6329999999999991</v>
      </c>
      <c r="E3290" s="33">
        <f t="shared" si="109"/>
        <v>0.29476643598615904</v>
      </c>
    </row>
    <row r="3291" spans="1:5" x14ac:dyDescent="0.25">
      <c r="A3291" s="41">
        <v>43603</v>
      </c>
      <c r="B3291" s="29">
        <v>119.71</v>
      </c>
      <c r="C3291" s="37">
        <f t="shared" si="108"/>
        <v>19.951666666666668</v>
      </c>
      <c r="D3291" s="37">
        <v>9.6329999999999991</v>
      </c>
      <c r="E3291" s="33">
        <f t="shared" si="109"/>
        <v>-2.5054284282613275E-4</v>
      </c>
    </row>
    <row r="3292" spans="1:5" x14ac:dyDescent="0.25">
      <c r="A3292" s="41">
        <v>43603</v>
      </c>
      <c r="B3292" s="29">
        <v>119.67</v>
      </c>
      <c r="C3292" s="37">
        <f t="shared" si="108"/>
        <v>19.945</v>
      </c>
      <c r="D3292" s="37">
        <v>9.6329999999999991</v>
      </c>
      <c r="E3292" s="33">
        <f t="shared" si="109"/>
        <v>-3.3414084036414705E-4</v>
      </c>
    </row>
    <row r="3293" spans="1:5" x14ac:dyDescent="0.25">
      <c r="A3293" s="41">
        <v>43603</v>
      </c>
      <c r="B3293" s="29">
        <v>119.15</v>
      </c>
      <c r="C3293" s="37">
        <f t="shared" si="108"/>
        <v>19.858333333333334</v>
      </c>
      <c r="D3293" s="37">
        <v>9.6329999999999991</v>
      </c>
      <c r="E3293" s="33">
        <f t="shared" si="109"/>
        <v>-4.3452828612016046E-3</v>
      </c>
    </row>
    <row r="3294" spans="1:5" x14ac:dyDescent="0.25">
      <c r="A3294" s="41">
        <v>43603</v>
      </c>
      <c r="B3294" s="29">
        <v>119.22</v>
      </c>
      <c r="C3294" s="37">
        <f t="shared" si="108"/>
        <v>19.87</v>
      </c>
      <c r="D3294" s="37">
        <v>9.6329999999999991</v>
      </c>
      <c r="E3294" s="33">
        <f t="shared" si="109"/>
        <v>5.8749475451106315E-4</v>
      </c>
    </row>
    <row r="3295" spans="1:5" x14ac:dyDescent="0.25">
      <c r="A3295" s="41">
        <v>43603</v>
      </c>
      <c r="B3295" s="29">
        <v>119.34</v>
      </c>
      <c r="C3295" s="37">
        <f t="shared" si="108"/>
        <v>19.89</v>
      </c>
      <c r="D3295" s="37">
        <v>9.6329999999999991</v>
      </c>
      <c r="E3295" s="33">
        <f t="shared" si="109"/>
        <v>1.0065425264217795E-3</v>
      </c>
    </row>
    <row r="3296" spans="1:5" x14ac:dyDescent="0.25">
      <c r="A3296" s="41">
        <v>43603</v>
      </c>
      <c r="B3296" s="29">
        <v>119.48</v>
      </c>
      <c r="C3296" s="37">
        <f t="shared" si="108"/>
        <v>19.913333333333334</v>
      </c>
      <c r="D3296" s="37">
        <v>9.6329999999999991</v>
      </c>
      <c r="E3296" s="33">
        <f t="shared" si="109"/>
        <v>1.1731188201776484E-3</v>
      </c>
    </row>
    <row r="3297" spans="1:5" x14ac:dyDescent="0.25">
      <c r="A3297" s="41">
        <v>43603</v>
      </c>
      <c r="B3297" s="29">
        <v>119.61</v>
      </c>
      <c r="C3297" s="37">
        <f t="shared" si="108"/>
        <v>19.934999999999999</v>
      </c>
      <c r="D3297" s="37">
        <v>9.6329999999999991</v>
      </c>
      <c r="E3297" s="33">
        <f t="shared" si="109"/>
        <v>1.0880482089052181E-3</v>
      </c>
    </row>
    <row r="3298" spans="1:5" x14ac:dyDescent="0.25">
      <c r="A3298" s="41">
        <v>43603</v>
      </c>
      <c r="B3298" s="29">
        <v>119.72</v>
      </c>
      <c r="C3298" s="37">
        <f t="shared" si="108"/>
        <v>19.953333333333333</v>
      </c>
      <c r="D3298" s="37">
        <v>9.6329999999999991</v>
      </c>
      <c r="E3298" s="33">
        <f t="shared" si="109"/>
        <v>9.196555471950458E-4</v>
      </c>
    </row>
    <row r="3299" spans="1:5" x14ac:dyDescent="0.25">
      <c r="A3299" s="41">
        <v>43603</v>
      </c>
      <c r="B3299" s="29">
        <v>121.41</v>
      </c>
      <c r="C3299" s="37">
        <f t="shared" si="108"/>
        <v>20.234999999999999</v>
      </c>
      <c r="D3299" s="37">
        <v>9.6329999999999991</v>
      </c>
      <c r="E3299" s="33">
        <f t="shared" si="109"/>
        <v>1.4116271299699279E-2</v>
      </c>
    </row>
    <row r="3300" spans="1:5" x14ac:dyDescent="0.25">
      <c r="A3300" s="41">
        <v>43603</v>
      </c>
      <c r="B3300" s="29">
        <v>123.84</v>
      </c>
      <c r="C3300" s="37">
        <f t="shared" si="108"/>
        <v>20.64</v>
      </c>
      <c r="D3300" s="37">
        <v>9.6329999999999991</v>
      </c>
      <c r="E3300" s="33">
        <f t="shared" si="109"/>
        <v>2.001482579688664E-2</v>
      </c>
    </row>
    <row r="3301" spans="1:5" x14ac:dyDescent="0.25">
      <c r="A3301" s="41">
        <v>43603</v>
      </c>
      <c r="B3301" s="29">
        <v>123.86</v>
      </c>
      <c r="C3301" s="37">
        <f t="shared" si="108"/>
        <v>20.643333333333334</v>
      </c>
      <c r="D3301" s="37">
        <v>9.6329999999999991</v>
      </c>
      <c r="E3301" s="33">
        <f t="shared" si="109"/>
        <v>1.6149870801030378E-4</v>
      </c>
    </row>
    <row r="3302" spans="1:5" x14ac:dyDescent="0.25">
      <c r="A3302" s="41">
        <v>43603</v>
      </c>
      <c r="B3302" s="29">
        <v>123.22</v>
      </c>
      <c r="C3302" s="37">
        <f t="shared" si="108"/>
        <v>20.536666666666665</v>
      </c>
      <c r="D3302" s="37">
        <v>9.6329999999999991</v>
      </c>
      <c r="E3302" s="33">
        <f t="shared" si="109"/>
        <v>-5.1671241724527738E-3</v>
      </c>
    </row>
    <row r="3303" spans="1:5" x14ac:dyDescent="0.25">
      <c r="A3303" s="41">
        <v>43603</v>
      </c>
      <c r="B3303" s="29">
        <v>122.32</v>
      </c>
      <c r="C3303" s="37">
        <f t="shared" si="108"/>
        <v>20.386666666666667</v>
      </c>
      <c r="D3303" s="37">
        <v>9.6329999999999991</v>
      </c>
      <c r="E3303" s="33">
        <f t="shared" si="109"/>
        <v>-7.3040090894335797E-3</v>
      </c>
    </row>
    <row r="3304" spans="1:5" x14ac:dyDescent="0.25">
      <c r="A3304" s="41">
        <v>43603</v>
      </c>
      <c r="B3304" s="29">
        <v>122.3</v>
      </c>
      <c r="C3304" s="37">
        <f t="shared" si="108"/>
        <v>20.383333333333333</v>
      </c>
      <c r="D3304" s="37">
        <v>9.6329999999999991</v>
      </c>
      <c r="E3304" s="33">
        <f t="shared" si="109"/>
        <v>-1.6350555918897991E-4</v>
      </c>
    </row>
    <row r="3305" spans="1:5" x14ac:dyDescent="0.25">
      <c r="A3305" s="41">
        <v>43603</v>
      </c>
      <c r="B3305" s="29">
        <v>122.61</v>
      </c>
      <c r="C3305" s="37">
        <f t="shared" si="108"/>
        <v>20.434999999999999</v>
      </c>
      <c r="D3305" s="37">
        <v>9.6329999999999991</v>
      </c>
      <c r="E3305" s="33">
        <f t="shared" si="109"/>
        <v>2.534750613246135E-3</v>
      </c>
    </row>
    <row r="3306" spans="1:5" x14ac:dyDescent="0.25">
      <c r="A3306" s="41">
        <v>43603</v>
      </c>
      <c r="B3306" s="29">
        <v>123.03</v>
      </c>
      <c r="C3306" s="37">
        <f t="shared" si="108"/>
        <v>20.504999999999999</v>
      </c>
      <c r="D3306" s="37">
        <v>9.6329999999999991</v>
      </c>
      <c r="E3306" s="33">
        <f t="shared" si="109"/>
        <v>3.4254954734524242E-3</v>
      </c>
    </row>
    <row r="3307" spans="1:5" x14ac:dyDescent="0.25">
      <c r="A3307" s="41">
        <v>43603</v>
      </c>
      <c r="B3307" s="29">
        <v>125.06</v>
      </c>
      <c r="C3307" s="37">
        <f t="shared" si="108"/>
        <v>20.843333333333334</v>
      </c>
      <c r="D3307" s="37">
        <v>9.6329999999999991</v>
      </c>
      <c r="E3307" s="33">
        <f t="shared" si="109"/>
        <v>1.6500040640494196E-2</v>
      </c>
    </row>
    <row r="3308" spans="1:5" x14ac:dyDescent="0.25">
      <c r="A3308" s="41">
        <v>43603</v>
      </c>
      <c r="B3308" s="29">
        <v>126.56</v>
      </c>
      <c r="C3308" s="37">
        <f t="shared" si="108"/>
        <v>21.093333333333334</v>
      </c>
      <c r="D3308" s="37">
        <v>9.6329999999999991</v>
      </c>
      <c r="E3308" s="33">
        <f t="shared" si="109"/>
        <v>1.1994242763473533E-2</v>
      </c>
    </row>
    <row r="3309" spans="1:5" x14ac:dyDescent="0.25">
      <c r="A3309" s="41">
        <v>43603</v>
      </c>
      <c r="B3309" s="29">
        <v>126.13</v>
      </c>
      <c r="C3309" s="37">
        <f t="shared" si="108"/>
        <v>21.021666666666668</v>
      </c>
      <c r="D3309" s="37">
        <v>9.6329999999999991</v>
      </c>
      <c r="E3309" s="33">
        <f t="shared" si="109"/>
        <v>-3.3975979772440487E-3</v>
      </c>
    </row>
    <row r="3310" spans="1:5" x14ac:dyDescent="0.25">
      <c r="A3310" s="41">
        <v>43603</v>
      </c>
      <c r="B3310" s="29">
        <v>125.05</v>
      </c>
      <c r="C3310" s="37">
        <f t="shared" si="108"/>
        <v>20.841666666666665</v>
      </c>
      <c r="D3310" s="37">
        <v>9.6329999999999991</v>
      </c>
      <c r="E3310" s="33">
        <f t="shared" si="109"/>
        <v>-8.5625941488939854E-3</v>
      </c>
    </row>
    <row r="3311" spans="1:5" x14ac:dyDescent="0.25">
      <c r="A3311" s="41">
        <v>43603</v>
      </c>
      <c r="B3311" s="29">
        <v>122.24</v>
      </c>
      <c r="C3311" s="37">
        <f t="shared" si="108"/>
        <v>20.373333333333335</v>
      </c>
      <c r="D3311" s="37">
        <v>9.6329999999999991</v>
      </c>
      <c r="E3311" s="33">
        <f t="shared" si="109"/>
        <v>-2.2471011595361873E-2</v>
      </c>
    </row>
    <row r="3312" spans="1:5" x14ac:dyDescent="0.25">
      <c r="A3312" s="41">
        <v>43603</v>
      </c>
      <c r="B3312" s="29">
        <v>119.39</v>
      </c>
      <c r="C3312" s="37">
        <f t="shared" si="108"/>
        <v>19.898333333333333</v>
      </c>
      <c r="D3312" s="37">
        <v>9.6329999999999991</v>
      </c>
      <c r="E3312" s="33">
        <f t="shared" si="109"/>
        <v>-2.3314790575916185E-2</v>
      </c>
    </row>
    <row r="3313" spans="1:5" x14ac:dyDescent="0.25">
      <c r="A3313" s="41">
        <v>43603</v>
      </c>
      <c r="B3313" s="29">
        <v>119.18</v>
      </c>
      <c r="C3313" s="37">
        <f t="shared" si="108"/>
        <v>19.863333333333333</v>
      </c>
      <c r="D3313" s="37">
        <v>9.6329999999999991</v>
      </c>
      <c r="E3313" s="33">
        <f t="shared" si="109"/>
        <v>-1.7589412848646767E-3</v>
      </c>
    </row>
    <row r="3314" spans="1:5" x14ac:dyDescent="0.25">
      <c r="A3314" s="41">
        <v>43604</v>
      </c>
      <c r="B3314" s="29">
        <v>42.35</v>
      </c>
      <c r="C3314" s="37">
        <f t="shared" si="108"/>
        <v>7.0583333333333336</v>
      </c>
      <c r="D3314" s="37">
        <v>8.7520000000000007</v>
      </c>
      <c r="E3314" s="33">
        <f t="shared" si="109"/>
        <v>-0.64465514348044983</v>
      </c>
    </row>
    <row r="3315" spans="1:5" x14ac:dyDescent="0.25">
      <c r="A3315" s="41">
        <v>43604</v>
      </c>
      <c r="B3315" s="29">
        <v>42.35</v>
      </c>
      <c r="C3315" s="37">
        <f t="shared" si="108"/>
        <v>7.0583333333333336</v>
      </c>
      <c r="D3315" s="37">
        <v>8.7520000000000007</v>
      </c>
      <c r="E3315" s="33">
        <f t="shared" si="109"/>
        <v>0</v>
      </c>
    </row>
    <row r="3316" spans="1:5" x14ac:dyDescent="0.25">
      <c r="A3316" s="41">
        <v>43604</v>
      </c>
      <c r="B3316" s="29">
        <v>42.35</v>
      </c>
      <c r="C3316" s="37">
        <f t="shared" si="108"/>
        <v>7.0583333333333336</v>
      </c>
      <c r="D3316" s="37">
        <v>8.7520000000000007</v>
      </c>
      <c r="E3316" s="33">
        <f t="shared" si="109"/>
        <v>0</v>
      </c>
    </row>
    <row r="3317" spans="1:5" x14ac:dyDescent="0.25">
      <c r="A3317" s="41">
        <v>43604</v>
      </c>
      <c r="B3317" s="29">
        <v>42.35</v>
      </c>
      <c r="C3317" s="37">
        <f t="shared" si="108"/>
        <v>7.0583333333333336</v>
      </c>
      <c r="D3317" s="37">
        <v>8.7520000000000007</v>
      </c>
      <c r="E3317" s="33">
        <f t="shared" si="109"/>
        <v>0</v>
      </c>
    </row>
    <row r="3318" spans="1:5" x14ac:dyDescent="0.25">
      <c r="A3318" s="41">
        <v>43604</v>
      </c>
      <c r="B3318" s="29">
        <v>42.35</v>
      </c>
      <c r="C3318" s="37">
        <f t="shared" si="108"/>
        <v>7.0583333333333336</v>
      </c>
      <c r="D3318" s="37">
        <v>8.7520000000000007</v>
      </c>
      <c r="E3318" s="33">
        <f t="shared" si="109"/>
        <v>0</v>
      </c>
    </row>
    <row r="3319" spans="1:5" x14ac:dyDescent="0.25">
      <c r="A3319" s="41">
        <v>43604</v>
      </c>
      <c r="B3319" s="29">
        <v>42.35</v>
      </c>
      <c r="C3319" s="37">
        <f t="shared" si="108"/>
        <v>7.0583333333333336</v>
      </c>
      <c r="D3319" s="37">
        <v>8.7520000000000007</v>
      </c>
      <c r="E3319" s="33">
        <f t="shared" si="109"/>
        <v>0</v>
      </c>
    </row>
    <row r="3320" spans="1:5" x14ac:dyDescent="0.25">
      <c r="A3320" s="41">
        <v>43604</v>
      </c>
      <c r="B3320" s="29">
        <v>42.35</v>
      </c>
      <c r="C3320" s="37">
        <f t="shared" si="108"/>
        <v>7.0583333333333336</v>
      </c>
      <c r="D3320" s="37">
        <v>8.7520000000000007</v>
      </c>
      <c r="E3320" s="33">
        <f t="shared" si="109"/>
        <v>0</v>
      </c>
    </row>
    <row r="3321" spans="1:5" x14ac:dyDescent="0.25">
      <c r="A3321" s="41">
        <v>43604</v>
      </c>
      <c r="B3321" s="29">
        <v>42.35</v>
      </c>
      <c r="C3321" s="37">
        <f t="shared" si="108"/>
        <v>7.0583333333333336</v>
      </c>
      <c r="D3321" s="37">
        <v>8.7520000000000007</v>
      </c>
      <c r="E3321" s="33">
        <f t="shared" si="109"/>
        <v>0</v>
      </c>
    </row>
    <row r="3322" spans="1:5" x14ac:dyDescent="0.25">
      <c r="A3322" s="41">
        <v>43604</v>
      </c>
      <c r="B3322" s="29">
        <v>42.35</v>
      </c>
      <c r="C3322" s="37">
        <f t="shared" si="108"/>
        <v>7.0583333333333336</v>
      </c>
      <c r="D3322" s="37">
        <v>8.7520000000000007</v>
      </c>
      <c r="E3322" s="33">
        <f t="shared" si="109"/>
        <v>0</v>
      </c>
    </row>
    <row r="3323" spans="1:5" x14ac:dyDescent="0.25">
      <c r="A3323" s="41">
        <v>43604</v>
      </c>
      <c r="B3323" s="29">
        <v>42.35</v>
      </c>
      <c r="C3323" s="37">
        <f t="shared" si="108"/>
        <v>7.0583333333333336</v>
      </c>
      <c r="D3323" s="37">
        <v>8.7520000000000007</v>
      </c>
      <c r="E3323" s="33">
        <f t="shared" si="109"/>
        <v>0</v>
      </c>
    </row>
    <row r="3324" spans="1:5" x14ac:dyDescent="0.25">
      <c r="A3324" s="41">
        <v>43604</v>
      </c>
      <c r="B3324" s="29">
        <v>106.19</v>
      </c>
      <c r="C3324" s="37">
        <f t="shared" si="108"/>
        <v>17.698333333333334</v>
      </c>
      <c r="D3324" s="37">
        <v>8.7520000000000007</v>
      </c>
      <c r="E3324" s="33">
        <f t="shared" si="109"/>
        <v>1.5074380165289254</v>
      </c>
    </row>
    <row r="3325" spans="1:5" x14ac:dyDescent="0.25">
      <c r="A3325" s="41">
        <v>43604</v>
      </c>
      <c r="B3325" s="29">
        <v>107.69</v>
      </c>
      <c r="C3325" s="37">
        <f t="shared" si="108"/>
        <v>17.948333333333334</v>
      </c>
      <c r="D3325" s="37">
        <v>8.7520000000000007</v>
      </c>
      <c r="E3325" s="33">
        <f t="shared" si="109"/>
        <v>1.4125623881721443E-2</v>
      </c>
    </row>
    <row r="3326" spans="1:5" x14ac:dyDescent="0.25">
      <c r="A3326" s="41">
        <v>43604</v>
      </c>
      <c r="B3326" s="29">
        <v>107.69</v>
      </c>
      <c r="C3326" s="37">
        <f t="shared" si="108"/>
        <v>17.948333333333334</v>
      </c>
      <c r="D3326" s="37">
        <v>8.7520000000000007</v>
      </c>
      <c r="E3326" s="33">
        <f t="shared" si="109"/>
        <v>0</v>
      </c>
    </row>
    <row r="3327" spans="1:5" x14ac:dyDescent="0.25">
      <c r="A3327" s="41">
        <v>43604</v>
      </c>
      <c r="B3327" s="29">
        <v>107.59</v>
      </c>
      <c r="C3327" s="37">
        <f t="shared" si="108"/>
        <v>17.931666666666668</v>
      </c>
      <c r="D3327" s="37">
        <v>8.7520000000000007</v>
      </c>
      <c r="E3327" s="33">
        <f t="shared" si="109"/>
        <v>-9.2859132695695347E-4</v>
      </c>
    </row>
    <row r="3328" spans="1:5" x14ac:dyDescent="0.25">
      <c r="A3328" s="41">
        <v>43604</v>
      </c>
      <c r="B3328" s="29">
        <v>107.56</v>
      </c>
      <c r="C3328" s="37">
        <f t="shared" si="108"/>
        <v>17.926666666666666</v>
      </c>
      <c r="D3328" s="37">
        <v>8.7520000000000007</v>
      </c>
      <c r="E3328" s="33">
        <f t="shared" si="109"/>
        <v>-2.7883632307836357E-4</v>
      </c>
    </row>
    <row r="3329" spans="1:5" x14ac:dyDescent="0.25">
      <c r="A3329" s="41">
        <v>43604</v>
      </c>
      <c r="B3329" s="29">
        <v>107.94</v>
      </c>
      <c r="C3329" s="37">
        <f t="shared" si="108"/>
        <v>17.989999999999998</v>
      </c>
      <c r="D3329" s="37">
        <v>8.7520000000000007</v>
      </c>
      <c r="E3329" s="33">
        <f t="shared" si="109"/>
        <v>3.5329118631461085E-3</v>
      </c>
    </row>
    <row r="3330" spans="1:5" x14ac:dyDescent="0.25">
      <c r="A3330" s="41">
        <v>43604</v>
      </c>
      <c r="B3330" s="29">
        <v>117.65</v>
      </c>
      <c r="C3330" s="37">
        <f t="shared" si="108"/>
        <v>19.608333333333334</v>
      </c>
      <c r="D3330" s="37">
        <v>8.7520000000000007</v>
      </c>
      <c r="E3330" s="33">
        <f t="shared" si="109"/>
        <v>8.9957383731702867E-2</v>
      </c>
    </row>
    <row r="3331" spans="1:5" x14ac:dyDescent="0.25">
      <c r="A3331" s="41">
        <v>43604</v>
      </c>
      <c r="B3331" s="29">
        <v>117.81</v>
      </c>
      <c r="C3331" s="37">
        <f t="shared" ref="C3331:C3394" si="110">(B3331*100/600)</f>
        <v>19.635000000000002</v>
      </c>
      <c r="D3331" s="37">
        <v>8.7520000000000007</v>
      </c>
      <c r="E3331" s="33">
        <f t="shared" si="109"/>
        <v>1.3599660008499497E-3</v>
      </c>
    </row>
    <row r="3332" spans="1:5" x14ac:dyDescent="0.25">
      <c r="A3332" s="41">
        <v>43604</v>
      </c>
      <c r="B3332" s="29">
        <v>124.55</v>
      </c>
      <c r="C3332" s="37">
        <f t="shared" si="110"/>
        <v>20.758333333333333</v>
      </c>
      <c r="D3332" s="37">
        <v>8.7520000000000007</v>
      </c>
      <c r="E3332" s="33">
        <f t="shared" ref="E3332:E3395" si="111">(B3332-B3331)/B3331</f>
        <v>5.7210763093115992E-2</v>
      </c>
    </row>
    <row r="3333" spans="1:5" x14ac:dyDescent="0.25">
      <c r="A3333" s="41">
        <v>43604</v>
      </c>
      <c r="B3333" s="29">
        <v>124.11</v>
      </c>
      <c r="C3333" s="37">
        <f t="shared" si="110"/>
        <v>20.684999999999999</v>
      </c>
      <c r="D3333" s="37">
        <v>8.7520000000000007</v>
      </c>
      <c r="E3333" s="33">
        <f t="shared" si="111"/>
        <v>-3.5327177840224627E-3</v>
      </c>
    </row>
    <row r="3334" spans="1:5" x14ac:dyDescent="0.25">
      <c r="A3334" s="41">
        <v>43604</v>
      </c>
      <c r="B3334" s="29">
        <v>122.78</v>
      </c>
      <c r="C3334" s="37">
        <f t="shared" si="110"/>
        <v>20.463333333333335</v>
      </c>
      <c r="D3334" s="37">
        <v>8.7520000000000007</v>
      </c>
      <c r="E3334" s="33">
        <f t="shared" si="111"/>
        <v>-1.0716300056401565E-2</v>
      </c>
    </row>
    <row r="3335" spans="1:5" x14ac:dyDescent="0.25">
      <c r="A3335" s="41">
        <v>43604</v>
      </c>
      <c r="B3335" s="29">
        <v>121.04</v>
      </c>
      <c r="C3335" s="37">
        <f t="shared" si="110"/>
        <v>20.173333333333332</v>
      </c>
      <c r="D3335" s="37">
        <v>8.7520000000000007</v>
      </c>
      <c r="E3335" s="33">
        <f t="shared" si="111"/>
        <v>-1.4171689200195429E-2</v>
      </c>
    </row>
    <row r="3336" spans="1:5" x14ac:dyDescent="0.25">
      <c r="A3336" s="41">
        <v>43604</v>
      </c>
      <c r="B3336" s="29">
        <v>117.94</v>
      </c>
      <c r="C3336" s="37">
        <f t="shared" si="110"/>
        <v>19.656666666666666</v>
      </c>
      <c r="D3336" s="37">
        <v>8.7520000000000007</v>
      </c>
      <c r="E3336" s="33">
        <f t="shared" si="111"/>
        <v>-2.5611368142762794E-2</v>
      </c>
    </row>
    <row r="3337" spans="1:5" x14ac:dyDescent="0.25">
      <c r="A3337" s="41">
        <v>43604</v>
      </c>
      <c r="B3337" s="29">
        <v>117.65</v>
      </c>
      <c r="C3337" s="37">
        <f t="shared" si="110"/>
        <v>19.608333333333334</v>
      </c>
      <c r="D3337" s="37">
        <v>8.7520000000000007</v>
      </c>
      <c r="E3337" s="33">
        <f t="shared" si="111"/>
        <v>-2.4588773952856709E-3</v>
      </c>
    </row>
    <row r="3338" spans="1:5" x14ac:dyDescent="0.25">
      <c r="A3338" s="41">
        <v>43605</v>
      </c>
      <c r="B3338" s="29">
        <v>123.46</v>
      </c>
      <c r="C3338" s="37">
        <f t="shared" si="110"/>
        <v>20.576666666666668</v>
      </c>
      <c r="D3338" s="37">
        <v>8.2460000000000004</v>
      </c>
      <c r="E3338" s="33">
        <f t="shared" si="111"/>
        <v>4.9383765405864748E-2</v>
      </c>
    </row>
    <row r="3339" spans="1:5" x14ac:dyDescent="0.25">
      <c r="A3339" s="41">
        <v>43605</v>
      </c>
      <c r="B3339" s="29">
        <v>117.49</v>
      </c>
      <c r="C3339" s="37">
        <f t="shared" si="110"/>
        <v>19.581666666666667</v>
      </c>
      <c r="D3339" s="37">
        <v>8.2460000000000004</v>
      </c>
      <c r="E3339" s="33">
        <f t="shared" si="111"/>
        <v>-4.8355742750688477E-2</v>
      </c>
    </row>
    <row r="3340" spans="1:5" x14ac:dyDescent="0.25">
      <c r="A3340" s="41">
        <v>43605</v>
      </c>
      <c r="B3340" s="29">
        <v>105.99</v>
      </c>
      <c r="C3340" s="37">
        <f t="shared" si="110"/>
        <v>17.664999999999999</v>
      </c>
      <c r="D3340" s="37">
        <v>8.2460000000000004</v>
      </c>
      <c r="E3340" s="33">
        <f t="shared" si="111"/>
        <v>-9.7880670695378341E-2</v>
      </c>
    </row>
    <row r="3341" spans="1:5" x14ac:dyDescent="0.25">
      <c r="A3341" s="41">
        <v>43605</v>
      </c>
      <c r="B3341" s="29">
        <v>101.7</v>
      </c>
      <c r="C3341" s="37">
        <f t="shared" si="110"/>
        <v>16.95</v>
      </c>
      <c r="D3341" s="37">
        <v>8.2460000000000004</v>
      </c>
      <c r="E3341" s="33">
        <f t="shared" si="111"/>
        <v>-4.0475516558165794E-2</v>
      </c>
    </row>
    <row r="3342" spans="1:5" x14ac:dyDescent="0.25">
      <c r="A3342" s="41">
        <v>43605</v>
      </c>
      <c r="B3342" s="29">
        <v>106</v>
      </c>
      <c r="C3342" s="37">
        <f t="shared" si="110"/>
        <v>17.666666666666668</v>
      </c>
      <c r="D3342" s="37">
        <v>8.2460000000000004</v>
      </c>
      <c r="E3342" s="33">
        <f t="shared" si="111"/>
        <v>4.2281219272369684E-2</v>
      </c>
    </row>
    <row r="3343" spans="1:5" x14ac:dyDescent="0.25">
      <c r="A3343" s="41">
        <v>43605</v>
      </c>
      <c r="B3343" s="29">
        <v>125.35</v>
      </c>
      <c r="C3343" s="37">
        <f t="shared" si="110"/>
        <v>20.891666666666666</v>
      </c>
      <c r="D3343" s="37">
        <v>8.2460000000000004</v>
      </c>
      <c r="E3343" s="33">
        <f t="shared" si="111"/>
        <v>0.18254716981132071</v>
      </c>
    </row>
    <row r="3344" spans="1:5" x14ac:dyDescent="0.25">
      <c r="A3344" s="41">
        <v>43605</v>
      </c>
      <c r="B3344" s="29">
        <v>130.26</v>
      </c>
      <c r="C3344" s="37">
        <f t="shared" si="110"/>
        <v>21.71</v>
      </c>
      <c r="D3344" s="37">
        <v>8.2460000000000004</v>
      </c>
      <c r="E3344" s="33">
        <f t="shared" si="111"/>
        <v>3.917032309533304E-2</v>
      </c>
    </row>
    <row r="3345" spans="1:5" x14ac:dyDescent="0.25">
      <c r="A3345" s="41">
        <v>43605</v>
      </c>
      <c r="B3345" s="29">
        <v>132.77000000000001</v>
      </c>
      <c r="C3345" s="37">
        <f t="shared" si="110"/>
        <v>22.128333333333337</v>
      </c>
      <c r="D3345" s="37">
        <v>8.2460000000000004</v>
      </c>
      <c r="E3345" s="33">
        <f t="shared" si="111"/>
        <v>1.9269153999693072E-2</v>
      </c>
    </row>
    <row r="3346" spans="1:5" x14ac:dyDescent="0.25">
      <c r="A3346" s="41">
        <v>43605</v>
      </c>
      <c r="B3346" s="29">
        <v>135.72</v>
      </c>
      <c r="C3346" s="37">
        <f t="shared" si="110"/>
        <v>22.62</v>
      </c>
      <c r="D3346" s="37">
        <v>8.2460000000000004</v>
      </c>
      <c r="E3346" s="33">
        <f t="shared" si="111"/>
        <v>2.2218874745800921E-2</v>
      </c>
    </row>
    <row r="3347" spans="1:5" x14ac:dyDescent="0.25">
      <c r="A3347" s="41">
        <v>43605</v>
      </c>
      <c r="B3347" s="29">
        <v>137</v>
      </c>
      <c r="C3347" s="37">
        <f t="shared" si="110"/>
        <v>22.833333333333332</v>
      </c>
      <c r="D3347" s="37">
        <v>8.2460000000000004</v>
      </c>
      <c r="E3347" s="33">
        <f t="shared" si="111"/>
        <v>9.4311818449749566E-3</v>
      </c>
    </row>
    <row r="3348" spans="1:5" x14ac:dyDescent="0.25">
      <c r="A3348" s="41">
        <v>43605</v>
      </c>
      <c r="B3348" s="29">
        <v>137.31</v>
      </c>
      <c r="C3348" s="37">
        <f t="shared" si="110"/>
        <v>22.885000000000002</v>
      </c>
      <c r="D3348" s="37">
        <v>8.2460000000000004</v>
      </c>
      <c r="E3348" s="33">
        <f t="shared" si="111"/>
        <v>2.2627737226277537E-3</v>
      </c>
    </row>
    <row r="3349" spans="1:5" x14ac:dyDescent="0.25">
      <c r="A3349" s="41">
        <v>43605</v>
      </c>
      <c r="B3349" s="29">
        <v>137.36000000000001</v>
      </c>
      <c r="C3349" s="37">
        <f t="shared" si="110"/>
        <v>22.893333333333338</v>
      </c>
      <c r="D3349" s="37">
        <v>8.2460000000000004</v>
      </c>
      <c r="E3349" s="33">
        <f t="shared" si="111"/>
        <v>3.6413953827114828E-4</v>
      </c>
    </row>
    <row r="3350" spans="1:5" x14ac:dyDescent="0.25">
      <c r="A3350" s="41">
        <v>43605</v>
      </c>
      <c r="B3350" s="29">
        <v>137.4</v>
      </c>
      <c r="C3350" s="37">
        <f t="shared" si="110"/>
        <v>22.9</v>
      </c>
      <c r="D3350" s="37">
        <v>8.2460000000000004</v>
      </c>
      <c r="E3350" s="33">
        <f t="shared" si="111"/>
        <v>2.9120559114729209E-4</v>
      </c>
    </row>
    <row r="3351" spans="1:5" x14ac:dyDescent="0.25">
      <c r="A3351" s="41">
        <v>43605</v>
      </c>
      <c r="B3351" s="29">
        <v>137.44</v>
      </c>
      <c r="C3351" s="37">
        <f t="shared" si="110"/>
        <v>22.906666666666666</v>
      </c>
      <c r="D3351" s="37">
        <v>8.2460000000000004</v>
      </c>
      <c r="E3351" s="33">
        <f t="shared" si="111"/>
        <v>2.9112081513822446E-4</v>
      </c>
    </row>
    <row r="3352" spans="1:5" x14ac:dyDescent="0.25">
      <c r="A3352" s="41">
        <v>43605</v>
      </c>
      <c r="B3352" s="29">
        <v>137.47999999999999</v>
      </c>
      <c r="C3352" s="37">
        <f t="shared" si="110"/>
        <v>22.91333333333333</v>
      </c>
      <c r="D3352" s="37">
        <v>8.2460000000000004</v>
      </c>
      <c r="E3352" s="33">
        <f t="shared" si="111"/>
        <v>2.9103608847491299E-4</v>
      </c>
    </row>
    <row r="3353" spans="1:5" x14ac:dyDescent="0.25">
      <c r="A3353" s="41">
        <v>43605</v>
      </c>
      <c r="B3353" s="29">
        <v>137.52000000000001</v>
      </c>
      <c r="C3353" s="37">
        <f t="shared" si="110"/>
        <v>22.92</v>
      </c>
      <c r="D3353" s="37">
        <v>8.2460000000000004</v>
      </c>
      <c r="E3353" s="33">
        <f t="shared" si="111"/>
        <v>2.9095141111449278E-4</v>
      </c>
    </row>
    <row r="3354" spans="1:5" x14ac:dyDescent="0.25">
      <c r="A3354" s="41">
        <v>43605</v>
      </c>
      <c r="B3354" s="29">
        <v>137.56</v>
      </c>
      <c r="C3354" s="37">
        <f t="shared" si="110"/>
        <v>22.926666666666666</v>
      </c>
      <c r="D3354" s="37">
        <v>8.2460000000000004</v>
      </c>
      <c r="E3354" s="33">
        <f t="shared" si="111"/>
        <v>2.9086678301332196E-4</v>
      </c>
    </row>
    <row r="3355" spans="1:5" x14ac:dyDescent="0.25">
      <c r="A3355" s="41">
        <v>43605</v>
      </c>
      <c r="B3355" s="29">
        <v>137.54</v>
      </c>
      <c r="C3355" s="37">
        <f t="shared" si="110"/>
        <v>22.923333333333332</v>
      </c>
      <c r="D3355" s="37">
        <v>8.2460000000000004</v>
      </c>
      <c r="E3355" s="33">
        <f t="shared" si="111"/>
        <v>-1.4539110206462802E-4</v>
      </c>
    </row>
    <row r="3356" spans="1:5" x14ac:dyDescent="0.25">
      <c r="A3356" s="41">
        <v>43605</v>
      </c>
      <c r="B3356" s="29">
        <v>137.52000000000001</v>
      </c>
      <c r="C3356" s="37">
        <f t="shared" si="110"/>
        <v>22.92</v>
      </c>
      <c r="D3356" s="37">
        <v>8.2460000000000004</v>
      </c>
      <c r="E3356" s="33">
        <f t="shared" si="111"/>
        <v>-1.4541224371078821E-4</v>
      </c>
    </row>
    <row r="3357" spans="1:5" x14ac:dyDescent="0.25">
      <c r="A3357" s="41">
        <v>43605</v>
      </c>
      <c r="B3357" s="29">
        <v>137.49</v>
      </c>
      <c r="C3357" s="37">
        <f t="shared" si="110"/>
        <v>22.914999999999999</v>
      </c>
      <c r="D3357" s="37">
        <v>8.2460000000000004</v>
      </c>
      <c r="E3357" s="33">
        <f t="shared" si="111"/>
        <v>-2.1815008726004315E-4</v>
      </c>
    </row>
    <row r="3358" spans="1:5" x14ac:dyDescent="0.25">
      <c r="A3358" s="41">
        <v>43605</v>
      </c>
      <c r="B3358" s="29">
        <v>137.32</v>
      </c>
      <c r="C3358" s="37">
        <f t="shared" si="110"/>
        <v>22.886666666666667</v>
      </c>
      <c r="D3358" s="37">
        <v>8.2460000000000004</v>
      </c>
      <c r="E3358" s="33">
        <f t="shared" si="111"/>
        <v>-1.2364535602590436E-3</v>
      </c>
    </row>
    <row r="3359" spans="1:5" x14ac:dyDescent="0.25">
      <c r="A3359" s="41">
        <v>43605</v>
      </c>
      <c r="B3359" s="29">
        <v>137.28</v>
      </c>
      <c r="C3359" s="37">
        <f t="shared" si="110"/>
        <v>22.88</v>
      </c>
      <c r="D3359" s="37">
        <v>8.2460000000000004</v>
      </c>
      <c r="E3359" s="33">
        <f t="shared" si="111"/>
        <v>-2.9129041654523774E-4</v>
      </c>
    </row>
    <row r="3360" spans="1:5" x14ac:dyDescent="0.25">
      <c r="A3360" s="41">
        <v>43605</v>
      </c>
      <c r="B3360" s="29">
        <v>135.85</v>
      </c>
      <c r="C3360" s="37">
        <f t="shared" si="110"/>
        <v>22.641666666666666</v>
      </c>
      <c r="D3360" s="37">
        <v>8.2460000000000004</v>
      </c>
      <c r="E3360" s="33">
        <f t="shared" si="111"/>
        <v>-1.0416666666666716E-2</v>
      </c>
    </row>
    <row r="3361" spans="1:5" x14ac:dyDescent="0.25">
      <c r="A3361" s="41">
        <v>43605</v>
      </c>
      <c r="B3361" s="29">
        <v>133.28</v>
      </c>
      <c r="C3361" s="37">
        <f t="shared" si="110"/>
        <v>22.213333333333335</v>
      </c>
      <c r="D3361" s="37">
        <v>8.2460000000000004</v>
      </c>
      <c r="E3361" s="33">
        <f t="shared" si="111"/>
        <v>-1.8917924181082027E-2</v>
      </c>
    </row>
    <row r="3362" spans="1:5" x14ac:dyDescent="0.25">
      <c r="A3362" s="41">
        <v>43606</v>
      </c>
      <c r="B3362" s="29">
        <v>133.12</v>
      </c>
      <c r="C3362" s="37">
        <f t="shared" si="110"/>
        <v>22.186666666666667</v>
      </c>
      <c r="D3362" s="37">
        <v>8.2260000000000009</v>
      </c>
      <c r="E3362" s="33">
        <f t="shared" si="111"/>
        <v>-1.2004801920768051E-3</v>
      </c>
    </row>
    <row r="3363" spans="1:5" x14ac:dyDescent="0.25">
      <c r="A3363" s="41">
        <v>43606</v>
      </c>
      <c r="B3363" s="29">
        <v>131.31</v>
      </c>
      <c r="C3363" s="37">
        <f t="shared" si="110"/>
        <v>21.885000000000002</v>
      </c>
      <c r="D3363" s="37">
        <v>8.2260000000000009</v>
      </c>
      <c r="E3363" s="33">
        <f t="shared" si="111"/>
        <v>-1.3596754807692324E-2</v>
      </c>
    </row>
    <row r="3364" spans="1:5" x14ac:dyDescent="0.25">
      <c r="A3364" s="41">
        <v>43606</v>
      </c>
      <c r="B3364" s="29">
        <v>129.31</v>
      </c>
      <c r="C3364" s="37">
        <f t="shared" si="110"/>
        <v>21.551666666666666</v>
      </c>
      <c r="D3364" s="37">
        <v>8.2260000000000009</v>
      </c>
      <c r="E3364" s="33">
        <f t="shared" si="111"/>
        <v>-1.523113243469652E-2</v>
      </c>
    </row>
    <row r="3365" spans="1:5" x14ac:dyDescent="0.25">
      <c r="A3365" s="41">
        <v>43606</v>
      </c>
      <c r="B3365" s="29">
        <v>128.9</v>
      </c>
      <c r="C3365" s="37">
        <f t="shared" si="110"/>
        <v>21.483333333333334</v>
      </c>
      <c r="D3365" s="37">
        <v>8.2260000000000009</v>
      </c>
      <c r="E3365" s="33">
        <f t="shared" si="111"/>
        <v>-3.1706751218002985E-3</v>
      </c>
    </row>
    <row r="3366" spans="1:5" x14ac:dyDescent="0.25">
      <c r="A3366" s="41">
        <v>43606</v>
      </c>
      <c r="B3366" s="29">
        <v>129.19</v>
      </c>
      <c r="C3366" s="37">
        <f t="shared" si="110"/>
        <v>21.531666666666666</v>
      </c>
      <c r="D3366" s="37">
        <v>8.2260000000000009</v>
      </c>
      <c r="E3366" s="33">
        <f t="shared" si="111"/>
        <v>2.2498060512024208E-3</v>
      </c>
    </row>
    <row r="3367" spans="1:5" x14ac:dyDescent="0.25">
      <c r="A3367" s="41">
        <v>43606</v>
      </c>
      <c r="B3367" s="29">
        <v>131.83000000000001</v>
      </c>
      <c r="C3367" s="37">
        <f t="shared" si="110"/>
        <v>21.971666666666671</v>
      </c>
      <c r="D3367" s="37">
        <v>8.2260000000000009</v>
      </c>
      <c r="E3367" s="33">
        <f t="shared" si="111"/>
        <v>2.043501819026252E-2</v>
      </c>
    </row>
    <row r="3368" spans="1:5" x14ac:dyDescent="0.25">
      <c r="A3368" s="41">
        <v>43606</v>
      </c>
      <c r="B3368" s="29">
        <v>134.19</v>
      </c>
      <c r="C3368" s="37">
        <f t="shared" si="110"/>
        <v>22.364999999999998</v>
      </c>
      <c r="D3368" s="37">
        <v>8.2260000000000009</v>
      </c>
      <c r="E3368" s="33">
        <f t="shared" si="111"/>
        <v>1.7901843283015893E-2</v>
      </c>
    </row>
    <row r="3369" spans="1:5" x14ac:dyDescent="0.25">
      <c r="A3369" s="41">
        <v>43606</v>
      </c>
      <c r="B3369" s="29">
        <v>135.29</v>
      </c>
      <c r="C3369" s="37">
        <f t="shared" si="110"/>
        <v>22.548333333333332</v>
      </c>
      <c r="D3369" s="37">
        <v>8.2260000000000009</v>
      </c>
      <c r="E3369" s="33">
        <f t="shared" si="111"/>
        <v>8.1973321409940705E-3</v>
      </c>
    </row>
    <row r="3370" spans="1:5" x14ac:dyDescent="0.25">
      <c r="A3370" s="41">
        <v>43606</v>
      </c>
      <c r="B3370" s="29">
        <v>137.38999999999999</v>
      </c>
      <c r="C3370" s="37">
        <f t="shared" si="110"/>
        <v>22.89833333333333</v>
      </c>
      <c r="D3370" s="37">
        <v>8.2260000000000009</v>
      </c>
      <c r="E3370" s="33">
        <f t="shared" si="111"/>
        <v>1.5522211545568737E-2</v>
      </c>
    </row>
    <row r="3371" spans="1:5" x14ac:dyDescent="0.25">
      <c r="A3371" s="41">
        <v>43606</v>
      </c>
      <c r="B3371" s="29">
        <v>137.43</v>
      </c>
      <c r="C3371" s="37">
        <f t="shared" si="110"/>
        <v>22.905000000000001</v>
      </c>
      <c r="D3371" s="37">
        <v>8.2260000000000009</v>
      </c>
      <c r="E3371" s="33">
        <f t="shared" si="111"/>
        <v>2.9114200451285004E-4</v>
      </c>
    </row>
    <row r="3372" spans="1:5" x14ac:dyDescent="0.25">
      <c r="A3372" s="41">
        <v>43606</v>
      </c>
      <c r="B3372" s="29">
        <v>138.07</v>
      </c>
      <c r="C3372" s="37">
        <f t="shared" si="110"/>
        <v>23.011666666666667</v>
      </c>
      <c r="D3372" s="37">
        <v>8.2260000000000009</v>
      </c>
      <c r="E3372" s="33">
        <f t="shared" si="111"/>
        <v>4.6569162482717483E-3</v>
      </c>
    </row>
    <row r="3373" spans="1:5" x14ac:dyDescent="0.25">
      <c r="A3373" s="41">
        <v>43606</v>
      </c>
      <c r="B3373" s="29">
        <v>138.15</v>
      </c>
      <c r="C3373" s="37">
        <f t="shared" si="110"/>
        <v>23.024999999999999</v>
      </c>
      <c r="D3373" s="37">
        <v>8.2260000000000009</v>
      </c>
      <c r="E3373" s="33">
        <f t="shared" si="111"/>
        <v>5.7941623814016451E-4</v>
      </c>
    </row>
    <row r="3374" spans="1:5" x14ac:dyDescent="0.25">
      <c r="A3374" s="41">
        <v>43606</v>
      </c>
      <c r="B3374" s="29">
        <v>137.69</v>
      </c>
      <c r="C3374" s="37">
        <f t="shared" si="110"/>
        <v>22.948333333333334</v>
      </c>
      <c r="D3374" s="37">
        <v>8.2260000000000009</v>
      </c>
      <c r="E3374" s="33">
        <f t="shared" si="111"/>
        <v>-3.3297140788998043E-3</v>
      </c>
    </row>
    <row r="3375" spans="1:5" x14ac:dyDescent="0.25">
      <c r="A3375" s="41">
        <v>43606</v>
      </c>
      <c r="B3375" s="29">
        <v>138.06</v>
      </c>
      <c r="C3375" s="37">
        <f t="shared" si="110"/>
        <v>23.01</v>
      </c>
      <c r="D3375" s="37">
        <v>8.2260000000000009</v>
      </c>
      <c r="E3375" s="33">
        <f t="shared" si="111"/>
        <v>2.6871958747912306E-3</v>
      </c>
    </row>
    <row r="3376" spans="1:5" x14ac:dyDescent="0.25">
      <c r="A3376" s="41">
        <v>43606</v>
      </c>
      <c r="B3376" s="29">
        <v>138.38999999999999</v>
      </c>
      <c r="C3376" s="37">
        <f t="shared" si="110"/>
        <v>23.064999999999998</v>
      </c>
      <c r="D3376" s="37">
        <v>8.2260000000000009</v>
      </c>
      <c r="E3376" s="33">
        <f t="shared" si="111"/>
        <v>2.3902651021293934E-3</v>
      </c>
    </row>
    <row r="3377" spans="1:5" x14ac:dyDescent="0.25">
      <c r="A3377" s="41">
        <v>43606</v>
      </c>
      <c r="B3377" s="29">
        <v>138.49</v>
      </c>
      <c r="C3377" s="37">
        <f t="shared" si="110"/>
        <v>23.081666666666667</v>
      </c>
      <c r="D3377" s="37">
        <v>8.2260000000000009</v>
      </c>
      <c r="E3377" s="33">
        <f t="shared" si="111"/>
        <v>7.2259556326340589E-4</v>
      </c>
    </row>
    <row r="3378" spans="1:5" x14ac:dyDescent="0.25">
      <c r="A3378" s="41">
        <v>43606</v>
      </c>
      <c r="B3378" s="29">
        <v>138.47999999999999</v>
      </c>
      <c r="C3378" s="37">
        <f t="shared" si="110"/>
        <v>23.08</v>
      </c>
      <c r="D3378" s="37">
        <v>8.2260000000000009</v>
      </c>
      <c r="E3378" s="33">
        <f t="shared" si="111"/>
        <v>-7.2207379594334069E-5</v>
      </c>
    </row>
    <row r="3379" spans="1:5" x14ac:dyDescent="0.25">
      <c r="A3379" s="41">
        <v>43606</v>
      </c>
      <c r="B3379" s="29">
        <v>138.53</v>
      </c>
      <c r="C3379" s="37">
        <f t="shared" si="110"/>
        <v>23.088333333333335</v>
      </c>
      <c r="D3379" s="37">
        <v>8.2260000000000009</v>
      </c>
      <c r="E3379" s="33">
        <f t="shared" si="111"/>
        <v>3.6106296938194233E-4</v>
      </c>
    </row>
    <row r="3380" spans="1:5" x14ac:dyDescent="0.25">
      <c r="A3380" s="41">
        <v>43606</v>
      </c>
      <c r="B3380" s="29">
        <v>139.46</v>
      </c>
      <c r="C3380" s="37">
        <f t="shared" si="110"/>
        <v>23.243333333333332</v>
      </c>
      <c r="D3380" s="37">
        <v>8.2260000000000009</v>
      </c>
      <c r="E3380" s="33">
        <f t="shared" si="111"/>
        <v>6.7133472893958481E-3</v>
      </c>
    </row>
    <row r="3381" spans="1:5" x14ac:dyDescent="0.25">
      <c r="A3381" s="41">
        <v>43606</v>
      </c>
      <c r="B3381" s="29">
        <v>138.55000000000001</v>
      </c>
      <c r="C3381" s="37">
        <f t="shared" si="110"/>
        <v>23.091666666666669</v>
      </c>
      <c r="D3381" s="37">
        <v>8.2260000000000009</v>
      </c>
      <c r="E3381" s="33">
        <f t="shared" si="111"/>
        <v>-6.5251685070987853E-3</v>
      </c>
    </row>
    <row r="3382" spans="1:5" x14ac:dyDescent="0.25">
      <c r="A3382" s="41">
        <v>43606</v>
      </c>
      <c r="B3382" s="29">
        <v>137.68</v>
      </c>
      <c r="C3382" s="37">
        <f t="shared" si="110"/>
        <v>22.946666666666665</v>
      </c>
      <c r="D3382" s="37">
        <v>8.2260000000000009</v>
      </c>
      <c r="E3382" s="33">
        <f t="shared" si="111"/>
        <v>-6.2793215445687799E-3</v>
      </c>
    </row>
    <row r="3383" spans="1:5" x14ac:dyDescent="0.25">
      <c r="A3383" s="41">
        <v>43606</v>
      </c>
      <c r="B3383" s="29">
        <v>137.31</v>
      </c>
      <c r="C3383" s="37">
        <f t="shared" si="110"/>
        <v>22.885000000000002</v>
      </c>
      <c r="D3383" s="37">
        <v>8.2260000000000009</v>
      </c>
      <c r="E3383" s="33">
        <f t="shared" si="111"/>
        <v>-2.6873910517141524E-3</v>
      </c>
    </row>
    <row r="3384" spans="1:5" x14ac:dyDescent="0.25">
      <c r="A3384" s="41">
        <v>43606</v>
      </c>
      <c r="B3384" s="29">
        <v>137.08000000000001</v>
      </c>
      <c r="C3384" s="37">
        <f t="shared" si="110"/>
        <v>22.846666666666671</v>
      </c>
      <c r="D3384" s="37">
        <v>8.2260000000000009</v>
      </c>
      <c r="E3384" s="33">
        <f t="shared" si="111"/>
        <v>-1.6750418760468266E-3</v>
      </c>
    </row>
    <row r="3385" spans="1:5" x14ac:dyDescent="0.25">
      <c r="A3385" s="41">
        <v>43606</v>
      </c>
      <c r="B3385" s="29">
        <v>134.82</v>
      </c>
      <c r="C3385" s="37">
        <f t="shared" si="110"/>
        <v>22.47</v>
      </c>
      <c r="D3385" s="37">
        <v>8.2260000000000009</v>
      </c>
      <c r="E3385" s="33">
        <f t="shared" si="111"/>
        <v>-1.6486723081412455E-2</v>
      </c>
    </row>
    <row r="3386" spans="1:5" x14ac:dyDescent="0.25">
      <c r="A3386" s="41">
        <v>43607</v>
      </c>
      <c r="B3386" s="29">
        <v>131.53</v>
      </c>
      <c r="C3386" s="37">
        <f t="shared" si="110"/>
        <v>21.921666666666667</v>
      </c>
      <c r="D3386" s="37">
        <v>8.4760000000000009</v>
      </c>
      <c r="E3386" s="33">
        <f t="shared" si="111"/>
        <v>-2.4402907580477615E-2</v>
      </c>
    </row>
    <row r="3387" spans="1:5" x14ac:dyDescent="0.25">
      <c r="A3387" s="41">
        <v>43607</v>
      </c>
      <c r="B3387" s="29">
        <v>127.63</v>
      </c>
      <c r="C3387" s="37">
        <f t="shared" si="110"/>
        <v>21.271666666666668</v>
      </c>
      <c r="D3387" s="37">
        <v>8.4760000000000009</v>
      </c>
      <c r="E3387" s="33">
        <f t="shared" si="111"/>
        <v>-2.9651030183228205E-2</v>
      </c>
    </row>
    <row r="3388" spans="1:5" x14ac:dyDescent="0.25">
      <c r="A3388" s="41">
        <v>43607</v>
      </c>
      <c r="B3388" s="29">
        <v>124.59</v>
      </c>
      <c r="C3388" s="37">
        <f t="shared" si="110"/>
        <v>20.765000000000001</v>
      </c>
      <c r="D3388" s="37">
        <v>8.4760000000000009</v>
      </c>
      <c r="E3388" s="33">
        <f t="shared" si="111"/>
        <v>-2.3818851367233346E-2</v>
      </c>
    </row>
    <row r="3389" spans="1:5" x14ac:dyDescent="0.25">
      <c r="A3389" s="41">
        <v>43607</v>
      </c>
      <c r="B3389" s="29">
        <v>124.55</v>
      </c>
      <c r="C3389" s="37">
        <f t="shared" si="110"/>
        <v>20.758333333333333</v>
      </c>
      <c r="D3389" s="37">
        <v>8.4760000000000009</v>
      </c>
      <c r="E3389" s="33">
        <f t="shared" si="111"/>
        <v>-3.2105305401722653E-4</v>
      </c>
    </row>
    <row r="3390" spans="1:5" x14ac:dyDescent="0.25">
      <c r="A3390" s="41">
        <v>43607</v>
      </c>
      <c r="B3390" s="29">
        <v>124.62</v>
      </c>
      <c r="C3390" s="37">
        <f t="shared" si="110"/>
        <v>20.77</v>
      </c>
      <c r="D3390" s="37">
        <v>8.4760000000000009</v>
      </c>
      <c r="E3390" s="33">
        <f t="shared" si="111"/>
        <v>5.6202328382181765E-4</v>
      </c>
    </row>
    <row r="3391" spans="1:5" x14ac:dyDescent="0.25">
      <c r="A3391" s="41">
        <v>43607</v>
      </c>
      <c r="B3391" s="29">
        <v>129.69999999999999</v>
      </c>
      <c r="C3391" s="37">
        <f t="shared" si="110"/>
        <v>21.616666666666664</v>
      </c>
      <c r="D3391" s="37">
        <v>8.4760000000000009</v>
      </c>
      <c r="E3391" s="33">
        <f t="shared" si="111"/>
        <v>4.0763922323864422E-2</v>
      </c>
    </row>
    <row r="3392" spans="1:5" x14ac:dyDescent="0.25">
      <c r="A3392" s="41">
        <v>43607</v>
      </c>
      <c r="B3392" s="29">
        <v>133.26</v>
      </c>
      <c r="C3392" s="37">
        <f t="shared" si="110"/>
        <v>22.21</v>
      </c>
      <c r="D3392" s="37">
        <v>8.4760000000000009</v>
      </c>
      <c r="E3392" s="33">
        <f t="shared" si="111"/>
        <v>2.7447956823438726E-2</v>
      </c>
    </row>
    <row r="3393" spans="1:5" x14ac:dyDescent="0.25">
      <c r="A3393" s="41">
        <v>43607</v>
      </c>
      <c r="B3393" s="29">
        <v>134.43</v>
      </c>
      <c r="C3393" s="37">
        <f t="shared" si="110"/>
        <v>22.405000000000001</v>
      </c>
      <c r="D3393" s="37">
        <v>8.4760000000000009</v>
      </c>
      <c r="E3393" s="33">
        <f t="shared" si="111"/>
        <v>8.7798289058983632E-3</v>
      </c>
    </row>
    <row r="3394" spans="1:5" x14ac:dyDescent="0.25">
      <c r="A3394" s="41">
        <v>43607</v>
      </c>
      <c r="B3394" s="29">
        <v>136.37</v>
      </c>
      <c r="C3394" s="37">
        <f t="shared" si="110"/>
        <v>22.728333333333332</v>
      </c>
      <c r="D3394" s="37">
        <v>8.4760000000000009</v>
      </c>
      <c r="E3394" s="33">
        <f t="shared" si="111"/>
        <v>1.443130253663615E-2</v>
      </c>
    </row>
    <row r="3395" spans="1:5" x14ac:dyDescent="0.25">
      <c r="A3395" s="41">
        <v>43607</v>
      </c>
      <c r="B3395" s="29">
        <v>136.55000000000001</v>
      </c>
      <c r="C3395" s="37">
        <f t="shared" ref="C3395:C3458" si="112">(B3395*100/600)</f>
        <v>22.758333333333336</v>
      </c>
      <c r="D3395" s="37">
        <v>8.4760000000000009</v>
      </c>
      <c r="E3395" s="33">
        <f t="shared" si="111"/>
        <v>1.3199384028745825E-3</v>
      </c>
    </row>
    <row r="3396" spans="1:5" x14ac:dyDescent="0.25">
      <c r="A3396" s="41">
        <v>43607</v>
      </c>
      <c r="B3396" s="29">
        <v>136.72</v>
      </c>
      <c r="C3396" s="37">
        <f t="shared" si="112"/>
        <v>22.786666666666665</v>
      </c>
      <c r="D3396" s="37">
        <v>8.4760000000000009</v>
      </c>
      <c r="E3396" s="33">
        <f t="shared" ref="E3396:E3459" si="113">(B3396-B3395)/B3395</f>
        <v>1.2449652142071583E-3</v>
      </c>
    </row>
    <row r="3397" spans="1:5" x14ac:dyDescent="0.25">
      <c r="A3397" s="41">
        <v>43607</v>
      </c>
      <c r="B3397" s="29">
        <v>136.72999999999999</v>
      </c>
      <c r="C3397" s="37">
        <f t="shared" si="112"/>
        <v>22.78833333333333</v>
      </c>
      <c r="D3397" s="37">
        <v>8.4760000000000009</v>
      </c>
      <c r="E3397" s="33">
        <f t="shared" si="113"/>
        <v>7.3142188414210827E-5</v>
      </c>
    </row>
    <row r="3398" spans="1:5" x14ac:dyDescent="0.25">
      <c r="A3398" s="41">
        <v>43607</v>
      </c>
      <c r="B3398" s="29">
        <v>136.66999999999999</v>
      </c>
      <c r="C3398" s="37">
        <f t="shared" si="112"/>
        <v>22.778333333333329</v>
      </c>
      <c r="D3398" s="37">
        <v>8.4760000000000009</v>
      </c>
      <c r="E3398" s="33">
        <f t="shared" si="113"/>
        <v>-4.3882103415492047E-4</v>
      </c>
    </row>
    <row r="3399" spans="1:5" x14ac:dyDescent="0.25">
      <c r="A3399" s="41">
        <v>43607</v>
      </c>
      <c r="B3399" s="29">
        <v>136.63999999999999</v>
      </c>
      <c r="C3399" s="37">
        <f t="shared" si="112"/>
        <v>22.77333333333333</v>
      </c>
      <c r="D3399" s="37">
        <v>8.4760000000000009</v>
      </c>
      <c r="E3399" s="33">
        <f t="shared" si="113"/>
        <v>-2.1950684129656207E-4</v>
      </c>
    </row>
    <row r="3400" spans="1:5" x14ac:dyDescent="0.25">
      <c r="A3400" s="41">
        <v>43607</v>
      </c>
      <c r="B3400" s="29">
        <v>137.09</v>
      </c>
      <c r="C3400" s="37">
        <f t="shared" si="112"/>
        <v>22.848333333333333</v>
      </c>
      <c r="D3400" s="37">
        <v>8.4760000000000009</v>
      </c>
      <c r="E3400" s="33">
        <f t="shared" si="113"/>
        <v>3.2933255269322094E-3</v>
      </c>
    </row>
    <row r="3401" spans="1:5" x14ac:dyDescent="0.25">
      <c r="A3401" s="41">
        <v>43607</v>
      </c>
      <c r="B3401" s="29">
        <v>137.56</v>
      </c>
      <c r="C3401" s="37">
        <f t="shared" si="112"/>
        <v>22.926666666666666</v>
      </c>
      <c r="D3401" s="37">
        <v>8.4760000000000009</v>
      </c>
      <c r="E3401" s="33">
        <f t="shared" si="113"/>
        <v>3.4284046976438753E-3</v>
      </c>
    </row>
    <row r="3402" spans="1:5" x14ac:dyDescent="0.25">
      <c r="A3402" s="41">
        <v>43607</v>
      </c>
      <c r="B3402" s="29">
        <v>137.80000000000001</v>
      </c>
      <c r="C3402" s="37">
        <f t="shared" si="112"/>
        <v>22.966666666666669</v>
      </c>
      <c r="D3402" s="37">
        <v>8.4760000000000009</v>
      </c>
      <c r="E3402" s="33">
        <f t="shared" si="113"/>
        <v>1.74469322477471E-3</v>
      </c>
    </row>
    <row r="3403" spans="1:5" x14ac:dyDescent="0.25">
      <c r="A3403" s="41">
        <v>43607</v>
      </c>
      <c r="B3403" s="29">
        <v>137.37</v>
      </c>
      <c r="C3403" s="37">
        <f t="shared" si="112"/>
        <v>22.895</v>
      </c>
      <c r="D3403" s="37">
        <v>8.4760000000000009</v>
      </c>
      <c r="E3403" s="33">
        <f t="shared" si="113"/>
        <v>-3.1204644412192073E-3</v>
      </c>
    </row>
    <row r="3404" spans="1:5" x14ac:dyDescent="0.25">
      <c r="A3404" s="41">
        <v>43607</v>
      </c>
      <c r="B3404" s="29">
        <v>138.97</v>
      </c>
      <c r="C3404" s="37">
        <f t="shared" si="112"/>
        <v>23.161666666666665</v>
      </c>
      <c r="D3404" s="37">
        <v>8.4760000000000009</v>
      </c>
      <c r="E3404" s="33">
        <f t="shared" si="113"/>
        <v>1.1647375700662403E-2</v>
      </c>
    </row>
    <row r="3405" spans="1:5" x14ac:dyDescent="0.25">
      <c r="A3405" s="41">
        <v>43607</v>
      </c>
      <c r="B3405" s="29">
        <v>138.47999999999999</v>
      </c>
      <c r="C3405" s="37">
        <f t="shared" si="112"/>
        <v>23.08</v>
      </c>
      <c r="D3405" s="37">
        <v>8.4760000000000009</v>
      </c>
      <c r="E3405" s="33">
        <f t="shared" si="113"/>
        <v>-3.5259408505433484E-3</v>
      </c>
    </row>
    <row r="3406" spans="1:5" x14ac:dyDescent="0.25">
      <c r="A3406" s="41">
        <v>43607</v>
      </c>
      <c r="B3406" s="29">
        <v>137.57</v>
      </c>
      <c r="C3406" s="37">
        <f t="shared" si="112"/>
        <v>22.928333333333335</v>
      </c>
      <c r="D3406" s="37">
        <v>8.4760000000000009</v>
      </c>
      <c r="E3406" s="33">
        <f t="shared" si="113"/>
        <v>-6.5713460427498311E-3</v>
      </c>
    </row>
    <row r="3407" spans="1:5" x14ac:dyDescent="0.25">
      <c r="A3407" s="41">
        <v>43607</v>
      </c>
      <c r="B3407" s="29">
        <v>136.54</v>
      </c>
      <c r="C3407" s="37">
        <f t="shared" si="112"/>
        <v>22.756666666666668</v>
      </c>
      <c r="D3407" s="37">
        <v>8.4760000000000009</v>
      </c>
      <c r="E3407" s="33">
        <f t="shared" si="113"/>
        <v>-7.4870974776477519E-3</v>
      </c>
    </row>
    <row r="3408" spans="1:5" x14ac:dyDescent="0.25">
      <c r="A3408" s="41">
        <v>43607</v>
      </c>
      <c r="B3408" s="29">
        <v>136.29</v>
      </c>
      <c r="C3408" s="37">
        <f t="shared" si="112"/>
        <v>22.715</v>
      </c>
      <c r="D3408" s="37">
        <v>8.4760000000000009</v>
      </c>
      <c r="E3408" s="33">
        <f t="shared" si="113"/>
        <v>-1.8309652848981985E-3</v>
      </c>
    </row>
    <row r="3409" spans="1:5" x14ac:dyDescent="0.25">
      <c r="A3409" s="41">
        <v>43607</v>
      </c>
      <c r="B3409" s="29">
        <v>134.4</v>
      </c>
      <c r="C3409" s="37">
        <f t="shared" si="112"/>
        <v>22.4</v>
      </c>
      <c r="D3409" s="37">
        <v>8.4760000000000009</v>
      </c>
      <c r="E3409" s="33">
        <f t="shared" si="113"/>
        <v>-1.3867488443759532E-2</v>
      </c>
    </row>
    <row r="3410" spans="1:5" x14ac:dyDescent="0.25">
      <c r="A3410" s="41">
        <v>43608</v>
      </c>
      <c r="B3410" s="29">
        <v>132.93</v>
      </c>
      <c r="C3410" s="37">
        <f t="shared" si="112"/>
        <v>22.155000000000001</v>
      </c>
      <c r="D3410" s="37">
        <v>9.0370000000000008</v>
      </c>
      <c r="E3410" s="33">
        <f t="shared" si="113"/>
        <v>-1.0937499999999991E-2</v>
      </c>
    </row>
    <row r="3411" spans="1:5" x14ac:dyDescent="0.25">
      <c r="A3411" s="41">
        <v>43608</v>
      </c>
      <c r="B3411" s="29">
        <v>130.04</v>
      </c>
      <c r="C3411" s="37">
        <f t="shared" si="112"/>
        <v>21.673333333333332</v>
      </c>
      <c r="D3411" s="37">
        <v>9.0370000000000008</v>
      </c>
      <c r="E3411" s="33">
        <f t="shared" si="113"/>
        <v>-2.1740765816595311E-2</v>
      </c>
    </row>
    <row r="3412" spans="1:5" x14ac:dyDescent="0.25">
      <c r="A3412" s="41">
        <v>43608</v>
      </c>
      <c r="B3412" s="29">
        <v>127.37</v>
      </c>
      <c r="C3412" s="37">
        <f t="shared" si="112"/>
        <v>21.228333333333332</v>
      </c>
      <c r="D3412" s="37">
        <v>9.0370000000000008</v>
      </c>
      <c r="E3412" s="33">
        <f t="shared" si="113"/>
        <v>-2.053214395570584E-2</v>
      </c>
    </row>
    <row r="3413" spans="1:5" x14ac:dyDescent="0.25">
      <c r="A3413" s="41">
        <v>43608</v>
      </c>
      <c r="B3413" s="29">
        <v>127.35</v>
      </c>
      <c r="C3413" s="37">
        <f t="shared" si="112"/>
        <v>21.225000000000001</v>
      </c>
      <c r="D3413" s="37">
        <v>9.0370000000000008</v>
      </c>
      <c r="E3413" s="33">
        <f t="shared" si="113"/>
        <v>-1.5702284682429324E-4</v>
      </c>
    </row>
    <row r="3414" spans="1:5" x14ac:dyDescent="0.25">
      <c r="A3414" s="41">
        <v>43608</v>
      </c>
      <c r="B3414" s="29">
        <v>127.48</v>
      </c>
      <c r="C3414" s="37">
        <f t="shared" si="112"/>
        <v>21.246666666666666</v>
      </c>
      <c r="D3414" s="37">
        <v>9.0370000000000008</v>
      </c>
      <c r="E3414" s="33">
        <f t="shared" si="113"/>
        <v>1.0208087946604607E-3</v>
      </c>
    </row>
    <row r="3415" spans="1:5" x14ac:dyDescent="0.25">
      <c r="A3415" s="41">
        <v>43608</v>
      </c>
      <c r="B3415" s="29">
        <v>131.13</v>
      </c>
      <c r="C3415" s="37">
        <f t="shared" si="112"/>
        <v>21.855</v>
      </c>
      <c r="D3415" s="37">
        <v>9.0370000000000008</v>
      </c>
      <c r="E3415" s="33">
        <f t="shared" si="113"/>
        <v>2.8631942265453337E-2</v>
      </c>
    </row>
    <row r="3416" spans="1:5" x14ac:dyDescent="0.25">
      <c r="A3416" s="41">
        <v>43608</v>
      </c>
      <c r="B3416" s="29">
        <v>134.09</v>
      </c>
      <c r="C3416" s="37">
        <f t="shared" si="112"/>
        <v>22.348333333333333</v>
      </c>
      <c r="D3416" s="37">
        <v>9.0370000000000008</v>
      </c>
      <c r="E3416" s="33">
        <f t="shared" si="113"/>
        <v>2.2573019141310213E-2</v>
      </c>
    </row>
    <row r="3417" spans="1:5" x14ac:dyDescent="0.25">
      <c r="A3417" s="41">
        <v>43608</v>
      </c>
      <c r="B3417" s="29">
        <v>135.24</v>
      </c>
      <c r="C3417" s="37">
        <f t="shared" si="112"/>
        <v>22.54</v>
      </c>
      <c r="D3417" s="37">
        <v>9.0370000000000008</v>
      </c>
      <c r="E3417" s="33">
        <f t="shared" si="113"/>
        <v>8.5763293310463541E-3</v>
      </c>
    </row>
    <row r="3418" spans="1:5" x14ac:dyDescent="0.25">
      <c r="A3418" s="41">
        <v>43608</v>
      </c>
      <c r="B3418" s="29">
        <v>135.77000000000001</v>
      </c>
      <c r="C3418" s="37">
        <f t="shared" si="112"/>
        <v>22.628333333333337</v>
      </c>
      <c r="D3418" s="37">
        <v>9.0370000000000008</v>
      </c>
      <c r="E3418" s="33">
        <f t="shared" si="113"/>
        <v>3.9189588879029952E-3</v>
      </c>
    </row>
    <row r="3419" spans="1:5" x14ac:dyDescent="0.25">
      <c r="A3419" s="41">
        <v>43608</v>
      </c>
      <c r="B3419" s="29">
        <v>136.18</v>
      </c>
      <c r="C3419" s="37">
        <f t="shared" si="112"/>
        <v>22.696666666666665</v>
      </c>
      <c r="D3419" s="37">
        <v>9.0370000000000008</v>
      </c>
      <c r="E3419" s="33">
        <f t="shared" si="113"/>
        <v>3.0198129189069499E-3</v>
      </c>
    </row>
    <row r="3420" spans="1:5" x14ac:dyDescent="0.25">
      <c r="A3420" s="41">
        <v>43608</v>
      </c>
      <c r="B3420" s="29">
        <v>136.52000000000001</v>
      </c>
      <c r="C3420" s="37">
        <f t="shared" si="112"/>
        <v>22.753333333333337</v>
      </c>
      <c r="D3420" s="37">
        <v>9.0370000000000008</v>
      </c>
      <c r="E3420" s="33">
        <f t="shared" si="113"/>
        <v>2.4966955500073679E-3</v>
      </c>
    </row>
    <row r="3421" spans="1:5" x14ac:dyDescent="0.25">
      <c r="A3421" s="41">
        <v>43608</v>
      </c>
      <c r="B3421" s="29">
        <v>136.86000000000001</v>
      </c>
      <c r="C3421" s="37">
        <f t="shared" si="112"/>
        <v>22.810000000000002</v>
      </c>
      <c r="D3421" s="37">
        <v>9.0370000000000008</v>
      </c>
      <c r="E3421" s="33">
        <f t="shared" si="113"/>
        <v>2.4904775857017536E-3</v>
      </c>
    </row>
    <row r="3422" spans="1:5" x14ac:dyDescent="0.25">
      <c r="A3422" s="41">
        <v>43608</v>
      </c>
      <c r="B3422" s="29">
        <v>136.1</v>
      </c>
      <c r="C3422" s="37">
        <f t="shared" si="112"/>
        <v>22.683333333333334</v>
      </c>
      <c r="D3422" s="37">
        <v>9.0370000000000008</v>
      </c>
      <c r="E3422" s="33">
        <f t="shared" si="113"/>
        <v>-5.5531199766185825E-3</v>
      </c>
    </row>
    <row r="3423" spans="1:5" x14ac:dyDescent="0.25">
      <c r="A3423" s="41">
        <v>43608</v>
      </c>
      <c r="B3423" s="29">
        <v>136.66999999999999</v>
      </c>
      <c r="C3423" s="37">
        <f t="shared" si="112"/>
        <v>22.778333333333329</v>
      </c>
      <c r="D3423" s="37">
        <v>9.0370000000000008</v>
      </c>
      <c r="E3423" s="33">
        <f t="shared" si="113"/>
        <v>4.1880969875091349E-3</v>
      </c>
    </row>
    <row r="3424" spans="1:5" x14ac:dyDescent="0.25">
      <c r="A3424" s="41">
        <v>43608</v>
      </c>
      <c r="B3424" s="29">
        <v>138.25</v>
      </c>
      <c r="C3424" s="37">
        <f t="shared" si="112"/>
        <v>23.041666666666668</v>
      </c>
      <c r="D3424" s="37">
        <v>9.0370000000000008</v>
      </c>
      <c r="E3424" s="33">
        <f t="shared" si="113"/>
        <v>1.156069364161859E-2</v>
      </c>
    </row>
    <row r="3425" spans="1:5" x14ac:dyDescent="0.25">
      <c r="A3425" s="41">
        <v>43608</v>
      </c>
      <c r="B3425" s="29">
        <v>138.32</v>
      </c>
      <c r="C3425" s="37">
        <f t="shared" si="112"/>
        <v>23.053333333333335</v>
      </c>
      <c r="D3425" s="37">
        <v>9.0370000000000008</v>
      </c>
      <c r="E3425" s="33">
        <f t="shared" si="113"/>
        <v>5.0632911392400133E-4</v>
      </c>
    </row>
    <row r="3426" spans="1:5" x14ac:dyDescent="0.25">
      <c r="A3426" s="41">
        <v>43608</v>
      </c>
      <c r="B3426" s="29">
        <v>138.44999999999999</v>
      </c>
      <c r="C3426" s="37">
        <f t="shared" si="112"/>
        <v>23.074999999999996</v>
      </c>
      <c r="D3426" s="37">
        <v>9.0370000000000008</v>
      </c>
      <c r="E3426" s="33">
        <f t="shared" si="113"/>
        <v>9.3984962406011758E-4</v>
      </c>
    </row>
    <row r="3427" spans="1:5" x14ac:dyDescent="0.25">
      <c r="A3427" s="41">
        <v>43608</v>
      </c>
      <c r="B3427" s="29">
        <v>138.81</v>
      </c>
      <c r="C3427" s="37">
        <f t="shared" si="112"/>
        <v>23.135000000000002</v>
      </c>
      <c r="D3427" s="37">
        <v>9.0370000000000008</v>
      </c>
      <c r="E3427" s="33">
        <f t="shared" si="113"/>
        <v>2.6002166847238256E-3</v>
      </c>
    </row>
    <row r="3428" spans="1:5" x14ac:dyDescent="0.25">
      <c r="A3428" s="41">
        <v>43608</v>
      </c>
      <c r="B3428" s="29">
        <v>139.94</v>
      </c>
      <c r="C3428" s="37">
        <f t="shared" si="112"/>
        <v>23.323333333333334</v>
      </c>
      <c r="D3428" s="37">
        <v>9.0370000000000008</v>
      </c>
      <c r="E3428" s="33">
        <f t="shared" si="113"/>
        <v>8.1406238743606044E-3</v>
      </c>
    </row>
    <row r="3429" spans="1:5" x14ac:dyDescent="0.25">
      <c r="A3429" s="41">
        <v>43608</v>
      </c>
      <c r="B3429" s="29">
        <v>139.47</v>
      </c>
      <c r="C3429" s="37">
        <f t="shared" si="112"/>
        <v>23.245000000000001</v>
      </c>
      <c r="D3429" s="37">
        <v>9.0370000000000008</v>
      </c>
      <c r="E3429" s="33">
        <f t="shared" si="113"/>
        <v>-3.358582249535507E-3</v>
      </c>
    </row>
    <row r="3430" spans="1:5" x14ac:dyDescent="0.25">
      <c r="A3430" s="41">
        <v>43608</v>
      </c>
      <c r="B3430" s="29">
        <v>138.41</v>
      </c>
      <c r="C3430" s="37">
        <f t="shared" si="112"/>
        <v>23.068333333333332</v>
      </c>
      <c r="D3430" s="37">
        <v>9.0370000000000008</v>
      </c>
      <c r="E3430" s="33">
        <f t="shared" si="113"/>
        <v>-7.6002007600200925E-3</v>
      </c>
    </row>
    <row r="3431" spans="1:5" x14ac:dyDescent="0.25">
      <c r="A3431" s="41">
        <v>43608</v>
      </c>
      <c r="B3431" s="29">
        <v>136.94999999999999</v>
      </c>
      <c r="C3431" s="37">
        <f t="shared" si="112"/>
        <v>22.824999999999996</v>
      </c>
      <c r="D3431" s="37">
        <v>9.0370000000000008</v>
      </c>
      <c r="E3431" s="33">
        <f t="shared" si="113"/>
        <v>-1.0548370782457973E-2</v>
      </c>
    </row>
    <row r="3432" spans="1:5" x14ac:dyDescent="0.25">
      <c r="A3432" s="41">
        <v>43608</v>
      </c>
      <c r="B3432" s="29">
        <v>135.81</v>
      </c>
      <c r="C3432" s="37">
        <f t="shared" si="112"/>
        <v>22.635000000000002</v>
      </c>
      <c r="D3432" s="37">
        <v>9.0370000000000008</v>
      </c>
      <c r="E3432" s="33">
        <f t="shared" si="113"/>
        <v>-8.3242059145672617E-3</v>
      </c>
    </row>
    <row r="3433" spans="1:5" x14ac:dyDescent="0.25">
      <c r="A3433" s="41">
        <v>43608</v>
      </c>
      <c r="B3433" s="29">
        <v>134.97</v>
      </c>
      <c r="C3433" s="37">
        <f t="shared" si="112"/>
        <v>22.495000000000001</v>
      </c>
      <c r="D3433" s="37">
        <v>9.0370000000000008</v>
      </c>
      <c r="E3433" s="33">
        <f t="shared" si="113"/>
        <v>-6.1851115529048184E-3</v>
      </c>
    </row>
    <row r="3434" spans="1:5" x14ac:dyDescent="0.25">
      <c r="A3434" s="41">
        <v>43609</v>
      </c>
      <c r="B3434" s="29">
        <v>82.22</v>
      </c>
      <c r="C3434" s="37">
        <f t="shared" si="112"/>
        <v>13.703333333333333</v>
      </c>
      <c r="D3434" s="37">
        <v>11.840999999999999</v>
      </c>
      <c r="E3434" s="33">
        <f t="shared" si="113"/>
        <v>-0.3908275913165889</v>
      </c>
    </row>
    <row r="3435" spans="1:5" x14ac:dyDescent="0.25">
      <c r="A3435" s="41">
        <v>43609</v>
      </c>
      <c r="B3435" s="29">
        <v>42.35</v>
      </c>
      <c r="C3435" s="37">
        <f t="shared" si="112"/>
        <v>7.0583333333333336</v>
      </c>
      <c r="D3435" s="37">
        <v>11.840999999999999</v>
      </c>
      <c r="E3435" s="33">
        <f t="shared" si="113"/>
        <v>-0.48491851131111652</v>
      </c>
    </row>
    <row r="3436" spans="1:5" x14ac:dyDescent="0.25">
      <c r="A3436" s="41">
        <v>43609</v>
      </c>
      <c r="B3436" s="29">
        <v>42.35</v>
      </c>
      <c r="C3436" s="37">
        <f t="shared" si="112"/>
        <v>7.0583333333333336</v>
      </c>
      <c r="D3436" s="37">
        <v>11.840999999999999</v>
      </c>
      <c r="E3436" s="33">
        <f t="shared" si="113"/>
        <v>0</v>
      </c>
    </row>
    <row r="3437" spans="1:5" x14ac:dyDescent="0.25">
      <c r="A3437" s="41">
        <v>43609</v>
      </c>
      <c r="B3437" s="29">
        <v>42.35</v>
      </c>
      <c r="C3437" s="37">
        <f t="shared" si="112"/>
        <v>7.0583333333333336</v>
      </c>
      <c r="D3437" s="37">
        <v>11.840999999999999</v>
      </c>
      <c r="E3437" s="33">
        <f t="shared" si="113"/>
        <v>0</v>
      </c>
    </row>
    <row r="3438" spans="1:5" x14ac:dyDescent="0.25">
      <c r="A3438" s="41">
        <v>43609</v>
      </c>
      <c r="B3438" s="29">
        <v>42.35</v>
      </c>
      <c r="C3438" s="37">
        <f t="shared" si="112"/>
        <v>7.0583333333333336</v>
      </c>
      <c r="D3438" s="37">
        <v>11.840999999999999</v>
      </c>
      <c r="E3438" s="33">
        <f t="shared" si="113"/>
        <v>0</v>
      </c>
    </row>
    <row r="3439" spans="1:5" x14ac:dyDescent="0.25">
      <c r="A3439" s="41">
        <v>43609</v>
      </c>
      <c r="B3439" s="29">
        <v>83.17</v>
      </c>
      <c r="C3439" s="37">
        <f t="shared" si="112"/>
        <v>13.861666666666666</v>
      </c>
      <c r="D3439" s="37">
        <v>11.840999999999999</v>
      </c>
      <c r="E3439" s="33">
        <f t="shared" si="113"/>
        <v>0.96387249114521845</v>
      </c>
    </row>
    <row r="3440" spans="1:5" x14ac:dyDescent="0.25">
      <c r="A3440" s="41">
        <v>43609</v>
      </c>
      <c r="B3440" s="29">
        <v>126.16</v>
      </c>
      <c r="C3440" s="37">
        <f t="shared" si="112"/>
        <v>21.026666666666667</v>
      </c>
      <c r="D3440" s="37">
        <v>11.840999999999999</v>
      </c>
      <c r="E3440" s="33">
        <f t="shared" si="113"/>
        <v>0.51689311049657316</v>
      </c>
    </row>
    <row r="3441" spans="1:5" x14ac:dyDescent="0.25">
      <c r="A3441" s="41">
        <v>43609</v>
      </c>
      <c r="B3441" s="29">
        <v>130.26</v>
      </c>
      <c r="C3441" s="37">
        <f t="shared" si="112"/>
        <v>21.71</v>
      </c>
      <c r="D3441" s="37">
        <v>11.840999999999999</v>
      </c>
      <c r="E3441" s="33">
        <f t="shared" si="113"/>
        <v>3.2498414711477443E-2</v>
      </c>
    </row>
    <row r="3442" spans="1:5" x14ac:dyDescent="0.25">
      <c r="A3442" s="41">
        <v>43609</v>
      </c>
      <c r="B3442" s="29">
        <v>133.75</v>
      </c>
      <c r="C3442" s="37">
        <f t="shared" si="112"/>
        <v>22.291666666666668</v>
      </c>
      <c r="D3442" s="37">
        <v>11.840999999999999</v>
      </c>
      <c r="E3442" s="33">
        <f t="shared" si="113"/>
        <v>2.6792568708736444E-2</v>
      </c>
    </row>
    <row r="3443" spans="1:5" x14ac:dyDescent="0.25">
      <c r="A3443" s="41">
        <v>43609</v>
      </c>
      <c r="B3443" s="29">
        <v>134.16999999999999</v>
      </c>
      <c r="C3443" s="37">
        <f t="shared" si="112"/>
        <v>22.361666666666665</v>
      </c>
      <c r="D3443" s="37">
        <v>11.840999999999999</v>
      </c>
      <c r="E3443" s="33">
        <f t="shared" si="113"/>
        <v>3.1401869158877568E-3</v>
      </c>
    </row>
    <row r="3444" spans="1:5" x14ac:dyDescent="0.25">
      <c r="A3444" s="41">
        <v>43609</v>
      </c>
      <c r="B3444" s="29">
        <v>134.94999999999999</v>
      </c>
      <c r="C3444" s="37">
        <f t="shared" si="112"/>
        <v>22.491666666666664</v>
      </c>
      <c r="D3444" s="37">
        <v>11.840999999999999</v>
      </c>
      <c r="E3444" s="33">
        <f t="shared" si="113"/>
        <v>5.8135201609897979E-3</v>
      </c>
    </row>
    <row r="3445" spans="1:5" x14ac:dyDescent="0.25">
      <c r="A3445" s="41">
        <v>43609</v>
      </c>
      <c r="B3445" s="29">
        <v>135.29</v>
      </c>
      <c r="C3445" s="37">
        <f t="shared" si="112"/>
        <v>22.548333333333332</v>
      </c>
      <c r="D3445" s="37">
        <v>11.840999999999999</v>
      </c>
      <c r="E3445" s="33">
        <f t="shared" si="113"/>
        <v>2.5194516487588251E-3</v>
      </c>
    </row>
    <row r="3446" spans="1:5" x14ac:dyDescent="0.25">
      <c r="A3446" s="41">
        <v>43609</v>
      </c>
      <c r="B3446" s="29">
        <v>134.28</v>
      </c>
      <c r="C3446" s="37">
        <f t="shared" si="112"/>
        <v>22.38</v>
      </c>
      <c r="D3446" s="37">
        <v>11.840999999999999</v>
      </c>
      <c r="E3446" s="33">
        <f t="shared" si="113"/>
        <v>-7.465444600487774E-3</v>
      </c>
    </row>
    <row r="3447" spans="1:5" x14ac:dyDescent="0.25">
      <c r="A3447" s="41">
        <v>43609</v>
      </c>
      <c r="B3447" s="29">
        <v>135.12</v>
      </c>
      <c r="C3447" s="37">
        <f t="shared" si="112"/>
        <v>22.52</v>
      </c>
      <c r="D3447" s="37">
        <v>11.840999999999999</v>
      </c>
      <c r="E3447" s="33">
        <f t="shared" si="113"/>
        <v>6.2555853440572195E-3</v>
      </c>
    </row>
    <row r="3448" spans="1:5" x14ac:dyDescent="0.25">
      <c r="A3448" s="41">
        <v>43609</v>
      </c>
      <c r="B3448" s="29">
        <v>135.37</v>
      </c>
      <c r="C3448" s="37">
        <f t="shared" si="112"/>
        <v>22.561666666666667</v>
      </c>
      <c r="D3448" s="37">
        <v>11.840999999999999</v>
      </c>
      <c r="E3448" s="33">
        <f t="shared" si="113"/>
        <v>1.8502072232089994E-3</v>
      </c>
    </row>
    <row r="3449" spans="1:5" x14ac:dyDescent="0.25">
      <c r="A3449" s="41">
        <v>43609</v>
      </c>
      <c r="B3449" s="29">
        <v>135.4</v>
      </c>
      <c r="C3449" s="37">
        <f t="shared" si="112"/>
        <v>22.566666666666666</v>
      </c>
      <c r="D3449" s="37">
        <v>11.840999999999999</v>
      </c>
      <c r="E3449" s="33">
        <f t="shared" si="113"/>
        <v>2.2161483341952528E-4</v>
      </c>
    </row>
    <row r="3450" spans="1:5" x14ac:dyDescent="0.25">
      <c r="A3450" s="41">
        <v>43609</v>
      </c>
      <c r="B3450" s="29">
        <v>135.41999999999999</v>
      </c>
      <c r="C3450" s="37">
        <f t="shared" si="112"/>
        <v>22.569999999999997</v>
      </c>
      <c r="D3450" s="37">
        <v>11.840999999999999</v>
      </c>
      <c r="E3450" s="33">
        <f t="shared" si="113"/>
        <v>1.4771048744447422E-4</v>
      </c>
    </row>
    <row r="3451" spans="1:5" x14ac:dyDescent="0.25">
      <c r="A3451" s="41">
        <v>43609</v>
      </c>
      <c r="B3451" s="29">
        <v>135.47</v>
      </c>
      <c r="C3451" s="37">
        <f t="shared" si="112"/>
        <v>22.578333333333333</v>
      </c>
      <c r="D3451" s="37">
        <v>11.840999999999999</v>
      </c>
      <c r="E3451" s="33">
        <f t="shared" si="113"/>
        <v>3.692216806971745E-4</v>
      </c>
    </row>
    <row r="3452" spans="1:5" x14ac:dyDescent="0.25">
      <c r="A3452" s="41">
        <v>43609</v>
      </c>
      <c r="B3452" s="29">
        <v>135.86000000000001</v>
      </c>
      <c r="C3452" s="37">
        <f t="shared" si="112"/>
        <v>22.643333333333338</v>
      </c>
      <c r="D3452" s="37">
        <v>11.840999999999999</v>
      </c>
      <c r="E3452" s="33">
        <f t="shared" si="113"/>
        <v>2.8788661696317621E-3</v>
      </c>
    </row>
    <row r="3453" spans="1:5" x14ac:dyDescent="0.25">
      <c r="A3453" s="41">
        <v>43609</v>
      </c>
      <c r="B3453" s="29">
        <v>135.61000000000001</v>
      </c>
      <c r="C3453" s="37">
        <f t="shared" si="112"/>
        <v>22.60166666666667</v>
      </c>
      <c r="D3453" s="37">
        <v>11.840999999999999</v>
      </c>
      <c r="E3453" s="33">
        <f t="shared" si="113"/>
        <v>-1.8401295451199763E-3</v>
      </c>
    </row>
    <row r="3454" spans="1:5" x14ac:dyDescent="0.25">
      <c r="A3454" s="41">
        <v>43609</v>
      </c>
      <c r="B3454" s="29">
        <v>135.41999999999999</v>
      </c>
      <c r="C3454" s="37">
        <f t="shared" si="112"/>
        <v>22.569999999999997</v>
      </c>
      <c r="D3454" s="37">
        <v>11.840999999999999</v>
      </c>
      <c r="E3454" s="33">
        <f t="shared" si="113"/>
        <v>-1.4010766167688675E-3</v>
      </c>
    </row>
    <row r="3455" spans="1:5" x14ac:dyDescent="0.25">
      <c r="A3455" s="41">
        <v>43609</v>
      </c>
      <c r="B3455" s="29">
        <v>135.15</v>
      </c>
      <c r="C3455" s="37">
        <f t="shared" si="112"/>
        <v>22.524999999999999</v>
      </c>
      <c r="D3455" s="37">
        <v>11.840999999999999</v>
      </c>
      <c r="E3455" s="33">
        <f t="shared" si="113"/>
        <v>-1.9937970757641548E-3</v>
      </c>
    </row>
    <row r="3456" spans="1:5" x14ac:dyDescent="0.25">
      <c r="A3456" s="41">
        <v>43609</v>
      </c>
      <c r="B3456" s="29">
        <v>134.01</v>
      </c>
      <c r="C3456" s="37">
        <f t="shared" si="112"/>
        <v>22.335000000000001</v>
      </c>
      <c r="D3456" s="37">
        <v>11.840999999999999</v>
      </c>
      <c r="E3456" s="33">
        <f t="shared" si="113"/>
        <v>-8.4350721420644818E-3</v>
      </c>
    </row>
    <row r="3457" spans="1:5" x14ac:dyDescent="0.25">
      <c r="A3457" s="41">
        <v>43609</v>
      </c>
      <c r="B3457" s="29">
        <v>130.38999999999999</v>
      </c>
      <c r="C3457" s="37">
        <f t="shared" si="112"/>
        <v>21.731666666666662</v>
      </c>
      <c r="D3457" s="37">
        <v>11.840999999999999</v>
      </c>
      <c r="E3457" s="33">
        <f t="shared" si="113"/>
        <v>-2.7012909484366875E-2</v>
      </c>
    </row>
    <row r="3458" spans="1:5" x14ac:dyDescent="0.25">
      <c r="A3458" s="41">
        <v>43610</v>
      </c>
      <c r="B3458" s="29">
        <v>110.25</v>
      </c>
      <c r="C3458" s="37">
        <f t="shared" si="112"/>
        <v>18.375</v>
      </c>
      <c r="D3458" s="37">
        <v>16.495999999999999</v>
      </c>
      <c r="E3458" s="33">
        <f t="shared" si="113"/>
        <v>-0.15445969782958807</v>
      </c>
    </row>
    <row r="3459" spans="1:5" x14ac:dyDescent="0.25">
      <c r="A3459" s="41">
        <v>43610</v>
      </c>
      <c r="B3459" s="29">
        <v>103.7</v>
      </c>
      <c r="C3459" s="37">
        <f t="shared" ref="C3459:C3522" si="114">(B3459*100/600)</f>
        <v>17.283333333333335</v>
      </c>
      <c r="D3459" s="37">
        <v>16.495999999999999</v>
      </c>
      <c r="E3459" s="33">
        <f t="shared" si="113"/>
        <v>-5.9410430839002243E-2</v>
      </c>
    </row>
    <row r="3460" spans="1:5" x14ac:dyDescent="0.25">
      <c r="A3460" s="41">
        <v>43610</v>
      </c>
      <c r="B3460" s="29">
        <v>98.41</v>
      </c>
      <c r="C3460" s="37">
        <f t="shared" si="114"/>
        <v>16.401666666666667</v>
      </c>
      <c r="D3460" s="37">
        <v>16.495999999999999</v>
      </c>
      <c r="E3460" s="33">
        <f t="shared" ref="E3460:E3523" si="115">(B3460-B3459)/B3459</f>
        <v>-5.1012536162005843E-2</v>
      </c>
    </row>
    <row r="3461" spans="1:5" x14ac:dyDescent="0.25">
      <c r="A3461" s="41">
        <v>43610</v>
      </c>
      <c r="B3461" s="29">
        <v>96.51</v>
      </c>
      <c r="C3461" s="37">
        <f t="shared" si="114"/>
        <v>16.085000000000001</v>
      </c>
      <c r="D3461" s="37">
        <v>16.495999999999999</v>
      </c>
      <c r="E3461" s="33">
        <f t="shared" si="115"/>
        <v>-1.9306980997865986E-2</v>
      </c>
    </row>
    <row r="3462" spans="1:5" x14ac:dyDescent="0.25">
      <c r="A3462" s="41">
        <v>43610</v>
      </c>
      <c r="B3462" s="29">
        <v>96.49</v>
      </c>
      <c r="C3462" s="37">
        <f t="shared" si="114"/>
        <v>16.081666666666667</v>
      </c>
      <c r="D3462" s="37">
        <v>16.495999999999999</v>
      </c>
      <c r="E3462" s="33">
        <f t="shared" si="115"/>
        <v>-2.0723241114920971E-4</v>
      </c>
    </row>
    <row r="3463" spans="1:5" x14ac:dyDescent="0.25">
      <c r="A3463" s="41">
        <v>43610</v>
      </c>
      <c r="B3463" s="29">
        <v>96.75</v>
      </c>
      <c r="C3463" s="37">
        <f t="shared" si="114"/>
        <v>16.125</v>
      </c>
      <c r="D3463" s="37">
        <v>16.495999999999999</v>
      </c>
      <c r="E3463" s="33">
        <f t="shared" si="115"/>
        <v>2.6945797491968611E-3</v>
      </c>
    </row>
    <row r="3464" spans="1:5" x14ac:dyDescent="0.25">
      <c r="A3464" s="41">
        <v>43610</v>
      </c>
      <c r="B3464" s="29">
        <v>99.44</v>
      </c>
      <c r="C3464" s="37">
        <f t="shared" si="114"/>
        <v>16.573333333333334</v>
      </c>
      <c r="D3464" s="37">
        <v>16.495999999999999</v>
      </c>
      <c r="E3464" s="33">
        <f t="shared" si="115"/>
        <v>2.7803617571059407E-2</v>
      </c>
    </row>
    <row r="3465" spans="1:5" x14ac:dyDescent="0.25">
      <c r="A3465" s="41">
        <v>43610</v>
      </c>
      <c r="B3465" s="29">
        <v>105.96</v>
      </c>
      <c r="C3465" s="37">
        <f t="shared" si="114"/>
        <v>17.66</v>
      </c>
      <c r="D3465" s="37">
        <v>16.495999999999999</v>
      </c>
      <c r="E3465" s="33">
        <f t="shared" si="115"/>
        <v>6.5567176186645176E-2</v>
      </c>
    </row>
    <row r="3466" spans="1:5" x14ac:dyDescent="0.25">
      <c r="A3466" s="41">
        <v>43610</v>
      </c>
      <c r="B3466" s="29">
        <v>115.03</v>
      </c>
      <c r="C3466" s="37">
        <f t="shared" si="114"/>
        <v>19.171666666666667</v>
      </c>
      <c r="D3466" s="37">
        <v>16.495999999999999</v>
      </c>
      <c r="E3466" s="33">
        <f t="shared" si="115"/>
        <v>8.5598338995847567E-2</v>
      </c>
    </row>
    <row r="3467" spans="1:5" x14ac:dyDescent="0.25">
      <c r="A3467" s="41">
        <v>43610</v>
      </c>
      <c r="B3467" s="29">
        <v>117.26</v>
      </c>
      <c r="C3467" s="37">
        <f t="shared" si="114"/>
        <v>19.543333333333333</v>
      </c>
      <c r="D3467" s="37">
        <v>16.495999999999999</v>
      </c>
      <c r="E3467" s="33">
        <f t="shared" si="115"/>
        <v>1.9386247065982822E-2</v>
      </c>
    </row>
    <row r="3468" spans="1:5" x14ac:dyDescent="0.25">
      <c r="A3468" s="41">
        <v>43610</v>
      </c>
      <c r="B3468" s="29">
        <v>117.57</v>
      </c>
      <c r="C3468" s="37">
        <f t="shared" si="114"/>
        <v>19.594999999999999</v>
      </c>
      <c r="D3468" s="37">
        <v>16.495999999999999</v>
      </c>
      <c r="E3468" s="33">
        <f t="shared" si="115"/>
        <v>2.6436977656488832E-3</v>
      </c>
    </row>
    <row r="3469" spans="1:5" x14ac:dyDescent="0.25">
      <c r="A3469" s="41">
        <v>43610</v>
      </c>
      <c r="B3469" s="29">
        <v>117.57</v>
      </c>
      <c r="C3469" s="37">
        <f t="shared" si="114"/>
        <v>19.594999999999999</v>
      </c>
      <c r="D3469" s="37">
        <v>16.495999999999999</v>
      </c>
      <c r="E3469" s="33">
        <f t="shared" si="115"/>
        <v>0</v>
      </c>
    </row>
    <row r="3470" spans="1:5" x14ac:dyDescent="0.25">
      <c r="A3470" s="41">
        <v>43610</v>
      </c>
      <c r="B3470" s="29">
        <v>117.57</v>
      </c>
      <c r="C3470" s="37">
        <f t="shared" si="114"/>
        <v>19.594999999999999</v>
      </c>
      <c r="D3470" s="37">
        <v>16.495999999999999</v>
      </c>
      <c r="E3470" s="33">
        <f t="shared" si="115"/>
        <v>0</v>
      </c>
    </row>
    <row r="3471" spans="1:5" x14ac:dyDescent="0.25">
      <c r="A3471" s="41">
        <v>43610</v>
      </c>
      <c r="B3471" s="29">
        <v>117.57</v>
      </c>
      <c r="C3471" s="37">
        <f t="shared" si="114"/>
        <v>19.594999999999999</v>
      </c>
      <c r="D3471" s="37">
        <v>16.495999999999999</v>
      </c>
      <c r="E3471" s="33">
        <f t="shared" si="115"/>
        <v>0</v>
      </c>
    </row>
    <row r="3472" spans="1:5" x14ac:dyDescent="0.25">
      <c r="A3472" s="41">
        <v>43610</v>
      </c>
      <c r="B3472" s="29">
        <v>117.58</v>
      </c>
      <c r="C3472" s="37">
        <f t="shared" si="114"/>
        <v>19.596666666666668</v>
      </c>
      <c r="D3472" s="37">
        <v>16.495999999999999</v>
      </c>
      <c r="E3472" s="33">
        <f t="shared" si="115"/>
        <v>8.5055711491070139E-5</v>
      </c>
    </row>
    <row r="3473" spans="1:5" x14ac:dyDescent="0.25">
      <c r="A3473" s="41">
        <v>43610</v>
      </c>
      <c r="B3473" s="29">
        <v>117.6</v>
      </c>
      <c r="C3473" s="37">
        <f t="shared" si="114"/>
        <v>19.600000000000001</v>
      </c>
      <c r="D3473" s="37">
        <v>16.495999999999999</v>
      </c>
      <c r="E3473" s="33">
        <f t="shared" si="115"/>
        <v>1.7009695526446693E-4</v>
      </c>
    </row>
    <row r="3474" spans="1:5" x14ac:dyDescent="0.25">
      <c r="A3474" s="41">
        <v>43610</v>
      </c>
      <c r="B3474" s="29">
        <v>117.71</v>
      </c>
      <c r="C3474" s="37">
        <f t="shared" si="114"/>
        <v>19.618333333333332</v>
      </c>
      <c r="D3474" s="37">
        <v>16.495999999999999</v>
      </c>
      <c r="E3474" s="33">
        <f t="shared" si="115"/>
        <v>9.3537414965985915E-4</v>
      </c>
    </row>
    <row r="3475" spans="1:5" x14ac:dyDescent="0.25">
      <c r="A3475" s="41">
        <v>43610</v>
      </c>
      <c r="B3475" s="29">
        <v>121.64</v>
      </c>
      <c r="C3475" s="37">
        <f t="shared" si="114"/>
        <v>20.273333333333333</v>
      </c>
      <c r="D3475" s="37">
        <v>16.495999999999999</v>
      </c>
      <c r="E3475" s="33">
        <f t="shared" si="115"/>
        <v>3.3387137881233597E-2</v>
      </c>
    </row>
    <row r="3476" spans="1:5" x14ac:dyDescent="0.25">
      <c r="A3476" s="41">
        <v>43610</v>
      </c>
      <c r="B3476" s="29">
        <v>130.29</v>
      </c>
      <c r="C3476" s="37">
        <f t="shared" si="114"/>
        <v>21.715</v>
      </c>
      <c r="D3476" s="37">
        <v>16.495999999999999</v>
      </c>
      <c r="E3476" s="33">
        <f t="shared" si="115"/>
        <v>7.1111476487997302E-2</v>
      </c>
    </row>
    <row r="3477" spans="1:5" x14ac:dyDescent="0.25">
      <c r="A3477" s="41">
        <v>43610</v>
      </c>
      <c r="B3477" s="29">
        <v>125.93</v>
      </c>
      <c r="C3477" s="37">
        <f t="shared" si="114"/>
        <v>20.988333333333333</v>
      </c>
      <c r="D3477" s="37">
        <v>16.495999999999999</v>
      </c>
      <c r="E3477" s="33">
        <f t="shared" si="115"/>
        <v>-3.3463811497428698E-2</v>
      </c>
    </row>
    <row r="3478" spans="1:5" x14ac:dyDescent="0.25">
      <c r="A3478" s="41">
        <v>43610</v>
      </c>
      <c r="B3478" s="29">
        <v>122.07</v>
      </c>
      <c r="C3478" s="37">
        <f t="shared" si="114"/>
        <v>20.344999999999999</v>
      </c>
      <c r="D3478" s="37">
        <v>16.495999999999999</v>
      </c>
      <c r="E3478" s="33">
        <f t="shared" si="115"/>
        <v>-3.0651949495751715E-2</v>
      </c>
    </row>
    <row r="3479" spans="1:5" x14ac:dyDescent="0.25">
      <c r="A3479" s="41">
        <v>43610</v>
      </c>
      <c r="B3479" s="29">
        <v>118.73</v>
      </c>
      <c r="C3479" s="37">
        <f t="shared" si="114"/>
        <v>19.788333333333334</v>
      </c>
      <c r="D3479" s="37">
        <v>16.495999999999999</v>
      </c>
      <c r="E3479" s="33">
        <f t="shared" si="115"/>
        <v>-2.7361350045056028E-2</v>
      </c>
    </row>
    <row r="3480" spans="1:5" x14ac:dyDescent="0.25">
      <c r="A3480" s="41">
        <v>43610</v>
      </c>
      <c r="B3480" s="29">
        <v>117.11</v>
      </c>
      <c r="C3480" s="37">
        <f t="shared" si="114"/>
        <v>19.518333333333334</v>
      </c>
      <c r="D3480" s="37">
        <v>16.495999999999999</v>
      </c>
      <c r="E3480" s="33">
        <f t="shared" si="115"/>
        <v>-1.3644403267918844E-2</v>
      </c>
    </row>
    <row r="3481" spans="1:5" x14ac:dyDescent="0.25">
      <c r="A3481" s="41">
        <v>43610</v>
      </c>
      <c r="B3481" s="29">
        <v>112.12</v>
      </c>
      <c r="C3481" s="37">
        <f t="shared" si="114"/>
        <v>18.686666666666667</v>
      </c>
      <c r="D3481" s="37">
        <v>16.495999999999999</v>
      </c>
      <c r="E3481" s="33">
        <f t="shared" si="115"/>
        <v>-4.2609512424216504E-2</v>
      </c>
    </row>
    <row r="3482" spans="1:5" x14ac:dyDescent="0.25">
      <c r="A3482" s="41">
        <v>43611</v>
      </c>
      <c r="B3482" s="29">
        <v>42.35</v>
      </c>
      <c r="C3482" s="37">
        <f t="shared" si="114"/>
        <v>7.0583333333333336</v>
      </c>
      <c r="D3482" s="37">
        <v>17.152999999999999</v>
      </c>
      <c r="E3482" s="33">
        <f t="shared" si="115"/>
        <v>-0.62227970032108459</v>
      </c>
    </row>
    <row r="3483" spans="1:5" x14ac:dyDescent="0.25">
      <c r="A3483" s="41">
        <v>43611</v>
      </c>
      <c r="B3483" s="29">
        <v>42.35</v>
      </c>
      <c r="C3483" s="37">
        <f t="shared" si="114"/>
        <v>7.0583333333333336</v>
      </c>
      <c r="D3483" s="37">
        <v>17.152999999999999</v>
      </c>
      <c r="E3483" s="33">
        <f t="shared" si="115"/>
        <v>0</v>
      </c>
    </row>
    <row r="3484" spans="1:5" x14ac:dyDescent="0.25">
      <c r="A3484" s="41">
        <v>43611</v>
      </c>
      <c r="B3484" s="29">
        <v>42.35</v>
      </c>
      <c r="C3484" s="37">
        <f t="shared" si="114"/>
        <v>7.0583333333333336</v>
      </c>
      <c r="D3484" s="37">
        <v>17.152999999999999</v>
      </c>
      <c r="E3484" s="33">
        <f t="shared" si="115"/>
        <v>0</v>
      </c>
    </row>
    <row r="3485" spans="1:5" x14ac:dyDescent="0.25">
      <c r="A3485" s="41">
        <v>43611</v>
      </c>
      <c r="B3485" s="29">
        <v>42.35</v>
      </c>
      <c r="C3485" s="37">
        <f t="shared" si="114"/>
        <v>7.0583333333333336</v>
      </c>
      <c r="D3485" s="37">
        <v>17.152999999999999</v>
      </c>
      <c r="E3485" s="33">
        <f t="shared" si="115"/>
        <v>0</v>
      </c>
    </row>
    <row r="3486" spans="1:5" x14ac:dyDescent="0.25">
      <c r="A3486" s="41">
        <v>43611</v>
      </c>
      <c r="B3486" s="29">
        <v>42.35</v>
      </c>
      <c r="C3486" s="37">
        <f t="shared" si="114"/>
        <v>7.0583333333333336</v>
      </c>
      <c r="D3486" s="37">
        <v>17.152999999999999</v>
      </c>
      <c r="E3486" s="33">
        <f t="shared" si="115"/>
        <v>0</v>
      </c>
    </row>
    <row r="3487" spans="1:5" x14ac:dyDescent="0.25">
      <c r="A3487" s="41">
        <v>43611</v>
      </c>
      <c r="B3487" s="29">
        <v>42.35</v>
      </c>
      <c r="C3487" s="37">
        <f t="shared" si="114"/>
        <v>7.0583333333333336</v>
      </c>
      <c r="D3487" s="37">
        <v>17.152999999999999</v>
      </c>
      <c r="E3487" s="33">
        <f t="shared" si="115"/>
        <v>0</v>
      </c>
    </row>
    <row r="3488" spans="1:5" x14ac:dyDescent="0.25">
      <c r="A3488" s="41">
        <v>43611</v>
      </c>
      <c r="B3488" s="29">
        <v>42.35</v>
      </c>
      <c r="C3488" s="37">
        <f t="shared" si="114"/>
        <v>7.0583333333333336</v>
      </c>
      <c r="D3488" s="37">
        <v>17.152999999999999</v>
      </c>
      <c r="E3488" s="33">
        <f t="shared" si="115"/>
        <v>0</v>
      </c>
    </row>
    <row r="3489" spans="1:5" x14ac:dyDescent="0.25">
      <c r="A3489" s="41">
        <v>43611</v>
      </c>
      <c r="B3489" s="29">
        <v>42.35</v>
      </c>
      <c r="C3489" s="37">
        <f t="shared" si="114"/>
        <v>7.0583333333333336</v>
      </c>
      <c r="D3489" s="37">
        <v>17.152999999999999</v>
      </c>
      <c r="E3489" s="33">
        <f t="shared" si="115"/>
        <v>0</v>
      </c>
    </row>
    <row r="3490" spans="1:5" x14ac:dyDescent="0.25">
      <c r="A3490" s="41">
        <v>43611</v>
      </c>
      <c r="B3490" s="29">
        <v>42.35</v>
      </c>
      <c r="C3490" s="37">
        <f t="shared" si="114"/>
        <v>7.0583333333333336</v>
      </c>
      <c r="D3490" s="37">
        <v>17.152999999999999</v>
      </c>
      <c r="E3490" s="33">
        <f t="shared" si="115"/>
        <v>0</v>
      </c>
    </row>
    <row r="3491" spans="1:5" x14ac:dyDescent="0.25">
      <c r="A3491" s="41">
        <v>43611</v>
      </c>
      <c r="B3491" s="29">
        <v>42.35</v>
      </c>
      <c r="C3491" s="37">
        <f t="shared" si="114"/>
        <v>7.0583333333333336</v>
      </c>
      <c r="D3491" s="37">
        <v>17.152999999999999</v>
      </c>
      <c r="E3491" s="33">
        <f t="shared" si="115"/>
        <v>0</v>
      </c>
    </row>
    <row r="3492" spans="1:5" x14ac:dyDescent="0.25">
      <c r="A3492" s="41">
        <v>43611</v>
      </c>
      <c r="B3492" s="29">
        <v>42.35</v>
      </c>
      <c r="C3492" s="37">
        <f t="shared" si="114"/>
        <v>7.0583333333333336</v>
      </c>
      <c r="D3492" s="37">
        <v>17.152999999999999</v>
      </c>
      <c r="E3492" s="33">
        <f t="shared" si="115"/>
        <v>0</v>
      </c>
    </row>
    <row r="3493" spans="1:5" x14ac:dyDescent="0.25">
      <c r="A3493" s="41">
        <v>43611</v>
      </c>
      <c r="B3493" s="29">
        <v>42.35</v>
      </c>
      <c r="C3493" s="37">
        <f t="shared" si="114"/>
        <v>7.0583333333333336</v>
      </c>
      <c r="D3493" s="37">
        <v>17.152999999999999</v>
      </c>
      <c r="E3493" s="33">
        <f t="shared" si="115"/>
        <v>0</v>
      </c>
    </row>
    <row r="3494" spans="1:5" x14ac:dyDescent="0.25">
      <c r="A3494" s="41">
        <v>43611</v>
      </c>
      <c r="B3494" s="29">
        <v>42.35</v>
      </c>
      <c r="C3494" s="37">
        <f t="shared" si="114"/>
        <v>7.0583333333333336</v>
      </c>
      <c r="D3494" s="37">
        <v>17.152999999999999</v>
      </c>
      <c r="E3494" s="33">
        <f t="shared" si="115"/>
        <v>0</v>
      </c>
    </row>
    <row r="3495" spans="1:5" x14ac:dyDescent="0.25">
      <c r="A3495" s="41">
        <v>43611</v>
      </c>
      <c r="B3495" s="29">
        <v>42.35</v>
      </c>
      <c r="C3495" s="37">
        <f t="shared" si="114"/>
        <v>7.0583333333333336</v>
      </c>
      <c r="D3495" s="37">
        <v>17.152999999999999</v>
      </c>
      <c r="E3495" s="33">
        <f t="shared" si="115"/>
        <v>0</v>
      </c>
    </row>
    <row r="3496" spans="1:5" x14ac:dyDescent="0.25">
      <c r="A3496" s="41">
        <v>43611</v>
      </c>
      <c r="B3496" s="29">
        <v>42.35</v>
      </c>
      <c r="C3496" s="37">
        <f t="shared" si="114"/>
        <v>7.0583333333333336</v>
      </c>
      <c r="D3496" s="37">
        <v>17.152999999999999</v>
      </c>
      <c r="E3496" s="33">
        <f t="shared" si="115"/>
        <v>0</v>
      </c>
    </row>
    <row r="3497" spans="1:5" x14ac:dyDescent="0.25">
      <c r="A3497" s="41">
        <v>43611</v>
      </c>
      <c r="B3497" s="29">
        <v>42.35</v>
      </c>
      <c r="C3497" s="37">
        <f t="shared" si="114"/>
        <v>7.0583333333333336</v>
      </c>
      <c r="D3497" s="37">
        <v>17.152999999999999</v>
      </c>
      <c r="E3497" s="33">
        <f t="shared" si="115"/>
        <v>0</v>
      </c>
    </row>
    <row r="3498" spans="1:5" x14ac:dyDescent="0.25">
      <c r="A3498" s="41">
        <v>43611</v>
      </c>
      <c r="B3498" s="29">
        <v>42.35</v>
      </c>
      <c r="C3498" s="37">
        <f t="shared" si="114"/>
        <v>7.0583333333333336</v>
      </c>
      <c r="D3498" s="37">
        <v>17.152999999999999</v>
      </c>
      <c r="E3498" s="33">
        <f t="shared" si="115"/>
        <v>0</v>
      </c>
    </row>
    <row r="3499" spans="1:5" x14ac:dyDescent="0.25">
      <c r="A3499" s="41">
        <v>43611</v>
      </c>
      <c r="B3499" s="29">
        <v>42.35</v>
      </c>
      <c r="C3499" s="37">
        <f t="shared" si="114"/>
        <v>7.0583333333333336</v>
      </c>
      <c r="D3499" s="37">
        <v>17.152999999999999</v>
      </c>
      <c r="E3499" s="33">
        <f t="shared" si="115"/>
        <v>0</v>
      </c>
    </row>
    <row r="3500" spans="1:5" x14ac:dyDescent="0.25">
      <c r="A3500" s="41">
        <v>43611</v>
      </c>
      <c r="B3500" s="29">
        <v>42.35</v>
      </c>
      <c r="C3500" s="37">
        <f t="shared" si="114"/>
        <v>7.0583333333333336</v>
      </c>
      <c r="D3500" s="37">
        <v>17.152999999999999</v>
      </c>
      <c r="E3500" s="33">
        <f t="shared" si="115"/>
        <v>0</v>
      </c>
    </row>
    <row r="3501" spans="1:5" x14ac:dyDescent="0.25">
      <c r="A3501" s="41">
        <v>43611</v>
      </c>
      <c r="B3501" s="29">
        <v>42.35</v>
      </c>
      <c r="C3501" s="37">
        <f t="shared" si="114"/>
        <v>7.0583333333333336</v>
      </c>
      <c r="D3501" s="37">
        <v>17.152999999999999</v>
      </c>
      <c r="E3501" s="33">
        <f t="shared" si="115"/>
        <v>0</v>
      </c>
    </row>
    <row r="3502" spans="1:5" x14ac:dyDescent="0.25">
      <c r="A3502" s="41">
        <v>43611</v>
      </c>
      <c r="B3502" s="29">
        <v>42.35</v>
      </c>
      <c r="C3502" s="37">
        <f t="shared" si="114"/>
        <v>7.0583333333333336</v>
      </c>
      <c r="D3502" s="37">
        <v>17.152999999999999</v>
      </c>
      <c r="E3502" s="33">
        <f t="shared" si="115"/>
        <v>0</v>
      </c>
    </row>
    <row r="3503" spans="1:5" x14ac:dyDescent="0.25">
      <c r="A3503" s="41">
        <v>43611</v>
      </c>
      <c r="B3503" s="29">
        <v>42.35</v>
      </c>
      <c r="C3503" s="37">
        <f t="shared" si="114"/>
        <v>7.0583333333333336</v>
      </c>
      <c r="D3503" s="37">
        <v>17.152999999999999</v>
      </c>
      <c r="E3503" s="33">
        <f t="shared" si="115"/>
        <v>0</v>
      </c>
    </row>
    <row r="3504" spans="1:5" x14ac:dyDescent="0.25">
      <c r="A3504" s="41">
        <v>43611</v>
      </c>
      <c r="B3504" s="29">
        <v>42.35</v>
      </c>
      <c r="C3504" s="37">
        <f t="shared" si="114"/>
        <v>7.0583333333333336</v>
      </c>
      <c r="D3504" s="37">
        <v>17.152999999999999</v>
      </c>
      <c r="E3504" s="33">
        <f t="shared" si="115"/>
        <v>0</v>
      </c>
    </row>
    <row r="3505" spans="1:5" x14ac:dyDescent="0.25">
      <c r="A3505" s="41">
        <v>43611</v>
      </c>
      <c r="B3505" s="29">
        <v>42.35</v>
      </c>
      <c r="C3505" s="37">
        <f t="shared" si="114"/>
        <v>7.0583333333333336</v>
      </c>
      <c r="D3505" s="37">
        <v>17.152999999999999</v>
      </c>
      <c r="E3505" s="33">
        <f t="shared" si="115"/>
        <v>0</v>
      </c>
    </row>
    <row r="3506" spans="1:5" x14ac:dyDescent="0.25">
      <c r="A3506" s="41">
        <v>43612</v>
      </c>
      <c r="B3506" s="29">
        <v>42.35</v>
      </c>
      <c r="C3506" s="37">
        <f t="shared" si="114"/>
        <v>7.0583333333333336</v>
      </c>
      <c r="D3506" s="37">
        <v>16.173999999999999</v>
      </c>
      <c r="E3506" s="33">
        <f t="shared" si="115"/>
        <v>0</v>
      </c>
    </row>
    <row r="3507" spans="1:5" x14ac:dyDescent="0.25">
      <c r="A3507" s="41">
        <v>43612</v>
      </c>
      <c r="B3507" s="29">
        <v>42.35</v>
      </c>
      <c r="C3507" s="37">
        <f t="shared" si="114"/>
        <v>7.0583333333333336</v>
      </c>
      <c r="D3507" s="37">
        <v>16.173999999999999</v>
      </c>
      <c r="E3507" s="33">
        <f t="shared" si="115"/>
        <v>0</v>
      </c>
    </row>
    <row r="3508" spans="1:5" x14ac:dyDescent="0.25">
      <c r="A3508" s="41">
        <v>43612</v>
      </c>
      <c r="B3508" s="29">
        <v>42.35</v>
      </c>
      <c r="C3508" s="37">
        <f t="shared" si="114"/>
        <v>7.0583333333333336</v>
      </c>
      <c r="D3508" s="37">
        <v>16.173999999999999</v>
      </c>
      <c r="E3508" s="33">
        <f t="shared" si="115"/>
        <v>0</v>
      </c>
    </row>
    <row r="3509" spans="1:5" x14ac:dyDescent="0.25">
      <c r="A3509" s="41">
        <v>43612</v>
      </c>
      <c r="B3509" s="29">
        <v>42.35</v>
      </c>
      <c r="C3509" s="37">
        <f t="shared" si="114"/>
        <v>7.0583333333333336</v>
      </c>
      <c r="D3509" s="37">
        <v>16.173999999999999</v>
      </c>
      <c r="E3509" s="33">
        <f t="shared" si="115"/>
        <v>0</v>
      </c>
    </row>
    <row r="3510" spans="1:5" x14ac:dyDescent="0.25">
      <c r="A3510" s="41">
        <v>43612</v>
      </c>
      <c r="B3510" s="29">
        <v>42.35</v>
      </c>
      <c r="C3510" s="37">
        <f t="shared" si="114"/>
        <v>7.0583333333333336</v>
      </c>
      <c r="D3510" s="37">
        <v>16.173999999999999</v>
      </c>
      <c r="E3510" s="33">
        <f t="shared" si="115"/>
        <v>0</v>
      </c>
    </row>
    <row r="3511" spans="1:5" x14ac:dyDescent="0.25">
      <c r="A3511" s="41">
        <v>43612</v>
      </c>
      <c r="B3511" s="29">
        <v>42.35</v>
      </c>
      <c r="C3511" s="37">
        <f t="shared" si="114"/>
        <v>7.0583333333333336</v>
      </c>
      <c r="D3511" s="37">
        <v>16.173999999999999</v>
      </c>
      <c r="E3511" s="33">
        <f t="shared" si="115"/>
        <v>0</v>
      </c>
    </row>
    <row r="3512" spans="1:5" x14ac:dyDescent="0.25">
      <c r="A3512" s="41">
        <v>43612</v>
      </c>
      <c r="B3512" s="29">
        <v>42.35</v>
      </c>
      <c r="C3512" s="37">
        <f t="shared" si="114"/>
        <v>7.0583333333333336</v>
      </c>
      <c r="D3512" s="37">
        <v>16.173999999999999</v>
      </c>
      <c r="E3512" s="33">
        <f t="shared" si="115"/>
        <v>0</v>
      </c>
    </row>
    <row r="3513" spans="1:5" x14ac:dyDescent="0.25">
      <c r="A3513" s="41">
        <v>43612</v>
      </c>
      <c r="B3513" s="29">
        <v>131.57</v>
      </c>
      <c r="C3513" s="37">
        <f t="shared" si="114"/>
        <v>21.928333333333335</v>
      </c>
      <c r="D3513" s="37">
        <v>16.173999999999999</v>
      </c>
      <c r="E3513" s="33">
        <f t="shared" si="115"/>
        <v>2.1067296340023614</v>
      </c>
    </row>
    <row r="3514" spans="1:5" x14ac:dyDescent="0.25">
      <c r="A3514" s="41">
        <v>43612</v>
      </c>
      <c r="B3514" s="29">
        <v>131.57</v>
      </c>
      <c r="C3514" s="37">
        <f t="shared" si="114"/>
        <v>21.928333333333335</v>
      </c>
      <c r="D3514" s="37">
        <v>16.173999999999999</v>
      </c>
      <c r="E3514" s="33">
        <f t="shared" si="115"/>
        <v>0</v>
      </c>
    </row>
    <row r="3515" spans="1:5" x14ac:dyDescent="0.25">
      <c r="A3515" s="41">
        <v>43612</v>
      </c>
      <c r="B3515" s="29">
        <v>131.57</v>
      </c>
      <c r="C3515" s="37">
        <f t="shared" si="114"/>
        <v>21.928333333333335</v>
      </c>
      <c r="D3515" s="37">
        <v>16.173999999999999</v>
      </c>
      <c r="E3515" s="33">
        <f t="shared" si="115"/>
        <v>0</v>
      </c>
    </row>
    <row r="3516" spans="1:5" x14ac:dyDescent="0.25">
      <c r="A3516" s="41">
        <v>43612</v>
      </c>
      <c r="B3516" s="29">
        <v>134.43</v>
      </c>
      <c r="C3516" s="37">
        <f t="shared" si="114"/>
        <v>22.405000000000001</v>
      </c>
      <c r="D3516" s="37">
        <v>16.173999999999999</v>
      </c>
      <c r="E3516" s="33">
        <f t="shared" si="115"/>
        <v>2.1737478148514205E-2</v>
      </c>
    </row>
    <row r="3517" spans="1:5" x14ac:dyDescent="0.25">
      <c r="A3517" s="41">
        <v>43612</v>
      </c>
      <c r="B3517" s="29">
        <v>134.43</v>
      </c>
      <c r="C3517" s="37">
        <f t="shared" si="114"/>
        <v>22.405000000000001</v>
      </c>
      <c r="D3517" s="37">
        <v>16.173999999999999</v>
      </c>
      <c r="E3517" s="33">
        <f t="shared" si="115"/>
        <v>0</v>
      </c>
    </row>
    <row r="3518" spans="1:5" x14ac:dyDescent="0.25">
      <c r="A3518" s="41">
        <v>43612</v>
      </c>
      <c r="B3518" s="29">
        <v>134.43</v>
      </c>
      <c r="C3518" s="37">
        <f t="shared" si="114"/>
        <v>22.405000000000001</v>
      </c>
      <c r="D3518" s="37">
        <v>16.173999999999999</v>
      </c>
      <c r="E3518" s="33">
        <f t="shared" si="115"/>
        <v>0</v>
      </c>
    </row>
    <row r="3519" spans="1:5" x14ac:dyDescent="0.25">
      <c r="A3519" s="41">
        <v>43612</v>
      </c>
      <c r="B3519" s="29">
        <v>134.43</v>
      </c>
      <c r="C3519" s="37">
        <f t="shared" si="114"/>
        <v>22.405000000000001</v>
      </c>
      <c r="D3519" s="37">
        <v>16.173999999999999</v>
      </c>
      <c r="E3519" s="33">
        <f t="shared" si="115"/>
        <v>0</v>
      </c>
    </row>
    <row r="3520" spans="1:5" x14ac:dyDescent="0.25">
      <c r="A3520" s="41">
        <v>43612</v>
      </c>
      <c r="B3520" s="29">
        <v>134.43</v>
      </c>
      <c r="C3520" s="37">
        <f t="shared" si="114"/>
        <v>22.405000000000001</v>
      </c>
      <c r="D3520" s="37">
        <v>16.173999999999999</v>
      </c>
      <c r="E3520" s="33">
        <f t="shared" si="115"/>
        <v>0</v>
      </c>
    </row>
    <row r="3521" spans="1:5" x14ac:dyDescent="0.25">
      <c r="A3521" s="41">
        <v>43612</v>
      </c>
      <c r="B3521" s="29">
        <v>134.43</v>
      </c>
      <c r="C3521" s="37">
        <f t="shared" si="114"/>
        <v>22.405000000000001</v>
      </c>
      <c r="D3521" s="37">
        <v>16.173999999999999</v>
      </c>
      <c r="E3521" s="33">
        <f t="shared" si="115"/>
        <v>0</v>
      </c>
    </row>
    <row r="3522" spans="1:5" x14ac:dyDescent="0.25">
      <c r="A3522" s="41">
        <v>43612</v>
      </c>
      <c r="B3522" s="29">
        <v>134.43</v>
      </c>
      <c r="C3522" s="37">
        <f t="shared" si="114"/>
        <v>22.405000000000001</v>
      </c>
      <c r="D3522" s="37">
        <v>16.173999999999999</v>
      </c>
      <c r="E3522" s="33">
        <f t="shared" si="115"/>
        <v>0</v>
      </c>
    </row>
    <row r="3523" spans="1:5" x14ac:dyDescent="0.25">
      <c r="A3523" s="41">
        <v>43612</v>
      </c>
      <c r="B3523" s="29">
        <v>134.43</v>
      </c>
      <c r="C3523" s="37">
        <f t="shared" ref="C3523:C3586" si="116">(B3523*100/600)</f>
        <v>22.405000000000001</v>
      </c>
      <c r="D3523" s="37">
        <v>16.173999999999999</v>
      </c>
      <c r="E3523" s="33">
        <f t="shared" si="115"/>
        <v>0</v>
      </c>
    </row>
    <row r="3524" spans="1:5" x14ac:dyDescent="0.25">
      <c r="A3524" s="41">
        <v>43612</v>
      </c>
      <c r="B3524" s="29">
        <v>134.43</v>
      </c>
      <c r="C3524" s="37">
        <f t="shared" si="116"/>
        <v>22.405000000000001</v>
      </c>
      <c r="D3524" s="37">
        <v>16.173999999999999</v>
      </c>
      <c r="E3524" s="33">
        <f t="shared" ref="E3524:E3587" si="117">(B3524-B3523)/B3523</f>
        <v>0</v>
      </c>
    </row>
    <row r="3525" spans="1:5" x14ac:dyDescent="0.25">
      <c r="A3525" s="41">
        <v>43612</v>
      </c>
      <c r="B3525" s="29">
        <v>134.43</v>
      </c>
      <c r="C3525" s="37">
        <f t="shared" si="116"/>
        <v>22.405000000000001</v>
      </c>
      <c r="D3525" s="37">
        <v>16.173999999999999</v>
      </c>
      <c r="E3525" s="33">
        <f t="shared" si="117"/>
        <v>0</v>
      </c>
    </row>
    <row r="3526" spans="1:5" x14ac:dyDescent="0.25">
      <c r="A3526" s="41">
        <v>43612</v>
      </c>
      <c r="B3526" s="29">
        <v>134.43</v>
      </c>
      <c r="C3526" s="37">
        <f t="shared" si="116"/>
        <v>22.405000000000001</v>
      </c>
      <c r="D3526" s="37">
        <v>16.173999999999999</v>
      </c>
      <c r="E3526" s="33">
        <f t="shared" si="117"/>
        <v>0</v>
      </c>
    </row>
    <row r="3527" spans="1:5" x14ac:dyDescent="0.25">
      <c r="A3527" s="41">
        <v>43612</v>
      </c>
      <c r="B3527" s="29">
        <v>134.43</v>
      </c>
      <c r="C3527" s="37">
        <f t="shared" si="116"/>
        <v>22.405000000000001</v>
      </c>
      <c r="D3527" s="37">
        <v>16.173999999999999</v>
      </c>
      <c r="E3527" s="33">
        <f t="shared" si="117"/>
        <v>0</v>
      </c>
    </row>
    <row r="3528" spans="1:5" x14ac:dyDescent="0.25">
      <c r="A3528" s="41">
        <v>43612</v>
      </c>
      <c r="B3528" s="29">
        <v>131.58000000000001</v>
      </c>
      <c r="C3528" s="37">
        <f t="shared" si="116"/>
        <v>21.930000000000003</v>
      </c>
      <c r="D3528" s="37">
        <v>16.173999999999999</v>
      </c>
      <c r="E3528" s="33">
        <f t="shared" si="117"/>
        <v>-2.1200624860522162E-2</v>
      </c>
    </row>
    <row r="3529" spans="1:5" x14ac:dyDescent="0.25">
      <c r="A3529" s="41">
        <v>43612</v>
      </c>
      <c r="B3529" s="29">
        <v>117.86</v>
      </c>
      <c r="C3529" s="37">
        <f t="shared" si="116"/>
        <v>19.643333333333334</v>
      </c>
      <c r="D3529" s="37">
        <v>16.173999999999999</v>
      </c>
      <c r="E3529" s="33">
        <f t="shared" si="117"/>
        <v>-0.10427116583067345</v>
      </c>
    </row>
    <row r="3530" spans="1:5" x14ac:dyDescent="0.25">
      <c r="A3530" s="41">
        <v>43613</v>
      </c>
      <c r="B3530" s="29">
        <v>124.42</v>
      </c>
      <c r="C3530" s="37">
        <f t="shared" si="116"/>
        <v>20.736666666666668</v>
      </c>
      <c r="D3530" s="37">
        <v>20.283999999999999</v>
      </c>
      <c r="E3530" s="33">
        <f t="shared" si="117"/>
        <v>5.5659256745291041E-2</v>
      </c>
    </row>
    <row r="3531" spans="1:5" x14ac:dyDescent="0.25">
      <c r="A3531" s="41">
        <v>43613</v>
      </c>
      <c r="B3531" s="29">
        <v>124.42</v>
      </c>
      <c r="C3531" s="37">
        <f t="shared" si="116"/>
        <v>20.736666666666668</v>
      </c>
      <c r="D3531" s="37">
        <v>20.283999999999999</v>
      </c>
      <c r="E3531" s="33">
        <f t="shared" si="117"/>
        <v>0</v>
      </c>
    </row>
    <row r="3532" spans="1:5" x14ac:dyDescent="0.25">
      <c r="A3532" s="41">
        <v>43613</v>
      </c>
      <c r="B3532" s="29">
        <v>124.42</v>
      </c>
      <c r="C3532" s="37">
        <f t="shared" si="116"/>
        <v>20.736666666666668</v>
      </c>
      <c r="D3532" s="37">
        <v>20.283999999999999</v>
      </c>
      <c r="E3532" s="33">
        <f t="shared" si="117"/>
        <v>0</v>
      </c>
    </row>
    <row r="3533" spans="1:5" x14ac:dyDescent="0.25">
      <c r="A3533" s="41">
        <v>43613</v>
      </c>
      <c r="B3533" s="29">
        <v>124.42</v>
      </c>
      <c r="C3533" s="37">
        <f t="shared" si="116"/>
        <v>20.736666666666668</v>
      </c>
      <c r="D3533" s="37">
        <v>20.283999999999999</v>
      </c>
      <c r="E3533" s="33">
        <f t="shared" si="117"/>
        <v>0</v>
      </c>
    </row>
    <row r="3534" spans="1:5" x14ac:dyDescent="0.25">
      <c r="A3534" s="41">
        <v>43613</v>
      </c>
      <c r="B3534" s="29">
        <v>124.42</v>
      </c>
      <c r="C3534" s="37">
        <f t="shared" si="116"/>
        <v>20.736666666666668</v>
      </c>
      <c r="D3534" s="37">
        <v>20.283999999999999</v>
      </c>
      <c r="E3534" s="33">
        <f t="shared" si="117"/>
        <v>0</v>
      </c>
    </row>
    <row r="3535" spans="1:5" x14ac:dyDescent="0.25">
      <c r="A3535" s="41">
        <v>43613</v>
      </c>
      <c r="B3535" s="29">
        <v>124.42</v>
      </c>
      <c r="C3535" s="37">
        <f t="shared" si="116"/>
        <v>20.736666666666668</v>
      </c>
      <c r="D3535" s="37">
        <v>20.283999999999999</v>
      </c>
      <c r="E3535" s="33">
        <f t="shared" si="117"/>
        <v>0</v>
      </c>
    </row>
    <row r="3536" spans="1:5" x14ac:dyDescent="0.25">
      <c r="A3536" s="41">
        <v>43613</v>
      </c>
      <c r="B3536" s="29">
        <v>124.42</v>
      </c>
      <c r="C3536" s="37">
        <f t="shared" si="116"/>
        <v>20.736666666666668</v>
      </c>
      <c r="D3536" s="37">
        <v>20.283999999999999</v>
      </c>
      <c r="E3536" s="33">
        <f t="shared" si="117"/>
        <v>0</v>
      </c>
    </row>
    <row r="3537" spans="1:5" x14ac:dyDescent="0.25">
      <c r="A3537" s="41">
        <v>43613</v>
      </c>
      <c r="B3537" s="29">
        <v>132.22</v>
      </c>
      <c r="C3537" s="37">
        <f t="shared" si="116"/>
        <v>22.036666666666665</v>
      </c>
      <c r="D3537" s="37">
        <v>20.283999999999999</v>
      </c>
      <c r="E3537" s="33">
        <f t="shared" si="117"/>
        <v>6.2690885709692945E-2</v>
      </c>
    </row>
    <row r="3538" spans="1:5" x14ac:dyDescent="0.25">
      <c r="A3538" s="41">
        <v>43613</v>
      </c>
      <c r="B3538" s="29">
        <v>132.22</v>
      </c>
      <c r="C3538" s="37">
        <f t="shared" si="116"/>
        <v>22.036666666666665</v>
      </c>
      <c r="D3538" s="37">
        <v>20.283999999999999</v>
      </c>
      <c r="E3538" s="33">
        <f t="shared" si="117"/>
        <v>0</v>
      </c>
    </row>
    <row r="3539" spans="1:5" x14ac:dyDescent="0.25">
      <c r="A3539" s="41">
        <v>43613</v>
      </c>
      <c r="B3539" s="29">
        <v>132.22</v>
      </c>
      <c r="C3539" s="37">
        <f t="shared" si="116"/>
        <v>22.036666666666665</v>
      </c>
      <c r="D3539" s="37">
        <v>20.283999999999999</v>
      </c>
      <c r="E3539" s="33">
        <f t="shared" si="117"/>
        <v>0</v>
      </c>
    </row>
    <row r="3540" spans="1:5" x14ac:dyDescent="0.25">
      <c r="A3540" s="41">
        <v>43613</v>
      </c>
      <c r="B3540" s="29">
        <v>135.56</v>
      </c>
      <c r="C3540" s="37">
        <f t="shared" si="116"/>
        <v>22.593333333333334</v>
      </c>
      <c r="D3540" s="37">
        <v>20.283999999999999</v>
      </c>
      <c r="E3540" s="33">
        <f t="shared" si="117"/>
        <v>2.5260928755105154E-2</v>
      </c>
    </row>
    <row r="3541" spans="1:5" x14ac:dyDescent="0.25">
      <c r="A3541" s="41">
        <v>43613</v>
      </c>
      <c r="B3541" s="29">
        <v>135.56</v>
      </c>
      <c r="C3541" s="37">
        <f t="shared" si="116"/>
        <v>22.593333333333334</v>
      </c>
      <c r="D3541" s="37">
        <v>20.283999999999999</v>
      </c>
      <c r="E3541" s="33">
        <f t="shared" si="117"/>
        <v>0</v>
      </c>
    </row>
    <row r="3542" spans="1:5" x14ac:dyDescent="0.25">
      <c r="A3542" s="41">
        <v>43613</v>
      </c>
      <c r="B3542" s="29">
        <v>135.56</v>
      </c>
      <c r="C3542" s="37">
        <f t="shared" si="116"/>
        <v>22.593333333333334</v>
      </c>
      <c r="D3542" s="37">
        <v>20.283999999999999</v>
      </c>
      <c r="E3542" s="33">
        <f t="shared" si="117"/>
        <v>0</v>
      </c>
    </row>
    <row r="3543" spans="1:5" x14ac:dyDescent="0.25">
      <c r="A3543" s="41">
        <v>43613</v>
      </c>
      <c r="B3543" s="29">
        <v>135.56</v>
      </c>
      <c r="C3543" s="37">
        <f t="shared" si="116"/>
        <v>22.593333333333334</v>
      </c>
      <c r="D3543" s="37">
        <v>20.283999999999999</v>
      </c>
      <c r="E3543" s="33">
        <f t="shared" si="117"/>
        <v>0</v>
      </c>
    </row>
    <row r="3544" spans="1:5" x14ac:dyDescent="0.25">
      <c r="A3544" s="41">
        <v>43613</v>
      </c>
      <c r="B3544" s="29">
        <v>135.56</v>
      </c>
      <c r="C3544" s="37">
        <f t="shared" si="116"/>
        <v>22.593333333333334</v>
      </c>
      <c r="D3544" s="37">
        <v>20.283999999999999</v>
      </c>
      <c r="E3544" s="33">
        <f t="shared" si="117"/>
        <v>0</v>
      </c>
    </row>
    <row r="3545" spans="1:5" x14ac:dyDescent="0.25">
      <c r="A3545" s="41">
        <v>43613</v>
      </c>
      <c r="B3545" s="29">
        <v>135.56</v>
      </c>
      <c r="C3545" s="37">
        <f t="shared" si="116"/>
        <v>22.593333333333334</v>
      </c>
      <c r="D3545" s="37">
        <v>20.283999999999999</v>
      </c>
      <c r="E3545" s="33">
        <f t="shared" si="117"/>
        <v>0</v>
      </c>
    </row>
    <row r="3546" spans="1:5" x14ac:dyDescent="0.25">
      <c r="A3546" s="41">
        <v>43613</v>
      </c>
      <c r="B3546" s="29">
        <v>135.56</v>
      </c>
      <c r="C3546" s="37">
        <f t="shared" si="116"/>
        <v>22.593333333333334</v>
      </c>
      <c r="D3546" s="37">
        <v>20.283999999999999</v>
      </c>
      <c r="E3546" s="33">
        <f t="shared" si="117"/>
        <v>0</v>
      </c>
    </row>
    <row r="3547" spans="1:5" x14ac:dyDescent="0.25">
      <c r="A3547" s="41">
        <v>43613</v>
      </c>
      <c r="B3547" s="29">
        <v>135.56</v>
      </c>
      <c r="C3547" s="37">
        <f t="shared" si="116"/>
        <v>22.593333333333334</v>
      </c>
      <c r="D3547" s="37">
        <v>20.283999999999999</v>
      </c>
      <c r="E3547" s="33">
        <f t="shared" si="117"/>
        <v>0</v>
      </c>
    </row>
    <row r="3548" spans="1:5" x14ac:dyDescent="0.25">
      <c r="A3548" s="41">
        <v>43613</v>
      </c>
      <c r="B3548" s="29">
        <v>135.56</v>
      </c>
      <c r="C3548" s="37">
        <f t="shared" si="116"/>
        <v>22.593333333333334</v>
      </c>
      <c r="D3548" s="37">
        <v>20.283999999999999</v>
      </c>
      <c r="E3548" s="33">
        <f t="shared" si="117"/>
        <v>0</v>
      </c>
    </row>
    <row r="3549" spans="1:5" x14ac:dyDescent="0.25">
      <c r="A3549" s="41">
        <v>43613</v>
      </c>
      <c r="B3549" s="29">
        <v>135.56</v>
      </c>
      <c r="C3549" s="37">
        <f t="shared" si="116"/>
        <v>22.593333333333334</v>
      </c>
      <c r="D3549" s="37">
        <v>20.283999999999999</v>
      </c>
      <c r="E3549" s="33">
        <f t="shared" si="117"/>
        <v>0</v>
      </c>
    </row>
    <row r="3550" spans="1:5" x14ac:dyDescent="0.25">
      <c r="A3550" s="41">
        <v>43613</v>
      </c>
      <c r="B3550" s="29">
        <v>135.56</v>
      </c>
      <c r="C3550" s="37">
        <f t="shared" si="116"/>
        <v>22.593333333333334</v>
      </c>
      <c r="D3550" s="37">
        <v>20.283999999999999</v>
      </c>
      <c r="E3550" s="33">
        <f t="shared" si="117"/>
        <v>0</v>
      </c>
    </row>
    <row r="3551" spans="1:5" x14ac:dyDescent="0.25">
      <c r="A3551" s="41">
        <v>43613</v>
      </c>
      <c r="B3551" s="29">
        <v>135.56</v>
      </c>
      <c r="C3551" s="37">
        <f t="shared" si="116"/>
        <v>22.593333333333334</v>
      </c>
      <c r="D3551" s="37">
        <v>20.283999999999999</v>
      </c>
      <c r="E3551" s="33">
        <f t="shared" si="117"/>
        <v>0</v>
      </c>
    </row>
    <row r="3552" spans="1:5" x14ac:dyDescent="0.25">
      <c r="A3552" s="41">
        <v>43613</v>
      </c>
      <c r="B3552" s="29">
        <v>131.96</v>
      </c>
      <c r="C3552" s="37">
        <f t="shared" si="116"/>
        <v>21.993333333333332</v>
      </c>
      <c r="D3552" s="37">
        <v>20.283999999999999</v>
      </c>
      <c r="E3552" s="33">
        <f t="shared" si="117"/>
        <v>-2.6556506344054251E-2</v>
      </c>
    </row>
    <row r="3553" spans="1:5" x14ac:dyDescent="0.25">
      <c r="A3553" s="41">
        <v>43613</v>
      </c>
      <c r="B3553" s="29">
        <v>131.96</v>
      </c>
      <c r="C3553" s="37">
        <f t="shared" si="116"/>
        <v>21.993333333333332</v>
      </c>
      <c r="D3553" s="37">
        <v>20.283999999999999</v>
      </c>
      <c r="E3553" s="33">
        <f t="shared" si="117"/>
        <v>0</v>
      </c>
    </row>
    <row r="3554" spans="1:5" x14ac:dyDescent="0.25">
      <c r="A3554" s="41">
        <v>43614</v>
      </c>
      <c r="B3554" s="29">
        <v>42.35</v>
      </c>
      <c r="C3554" s="37">
        <f t="shared" si="116"/>
        <v>7.0583333333333336</v>
      </c>
      <c r="D3554" s="37">
        <v>24.88</v>
      </c>
      <c r="E3554" s="33">
        <f t="shared" si="117"/>
        <v>-0.67906941497423468</v>
      </c>
    </row>
    <row r="3555" spans="1:5" x14ac:dyDescent="0.25">
      <c r="A3555" s="41">
        <v>43614</v>
      </c>
      <c r="B3555" s="29">
        <v>42.35</v>
      </c>
      <c r="C3555" s="37">
        <f t="shared" si="116"/>
        <v>7.0583333333333336</v>
      </c>
      <c r="D3555" s="37">
        <v>24.88</v>
      </c>
      <c r="E3555" s="33">
        <f t="shared" si="117"/>
        <v>0</v>
      </c>
    </row>
    <row r="3556" spans="1:5" x14ac:dyDescent="0.25">
      <c r="A3556" s="41">
        <v>43614</v>
      </c>
      <c r="B3556" s="29">
        <v>42.35</v>
      </c>
      <c r="C3556" s="37">
        <f t="shared" si="116"/>
        <v>7.0583333333333336</v>
      </c>
      <c r="D3556" s="37">
        <v>24.88</v>
      </c>
      <c r="E3556" s="33">
        <f t="shared" si="117"/>
        <v>0</v>
      </c>
    </row>
    <row r="3557" spans="1:5" x14ac:dyDescent="0.25">
      <c r="A3557" s="41">
        <v>43614</v>
      </c>
      <c r="B3557" s="29">
        <v>42.35</v>
      </c>
      <c r="C3557" s="37">
        <f t="shared" si="116"/>
        <v>7.0583333333333336</v>
      </c>
      <c r="D3557" s="37">
        <v>24.88</v>
      </c>
      <c r="E3557" s="33">
        <f t="shared" si="117"/>
        <v>0</v>
      </c>
    </row>
    <row r="3558" spans="1:5" x14ac:dyDescent="0.25">
      <c r="A3558" s="41">
        <v>43614</v>
      </c>
      <c r="B3558" s="29">
        <v>42.35</v>
      </c>
      <c r="C3558" s="37">
        <f t="shared" si="116"/>
        <v>7.0583333333333336</v>
      </c>
      <c r="D3558" s="37">
        <v>24.88</v>
      </c>
      <c r="E3558" s="33">
        <f t="shared" si="117"/>
        <v>0</v>
      </c>
    </row>
    <row r="3559" spans="1:5" x14ac:dyDescent="0.25">
      <c r="A3559" s="41">
        <v>43614</v>
      </c>
      <c r="B3559" s="29">
        <v>42.35</v>
      </c>
      <c r="C3559" s="37">
        <f t="shared" si="116"/>
        <v>7.0583333333333336</v>
      </c>
      <c r="D3559" s="37">
        <v>24.88</v>
      </c>
      <c r="E3559" s="33">
        <f t="shared" si="117"/>
        <v>0</v>
      </c>
    </row>
    <row r="3560" spans="1:5" x14ac:dyDescent="0.25">
      <c r="A3560" s="41">
        <v>43614</v>
      </c>
      <c r="B3560" s="29">
        <v>42.35</v>
      </c>
      <c r="C3560" s="37">
        <f t="shared" si="116"/>
        <v>7.0583333333333336</v>
      </c>
      <c r="D3560" s="37">
        <v>24.88</v>
      </c>
      <c r="E3560" s="33">
        <f t="shared" si="117"/>
        <v>0</v>
      </c>
    </row>
    <row r="3561" spans="1:5" x14ac:dyDescent="0.25">
      <c r="A3561" s="41">
        <v>43614</v>
      </c>
      <c r="B3561" s="29">
        <v>42.35</v>
      </c>
      <c r="C3561" s="37">
        <f t="shared" si="116"/>
        <v>7.0583333333333336</v>
      </c>
      <c r="D3561" s="37">
        <v>24.88</v>
      </c>
      <c r="E3561" s="33">
        <f t="shared" si="117"/>
        <v>0</v>
      </c>
    </row>
    <row r="3562" spans="1:5" x14ac:dyDescent="0.25">
      <c r="A3562" s="41">
        <v>43614</v>
      </c>
      <c r="B3562" s="29">
        <v>125.78</v>
      </c>
      <c r="C3562" s="37">
        <f t="shared" si="116"/>
        <v>20.963333333333335</v>
      </c>
      <c r="D3562" s="37">
        <v>24.88</v>
      </c>
      <c r="E3562" s="33">
        <f t="shared" si="117"/>
        <v>1.9700118063754428</v>
      </c>
    </row>
    <row r="3563" spans="1:5" x14ac:dyDescent="0.25">
      <c r="A3563" s="41">
        <v>43614</v>
      </c>
      <c r="B3563" s="29">
        <v>128.80000000000001</v>
      </c>
      <c r="C3563" s="37">
        <f t="shared" si="116"/>
        <v>21.466666666666669</v>
      </c>
      <c r="D3563" s="37">
        <v>24.88</v>
      </c>
      <c r="E3563" s="33">
        <f t="shared" si="117"/>
        <v>2.4010176498648516E-2</v>
      </c>
    </row>
    <row r="3564" spans="1:5" x14ac:dyDescent="0.25">
      <c r="A3564" s="41">
        <v>43614</v>
      </c>
      <c r="B3564" s="29">
        <v>130.41</v>
      </c>
      <c r="C3564" s="37">
        <f t="shared" si="116"/>
        <v>21.734999999999999</v>
      </c>
      <c r="D3564" s="37">
        <v>24.88</v>
      </c>
      <c r="E3564" s="33">
        <f t="shared" si="117"/>
        <v>1.2499999999999884E-2</v>
      </c>
    </row>
    <row r="3565" spans="1:5" x14ac:dyDescent="0.25">
      <c r="A3565" s="41">
        <v>43614</v>
      </c>
      <c r="B3565" s="29">
        <v>130.44999999999999</v>
      </c>
      <c r="C3565" s="37">
        <f t="shared" si="116"/>
        <v>21.741666666666664</v>
      </c>
      <c r="D3565" s="37">
        <v>24.88</v>
      </c>
      <c r="E3565" s="33">
        <f t="shared" si="117"/>
        <v>3.0672494440604282E-4</v>
      </c>
    </row>
    <row r="3566" spans="1:5" x14ac:dyDescent="0.25">
      <c r="A3566" s="41">
        <v>43614</v>
      </c>
      <c r="B3566" s="29">
        <v>129.04</v>
      </c>
      <c r="C3566" s="37">
        <f t="shared" si="116"/>
        <v>21.506666666666668</v>
      </c>
      <c r="D3566" s="37">
        <v>24.88</v>
      </c>
      <c r="E3566" s="33">
        <f t="shared" si="117"/>
        <v>-1.0808738980452256E-2</v>
      </c>
    </row>
    <row r="3567" spans="1:5" x14ac:dyDescent="0.25">
      <c r="A3567" s="41">
        <v>43614</v>
      </c>
      <c r="B3567" s="29">
        <v>130.38</v>
      </c>
      <c r="C3567" s="37">
        <f t="shared" si="116"/>
        <v>21.73</v>
      </c>
      <c r="D3567" s="37">
        <v>24.88</v>
      </c>
      <c r="E3567" s="33">
        <f t="shared" si="117"/>
        <v>1.0384376937383784E-2</v>
      </c>
    </row>
    <row r="3568" spans="1:5" x14ac:dyDescent="0.25">
      <c r="A3568" s="41">
        <v>43614</v>
      </c>
      <c r="B3568" s="29">
        <v>130.75</v>
      </c>
      <c r="C3568" s="37">
        <f t="shared" si="116"/>
        <v>21.791666666666668</v>
      </c>
      <c r="D3568" s="37">
        <v>24.88</v>
      </c>
      <c r="E3568" s="33">
        <f t="shared" si="117"/>
        <v>2.8378585672649529E-3</v>
      </c>
    </row>
    <row r="3569" spans="1:5" x14ac:dyDescent="0.25">
      <c r="A3569" s="41">
        <v>43614</v>
      </c>
      <c r="B3569" s="29">
        <v>130.78</v>
      </c>
      <c r="C3569" s="37">
        <f t="shared" si="116"/>
        <v>21.796666666666667</v>
      </c>
      <c r="D3569" s="37">
        <v>24.88</v>
      </c>
      <c r="E3569" s="33">
        <f t="shared" si="117"/>
        <v>2.2944550669216931E-4</v>
      </c>
    </row>
    <row r="3570" spans="1:5" x14ac:dyDescent="0.25">
      <c r="A3570" s="41">
        <v>43614</v>
      </c>
      <c r="B3570" s="29">
        <v>130.80000000000001</v>
      </c>
      <c r="C3570" s="37">
        <f t="shared" si="116"/>
        <v>21.800000000000004</v>
      </c>
      <c r="D3570" s="37">
        <v>24.88</v>
      </c>
      <c r="E3570" s="33">
        <f t="shared" si="117"/>
        <v>1.5292858235211982E-4</v>
      </c>
    </row>
    <row r="3571" spans="1:5" x14ac:dyDescent="0.25">
      <c r="A3571" s="41">
        <v>43614</v>
      </c>
      <c r="B3571" s="29">
        <v>130.81</v>
      </c>
      <c r="C3571" s="37">
        <f t="shared" si="116"/>
        <v>21.801666666666666</v>
      </c>
      <c r="D3571" s="37">
        <v>24.88</v>
      </c>
      <c r="E3571" s="33">
        <f t="shared" si="117"/>
        <v>7.6452599388309662E-5</v>
      </c>
    </row>
    <row r="3572" spans="1:5" x14ac:dyDescent="0.25">
      <c r="A3572" s="41">
        <v>43614</v>
      </c>
      <c r="B3572" s="29">
        <v>132.18</v>
      </c>
      <c r="C3572" s="37">
        <f t="shared" si="116"/>
        <v>22.03</v>
      </c>
      <c r="D3572" s="37">
        <v>24.88</v>
      </c>
      <c r="E3572" s="33">
        <f t="shared" si="117"/>
        <v>1.0473205412430277E-2</v>
      </c>
    </row>
    <row r="3573" spans="1:5" x14ac:dyDescent="0.25">
      <c r="A3573" s="41">
        <v>43614</v>
      </c>
      <c r="B3573" s="29">
        <v>130.88999999999999</v>
      </c>
      <c r="C3573" s="37">
        <f t="shared" si="116"/>
        <v>21.814999999999998</v>
      </c>
      <c r="D3573" s="37">
        <v>24.88</v>
      </c>
      <c r="E3573" s="33">
        <f t="shared" si="117"/>
        <v>-9.7594189741263462E-3</v>
      </c>
    </row>
    <row r="3574" spans="1:5" x14ac:dyDescent="0.25">
      <c r="A3574" s="41">
        <v>43614</v>
      </c>
      <c r="B3574" s="29">
        <v>130.81</v>
      </c>
      <c r="C3574" s="37">
        <f t="shared" si="116"/>
        <v>21.801666666666666</v>
      </c>
      <c r="D3574" s="37">
        <v>24.88</v>
      </c>
      <c r="E3574" s="33">
        <f t="shared" si="117"/>
        <v>-6.1120024447997631E-4</v>
      </c>
    </row>
    <row r="3575" spans="1:5" x14ac:dyDescent="0.25">
      <c r="A3575" s="41">
        <v>43614</v>
      </c>
      <c r="B3575" s="29">
        <v>130.69999999999999</v>
      </c>
      <c r="C3575" s="37">
        <f t="shared" si="116"/>
        <v>21.783333333333331</v>
      </c>
      <c r="D3575" s="37">
        <v>24.88</v>
      </c>
      <c r="E3575" s="33">
        <f t="shared" si="117"/>
        <v>-8.4091430318793397E-4</v>
      </c>
    </row>
    <row r="3576" spans="1:5" x14ac:dyDescent="0.25">
      <c r="A3576" s="41">
        <v>43614</v>
      </c>
      <c r="B3576" s="29">
        <v>128.79</v>
      </c>
      <c r="C3576" s="37">
        <f t="shared" si="116"/>
        <v>21.465</v>
      </c>
      <c r="D3576" s="37">
        <v>24.88</v>
      </c>
      <c r="E3576" s="33">
        <f t="shared" si="117"/>
        <v>-1.4613618974751314E-2</v>
      </c>
    </row>
    <row r="3577" spans="1:5" x14ac:dyDescent="0.25">
      <c r="A3577" s="41">
        <v>43614</v>
      </c>
      <c r="B3577" s="29">
        <v>119.66</v>
      </c>
      <c r="C3577" s="37">
        <f t="shared" si="116"/>
        <v>19.943333333333332</v>
      </c>
      <c r="D3577" s="37">
        <v>24.88</v>
      </c>
      <c r="E3577" s="33">
        <f t="shared" si="117"/>
        <v>-7.0890597096047794E-2</v>
      </c>
    </row>
    <row r="3578" spans="1:5" x14ac:dyDescent="0.25">
      <c r="A3578" s="41">
        <v>43615</v>
      </c>
      <c r="B3578" s="29">
        <v>43.71</v>
      </c>
      <c r="C3578" s="37">
        <f t="shared" si="116"/>
        <v>7.2850000000000001</v>
      </c>
      <c r="D3578" s="37">
        <v>32.415999999999997</v>
      </c>
      <c r="E3578" s="33">
        <f t="shared" si="117"/>
        <v>-0.63471502590673567</v>
      </c>
    </row>
    <row r="3579" spans="1:5" x14ac:dyDescent="0.25">
      <c r="A3579" s="41">
        <v>43615</v>
      </c>
      <c r="B3579" s="29">
        <v>42.35</v>
      </c>
      <c r="C3579" s="37">
        <f t="shared" si="116"/>
        <v>7.0583333333333336</v>
      </c>
      <c r="D3579" s="37">
        <v>32.415999999999997</v>
      </c>
      <c r="E3579" s="33">
        <f t="shared" si="117"/>
        <v>-3.1114161519103168E-2</v>
      </c>
    </row>
    <row r="3580" spans="1:5" x14ac:dyDescent="0.25">
      <c r="A3580" s="41">
        <v>43615</v>
      </c>
      <c r="B3580" s="29">
        <v>42.35</v>
      </c>
      <c r="C3580" s="37">
        <f t="shared" si="116"/>
        <v>7.0583333333333336</v>
      </c>
      <c r="D3580" s="37">
        <v>32.415999999999997</v>
      </c>
      <c r="E3580" s="33">
        <f t="shared" si="117"/>
        <v>0</v>
      </c>
    </row>
    <row r="3581" spans="1:5" x14ac:dyDescent="0.25">
      <c r="A3581" s="41">
        <v>43615</v>
      </c>
      <c r="B3581" s="29">
        <v>42.35</v>
      </c>
      <c r="C3581" s="37">
        <f t="shared" si="116"/>
        <v>7.0583333333333336</v>
      </c>
      <c r="D3581" s="37">
        <v>32.415999999999997</v>
      </c>
      <c r="E3581" s="33">
        <f t="shared" si="117"/>
        <v>0</v>
      </c>
    </row>
    <row r="3582" spans="1:5" x14ac:dyDescent="0.25">
      <c r="A3582" s="41">
        <v>43615</v>
      </c>
      <c r="B3582" s="29">
        <v>42.35</v>
      </c>
      <c r="C3582" s="37">
        <f t="shared" si="116"/>
        <v>7.0583333333333336</v>
      </c>
      <c r="D3582" s="37">
        <v>32.415999999999997</v>
      </c>
      <c r="E3582" s="33">
        <f t="shared" si="117"/>
        <v>0</v>
      </c>
    </row>
    <row r="3583" spans="1:5" x14ac:dyDescent="0.25">
      <c r="A3583" s="41">
        <v>43615</v>
      </c>
      <c r="B3583" s="29">
        <v>42.35</v>
      </c>
      <c r="C3583" s="37">
        <f t="shared" si="116"/>
        <v>7.0583333333333336</v>
      </c>
      <c r="D3583" s="37">
        <v>32.415999999999997</v>
      </c>
      <c r="E3583" s="33">
        <f t="shared" si="117"/>
        <v>0</v>
      </c>
    </row>
    <row r="3584" spans="1:5" x14ac:dyDescent="0.25">
      <c r="A3584" s="41">
        <v>43615</v>
      </c>
      <c r="B3584" s="29">
        <v>97.69</v>
      </c>
      <c r="C3584" s="37">
        <f t="shared" si="116"/>
        <v>16.281666666666666</v>
      </c>
      <c r="D3584" s="37">
        <v>32.415999999999997</v>
      </c>
      <c r="E3584" s="33">
        <f t="shared" si="117"/>
        <v>1.3067296340023611</v>
      </c>
    </row>
    <row r="3585" spans="1:5" x14ac:dyDescent="0.25">
      <c r="A3585" s="41">
        <v>43615</v>
      </c>
      <c r="B3585" s="29">
        <v>120.37</v>
      </c>
      <c r="C3585" s="37">
        <f t="shared" si="116"/>
        <v>20.061666666666667</v>
      </c>
      <c r="D3585" s="37">
        <v>32.415999999999997</v>
      </c>
      <c r="E3585" s="33">
        <f t="shared" si="117"/>
        <v>0.23216296447947596</v>
      </c>
    </row>
    <row r="3586" spans="1:5" x14ac:dyDescent="0.25">
      <c r="A3586" s="41">
        <v>43615</v>
      </c>
      <c r="B3586" s="29">
        <v>120.35</v>
      </c>
      <c r="C3586" s="37">
        <f t="shared" si="116"/>
        <v>20.058333333333334</v>
      </c>
      <c r="D3586" s="37">
        <v>32.415999999999997</v>
      </c>
      <c r="E3586" s="33">
        <f t="shared" si="117"/>
        <v>-1.6615435739810775E-4</v>
      </c>
    </row>
    <row r="3587" spans="1:5" x14ac:dyDescent="0.25">
      <c r="A3587" s="41">
        <v>43615</v>
      </c>
      <c r="B3587" s="29">
        <v>124.23</v>
      </c>
      <c r="C3587" s="37">
        <f t="shared" ref="C3587:C3650" si="118">(B3587*100/600)</f>
        <v>20.704999999999998</v>
      </c>
      <c r="D3587" s="37">
        <v>32.415999999999997</v>
      </c>
      <c r="E3587" s="33">
        <f t="shared" si="117"/>
        <v>3.2239302035729202E-2</v>
      </c>
    </row>
    <row r="3588" spans="1:5" x14ac:dyDescent="0.25">
      <c r="A3588" s="41">
        <v>43615</v>
      </c>
      <c r="B3588" s="29">
        <v>126.52</v>
      </c>
      <c r="C3588" s="37">
        <f t="shared" si="118"/>
        <v>21.086666666666666</v>
      </c>
      <c r="D3588" s="37">
        <v>32.415999999999997</v>
      </c>
      <c r="E3588" s="33">
        <f t="shared" ref="E3588:E3651" si="119">(B3588-B3587)/B3587</f>
        <v>1.8433550672140319E-2</v>
      </c>
    </row>
    <row r="3589" spans="1:5" x14ac:dyDescent="0.25">
      <c r="A3589" s="41">
        <v>43615</v>
      </c>
      <c r="B3589" s="29">
        <v>126.72</v>
      </c>
      <c r="C3589" s="37">
        <f t="shared" si="118"/>
        <v>21.12</v>
      </c>
      <c r="D3589" s="37">
        <v>32.415999999999997</v>
      </c>
      <c r="E3589" s="33">
        <f t="shared" si="119"/>
        <v>1.580777742649406E-3</v>
      </c>
    </row>
    <row r="3590" spans="1:5" x14ac:dyDescent="0.25">
      <c r="A3590" s="41">
        <v>43615</v>
      </c>
      <c r="B3590" s="29">
        <v>124.92</v>
      </c>
      <c r="C3590" s="37">
        <f t="shared" si="118"/>
        <v>20.82</v>
      </c>
      <c r="D3590" s="37">
        <v>32.415999999999997</v>
      </c>
      <c r="E3590" s="33">
        <f t="shared" si="119"/>
        <v>-1.4204545454545432E-2</v>
      </c>
    </row>
    <row r="3591" spans="1:5" x14ac:dyDescent="0.25">
      <c r="A3591" s="41">
        <v>43615</v>
      </c>
      <c r="B3591" s="29">
        <v>126.46</v>
      </c>
      <c r="C3591" s="37">
        <f t="shared" si="118"/>
        <v>21.076666666666668</v>
      </c>
      <c r="D3591" s="37">
        <v>32.415999999999997</v>
      </c>
      <c r="E3591" s="33">
        <f t="shared" si="119"/>
        <v>1.2327889849503618E-2</v>
      </c>
    </row>
    <row r="3592" spans="1:5" x14ac:dyDescent="0.25">
      <c r="A3592" s="41">
        <v>43615</v>
      </c>
      <c r="B3592" s="29">
        <v>126.97</v>
      </c>
      <c r="C3592" s="37">
        <f t="shared" si="118"/>
        <v>21.161666666666665</v>
      </c>
      <c r="D3592" s="37">
        <v>32.415999999999997</v>
      </c>
      <c r="E3592" s="33">
        <f t="shared" si="119"/>
        <v>4.0328957773209323E-3</v>
      </c>
    </row>
    <row r="3593" spans="1:5" x14ac:dyDescent="0.25">
      <c r="A3593" s="41">
        <v>43615</v>
      </c>
      <c r="B3593" s="29">
        <v>127.04</v>
      </c>
      <c r="C3593" s="37">
        <f t="shared" si="118"/>
        <v>21.173333333333332</v>
      </c>
      <c r="D3593" s="37">
        <v>32.415999999999997</v>
      </c>
      <c r="E3593" s="33">
        <f t="shared" si="119"/>
        <v>5.5131133338589741E-4</v>
      </c>
    </row>
    <row r="3594" spans="1:5" x14ac:dyDescent="0.25">
      <c r="A3594" s="41">
        <v>43615</v>
      </c>
      <c r="B3594" s="29">
        <v>127</v>
      </c>
      <c r="C3594" s="37">
        <f t="shared" si="118"/>
        <v>21.166666666666668</v>
      </c>
      <c r="D3594" s="37">
        <v>32.415999999999997</v>
      </c>
      <c r="E3594" s="33">
        <f t="shared" si="119"/>
        <v>-3.1486146095722806E-4</v>
      </c>
    </row>
    <row r="3595" spans="1:5" x14ac:dyDescent="0.25">
      <c r="A3595" s="41">
        <v>43615</v>
      </c>
      <c r="B3595" s="29">
        <v>126.97</v>
      </c>
      <c r="C3595" s="37">
        <f t="shared" si="118"/>
        <v>21.161666666666665</v>
      </c>
      <c r="D3595" s="37">
        <v>32.415999999999997</v>
      </c>
      <c r="E3595" s="33">
        <f t="shared" si="119"/>
        <v>-2.3622047244095383E-4</v>
      </c>
    </row>
    <row r="3596" spans="1:5" x14ac:dyDescent="0.25">
      <c r="A3596" s="41">
        <v>43615</v>
      </c>
      <c r="B3596" s="29">
        <v>126.93</v>
      </c>
      <c r="C3596" s="37">
        <f t="shared" si="118"/>
        <v>21.155000000000001</v>
      </c>
      <c r="D3596" s="37">
        <v>32.415999999999997</v>
      </c>
      <c r="E3596" s="33">
        <f t="shared" si="119"/>
        <v>-3.1503504764898829E-4</v>
      </c>
    </row>
    <row r="3597" spans="1:5" x14ac:dyDescent="0.25">
      <c r="A3597" s="41">
        <v>43615</v>
      </c>
      <c r="B3597" s="29">
        <v>126.9</v>
      </c>
      <c r="C3597" s="37">
        <f t="shared" si="118"/>
        <v>21.15</v>
      </c>
      <c r="D3597" s="37">
        <v>32.415999999999997</v>
      </c>
      <c r="E3597" s="33">
        <f t="shared" si="119"/>
        <v>-2.3635074450485414E-4</v>
      </c>
    </row>
    <row r="3598" spans="1:5" x14ac:dyDescent="0.25">
      <c r="A3598" s="41">
        <v>43615</v>
      </c>
      <c r="B3598" s="29">
        <v>126.86</v>
      </c>
      <c r="C3598" s="37">
        <f t="shared" si="118"/>
        <v>21.143333333333334</v>
      </c>
      <c r="D3598" s="37">
        <v>32.415999999999997</v>
      </c>
      <c r="E3598" s="33">
        <f t="shared" si="119"/>
        <v>-3.1520882584717296E-4</v>
      </c>
    </row>
    <row r="3599" spans="1:5" x14ac:dyDescent="0.25">
      <c r="A3599" s="41">
        <v>43615</v>
      </c>
      <c r="B3599" s="29">
        <v>126.73</v>
      </c>
      <c r="C3599" s="37">
        <f t="shared" si="118"/>
        <v>21.121666666666666</v>
      </c>
      <c r="D3599" s="37">
        <v>32.415999999999997</v>
      </c>
      <c r="E3599" s="33">
        <f t="shared" si="119"/>
        <v>-1.0247516947816133E-3</v>
      </c>
    </row>
    <row r="3600" spans="1:5" x14ac:dyDescent="0.25">
      <c r="A3600" s="41">
        <v>43615</v>
      </c>
      <c r="B3600" s="29">
        <v>122.9</v>
      </c>
      <c r="C3600" s="37">
        <f t="shared" si="118"/>
        <v>20.483333333333334</v>
      </c>
      <c r="D3600" s="37">
        <v>32.415999999999997</v>
      </c>
      <c r="E3600" s="33">
        <f t="shared" si="119"/>
        <v>-3.0221731239643321E-2</v>
      </c>
    </row>
    <row r="3601" spans="1:5" x14ac:dyDescent="0.25">
      <c r="A3601" s="41">
        <v>43615</v>
      </c>
      <c r="B3601" s="29">
        <v>119.87</v>
      </c>
      <c r="C3601" s="37">
        <f t="shared" si="118"/>
        <v>19.978333333333332</v>
      </c>
      <c r="D3601" s="37">
        <v>32.415999999999997</v>
      </c>
      <c r="E3601" s="33">
        <f t="shared" si="119"/>
        <v>-2.4654190398698136E-2</v>
      </c>
    </row>
    <row r="3602" spans="1:5" x14ac:dyDescent="0.25">
      <c r="A3602" s="41">
        <v>43616</v>
      </c>
      <c r="B3602" s="29">
        <v>42.35</v>
      </c>
      <c r="C3602" s="37">
        <f t="shared" si="118"/>
        <v>7.0583333333333336</v>
      </c>
      <c r="D3602" s="37">
        <v>46.075000000000003</v>
      </c>
      <c r="E3602" s="33">
        <f t="shared" si="119"/>
        <v>-0.6467005923083341</v>
      </c>
    </row>
    <row r="3603" spans="1:5" x14ac:dyDescent="0.25">
      <c r="A3603" s="41">
        <v>43616</v>
      </c>
      <c r="B3603" s="29">
        <v>42.35</v>
      </c>
      <c r="C3603" s="37">
        <f t="shared" si="118"/>
        <v>7.0583333333333336</v>
      </c>
      <c r="D3603" s="37">
        <v>46.075000000000003</v>
      </c>
      <c r="E3603" s="33">
        <f t="shared" si="119"/>
        <v>0</v>
      </c>
    </row>
    <row r="3604" spans="1:5" x14ac:dyDescent="0.25">
      <c r="A3604" s="41">
        <v>43616</v>
      </c>
      <c r="B3604" s="29">
        <v>42.35</v>
      </c>
      <c r="C3604" s="37">
        <f t="shared" si="118"/>
        <v>7.0583333333333336</v>
      </c>
      <c r="D3604" s="37">
        <v>46.075000000000003</v>
      </c>
      <c r="E3604" s="33">
        <f t="shared" si="119"/>
        <v>0</v>
      </c>
    </row>
    <row r="3605" spans="1:5" x14ac:dyDescent="0.25">
      <c r="A3605" s="41">
        <v>43616</v>
      </c>
      <c r="B3605" s="29">
        <v>42.35</v>
      </c>
      <c r="C3605" s="37">
        <f t="shared" si="118"/>
        <v>7.0583333333333336</v>
      </c>
      <c r="D3605" s="37">
        <v>46.075000000000003</v>
      </c>
      <c r="E3605" s="33">
        <f t="shared" si="119"/>
        <v>0</v>
      </c>
    </row>
    <row r="3606" spans="1:5" x14ac:dyDescent="0.25">
      <c r="A3606" s="41">
        <v>43616</v>
      </c>
      <c r="B3606" s="29">
        <v>42.35</v>
      </c>
      <c r="C3606" s="37">
        <f t="shared" si="118"/>
        <v>7.0583333333333336</v>
      </c>
      <c r="D3606" s="37">
        <v>46.075000000000003</v>
      </c>
      <c r="E3606" s="33">
        <f t="shared" si="119"/>
        <v>0</v>
      </c>
    </row>
    <row r="3607" spans="1:5" x14ac:dyDescent="0.25">
      <c r="A3607" s="41">
        <v>43616</v>
      </c>
      <c r="B3607" s="29">
        <v>42.35</v>
      </c>
      <c r="C3607" s="37">
        <f t="shared" si="118"/>
        <v>7.0583333333333336</v>
      </c>
      <c r="D3607" s="37">
        <v>46.075000000000003</v>
      </c>
      <c r="E3607" s="33">
        <f t="shared" si="119"/>
        <v>0</v>
      </c>
    </row>
    <row r="3608" spans="1:5" x14ac:dyDescent="0.25">
      <c r="A3608" s="41">
        <v>43616</v>
      </c>
      <c r="B3608" s="29">
        <v>121.37</v>
      </c>
      <c r="C3608" s="37">
        <f t="shared" si="118"/>
        <v>20.228333333333332</v>
      </c>
      <c r="D3608" s="37">
        <v>46.075000000000003</v>
      </c>
      <c r="E3608" s="33">
        <f t="shared" si="119"/>
        <v>1.8658795749704842</v>
      </c>
    </row>
    <row r="3609" spans="1:5" x14ac:dyDescent="0.25">
      <c r="A3609" s="41">
        <v>43616</v>
      </c>
      <c r="B3609" s="29">
        <v>127.05</v>
      </c>
      <c r="C3609" s="37">
        <f t="shared" si="118"/>
        <v>21.175000000000001</v>
      </c>
      <c r="D3609" s="37">
        <v>46.075000000000003</v>
      </c>
      <c r="E3609" s="33">
        <f t="shared" si="119"/>
        <v>4.679904424487099E-2</v>
      </c>
    </row>
    <row r="3610" spans="1:5" x14ac:dyDescent="0.25">
      <c r="A3610" s="41">
        <v>43616</v>
      </c>
      <c r="B3610" s="29">
        <v>129.24</v>
      </c>
      <c r="C3610" s="37">
        <f t="shared" si="118"/>
        <v>21.54</v>
      </c>
      <c r="D3610" s="37">
        <v>46.075000000000003</v>
      </c>
      <c r="E3610" s="33">
        <f t="shared" si="119"/>
        <v>1.723730814639915E-2</v>
      </c>
    </row>
    <row r="3611" spans="1:5" x14ac:dyDescent="0.25">
      <c r="A3611" s="41">
        <v>43616</v>
      </c>
      <c r="B3611" s="29">
        <v>129.72999999999999</v>
      </c>
      <c r="C3611" s="37">
        <f t="shared" si="118"/>
        <v>21.621666666666663</v>
      </c>
      <c r="D3611" s="37">
        <v>46.075000000000003</v>
      </c>
      <c r="E3611" s="33">
        <f t="shared" si="119"/>
        <v>3.79139585267704E-3</v>
      </c>
    </row>
    <row r="3612" spans="1:5" x14ac:dyDescent="0.25">
      <c r="A3612" s="41">
        <v>43616</v>
      </c>
      <c r="B3612" s="29">
        <v>131.38</v>
      </c>
      <c r="C3612" s="37">
        <f t="shared" si="118"/>
        <v>21.896666666666668</v>
      </c>
      <c r="D3612" s="37">
        <v>46.075000000000003</v>
      </c>
      <c r="E3612" s="33">
        <f t="shared" si="119"/>
        <v>1.2718723502659414E-2</v>
      </c>
    </row>
    <row r="3613" spans="1:5" x14ac:dyDescent="0.25">
      <c r="A3613" s="41">
        <v>43616</v>
      </c>
      <c r="B3613" s="29">
        <v>131.41</v>
      </c>
      <c r="C3613" s="37">
        <f t="shared" si="118"/>
        <v>21.901666666666667</v>
      </c>
      <c r="D3613" s="37">
        <v>46.075000000000003</v>
      </c>
      <c r="E3613" s="33">
        <f t="shared" si="119"/>
        <v>2.2834525803015025E-4</v>
      </c>
    </row>
    <row r="3614" spans="1:5" x14ac:dyDescent="0.25">
      <c r="A3614" s="41">
        <v>43616</v>
      </c>
      <c r="B3614" s="29">
        <v>131.19</v>
      </c>
      <c r="C3614" s="37">
        <f t="shared" si="118"/>
        <v>21.864999999999998</v>
      </c>
      <c r="D3614" s="37">
        <v>46.075000000000003</v>
      </c>
      <c r="E3614" s="33">
        <f t="shared" si="119"/>
        <v>-1.6741496080967878E-3</v>
      </c>
    </row>
    <row r="3615" spans="1:5" x14ac:dyDescent="0.25">
      <c r="A3615" s="41">
        <v>43616</v>
      </c>
      <c r="B3615" s="29">
        <v>131.47999999999999</v>
      </c>
      <c r="C3615" s="37">
        <f t="shared" si="118"/>
        <v>21.91333333333333</v>
      </c>
      <c r="D3615" s="37">
        <v>46.075000000000003</v>
      </c>
      <c r="E3615" s="33">
        <f t="shared" si="119"/>
        <v>2.2105343395075238E-3</v>
      </c>
    </row>
    <row r="3616" spans="1:5" x14ac:dyDescent="0.25">
      <c r="A3616" s="41">
        <v>43616</v>
      </c>
      <c r="B3616" s="29">
        <v>131.72999999999999</v>
      </c>
      <c r="C3616" s="37">
        <f t="shared" si="118"/>
        <v>21.954999999999998</v>
      </c>
      <c r="D3616" s="37">
        <v>46.075000000000003</v>
      </c>
      <c r="E3616" s="33">
        <f t="shared" si="119"/>
        <v>1.9014298752662003E-3</v>
      </c>
    </row>
    <row r="3617" spans="1:5" x14ac:dyDescent="0.25">
      <c r="A3617" s="41">
        <v>43616</v>
      </c>
      <c r="B3617" s="29">
        <v>132.13</v>
      </c>
      <c r="C3617" s="37">
        <f t="shared" si="118"/>
        <v>22.021666666666668</v>
      </c>
      <c r="D3617" s="37">
        <v>46.075000000000003</v>
      </c>
      <c r="E3617" s="33">
        <f t="shared" si="119"/>
        <v>3.0365140818340978E-3</v>
      </c>
    </row>
    <row r="3618" spans="1:5" x14ac:dyDescent="0.25">
      <c r="A3618" s="41">
        <v>43616</v>
      </c>
      <c r="B3618" s="29">
        <v>132.13</v>
      </c>
      <c r="C3618" s="37">
        <f t="shared" si="118"/>
        <v>22.021666666666668</v>
      </c>
      <c r="D3618" s="37">
        <v>46.075000000000003</v>
      </c>
      <c r="E3618" s="33">
        <f t="shared" si="119"/>
        <v>0</v>
      </c>
    </row>
    <row r="3619" spans="1:5" x14ac:dyDescent="0.25">
      <c r="A3619" s="41">
        <v>43616</v>
      </c>
      <c r="B3619" s="29">
        <v>131.83000000000001</v>
      </c>
      <c r="C3619" s="37">
        <f t="shared" si="118"/>
        <v>21.971666666666671</v>
      </c>
      <c r="D3619" s="37">
        <v>46.075000000000003</v>
      </c>
      <c r="E3619" s="33">
        <f t="shared" si="119"/>
        <v>-2.2704911829257773E-3</v>
      </c>
    </row>
    <row r="3620" spans="1:5" x14ac:dyDescent="0.25">
      <c r="A3620" s="41">
        <v>43616</v>
      </c>
      <c r="B3620" s="29">
        <v>133.65</v>
      </c>
      <c r="C3620" s="37">
        <f t="shared" si="118"/>
        <v>22.274999999999999</v>
      </c>
      <c r="D3620" s="37">
        <v>46.075000000000003</v>
      </c>
      <c r="E3620" s="33">
        <f t="shared" si="119"/>
        <v>1.3805658803003816E-2</v>
      </c>
    </row>
    <row r="3621" spans="1:5" x14ac:dyDescent="0.25">
      <c r="A3621" s="41">
        <v>43616</v>
      </c>
      <c r="B3621" s="29">
        <v>132.05000000000001</v>
      </c>
      <c r="C3621" s="37">
        <f t="shared" si="118"/>
        <v>22.008333333333336</v>
      </c>
      <c r="D3621" s="37">
        <v>46.075000000000003</v>
      </c>
      <c r="E3621" s="33">
        <f t="shared" si="119"/>
        <v>-1.197156752712304E-2</v>
      </c>
    </row>
    <row r="3622" spans="1:5" x14ac:dyDescent="0.25">
      <c r="A3622" s="41">
        <v>43616</v>
      </c>
      <c r="B3622" s="29">
        <v>131.47</v>
      </c>
      <c r="C3622" s="37">
        <f t="shared" si="118"/>
        <v>21.911666666666665</v>
      </c>
      <c r="D3622" s="37">
        <v>46.075000000000003</v>
      </c>
      <c r="E3622" s="33">
        <f t="shared" si="119"/>
        <v>-4.3922756531617757E-3</v>
      </c>
    </row>
    <row r="3623" spans="1:5" x14ac:dyDescent="0.25">
      <c r="A3623" s="41">
        <v>43616</v>
      </c>
      <c r="B3623" s="29">
        <v>131.32</v>
      </c>
      <c r="C3623" s="37">
        <f t="shared" si="118"/>
        <v>21.886666666666667</v>
      </c>
      <c r="D3623" s="37">
        <v>46.075000000000003</v>
      </c>
      <c r="E3623" s="33">
        <f t="shared" si="119"/>
        <v>-1.140944702213476E-3</v>
      </c>
    </row>
    <row r="3624" spans="1:5" x14ac:dyDescent="0.25">
      <c r="A3624" s="41">
        <v>43616</v>
      </c>
      <c r="B3624" s="29">
        <v>129.27000000000001</v>
      </c>
      <c r="C3624" s="37">
        <f t="shared" si="118"/>
        <v>21.545000000000002</v>
      </c>
      <c r="D3624" s="37">
        <v>46.075000000000003</v>
      </c>
      <c r="E3624" s="33">
        <f t="shared" si="119"/>
        <v>-1.5610721900700449E-2</v>
      </c>
    </row>
    <row r="3625" spans="1:5" x14ac:dyDescent="0.25">
      <c r="A3625" s="41">
        <v>43616</v>
      </c>
      <c r="B3625" s="29">
        <v>123.84</v>
      </c>
      <c r="C3625" s="37">
        <f t="shared" si="118"/>
        <v>20.64</v>
      </c>
      <c r="D3625" s="37">
        <v>46.075000000000003</v>
      </c>
      <c r="E3625" s="33">
        <f t="shared" si="119"/>
        <v>-4.2005105592945048E-2</v>
      </c>
    </row>
    <row r="3626" spans="1:5" x14ac:dyDescent="0.25">
      <c r="A3626" s="41">
        <v>43617</v>
      </c>
      <c r="B3626" s="29">
        <v>42.35</v>
      </c>
      <c r="C3626" s="37">
        <f t="shared" si="118"/>
        <v>7.0583333333333336</v>
      </c>
      <c r="D3626" s="37">
        <v>46.097999999999999</v>
      </c>
      <c r="E3626" s="33">
        <f t="shared" si="119"/>
        <v>-0.65802648578811374</v>
      </c>
    </row>
    <row r="3627" spans="1:5" x14ac:dyDescent="0.25">
      <c r="A3627" s="41">
        <v>43617</v>
      </c>
      <c r="B3627" s="29">
        <v>42.35</v>
      </c>
      <c r="C3627" s="37">
        <f t="shared" si="118"/>
        <v>7.0583333333333336</v>
      </c>
      <c r="D3627" s="37">
        <v>46.097999999999999</v>
      </c>
      <c r="E3627" s="33">
        <f t="shared" si="119"/>
        <v>0</v>
      </c>
    </row>
    <row r="3628" spans="1:5" x14ac:dyDescent="0.25">
      <c r="A3628" s="41">
        <v>43617</v>
      </c>
      <c r="B3628" s="29">
        <v>42.35</v>
      </c>
      <c r="C3628" s="37">
        <f t="shared" si="118"/>
        <v>7.0583333333333336</v>
      </c>
      <c r="D3628" s="37">
        <v>46.097999999999999</v>
      </c>
      <c r="E3628" s="33">
        <f t="shared" si="119"/>
        <v>0</v>
      </c>
    </row>
    <row r="3629" spans="1:5" x14ac:dyDescent="0.25">
      <c r="A3629" s="41">
        <v>43617</v>
      </c>
      <c r="B3629" s="29">
        <v>42.35</v>
      </c>
      <c r="C3629" s="37">
        <f t="shared" si="118"/>
        <v>7.0583333333333336</v>
      </c>
      <c r="D3629" s="37">
        <v>46.097999999999999</v>
      </c>
      <c r="E3629" s="33">
        <f t="shared" si="119"/>
        <v>0</v>
      </c>
    </row>
    <row r="3630" spans="1:5" x14ac:dyDescent="0.25">
      <c r="A3630" s="41">
        <v>43617</v>
      </c>
      <c r="B3630" s="29">
        <v>42.35</v>
      </c>
      <c r="C3630" s="37">
        <f t="shared" si="118"/>
        <v>7.0583333333333336</v>
      </c>
      <c r="D3630" s="37">
        <v>46.097999999999999</v>
      </c>
      <c r="E3630" s="33">
        <f t="shared" si="119"/>
        <v>0</v>
      </c>
    </row>
    <row r="3631" spans="1:5" x14ac:dyDescent="0.25">
      <c r="A3631" s="41">
        <v>43617</v>
      </c>
      <c r="B3631" s="29">
        <v>42.35</v>
      </c>
      <c r="C3631" s="37">
        <f t="shared" si="118"/>
        <v>7.0583333333333336</v>
      </c>
      <c r="D3631" s="37">
        <v>46.097999999999999</v>
      </c>
      <c r="E3631" s="33">
        <f t="shared" si="119"/>
        <v>0</v>
      </c>
    </row>
    <row r="3632" spans="1:5" x14ac:dyDescent="0.25">
      <c r="A3632" s="41">
        <v>43617</v>
      </c>
      <c r="B3632" s="29">
        <v>42.35</v>
      </c>
      <c r="C3632" s="37">
        <f t="shared" si="118"/>
        <v>7.0583333333333336</v>
      </c>
      <c r="D3632" s="37">
        <v>46.097999999999999</v>
      </c>
      <c r="E3632" s="33">
        <f t="shared" si="119"/>
        <v>0</v>
      </c>
    </row>
    <row r="3633" spans="1:5" x14ac:dyDescent="0.25">
      <c r="A3633" s="41">
        <v>43617</v>
      </c>
      <c r="B3633" s="29">
        <v>42.35</v>
      </c>
      <c r="C3633" s="37">
        <f t="shared" si="118"/>
        <v>7.0583333333333336</v>
      </c>
      <c r="D3633" s="37">
        <v>46.097999999999999</v>
      </c>
      <c r="E3633" s="33">
        <f t="shared" si="119"/>
        <v>0</v>
      </c>
    </row>
    <row r="3634" spans="1:5" x14ac:dyDescent="0.25">
      <c r="A3634" s="41">
        <v>43617</v>
      </c>
      <c r="B3634" s="29">
        <v>42.35</v>
      </c>
      <c r="C3634" s="37">
        <f t="shared" si="118"/>
        <v>7.0583333333333336</v>
      </c>
      <c r="D3634" s="37">
        <v>46.097999999999999</v>
      </c>
      <c r="E3634" s="33">
        <f t="shared" si="119"/>
        <v>0</v>
      </c>
    </row>
    <row r="3635" spans="1:5" x14ac:dyDescent="0.25">
      <c r="A3635" s="41">
        <v>43617</v>
      </c>
      <c r="B3635" s="29">
        <v>42.35</v>
      </c>
      <c r="C3635" s="37">
        <f t="shared" si="118"/>
        <v>7.0583333333333336</v>
      </c>
      <c r="D3635" s="37">
        <v>46.097999999999999</v>
      </c>
      <c r="E3635" s="33">
        <f t="shared" si="119"/>
        <v>0</v>
      </c>
    </row>
    <row r="3636" spans="1:5" x14ac:dyDescent="0.25">
      <c r="A3636" s="41">
        <v>43617</v>
      </c>
      <c r="B3636" s="29">
        <v>42.35</v>
      </c>
      <c r="C3636" s="37">
        <f t="shared" si="118"/>
        <v>7.0583333333333336</v>
      </c>
      <c r="D3636" s="37">
        <v>46.097999999999999</v>
      </c>
      <c r="E3636" s="33">
        <f t="shared" si="119"/>
        <v>0</v>
      </c>
    </row>
    <row r="3637" spans="1:5" x14ac:dyDescent="0.25">
      <c r="A3637" s="41">
        <v>43617</v>
      </c>
      <c r="B3637" s="29">
        <v>42.35</v>
      </c>
      <c r="C3637" s="37">
        <f t="shared" si="118"/>
        <v>7.0583333333333336</v>
      </c>
      <c r="D3637" s="37">
        <v>46.097999999999999</v>
      </c>
      <c r="E3637" s="33">
        <f t="shared" si="119"/>
        <v>0</v>
      </c>
    </row>
    <row r="3638" spans="1:5" x14ac:dyDescent="0.25">
      <c r="A3638" s="41">
        <v>43617</v>
      </c>
      <c r="B3638" s="29">
        <v>42.35</v>
      </c>
      <c r="C3638" s="37">
        <f t="shared" si="118"/>
        <v>7.0583333333333336</v>
      </c>
      <c r="D3638" s="37">
        <v>46.097999999999999</v>
      </c>
      <c r="E3638" s="33">
        <f t="shared" si="119"/>
        <v>0</v>
      </c>
    </row>
    <row r="3639" spans="1:5" x14ac:dyDescent="0.25">
      <c r="A3639" s="41">
        <v>43617</v>
      </c>
      <c r="B3639" s="29">
        <v>42.35</v>
      </c>
      <c r="C3639" s="37">
        <f t="shared" si="118"/>
        <v>7.0583333333333336</v>
      </c>
      <c r="D3639" s="37">
        <v>46.097999999999999</v>
      </c>
      <c r="E3639" s="33">
        <f t="shared" si="119"/>
        <v>0</v>
      </c>
    </row>
    <row r="3640" spans="1:5" x14ac:dyDescent="0.25">
      <c r="A3640" s="41">
        <v>43617</v>
      </c>
      <c r="B3640" s="29">
        <v>42.35</v>
      </c>
      <c r="C3640" s="37">
        <f t="shared" si="118"/>
        <v>7.0583333333333336</v>
      </c>
      <c r="D3640" s="37">
        <v>46.097999999999999</v>
      </c>
      <c r="E3640" s="33">
        <f t="shared" si="119"/>
        <v>0</v>
      </c>
    </row>
    <row r="3641" spans="1:5" x14ac:dyDescent="0.25">
      <c r="A3641" s="41">
        <v>43617</v>
      </c>
      <c r="B3641" s="29">
        <v>42.35</v>
      </c>
      <c r="C3641" s="37">
        <f t="shared" si="118"/>
        <v>7.0583333333333336</v>
      </c>
      <c r="D3641" s="37">
        <v>46.097999999999999</v>
      </c>
      <c r="E3641" s="33">
        <f t="shared" si="119"/>
        <v>0</v>
      </c>
    </row>
    <row r="3642" spans="1:5" x14ac:dyDescent="0.25">
      <c r="A3642" s="41">
        <v>43617</v>
      </c>
      <c r="B3642" s="29">
        <v>42.35</v>
      </c>
      <c r="C3642" s="37">
        <f t="shared" si="118"/>
        <v>7.0583333333333336</v>
      </c>
      <c r="D3642" s="37">
        <v>46.097999999999999</v>
      </c>
      <c r="E3642" s="33">
        <f t="shared" si="119"/>
        <v>0</v>
      </c>
    </row>
    <row r="3643" spans="1:5" x14ac:dyDescent="0.25">
      <c r="A3643" s="41">
        <v>43617</v>
      </c>
      <c r="B3643" s="29">
        <v>42.35</v>
      </c>
      <c r="C3643" s="37">
        <f t="shared" si="118"/>
        <v>7.0583333333333336</v>
      </c>
      <c r="D3643" s="37">
        <v>46.097999999999999</v>
      </c>
      <c r="E3643" s="33">
        <f t="shared" si="119"/>
        <v>0</v>
      </c>
    </row>
    <row r="3644" spans="1:5" x14ac:dyDescent="0.25">
      <c r="A3644" s="41">
        <v>43617</v>
      </c>
      <c r="B3644" s="29">
        <v>42.35</v>
      </c>
      <c r="C3644" s="37">
        <f t="shared" si="118"/>
        <v>7.0583333333333336</v>
      </c>
      <c r="D3644" s="37">
        <v>46.097999999999999</v>
      </c>
      <c r="E3644" s="33">
        <f t="shared" si="119"/>
        <v>0</v>
      </c>
    </row>
    <row r="3645" spans="1:5" x14ac:dyDescent="0.25">
      <c r="A3645" s="41">
        <v>43617</v>
      </c>
      <c r="B3645" s="29">
        <v>42.35</v>
      </c>
      <c r="C3645" s="37">
        <f t="shared" si="118"/>
        <v>7.0583333333333336</v>
      </c>
      <c r="D3645" s="37">
        <v>46.097999999999999</v>
      </c>
      <c r="E3645" s="33">
        <f t="shared" si="119"/>
        <v>0</v>
      </c>
    </row>
    <row r="3646" spans="1:5" x14ac:dyDescent="0.25">
      <c r="A3646" s="41">
        <v>43617</v>
      </c>
      <c r="B3646" s="29">
        <v>42.35</v>
      </c>
      <c r="C3646" s="37">
        <f t="shared" si="118"/>
        <v>7.0583333333333336</v>
      </c>
      <c r="D3646" s="37">
        <v>46.097999999999999</v>
      </c>
      <c r="E3646" s="33">
        <f t="shared" si="119"/>
        <v>0</v>
      </c>
    </row>
    <row r="3647" spans="1:5" x14ac:dyDescent="0.25">
      <c r="A3647" s="41">
        <v>43617</v>
      </c>
      <c r="B3647" s="29">
        <v>42.35</v>
      </c>
      <c r="C3647" s="37">
        <f t="shared" si="118"/>
        <v>7.0583333333333336</v>
      </c>
      <c r="D3647" s="37">
        <v>46.097999999999999</v>
      </c>
      <c r="E3647" s="33">
        <f t="shared" si="119"/>
        <v>0</v>
      </c>
    </row>
    <row r="3648" spans="1:5" x14ac:dyDescent="0.25">
      <c r="A3648" s="41">
        <v>43617</v>
      </c>
      <c r="B3648" s="29">
        <v>42.35</v>
      </c>
      <c r="C3648" s="37">
        <f t="shared" si="118"/>
        <v>7.0583333333333336</v>
      </c>
      <c r="D3648" s="37">
        <v>46.097999999999999</v>
      </c>
      <c r="E3648" s="33">
        <f t="shared" si="119"/>
        <v>0</v>
      </c>
    </row>
    <row r="3649" spans="1:5" x14ac:dyDescent="0.25">
      <c r="A3649" s="41">
        <v>43617</v>
      </c>
      <c r="B3649" s="29">
        <v>42.35</v>
      </c>
      <c r="C3649" s="37">
        <f t="shared" si="118"/>
        <v>7.0583333333333336</v>
      </c>
      <c r="D3649" s="37">
        <v>46.097999999999999</v>
      </c>
      <c r="E3649" s="33">
        <f t="shared" si="119"/>
        <v>0</v>
      </c>
    </row>
    <row r="3650" spans="1:5" x14ac:dyDescent="0.25">
      <c r="A3650" s="41">
        <v>43618</v>
      </c>
      <c r="B3650" s="29">
        <v>42.35</v>
      </c>
      <c r="C3650" s="37">
        <f t="shared" si="118"/>
        <v>7.0583333333333336</v>
      </c>
      <c r="D3650" s="37">
        <v>40.395000000000003</v>
      </c>
      <c r="E3650" s="33">
        <f t="shared" si="119"/>
        <v>0</v>
      </c>
    </row>
    <row r="3651" spans="1:5" x14ac:dyDescent="0.25">
      <c r="A3651" s="41">
        <v>43618</v>
      </c>
      <c r="B3651" s="29">
        <v>42.35</v>
      </c>
      <c r="C3651" s="37">
        <f t="shared" ref="C3651:C3714" si="120">(B3651*100/600)</f>
        <v>7.0583333333333336</v>
      </c>
      <c r="D3651" s="37">
        <v>40.395000000000003</v>
      </c>
      <c r="E3651" s="33">
        <f t="shared" si="119"/>
        <v>0</v>
      </c>
    </row>
    <row r="3652" spans="1:5" x14ac:dyDescent="0.25">
      <c r="A3652" s="41">
        <v>43618</v>
      </c>
      <c r="B3652" s="29">
        <v>42.35</v>
      </c>
      <c r="C3652" s="37">
        <f t="shared" si="120"/>
        <v>7.0583333333333336</v>
      </c>
      <c r="D3652" s="37">
        <v>40.395000000000003</v>
      </c>
      <c r="E3652" s="33">
        <f t="shared" ref="E3652:E3715" si="121">(B3652-B3651)/B3651</f>
        <v>0</v>
      </c>
    </row>
    <row r="3653" spans="1:5" x14ac:dyDescent="0.25">
      <c r="A3653" s="41">
        <v>43618</v>
      </c>
      <c r="B3653" s="29">
        <v>42.35</v>
      </c>
      <c r="C3653" s="37">
        <f t="shared" si="120"/>
        <v>7.0583333333333336</v>
      </c>
      <c r="D3653" s="37">
        <v>40.395000000000003</v>
      </c>
      <c r="E3653" s="33">
        <f t="shared" si="121"/>
        <v>0</v>
      </c>
    </row>
    <row r="3654" spans="1:5" x14ac:dyDescent="0.25">
      <c r="A3654" s="41">
        <v>43618</v>
      </c>
      <c r="B3654" s="29">
        <v>42.35</v>
      </c>
      <c r="C3654" s="37">
        <f t="shared" si="120"/>
        <v>7.0583333333333336</v>
      </c>
      <c r="D3654" s="37">
        <v>40.395000000000003</v>
      </c>
      <c r="E3654" s="33">
        <f t="shared" si="121"/>
        <v>0</v>
      </c>
    </row>
    <row r="3655" spans="1:5" x14ac:dyDescent="0.25">
      <c r="A3655" s="41">
        <v>43618</v>
      </c>
      <c r="B3655" s="29">
        <v>42.35</v>
      </c>
      <c r="C3655" s="37">
        <f t="shared" si="120"/>
        <v>7.0583333333333336</v>
      </c>
      <c r="D3655" s="37">
        <v>40.395000000000003</v>
      </c>
      <c r="E3655" s="33">
        <f t="shared" si="121"/>
        <v>0</v>
      </c>
    </row>
    <row r="3656" spans="1:5" x14ac:dyDescent="0.25">
      <c r="A3656" s="41">
        <v>43618</v>
      </c>
      <c r="B3656" s="29">
        <v>42.35</v>
      </c>
      <c r="C3656" s="37">
        <f t="shared" si="120"/>
        <v>7.0583333333333336</v>
      </c>
      <c r="D3656" s="37">
        <v>40.395000000000003</v>
      </c>
      <c r="E3656" s="33">
        <f t="shared" si="121"/>
        <v>0</v>
      </c>
    </row>
    <row r="3657" spans="1:5" x14ac:dyDescent="0.25">
      <c r="A3657" s="41">
        <v>43618</v>
      </c>
      <c r="B3657" s="29">
        <v>42.35</v>
      </c>
      <c r="C3657" s="37">
        <f t="shared" si="120"/>
        <v>7.0583333333333336</v>
      </c>
      <c r="D3657" s="37">
        <v>40.395000000000003</v>
      </c>
      <c r="E3657" s="33">
        <f t="shared" si="121"/>
        <v>0</v>
      </c>
    </row>
    <row r="3658" spans="1:5" x14ac:dyDescent="0.25">
      <c r="A3658" s="41">
        <v>43618</v>
      </c>
      <c r="B3658" s="29">
        <v>42.35</v>
      </c>
      <c r="C3658" s="37">
        <f t="shared" si="120"/>
        <v>7.0583333333333336</v>
      </c>
      <c r="D3658" s="37">
        <v>40.395000000000003</v>
      </c>
      <c r="E3658" s="33">
        <f t="shared" si="121"/>
        <v>0</v>
      </c>
    </row>
    <row r="3659" spans="1:5" x14ac:dyDescent="0.25">
      <c r="A3659" s="41">
        <v>43618</v>
      </c>
      <c r="B3659" s="29">
        <v>42.35</v>
      </c>
      <c r="C3659" s="37">
        <f t="shared" si="120"/>
        <v>7.0583333333333336</v>
      </c>
      <c r="D3659" s="37">
        <v>40.395000000000003</v>
      </c>
      <c r="E3659" s="33">
        <f t="shared" si="121"/>
        <v>0</v>
      </c>
    </row>
    <row r="3660" spans="1:5" x14ac:dyDescent="0.25">
      <c r="A3660" s="41">
        <v>43618</v>
      </c>
      <c r="B3660" s="29">
        <v>42.35</v>
      </c>
      <c r="C3660" s="37">
        <f t="shared" si="120"/>
        <v>7.0583333333333336</v>
      </c>
      <c r="D3660" s="37">
        <v>40.395000000000003</v>
      </c>
      <c r="E3660" s="33">
        <f t="shared" si="121"/>
        <v>0</v>
      </c>
    </row>
    <row r="3661" spans="1:5" x14ac:dyDescent="0.25">
      <c r="A3661" s="41">
        <v>43618</v>
      </c>
      <c r="B3661" s="29">
        <v>42.35</v>
      </c>
      <c r="C3661" s="37">
        <f t="shared" si="120"/>
        <v>7.0583333333333336</v>
      </c>
      <c r="D3661" s="37">
        <v>40.395000000000003</v>
      </c>
      <c r="E3661" s="33">
        <f t="shared" si="121"/>
        <v>0</v>
      </c>
    </row>
    <row r="3662" spans="1:5" x14ac:dyDescent="0.25">
      <c r="A3662" s="41">
        <v>43618</v>
      </c>
      <c r="B3662" s="29">
        <v>42.35</v>
      </c>
      <c r="C3662" s="37">
        <f t="shared" si="120"/>
        <v>7.0583333333333336</v>
      </c>
      <c r="D3662" s="37">
        <v>40.395000000000003</v>
      </c>
      <c r="E3662" s="33">
        <f t="shared" si="121"/>
        <v>0</v>
      </c>
    </row>
    <row r="3663" spans="1:5" x14ac:dyDescent="0.25">
      <c r="A3663" s="41">
        <v>43618</v>
      </c>
      <c r="B3663" s="29">
        <v>42.35</v>
      </c>
      <c r="C3663" s="37">
        <f t="shared" si="120"/>
        <v>7.0583333333333336</v>
      </c>
      <c r="D3663" s="37">
        <v>40.395000000000003</v>
      </c>
      <c r="E3663" s="33">
        <f t="shared" si="121"/>
        <v>0</v>
      </c>
    </row>
    <row r="3664" spans="1:5" x14ac:dyDescent="0.25">
      <c r="A3664" s="41">
        <v>43618</v>
      </c>
      <c r="B3664" s="29">
        <v>42.35</v>
      </c>
      <c r="C3664" s="37">
        <f t="shared" si="120"/>
        <v>7.0583333333333336</v>
      </c>
      <c r="D3664" s="37">
        <v>40.395000000000003</v>
      </c>
      <c r="E3664" s="33">
        <f t="shared" si="121"/>
        <v>0</v>
      </c>
    </row>
    <row r="3665" spans="1:5" x14ac:dyDescent="0.25">
      <c r="A3665" s="41">
        <v>43618</v>
      </c>
      <c r="B3665" s="29">
        <v>42.35</v>
      </c>
      <c r="C3665" s="37">
        <f t="shared" si="120"/>
        <v>7.0583333333333336</v>
      </c>
      <c r="D3665" s="37">
        <v>40.395000000000003</v>
      </c>
      <c r="E3665" s="33">
        <f t="shared" si="121"/>
        <v>0</v>
      </c>
    </row>
    <row r="3666" spans="1:5" x14ac:dyDescent="0.25">
      <c r="A3666" s="41">
        <v>43618</v>
      </c>
      <c r="B3666" s="29">
        <v>42.35</v>
      </c>
      <c r="C3666" s="37">
        <f t="shared" si="120"/>
        <v>7.0583333333333336</v>
      </c>
      <c r="D3666" s="37">
        <v>40.395000000000003</v>
      </c>
      <c r="E3666" s="33">
        <f t="shared" si="121"/>
        <v>0</v>
      </c>
    </row>
    <row r="3667" spans="1:5" x14ac:dyDescent="0.25">
      <c r="A3667" s="41">
        <v>43618</v>
      </c>
      <c r="B3667" s="29">
        <v>42.35</v>
      </c>
      <c r="C3667" s="37">
        <f t="shared" si="120"/>
        <v>7.0583333333333336</v>
      </c>
      <c r="D3667" s="37">
        <v>40.395000000000003</v>
      </c>
      <c r="E3667" s="33">
        <f t="shared" si="121"/>
        <v>0</v>
      </c>
    </row>
    <row r="3668" spans="1:5" x14ac:dyDescent="0.25">
      <c r="A3668" s="41">
        <v>43618</v>
      </c>
      <c r="B3668" s="29">
        <v>42.35</v>
      </c>
      <c r="C3668" s="37">
        <f t="shared" si="120"/>
        <v>7.0583333333333336</v>
      </c>
      <c r="D3668" s="37">
        <v>40.395000000000003</v>
      </c>
      <c r="E3668" s="33">
        <f t="shared" si="121"/>
        <v>0</v>
      </c>
    </row>
    <row r="3669" spans="1:5" x14ac:dyDescent="0.25">
      <c r="A3669" s="41">
        <v>43618</v>
      </c>
      <c r="B3669" s="29">
        <v>42.35</v>
      </c>
      <c r="C3669" s="37">
        <f t="shared" si="120"/>
        <v>7.0583333333333336</v>
      </c>
      <c r="D3669" s="37">
        <v>40.395000000000003</v>
      </c>
      <c r="E3669" s="33">
        <f t="shared" si="121"/>
        <v>0</v>
      </c>
    </row>
    <row r="3670" spans="1:5" x14ac:dyDescent="0.25">
      <c r="A3670" s="41">
        <v>43618</v>
      </c>
      <c r="B3670" s="29">
        <v>42.35</v>
      </c>
      <c r="C3670" s="37">
        <f t="shared" si="120"/>
        <v>7.0583333333333336</v>
      </c>
      <c r="D3670" s="37">
        <v>40.395000000000003</v>
      </c>
      <c r="E3670" s="33">
        <f t="shared" si="121"/>
        <v>0</v>
      </c>
    </row>
    <row r="3671" spans="1:5" x14ac:dyDescent="0.25">
      <c r="A3671" s="41">
        <v>43618</v>
      </c>
      <c r="B3671" s="29">
        <v>42.35</v>
      </c>
      <c r="C3671" s="37">
        <f t="shared" si="120"/>
        <v>7.0583333333333336</v>
      </c>
      <c r="D3671" s="37">
        <v>40.395000000000003</v>
      </c>
      <c r="E3671" s="33">
        <f t="shared" si="121"/>
        <v>0</v>
      </c>
    </row>
    <row r="3672" spans="1:5" x14ac:dyDescent="0.25">
      <c r="A3672" s="41">
        <v>43618</v>
      </c>
      <c r="B3672" s="29">
        <v>42.35</v>
      </c>
      <c r="C3672" s="37">
        <f t="shared" si="120"/>
        <v>7.0583333333333336</v>
      </c>
      <c r="D3672" s="37">
        <v>40.395000000000003</v>
      </c>
      <c r="E3672" s="33">
        <f t="shared" si="121"/>
        <v>0</v>
      </c>
    </row>
    <row r="3673" spans="1:5" x14ac:dyDescent="0.25">
      <c r="A3673" s="41">
        <v>43618</v>
      </c>
      <c r="B3673" s="29">
        <v>42.35</v>
      </c>
      <c r="C3673" s="37">
        <f t="shared" si="120"/>
        <v>7.0583333333333336</v>
      </c>
      <c r="D3673" s="37">
        <v>40.395000000000003</v>
      </c>
      <c r="E3673" s="33">
        <f t="shared" si="121"/>
        <v>0</v>
      </c>
    </row>
    <row r="3674" spans="1:5" x14ac:dyDescent="0.25">
      <c r="A3674" s="41">
        <v>43619</v>
      </c>
      <c r="B3674" s="29">
        <v>42.35</v>
      </c>
      <c r="C3674" s="37">
        <f t="shared" si="120"/>
        <v>7.0583333333333336</v>
      </c>
      <c r="D3674" s="37">
        <v>34.265000000000001</v>
      </c>
      <c r="E3674" s="33">
        <f t="shared" si="121"/>
        <v>0</v>
      </c>
    </row>
    <row r="3675" spans="1:5" x14ac:dyDescent="0.25">
      <c r="A3675" s="41">
        <v>43619</v>
      </c>
      <c r="B3675" s="29">
        <v>42.35</v>
      </c>
      <c r="C3675" s="37">
        <f t="shared" si="120"/>
        <v>7.0583333333333336</v>
      </c>
      <c r="D3675" s="37">
        <v>34.265000000000001</v>
      </c>
      <c r="E3675" s="33">
        <f t="shared" si="121"/>
        <v>0</v>
      </c>
    </row>
    <row r="3676" spans="1:5" x14ac:dyDescent="0.25">
      <c r="A3676" s="41">
        <v>43619</v>
      </c>
      <c r="B3676" s="29">
        <v>42.35</v>
      </c>
      <c r="C3676" s="37">
        <f t="shared" si="120"/>
        <v>7.0583333333333336</v>
      </c>
      <c r="D3676" s="37">
        <v>34.265000000000001</v>
      </c>
      <c r="E3676" s="33">
        <f t="shared" si="121"/>
        <v>0</v>
      </c>
    </row>
    <row r="3677" spans="1:5" x14ac:dyDescent="0.25">
      <c r="A3677" s="41">
        <v>43619</v>
      </c>
      <c r="B3677" s="29">
        <v>42.35</v>
      </c>
      <c r="C3677" s="37">
        <f t="shared" si="120"/>
        <v>7.0583333333333336</v>
      </c>
      <c r="D3677" s="37">
        <v>34.265000000000001</v>
      </c>
      <c r="E3677" s="33">
        <f t="shared" si="121"/>
        <v>0</v>
      </c>
    </row>
    <row r="3678" spans="1:5" x14ac:dyDescent="0.25">
      <c r="A3678" s="41">
        <v>43619</v>
      </c>
      <c r="B3678" s="29">
        <v>42.35</v>
      </c>
      <c r="C3678" s="37">
        <f t="shared" si="120"/>
        <v>7.0583333333333336</v>
      </c>
      <c r="D3678" s="37">
        <v>34.265000000000001</v>
      </c>
      <c r="E3678" s="33">
        <f t="shared" si="121"/>
        <v>0</v>
      </c>
    </row>
    <row r="3679" spans="1:5" x14ac:dyDescent="0.25">
      <c r="A3679" s="41">
        <v>43619</v>
      </c>
      <c r="B3679" s="29">
        <v>42.35</v>
      </c>
      <c r="C3679" s="37">
        <f t="shared" si="120"/>
        <v>7.0583333333333336</v>
      </c>
      <c r="D3679" s="37">
        <v>34.265000000000001</v>
      </c>
      <c r="E3679" s="33">
        <f t="shared" si="121"/>
        <v>0</v>
      </c>
    </row>
    <row r="3680" spans="1:5" x14ac:dyDescent="0.25">
      <c r="A3680" s="41">
        <v>43619</v>
      </c>
      <c r="B3680" s="29">
        <v>42.35</v>
      </c>
      <c r="C3680" s="37">
        <f t="shared" si="120"/>
        <v>7.0583333333333336</v>
      </c>
      <c r="D3680" s="37">
        <v>34.265000000000001</v>
      </c>
      <c r="E3680" s="33">
        <f t="shared" si="121"/>
        <v>0</v>
      </c>
    </row>
    <row r="3681" spans="1:5" x14ac:dyDescent="0.25">
      <c r="A3681" s="41">
        <v>43619</v>
      </c>
      <c r="B3681" s="29">
        <v>42.35</v>
      </c>
      <c r="C3681" s="37">
        <f t="shared" si="120"/>
        <v>7.0583333333333336</v>
      </c>
      <c r="D3681" s="37">
        <v>34.265000000000001</v>
      </c>
      <c r="E3681" s="33">
        <f t="shared" si="121"/>
        <v>0</v>
      </c>
    </row>
    <row r="3682" spans="1:5" x14ac:dyDescent="0.25">
      <c r="A3682" s="41">
        <v>43619</v>
      </c>
      <c r="B3682" s="29">
        <v>42.35</v>
      </c>
      <c r="C3682" s="37">
        <f t="shared" si="120"/>
        <v>7.0583333333333336</v>
      </c>
      <c r="D3682" s="37">
        <v>34.265000000000001</v>
      </c>
      <c r="E3682" s="33">
        <f t="shared" si="121"/>
        <v>0</v>
      </c>
    </row>
    <row r="3683" spans="1:5" x14ac:dyDescent="0.25">
      <c r="A3683" s="41">
        <v>43619</v>
      </c>
      <c r="B3683" s="29">
        <v>42.35</v>
      </c>
      <c r="C3683" s="37">
        <f t="shared" si="120"/>
        <v>7.0583333333333336</v>
      </c>
      <c r="D3683" s="37">
        <v>34.265000000000001</v>
      </c>
      <c r="E3683" s="33">
        <f t="shared" si="121"/>
        <v>0</v>
      </c>
    </row>
    <row r="3684" spans="1:5" x14ac:dyDescent="0.25">
      <c r="A3684" s="41">
        <v>43619</v>
      </c>
      <c r="B3684" s="29">
        <v>42.35</v>
      </c>
      <c r="C3684" s="37">
        <f t="shared" si="120"/>
        <v>7.0583333333333336</v>
      </c>
      <c r="D3684" s="37">
        <v>34.265000000000001</v>
      </c>
      <c r="E3684" s="33">
        <f t="shared" si="121"/>
        <v>0</v>
      </c>
    </row>
    <row r="3685" spans="1:5" x14ac:dyDescent="0.25">
      <c r="A3685" s="41">
        <v>43619</v>
      </c>
      <c r="B3685" s="29">
        <v>42.35</v>
      </c>
      <c r="C3685" s="37">
        <f t="shared" si="120"/>
        <v>7.0583333333333336</v>
      </c>
      <c r="D3685" s="37">
        <v>34.265000000000001</v>
      </c>
      <c r="E3685" s="33">
        <f t="shared" si="121"/>
        <v>0</v>
      </c>
    </row>
    <row r="3686" spans="1:5" x14ac:dyDescent="0.25">
      <c r="A3686" s="41">
        <v>43619</v>
      </c>
      <c r="B3686" s="29">
        <v>42.35</v>
      </c>
      <c r="C3686" s="37">
        <f t="shared" si="120"/>
        <v>7.0583333333333336</v>
      </c>
      <c r="D3686" s="37">
        <v>34.265000000000001</v>
      </c>
      <c r="E3686" s="33">
        <f t="shared" si="121"/>
        <v>0</v>
      </c>
    </row>
    <row r="3687" spans="1:5" x14ac:dyDescent="0.25">
      <c r="A3687" s="41">
        <v>43619</v>
      </c>
      <c r="B3687" s="29">
        <v>42.35</v>
      </c>
      <c r="C3687" s="37">
        <f t="shared" si="120"/>
        <v>7.0583333333333336</v>
      </c>
      <c r="D3687" s="37">
        <v>34.265000000000001</v>
      </c>
      <c r="E3687" s="33">
        <f t="shared" si="121"/>
        <v>0</v>
      </c>
    </row>
    <row r="3688" spans="1:5" x14ac:dyDescent="0.25">
      <c r="A3688" s="41">
        <v>43619</v>
      </c>
      <c r="B3688" s="29">
        <v>42.35</v>
      </c>
      <c r="C3688" s="37">
        <f t="shared" si="120"/>
        <v>7.0583333333333336</v>
      </c>
      <c r="D3688" s="37">
        <v>34.265000000000001</v>
      </c>
      <c r="E3688" s="33">
        <f t="shared" si="121"/>
        <v>0</v>
      </c>
    </row>
    <row r="3689" spans="1:5" x14ac:dyDescent="0.25">
      <c r="A3689" s="41">
        <v>43619</v>
      </c>
      <c r="B3689" s="29">
        <v>42.35</v>
      </c>
      <c r="C3689" s="37">
        <f t="shared" si="120"/>
        <v>7.0583333333333336</v>
      </c>
      <c r="D3689" s="37">
        <v>34.265000000000001</v>
      </c>
      <c r="E3689" s="33">
        <f t="shared" si="121"/>
        <v>0</v>
      </c>
    </row>
    <row r="3690" spans="1:5" x14ac:dyDescent="0.25">
      <c r="A3690" s="41">
        <v>43619</v>
      </c>
      <c r="B3690" s="29">
        <v>42.35</v>
      </c>
      <c r="C3690" s="37">
        <f t="shared" si="120"/>
        <v>7.0583333333333336</v>
      </c>
      <c r="D3690" s="37">
        <v>34.265000000000001</v>
      </c>
      <c r="E3690" s="33">
        <f t="shared" si="121"/>
        <v>0</v>
      </c>
    </row>
    <row r="3691" spans="1:5" x14ac:dyDescent="0.25">
      <c r="A3691" s="41">
        <v>43619</v>
      </c>
      <c r="B3691" s="29">
        <v>42.35</v>
      </c>
      <c r="C3691" s="37">
        <f t="shared" si="120"/>
        <v>7.0583333333333336</v>
      </c>
      <c r="D3691" s="37">
        <v>34.265000000000001</v>
      </c>
      <c r="E3691" s="33">
        <f t="shared" si="121"/>
        <v>0</v>
      </c>
    </row>
    <row r="3692" spans="1:5" x14ac:dyDescent="0.25">
      <c r="A3692" s="41">
        <v>43619</v>
      </c>
      <c r="B3692" s="29">
        <v>42.35</v>
      </c>
      <c r="C3692" s="37">
        <f t="shared" si="120"/>
        <v>7.0583333333333336</v>
      </c>
      <c r="D3692" s="37">
        <v>34.265000000000001</v>
      </c>
      <c r="E3692" s="33">
        <f t="shared" si="121"/>
        <v>0</v>
      </c>
    </row>
    <row r="3693" spans="1:5" x14ac:dyDescent="0.25">
      <c r="A3693" s="41">
        <v>43619</v>
      </c>
      <c r="B3693" s="29">
        <v>42.35</v>
      </c>
      <c r="C3693" s="37">
        <f t="shared" si="120"/>
        <v>7.0583333333333336</v>
      </c>
      <c r="D3693" s="37">
        <v>34.265000000000001</v>
      </c>
      <c r="E3693" s="33">
        <f t="shared" si="121"/>
        <v>0</v>
      </c>
    </row>
    <row r="3694" spans="1:5" x14ac:dyDescent="0.25">
      <c r="A3694" s="41">
        <v>43619</v>
      </c>
      <c r="B3694" s="29">
        <v>42.35</v>
      </c>
      <c r="C3694" s="37">
        <f t="shared" si="120"/>
        <v>7.0583333333333336</v>
      </c>
      <c r="D3694" s="37">
        <v>34.265000000000001</v>
      </c>
      <c r="E3694" s="33">
        <f t="shared" si="121"/>
        <v>0</v>
      </c>
    </row>
    <row r="3695" spans="1:5" x14ac:dyDescent="0.25">
      <c r="A3695" s="41">
        <v>43619</v>
      </c>
      <c r="B3695" s="29">
        <v>42.35</v>
      </c>
      <c r="C3695" s="37">
        <f t="shared" si="120"/>
        <v>7.0583333333333336</v>
      </c>
      <c r="D3695" s="37">
        <v>34.265000000000001</v>
      </c>
      <c r="E3695" s="33">
        <f t="shared" si="121"/>
        <v>0</v>
      </c>
    </row>
    <row r="3696" spans="1:5" x14ac:dyDescent="0.25">
      <c r="A3696" s="41">
        <v>43619</v>
      </c>
      <c r="B3696" s="29">
        <v>42.35</v>
      </c>
      <c r="C3696" s="37">
        <f t="shared" si="120"/>
        <v>7.0583333333333336</v>
      </c>
      <c r="D3696" s="37">
        <v>34.265000000000001</v>
      </c>
      <c r="E3696" s="33">
        <f t="shared" si="121"/>
        <v>0</v>
      </c>
    </row>
    <row r="3697" spans="1:5" x14ac:dyDescent="0.25">
      <c r="A3697" s="41">
        <v>43619</v>
      </c>
      <c r="B3697" s="29">
        <v>42.35</v>
      </c>
      <c r="C3697" s="37">
        <f t="shared" si="120"/>
        <v>7.0583333333333336</v>
      </c>
      <c r="D3697" s="37">
        <v>34.265000000000001</v>
      </c>
      <c r="E3697" s="33">
        <f t="shared" si="121"/>
        <v>0</v>
      </c>
    </row>
    <row r="3698" spans="1:5" x14ac:dyDescent="0.25">
      <c r="A3698" s="41">
        <v>43620</v>
      </c>
      <c r="B3698" s="29">
        <v>42.35</v>
      </c>
      <c r="C3698" s="37">
        <f t="shared" si="120"/>
        <v>7.0583333333333336</v>
      </c>
      <c r="D3698" s="37">
        <v>29.021000000000001</v>
      </c>
      <c r="E3698" s="33">
        <f t="shared" si="121"/>
        <v>0</v>
      </c>
    </row>
    <row r="3699" spans="1:5" x14ac:dyDescent="0.25">
      <c r="A3699" s="41">
        <v>43620</v>
      </c>
      <c r="B3699" s="29">
        <v>42.35</v>
      </c>
      <c r="C3699" s="37">
        <f t="shared" si="120"/>
        <v>7.0583333333333336</v>
      </c>
      <c r="D3699" s="37">
        <v>29.021000000000001</v>
      </c>
      <c r="E3699" s="33">
        <f t="shared" si="121"/>
        <v>0</v>
      </c>
    </row>
    <row r="3700" spans="1:5" x14ac:dyDescent="0.25">
      <c r="A3700" s="41">
        <v>43620</v>
      </c>
      <c r="B3700" s="29">
        <v>42.35</v>
      </c>
      <c r="C3700" s="37">
        <f t="shared" si="120"/>
        <v>7.0583333333333336</v>
      </c>
      <c r="D3700" s="37">
        <v>29.021000000000001</v>
      </c>
      <c r="E3700" s="33">
        <f t="shared" si="121"/>
        <v>0</v>
      </c>
    </row>
    <row r="3701" spans="1:5" x14ac:dyDescent="0.25">
      <c r="A3701" s="41">
        <v>43620</v>
      </c>
      <c r="B3701" s="29">
        <v>42.35</v>
      </c>
      <c r="C3701" s="37">
        <f t="shared" si="120"/>
        <v>7.0583333333333336</v>
      </c>
      <c r="D3701" s="37">
        <v>29.021000000000001</v>
      </c>
      <c r="E3701" s="33">
        <f t="shared" si="121"/>
        <v>0</v>
      </c>
    </row>
    <row r="3702" spans="1:5" x14ac:dyDescent="0.25">
      <c r="A3702" s="41">
        <v>43620</v>
      </c>
      <c r="B3702" s="29">
        <v>42.35</v>
      </c>
      <c r="C3702" s="37">
        <f t="shared" si="120"/>
        <v>7.0583333333333336</v>
      </c>
      <c r="D3702" s="37">
        <v>29.021000000000001</v>
      </c>
      <c r="E3702" s="33">
        <f t="shared" si="121"/>
        <v>0</v>
      </c>
    </row>
    <row r="3703" spans="1:5" x14ac:dyDescent="0.25">
      <c r="A3703" s="41">
        <v>43620</v>
      </c>
      <c r="B3703" s="29">
        <v>42.35</v>
      </c>
      <c r="C3703" s="37">
        <f t="shared" si="120"/>
        <v>7.0583333333333336</v>
      </c>
      <c r="D3703" s="37">
        <v>29.021000000000001</v>
      </c>
      <c r="E3703" s="33">
        <f t="shared" si="121"/>
        <v>0</v>
      </c>
    </row>
    <row r="3704" spans="1:5" x14ac:dyDescent="0.25">
      <c r="A3704" s="41">
        <v>43620</v>
      </c>
      <c r="B3704" s="29">
        <v>42.35</v>
      </c>
      <c r="C3704" s="37">
        <f t="shared" si="120"/>
        <v>7.0583333333333336</v>
      </c>
      <c r="D3704" s="37">
        <v>29.021000000000001</v>
      </c>
      <c r="E3704" s="33">
        <f t="shared" si="121"/>
        <v>0</v>
      </c>
    </row>
    <row r="3705" spans="1:5" x14ac:dyDescent="0.25">
      <c r="A3705" s="41">
        <v>43620</v>
      </c>
      <c r="B3705" s="29">
        <v>42.35</v>
      </c>
      <c r="C3705" s="37">
        <f t="shared" si="120"/>
        <v>7.0583333333333336</v>
      </c>
      <c r="D3705" s="37">
        <v>29.021000000000001</v>
      </c>
      <c r="E3705" s="33">
        <f t="shared" si="121"/>
        <v>0</v>
      </c>
    </row>
    <row r="3706" spans="1:5" x14ac:dyDescent="0.25">
      <c r="A3706" s="41">
        <v>43620</v>
      </c>
      <c r="B3706" s="29">
        <v>42.35</v>
      </c>
      <c r="C3706" s="37">
        <f t="shared" si="120"/>
        <v>7.0583333333333336</v>
      </c>
      <c r="D3706" s="37">
        <v>29.021000000000001</v>
      </c>
      <c r="E3706" s="33">
        <f t="shared" si="121"/>
        <v>0</v>
      </c>
    </row>
    <row r="3707" spans="1:5" x14ac:dyDescent="0.25">
      <c r="A3707" s="41">
        <v>43620</v>
      </c>
      <c r="B3707" s="29">
        <v>42.35</v>
      </c>
      <c r="C3707" s="37">
        <f t="shared" si="120"/>
        <v>7.0583333333333336</v>
      </c>
      <c r="D3707" s="37">
        <v>29.021000000000001</v>
      </c>
      <c r="E3707" s="33">
        <f t="shared" si="121"/>
        <v>0</v>
      </c>
    </row>
    <row r="3708" spans="1:5" x14ac:dyDescent="0.25">
      <c r="A3708" s="41">
        <v>43620</v>
      </c>
      <c r="B3708" s="29">
        <v>42.35</v>
      </c>
      <c r="C3708" s="37">
        <f t="shared" si="120"/>
        <v>7.0583333333333336</v>
      </c>
      <c r="D3708" s="37">
        <v>29.021000000000001</v>
      </c>
      <c r="E3708" s="33">
        <f t="shared" si="121"/>
        <v>0</v>
      </c>
    </row>
    <row r="3709" spans="1:5" x14ac:dyDescent="0.25">
      <c r="A3709" s="41">
        <v>43620</v>
      </c>
      <c r="B3709" s="29">
        <v>42.35</v>
      </c>
      <c r="C3709" s="37">
        <f t="shared" si="120"/>
        <v>7.0583333333333336</v>
      </c>
      <c r="D3709" s="37">
        <v>29.021000000000001</v>
      </c>
      <c r="E3709" s="33">
        <f t="shared" si="121"/>
        <v>0</v>
      </c>
    </row>
    <row r="3710" spans="1:5" x14ac:dyDescent="0.25">
      <c r="A3710" s="41">
        <v>43620</v>
      </c>
      <c r="B3710" s="29">
        <v>42.35</v>
      </c>
      <c r="C3710" s="37">
        <f t="shared" si="120"/>
        <v>7.0583333333333336</v>
      </c>
      <c r="D3710" s="37">
        <v>29.021000000000001</v>
      </c>
      <c r="E3710" s="33">
        <f t="shared" si="121"/>
        <v>0</v>
      </c>
    </row>
    <row r="3711" spans="1:5" x14ac:dyDescent="0.25">
      <c r="A3711" s="41">
        <v>43620</v>
      </c>
      <c r="B3711" s="29">
        <v>42.35</v>
      </c>
      <c r="C3711" s="37">
        <f t="shared" si="120"/>
        <v>7.0583333333333336</v>
      </c>
      <c r="D3711" s="37">
        <v>29.021000000000001</v>
      </c>
      <c r="E3711" s="33">
        <f t="shared" si="121"/>
        <v>0</v>
      </c>
    </row>
    <row r="3712" spans="1:5" x14ac:dyDescent="0.25">
      <c r="A3712" s="41">
        <v>43620</v>
      </c>
      <c r="B3712" s="29">
        <v>42.35</v>
      </c>
      <c r="C3712" s="37">
        <f t="shared" si="120"/>
        <v>7.0583333333333336</v>
      </c>
      <c r="D3712" s="37">
        <v>29.021000000000001</v>
      </c>
      <c r="E3712" s="33">
        <f t="shared" si="121"/>
        <v>0</v>
      </c>
    </row>
    <row r="3713" spans="1:5" x14ac:dyDescent="0.25">
      <c r="A3713" s="41">
        <v>43620</v>
      </c>
      <c r="B3713" s="29">
        <v>42.35</v>
      </c>
      <c r="C3713" s="37">
        <f t="shared" si="120"/>
        <v>7.0583333333333336</v>
      </c>
      <c r="D3713" s="37">
        <v>29.021000000000001</v>
      </c>
      <c r="E3713" s="33">
        <f t="shared" si="121"/>
        <v>0</v>
      </c>
    </row>
    <row r="3714" spans="1:5" x14ac:dyDescent="0.25">
      <c r="A3714" s="41">
        <v>43620</v>
      </c>
      <c r="B3714" s="29">
        <v>42.35</v>
      </c>
      <c r="C3714" s="37">
        <f t="shared" si="120"/>
        <v>7.0583333333333336</v>
      </c>
      <c r="D3714" s="37">
        <v>29.021000000000001</v>
      </c>
      <c r="E3714" s="33">
        <f t="shared" si="121"/>
        <v>0</v>
      </c>
    </row>
    <row r="3715" spans="1:5" x14ac:dyDescent="0.25">
      <c r="A3715" s="41">
        <v>43620</v>
      </c>
      <c r="B3715" s="29">
        <v>42.35</v>
      </c>
      <c r="C3715" s="37">
        <f t="shared" ref="C3715:C3778" si="122">(B3715*100/600)</f>
        <v>7.0583333333333336</v>
      </c>
      <c r="D3715" s="37">
        <v>29.021000000000001</v>
      </c>
      <c r="E3715" s="33">
        <f t="shared" si="121"/>
        <v>0</v>
      </c>
    </row>
    <row r="3716" spans="1:5" x14ac:dyDescent="0.25">
      <c r="A3716" s="41">
        <v>43620</v>
      </c>
      <c r="B3716" s="29">
        <v>42.35</v>
      </c>
      <c r="C3716" s="37">
        <f t="shared" si="122"/>
        <v>7.0583333333333336</v>
      </c>
      <c r="D3716" s="37">
        <v>29.021000000000001</v>
      </c>
      <c r="E3716" s="33">
        <f t="shared" ref="E3716:E3779" si="123">(B3716-B3715)/B3715</f>
        <v>0</v>
      </c>
    </row>
    <row r="3717" spans="1:5" x14ac:dyDescent="0.25">
      <c r="A3717" s="41">
        <v>43620</v>
      </c>
      <c r="B3717" s="29">
        <v>42.35</v>
      </c>
      <c r="C3717" s="37">
        <f t="shared" si="122"/>
        <v>7.0583333333333336</v>
      </c>
      <c r="D3717" s="37">
        <v>29.021000000000001</v>
      </c>
      <c r="E3717" s="33">
        <f t="shared" si="123"/>
        <v>0</v>
      </c>
    </row>
    <row r="3718" spans="1:5" x14ac:dyDescent="0.25">
      <c r="A3718" s="41">
        <v>43620</v>
      </c>
      <c r="B3718" s="29">
        <v>42.35</v>
      </c>
      <c r="C3718" s="37">
        <f t="shared" si="122"/>
        <v>7.0583333333333336</v>
      </c>
      <c r="D3718" s="37">
        <v>29.021000000000001</v>
      </c>
      <c r="E3718" s="33">
        <f t="shared" si="123"/>
        <v>0</v>
      </c>
    </row>
    <row r="3719" spans="1:5" x14ac:dyDescent="0.25">
      <c r="A3719" s="41">
        <v>43620</v>
      </c>
      <c r="B3719" s="29">
        <v>42.35</v>
      </c>
      <c r="C3719" s="37">
        <f t="shared" si="122"/>
        <v>7.0583333333333336</v>
      </c>
      <c r="D3719" s="37">
        <v>29.021000000000001</v>
      </c>
      <c r="E3719" s="33">
        <f t="shared" si="123"/>
        <v>0</v>
      </c>
    </row>
    <row r="3720" spans="1:5" x14ac:dyDescent="0.25">
      <c r="A3720" s="41">
        <v>43620</v>
      </c>
      <c r="B3720" s="29">
        <v>42.35</v>
      </c>
      <c r="C3720" s="37">
        <f t="shared" si="122"/>
        <v>7.0583333333333336</v>
      </c>
      <c r="D3720" s="37">
        <v>29.021000000000001</v>
      </c>
      <c r="E3720" s="33">
        <f t="shared" si="123"/>
        <v>0</v>
      </c>
    </row>
    <row r="3721" spans="1:5" x14ac:dyDescent="0.25">
      <c r="A3721" s="41">
        <v>43620</v>
      </c>
      <c r="B3721" s="29">
        <v>42.35</v>
      </c>
      <c r="C3721" s="37">
        <f t="shared" si="122"/>
        <v>7.0583333333333336</v>
      </c>
      <c r="D3721" s="37">
        <v>29.021000000000001</v>
      </c>
      <c r="E3721" s="33">
        <f t="shared" si="123"/>
        <v>0</v>
      </c>
    </row>
    <row r="3722" spans="1:5" x14ac:dyDescent="0.25">
      <c r="A3722" s="41">
        <v>43621</v>
      </c>
      <c r="B3722" s="29">
        <v>42.35</v>
      </c>
      <c r="C3722" s="37">
        <f t="shared" si="122"/>
        <v>7.0583333333333336</v>
      </c>
      <c r="D3722" s="37">
        <v>25.355</v>
      </c>
      <c r="E3722" s="33">
        <f t="shared" si="123"/>
        <v>0</v>
      </c>
    </row>
    <row r="3723" spans="1:5" x14ac:dyDescent="0.25">
      <c r="A3723" s="41">
        <v>43621</v>
      </c>
      <c r="B3723" s="29">
        <v>42.35</v>
      </c>
      <c r="C3723" s="37">
        <f t="shared" si="122"/>
        <v>7.0583333333333336</v>
      </c>
      <c r="D3723" s="37">
        <v>25.355</v>
      </c>
      <c r="E3723" s="33">
        <f t="shared" si="123"/>
        <v>0</v>
      </c>
    </row>
    <row r="3724" spans="1:5" x14ac:dyDescent="0.25">
      <c r="A3724" s="41">
        <v>43621</v>
      </c>
      <c r="B3724" s="29">
        <v>42.35</v>
      </c>
      <c r="C3724" s="37">
        <f t="shared" si="122"/>
        <v>7.0583333333333336</v>
      </c>
      <c r="D3724" s="37">
        <v>25.355</v>
      </c>
      <c r="E3724" s="33">
        <f t="shared" si="123"/>
        <v>0</v>
      </c>
    </row>
    <row r="3725" spans="1:5" x14ac:dyDescent="0.25">
      <c r="A3725" s="41">
        <v>43621</v>
      </c>
      <c r="B3725" s="29">
        <v>42.35</v>
      </c>
      <c r="C3725" s="37">
        <f t="shared" si="122"/>
        <v>7.0583333333333336</v>
      </c>
      <c r="D3725" s="37">
        <v>25.355</v>
      </c>
      <c r="E3725" s="33">
        <f t="shared" si="123"/>
        <v>0</v>
      </c>
    </row>
    <row r="3726" spans="1:5" x14ac:dyDescent="0.25">
      <c r="A3726" s="41">
        <v>43621</v>
      </c>
      <c r="B3726" s="29">
        <v>42.35</v>
      </c>
      <c r="C3726" s="37">
        <f t="shared" si="122"/>
        <v>7.0583333333333336</v>
      </c>
      <c r="D3726" s="37">
        <v>25.355</v>
      </c>
      <c r="E3726" s="33">
        <f t="shared" si="123"/>
        <v>0</v>
      </c>
    </row>
    <row r="3727" spans="1:5" x14ac:dyDescent="0.25">
      <c r="A3727" s="41">
        <v>43621</v>
      </c>
      <c r="B3727" s="29">
        <v>42.35</v>
      </c>
      <c r="C3727" s="37">
        <f t="shared" si="122"/>
        <v>7.0583333333333336</v>
      </c>
      <c r="D3727" s="37">
        <v>25.355</v>
      </c>
      <c r="E3727" s="33">
        <f t="shared" si="123"/>
        <v>0</v>
      </c>
    </row>
    <row r="3728" spans="1:5" x14ac:dyDescent="0.25">
      <c r="A3728" s="41">
        <v>43621</v>
      </c>
      <c r="B3728" s="29">
        <v>42.35</v>
      </c>
      <c r="C3728" s="37">
        <f t="shared" si="122"/>
        <v>7.0583333333333336</v>
      </c>
      <c r="D3728" s="37">
        <v>25.355</v>
      </c>
      <c r="E3728" s="33">
        <f t="shared" si="123"/>
        <v>0</v>
      </c>
    </row>
    <row r="3729" spans="1:5" x14ac:dyDescent="0.25">
      <c r="A3729" s="41">
        <v>43621</v>
      </c>
      <c r="B3729" s="29">
        <v>42.35</v>
      </c>
      <c r="C3729" s="37">
        <f t="shared" si="122"/>
        <v>7.0583333333333336</v>
      </c>
      <c r="D3729" s="37">
        <v>25.355</v>
      </c>
      <c r="E3729" s="33">
        <f t="shared" si="123"/>
        <v>0</v>
      </c>
    </row>
    <row r="3730" spans="1:5" x14ac:dyDescent="0.25">
      <c r="A3730" s="41">
        <v>43621</v>
      </c>
      <c r="B3730" s="29">
        <v>42.35</v>
      </c>
      <c r="C3730" s="37">
        <f t="shared" si="122"/>
        <v>7.0583333333333336</v>
      </c>
      <c r="D3730" s="37">
        <v>25.355</v>
      </c>
      <c r="E3730" s="33">
        <f t="shared" si="123"/>
        <v>0</v>
      </c>
    </row>
    <row r="3731" spans="1:5" x14ac:dyDescent="0.25">
      <c r="A3731" s="41">
        <v>43621</v>
      </c>
      <c r="B3731" s="29">
        <v>42.35</v>
      </c>
      <c r="C3731" s="37">
        <f t="shared" si="122"/>
        <v>7.0583333333333336</v>
      </c>
      <c r="D3731" s="37">
        <v>25.355</v>
      </c>
      <c r="E3731" s="33">
        <f t="shared" si="123"/>
        <v>0</v>
      </c>
    </row>
    <row r="3732" spans="1:5" x14ac:dyDescent="0.25">
      <c r="A3732" s="41">
        <v>43621</v>
      </c>
      <c r="B3732" s="29">
        <v>42.35</v>
      </c>
      <c r="C3732" s="37">
        <f t="shared" si="122"/>
        <v>7.0583333333333336</v>
      </c>
      <c r="D3732" s="37">
        <v>25.355</v>
      </c>
      <c r="E3732" s="33">
        <f t="shared" si="123"/>
        <v>0</v>
      </c>
    </row>
    <row r="3733" spans="1:5" x14ac:dyDescent="0.25">
      <c r="A3733" s="41">
        <v>43621</v>
      </c>
      <c r="B3733" s="29">
        <v>42.35</v>
      </c>
      <c r="C3733" s="37">
        <f t="shared" si="122"/>
        <v>7.0583333333333336</v>
      </c>
      <c r="D3733" s="37">
        <v>25.355</v>
      </c>
      <c r="E3733" s="33">
        <f t="shared" si="123"/>
        <v>0</v>
      </c>
    </row>
    <row r="3734" spans="1:5" x14ac:dyDescent="0.25">
      <c r="A3734" s="41">
        <v>43621</v>
      </c>
      <c r="B3734" s="29">
        <v>42.35</v>
      </c>
      <c r="C3734" s="37">
        <f t="shared" si="122"/>
        <v>7.0583333333333336</v>
      </c>
      <c r="D3734" s="37">
        <v>25.355</v>
      </c>
      <c r="E3734" s="33">
        <f t="shared" si="123"/>
        <v>0</v>
      </c>
    </row>
    <row r="3735" spans="1:5" x14ac:dyDescent="0.25">
      <c r="A3735" s="41">
        <v>43621</v>
      </c>
      <c r="B3735" s="29">
        <v>42.35</v>
      </c>
      <c r="C3735" s="37">
        <f t="shared" si="122"/>
        <v>7.0583333333333336</v>
      </c>
      <c r="D3735" s="37">
        <v>25.355</v>
      </c>
      <c r="E3735" s="33">
        <f t="shared" si="123"/>
        <v>0</v>
      </c>
    </row>
    <row r="3736" spans="1:5" x14ac:dyDescent="0.25">
      <c r="A3736" s="41">
        <v>43621</v>
      </c>
      <c r="B3736" s="29">
        <v>42.35</v>
      </c>
      <c r="C3736" s="37">
        <f t="shared" si="122"/>
        <v>7.0583333333333336</v>
      </c>
      <c r="D3736" s="37">
        <v>25.355</v>
      </c>
      <c r="E3736" s="33">
        <f t="shared" si="123"/>
        <v>0</v>
      </c>
    </row>
    <row r="3737" spans="1:5" x14ac:dyDescent="0.25">
      <c r="A3737" s="41">
        <v>43621</v>
      </c>
      <c r="B3737" s="29">
        <v>42.35</v>
      </c>
      <c r="C3737" s="37">
        <f t="shared" si="122"/>
        <v>7.0583333333333336</v>
      </c>
      <c r="D3737" s="37">
        <v>25.355</v>
      </c>
      <c r="E3737" s="33">
        <f t="shared" si="123"/>
        <v>0</v>
      </c>
    </row>
    <row r="3738" spans="1:5" x14ac:dyDescent="0.25">
      <c r="A3738" s="41">
        <v>43621</v>
      </c>
      <c r="B3738" s="29">
        <v>42.35</v>
      </c>
      <c r="C3738" s="37">
        <f t="shared" si="122"/>
        <v>7.0583333333333336</v>
      </c>
      <c r="D3738" s="37">
        <v>25.355</v>
      </c>
      <c r="E3738" s="33">
        <f t="shared" si="123"/>
        <v>0</v>
      </c>
    </row>
    <row r="3739" spans="1:5" x14ac:dyDescent="0.25">
      <c r="A3739" s="41">
        <v>43621</v>
      </c>
      <c r="B3739" s="29">
        <v>42.35</v>
      </c>
      <c r="C3739" s="37">
        <f t="shared" si="122"/>
        <v>7.0583333333333336</v>
      </c>
      <c r="D3739" s="37">
        <v>25.355</v>
      </c>
      <c r="E3739" s="33">
        <f t="shared" si="123"/>
        <v>0</v>
      </c>
    </row>
    <row r="3740" spans="1:5" x14ac:dyDescent="0.25">
      <c r="A3740" s="41">
        <v>43621</v>
      </c>
      <c r="B3740" s="29">
        <v>42.35</v>
      </c>
      <c r="C3740" s="37">
        <f t="shared" si="122"/>
        <v>7.0583333333333336</v>
      </c>
      <c r="D3740" s="37">
        <v>25.355</v>
      </c>
      <c r="E3740" s="33">
        <f t="shared" si="123"/>
        <v>0</v>
      </c>
    </row>
    <row r="3741" spans="1:5" x14ac:dyDescent="0.25">
      <c r="A3741" s="41">
        <v>43621</v>
      </c>
      <c r="B3741" s="29">
        <v>42.35</v>
      </c>
      <c r="C3741" s="37">
        <f t="shared" si="122"/>
        <v>7.0583333333333336</v>
      </c>
      <c r="D3741" s="37">
        <v>25.355</v>
      </c>
      <c r="E3741" s="33">
        <f t="shared" si="123"/>
        <v>0</v>
      </c>
    </row>
    <row r="3742" spans="1:5" x14ac:dyDescent="0.25">
      <c r="A3742" s="41">
        <v>43621</v>
      </c>
      <c r="B3742" s="29">
        <v>42.35</v>
      </c>
      <c r="C3742" s="37">
        <f t="shared" si="122"/>
        <v>7.0583333333333336</v>
      </c>
      <c r="D3742" s="37">
        <v>25.355</v>
      </c>
      <c r="E3742" s="33">
        <f t="shared" si="123"/>
        <v>0</v>
      </c>
    </row>
    <row r="3743" spans="1:5" x14ac:dyDescent="0.25">
      <c r="A3743" s="41">
        <v>43621</v>
      </c>
      <c r="B3743" s="29">
        <v>42.35</v>
      </c>
      <c r="C3743" s="37">
        <f t="shared" si="122"/>
        <v>7.0583333333333336</v>
      </c>
      <c r="D3743" s="37">
        <v>25.355</v>
      </c>
      <c r="E3743" s="33">
        <f t="shared" si="123"/>
        <v>0</v>
      </c>
    </row>
    <row r="3744" spans="1:5" x14ac:dyDescent="0.25">
      <c r="A3744" s="41">
        <v>43621</v>
      </c>
      <c r="B3744" s="29">
        <v>42.35</v>
      </c>
      <c r="C3744" s="37">
        <f t="shared" si="122"/>
        <v>7.0583333333333336</v>
      </c>
      <c r="D3744" s="37">
        <v>25.355</v>
      </c>
      <c r="E3744" s="33">
        <f t="shared" si="123"/>
        <v>0</v>
      </c>
    </row>
    <row r="3745" spans="1:5" x14ac:dyDescent="0.25">
      <c r="A3745" s="41">
        <v>43621</v>
      </c>
      <c r="B3745" s="29">
        <v>42.35</v>
      </c>
      <c r="C3745" s="37">
        <f t="shared" si="122"/>
        <v>7.0583333333333336</v>
      </c>
      <c r="D3745" s="37">
        <v>25.355</v>
      </c>
      <c r="E3745" s="33">
        <f t="shared" si="123"/>
        <v>0</v>
      </c>
    </row>
    <row r="3746" spans="1:5" x14ac:dyDescent="0.25">
      <c r="A3746" s="41">
        <v>43622</v>
      </c>
      <c r="B3746" s="29">
        <v>42.35</v>
      </c>
      <c r="C3746" s="37">
        <f t="shared" si="122"/>
        <v>7.0583333333333336</v>
      </c>
      <c r="D3746" s="37">
        <v>22.725999999999999</v>
      </c>
      <c r="E3746" s="33">
        <f t="shared" si="123"/>
        <v>0</v>
      </c>
    </row>
    <row r="3747" spans="1:5" x14ac:dyDescent="0.25">
      <c r="A3747" s="41">
        <v>43622</v>
      </c>
      <c r="B3747" s="29">
        <v>42.35</v>
      </c>
      <c r="C3747" s="37">
        <f t="shared" si="122"/>
        <v>7.0583333333333336</v>
      </c>
      <c r="D3747" s="37">
        <v>22.725999999999999</v>
      </c>
      <c r="E3747" s="33">
        <f t="shared" si="123"/>
        <v>0</v>
      </c>
    </row>
    <row r="3748" spans="1:5" x14ac:dyDescent="0.25">
      <c r="A3748" s="41">
        <v>43622</v>
      </c>
      <c r="B3748" s="29">
        <v>42.35</v>
      </c>
      <c r="C3748" s="37">
        <f t="shared" si="122"/>
        <v>7.0583333333333336</v>
      </c>
      <c r="D3748" s="37">
        <v>22.725999999999999</v>
      </c>
      <c r="E3748" s="33">
        <f t="shared" si="123"/>
        <v>0</v>
      </c>
    </row>
    <row r="3749" spans="1:5" x14ac:dyDescent="0.25">
      <c r="A3749" s="41">
        <v>43622</v>
      </c>
      <c r="B3749" s="29">
        <v>42.35</v>
      </c>
      <c r="C3749" s="37">
        <f t="shared" si="122"/>
        <v>7.0583333333333336</v>
      </c>
      <c r="D3749" s="37">
        <v>22.725999999999999</v>
      </c>
      <c r="E3749" s="33">
        <f t="shared" si="123"/>
        <v>0</v>
      </c>
    </row>
    <row r="3750" spans="1:5" x14ac:dyDescent="0.25">
      <c r="A3750" s="41">
        <v>43622</v>
      </c>
      <c r="B3750" s="29">
        <v>42.35</v>
      </c>
      <c r="C3750" s="37">
        <f t="shared" si="122"/>
        <v>7.0583333333333336</v>
      </c>
      <c r="D3750" s="37">
        <v>22.725999999999999</v>
      </c>
      <c r="E3750" s="33">
        <f t="shared" si="123"/>
        <v>0</v>
      </c>
    </row>
    <row r="3751" spans="1:5" x14ac:dyDescent="0.25">
      <c r="A3751" s="41">
        <v>43622</v>
      </c>
      <c r="B3751" s="29">
        <v>42.35</v>
      </c>
      <c r="C3751" s="37">
        <f t="shared" si="122"/>
        <v>7.0583333333333336</v>
      </c>
      <c r="D3751" s="37">
        <v>22.725999999999999</v>
      </c>
      <c r="E3751" s="33">
        <f t="shared" si="123"/>
        <v>0</v>
      </c>
    </row>
    <row r="3752" spans="1:5" x14ac:dyDescent="0.25">
      <c r="A3752" s="41">
        <v>43622</v>
      </c>
      <c r="B3752" s="29">
        <v>42.35</v>
      </c>
      <c r="C3752" s="37">
        <f t="shared" si="122"/>
        <v>7.0583333333333336</v>
      </c>
      <c r="D3752" s="37">
        <v>22.725999999999999</v>
      </c>
      <c r="E3752" s="33">
        <f t="shared" si="123"/>
        <v>0</v>
      </c>
    </row>
    <row r="3753" spans="1:5" x14ac:dyDescent="0.25">
      <c r="A3753" s="41">
        <v>43622</v>
      </c>
      <c r="B3753" s="29">
        <v>42.35</v>
      </c>
      <c r="C3753" s="37">
        <f t="shared" si="122"/>
        <v>7.0583333333333336</v>
      </c>
      <c r="D3753" s="37">
        <v>22.725999999999999</v>
      </c>
      <c r="E3753" s="33">
        <f t="shared" si="123"/>
        <v>0</v>
      </c>
    </row>
    <row r="3754" spans="1:5" x14ac:dyDescent="0.25">
      <c r="A3754" s="41">
        <v>43622</v>
      </c>
      <c r="B3754" s="29">
        <v>42.35</v>
      </c>
      <c r="C3754" s="37">
        <f t="shared" si="122"/>
        <v>7.0583333333333336</v>
      </c>
      <c r="D3754" s="37">
        <v>22.725999999999999</v>
      </c>
      <c r="E3754" s="33">
        <f t="shared" si="123"/>
        <v>0</v>
      </c>
    </row>
    <row r="3755" spans="1:5" x14ac:dyDescent="0.25">
      <c r="A3755" s="41">
        <v>43622</v>
      </c>
      <c r="B3755" s="29">
        <v>42.35</v>
      </c>
      <c r="C3755" s="37">
        <f t="shared" si="122"/>
        <v>7.0583333333333336</v>
      </c>
      <c r="D3755" s="37">
        <v>22.725999999999999</v>
      </c>
      <c r="E3755" s="33">
        <f t="shared" si="123"/>
        <v>0</v>
      </c>
    </row>
    <row r="3756" spans="1:5" x14ac:dyDescent="0.25">
      <c r="A3756" s="41">
        <v>43622</v>
      </c>
      <c r="B3756" s="29">
        <v>42.35</v>
      </c>
      <c r="C3756" s="37">
        <f t="shared" si="122"/>
        <v>7.0583333333333336</v>
      </c>
      <c r="D3756" s="37">
        <v>22.725999999999999</v>
      </c>
      <c r="E3756" s="33">
        <f t="shared" si="123"/>
        <v>0</v>
      </c>
    </row>
    <row r="3757" spans="1:5" x14ac:dyDescent="0.25">
      <c r="A3757" s="41">
        <v>43622</v>
      </c>
      <c r="B3757" s="29">
        <v>42.35</v>
      </c>
      <c r="C3757" s="37">
        <f t="shared" si="122"/>
        <v>7.0583333333333336</v>
      </c>
      <c r="D3757" s="37">
        <v>22.725999999999999</v>
      </c>
      <c r="E3757" s="33">
        <f t="shared" si="123"/>
        <v>0</v>
      </c>
    </row>
    <row r="3758" spans="1:5" x14ac:dyDescent="0.25">
      <c r="A3758" s="41">
        <v>43622</v>
      </c>
      <c r="B3758" s="29">
        <v>42.35</v>
      </c>
      <c r="C3758" s="37">
        <f t="shared" si="122"/>
        <v>7.0583333333333336</v>
      </c>
      <c r="D3758" s="37">
        <v>22.725999999999999</v>
      </c>
      <c r="E3758" s="33">
        <f t="shared" si="123"/>
        <v>0</v>
      </c>
    </row>
    <row r="3759" spans="1:5" x14ac:dyDescent="0.25">
      <c r="A3759" s="41">
        <v>43622</v>
      </c>
      <c r="B3759" s="29">
        <v>42.35</v>
      </c>
      <c r="C3759" s="37">
        <f t="shared" si="122"/>
        <v>7.0583333333333336</v>
      </c>
      <c r="D3759" s="37">
        <v>22.725999999999999</v>
      </c>
      <c r="E3759" s="33">
        <f t="shared" si="123"/>
        <v>0</v>
      </c>
    </row>
    <row r="3760" spans="1:5" x14ac:dyDescent="0.25">
      <c r="A3760" s="41">
        <v>43622</v>
      </c>
      <c r="B3760" s="29">
        <v>42.35</v>
      </c>
      <c r="C3760" s="37">
        <f t="shared" si="122"/>
        <v>7.0583333333333336</v>
      </c>
      <c r="D3760" s="37">
        <v>22.725999999999999</v>
      </c>
      <c r="E3760" s="33">
        <f t="shared" si="123"/>
        <v>0</v>
      </c>
    </row>
    <row r="3761" spans="1:5" x14ac:dyDescent="0.25">
      <c r="A3761" s="41">
        <v>43622</v>
      </c>
      <c r="B3761" s="29">
        <v>42.35</v>
      </c>
      <c r="C3761" s="37">
        <f t="shared" si="122"/>
        <v>7.0583333333333336</v>
      </c>
      <c r="D3761" s="37">
        <v>22.725999999999999</v>
      </c>
      <c r="E3761" s="33">
        <f t="shared" si="123"/>
        <v>0</v>
      </c>
    </row>
    <row r="3762" spans="1:5" x14ac:dyDescent="0.25">
      <c r="A3762" s="41">
        <v>43622</v>
      </c>
      <c r="B3762" s="29">
        <v>42.35</v>
      </c>
      <c r="C3762" s="37">
        <f t="shared" si="122"/>
        <v>7.0583333333333336</v>
      </c>
      <c r="D3762" s="37">
        <v>22.725999999999999</v>
      </c>
      <c r="E3762" s="33">
        <f t="shared" si="123"/>
        <v>0</v>
      </c>
    </row>
    <row r="3763" spans="1:5" x14ac:dyDescent="0.25">
      <c r="A3763" s="41">
        <v>43622</v>
      </c>
      <c r="B3763" s="29">
        <v>42.35</v>
      </c>
      <c r="C3763" s="37">
        <f t="shared" si="122"/>
        <v>7.0583333333333336</v>
      </c>
      <c r="D3763" s="37">
        <v>22.725999999999999</v>
      </c>
      <c r="E3763" s="33">
        <f t="shared" si="123"/>
        <v>0</v>
      </c>
    </row>
    <row r="3764" spans="1:5" x14ac:dyDescent="0.25">
      <c r="A3764" s="41">
        <v>43622</v>
      </c>
      <c r="B3764" s="29">
        <v>42.35</v>
      </c>
      <c r="C3764" s="37">
        <f t="shared" si="122"/>
        <v>7.0583333333333336</v>
      </c>
      <c r="D3764" s="37">
        <v>22.725999999999999</v>
      </c>
      <c r="E3764" s="33">
        <f t="shared" si="123"/>
        <v>0</v>
      </c>
    </row>
    <row r="3765" spans="1:5" x14ac:dyDescent="0.25">
      <c r="A3765" s="41">
        <v>43622</v>
      </c>
      <c r="B3765" s="29">
        <v>42.35</v>
      </c>
      <c r="C3765" s="37">
        <f t="shared" si="122"/>
        <v>7.0583333333333336</v>
      </c>
      <c r="D3765" s="37">
        <v>22.725999999999999</v>
      </c>
      <c r="E3765" s="33">
        <f t="shared" si="123"/>
        <v>0</v>
      </c>
    </row>
    <row r="3766" spans="1:5" x14ac:dyDescent="0.25">
      <c r="A3766" s="41">
        <v>43622</v>
      </c>
      <c r="B3766" s="29">
        <v>42.35</v>
      </c>
      <c r="C3766" s="37">
        <f t="shared" si="122"/>
        <v>7.0583333333333336</v>
      </c>
      <c r="D3766" s="37">
        <v>22.725999999999999</v>
      </c>
      <c r="E3766" s="33">
        <f t="shared" si="123"/>
        <v>0</v>
      </c>
    </row>
    <row r="3767" spans="1:5" x14ac:dyDescent="0.25">
      <c r="A3767" s="41">
        <v>43622</v>
      </c>
      <c r="B3767" s="29">
        <v>42.35</v>
      </c>
      <c r="C3767" s="37">
        <f t="shared" si="122"/>
        <v>7.0583333333333336</v>
      </c>
      <c r="D3767" s="37">
        <v>22.725999999999999</v>
      </c>
      <c r="E3767" s="33">
        <f t="shared" si="123"/>
        <v>0</v>
      </c>
    </row>
    <row r="3768" spans="1:5" x14ac:dyDescent="0.25">
      <c r="A3768" s="41">
        <v>43622</v>
      </c>
      <c r="B3768" s="29">
        <v>42.35</v>
      </c>
      <c r="C3768" s="37">
        <f t="shared" si="122"/>
        <v>7.0583333333333336</v>
      </c>
      <c r="D3768" s="37">
        <v>22.725999999999999</v>
      </c>
      <c r="E3768" s="33">
        <f t="shared" si="123"/>
        <v>0</v>
      </c>
    </row>
    <row r="3769" spans="1:5" x14ac:dyDescent="0.25">
      <c r="A3769" s="41">
        <v>43622</v>
      </c>
      <c r="B3769" s="29">
        <v>42.35</v>
      </c>
      <c r="C3769" s="37">
        <f t="shared" si="122"/>
        <v>7.0583333333333336</v>
      </c>
      <c r="D3769" s="37">
        <v>22.725999999999999</v>
      </c>
      <c r="E3769" s="33">
        <f t="shared" si="123"/>
        <v>0</v>
      </c>
    </row>
    <row r="3770" spans="1:5" x14ac:dyDescent="0.25">
      <c r="A3770" s="41">
        <v>43623</v>
      </c>
      <c r="B3770" s="29">
        <v>42.35</v>
      </c>
      <c r="C3770" s="37">
        <f t="shared" si="122"/>
        <v>7.0583333333333336</v>
      </c>
      <c r="D3770" s="37">
        <v>21.164000000000001</v>
      </c>
      <c r="E3770" s="33">
        <f t="shared" si="123"/>
        <v>0</v>
      </c>
    </row>
    <row r="3771" spans="1:5" x14ac:dyDescent="0.25">
      <c r="A3771" s="41">
        <v>43623</v>
      </c>
      <c r="B3771" s="29">
        <v>42.35</v>
      </c>
      <c r="C3771" s="37">
        <f t="shared" si="122"/>
        <v>7.0583333333333336</v>
      </c>
      <c r="D3771" s="37">
        <v>21.164000000000001</v>
      </c>
      <c r="E3771" s="33">
        <f t="shared" si="123"/>
        <v>0</v>
      </c>
    </row>
    <row r="3772" spans="1:5" x14ac:dyDescent="0.25">
      <c r="A3772" s="41">
        <v>43623</v>
      </c>
      <c r="B3772" s="29">
        <v>42.35</v>
      </c>
      <c r="C3772" s="37">
        <f t="shared" si="122"/>
        <v>7.0583333333333336</v>
      </c>
      <c r="D3772" s="37">
        <v>21.164000000000001</v>
      </c>
      <c r="E3772" s="33">
        <f t="shared" si="123"/>
        <v>0</v>
      </c>
    </row>
    <row r="3773" spans="1:5" x14ac:dyDescent="0.25">
      <c r="A3773" s="41">
        <v>43623</v>
      </c>
      <c r="B3773" s="29">
        <v>42.35</v>
      </c>
      <c r="C3773" s="37">
        <f t="shared" si="122"/>
        <v>7.0583333333333336</v>
      </c>
      <c r="D3773" s="37">
        <v>21.164000000000001</v>
      </c>
      <c r="E3773" s="33">
        <f t="shared" si="123"/>
        <v>0</v>
      </c>
    </row>
    <row r="3774" spans="1:5" x14ac:dyDescent="0.25">
      <c r="A3774" s="41">
        <v>43623</v>
      </c>
      <c r="B3774" s="29">
        <v>42.35</v>
      </c>
      <c r="C3774" s="37">
        <f t="shared" si="122"/>
        <v>7.0583333333333336</v>
      </c>
      <c r="D3774" s="37">
        <v>21.164000000000001</v>
      </c>
      <c r="E3774" s="33">
        <f t="shared" si="123"/>
        <v>0</v>
      </c>
    </row>
    <row r="3775" spans="1:5" x14ac:dyDescent="0.25">
      <c r="A3775" s="41">
        <v>43623</v>
      </c>
      <c r="B3775" s="29">
        <v>42.35</v>
      </c>
      <c r="C3775" s="37">
        <f t="shared" si="122"/>
        <v>7.0583333333333336</v>
      </c>
      <c r="D3775" s="37">
        <v>21.164000000000001</v>
      </c>
      <c r="E3775" s="33">
        <f t="shared" si="123"/>
        <v>0</v>
      </c>
    </row>
    <row r="3776" spans="1:5" x14ac:dyDescent="0.25">
      <c r="A3776" s="41">
        <v>43623</v>
      </c>
      <c r="B3776" s="29">
        <v>42.35</v>
      </c>
      <c r="C3776" s="37">
        <f t="shared" si="122"/>
        <v>7.0583333333333336</v>
      </c>
      <c r="D3776" s="37">
        <v>21.164000000000001</v>
      </c>
      <c r="E3776" s="33">
        <f t="shared" si="123"/>
        <v>0</v>
      </c>
    </row>
    <row r="3777" spans="1:5" x14ac:dyDescent="0.25">
      <c r="A3777" s="41">
        <v>43623</v>
      </c>
      <c r="B3777" s="29">
        <v>42.35</v>
      </c>
      <c r="C3777" s="37">
        <f t="shared" si="122"/>
        <v>7.0583333333333336</v>
      </c>
      <c r="D3777" s="37">
        <v>21.164000000000001</v>
      </c>
      <c r="E3777" s="33">
        <f t="shared" si="123"/>
        <v>0</v>
      </c>
    </row>
    <row r="3778" spans="1:5" x14ac:dyDescent="0.25">
      <c r="A3778" s="41">
        <v>43623</v>
      </c>
      <c r="B3778" s="29">
        <v>42.35</v>
      </c>
      <c r="C3778" s="37">
        <f t="shared" si="122"/>
        <v>7.0583333333333336</v>
      </c>
      <c r="D3778" s="37">
        <v>21.164000000000001</v>
      </c>
      <c r="E3778" s="33">
        <f t="shared" si="123"/>
        <v>0</v>
      </c>
    </row>
    <row r="3779" spans="1:5" x14ac:dyDescent="0.25">
      <c r="A3779" s="41">
        <v>43623</v>
      </c>
      <c r="B3779" s="29">
        <v>42.35</v>
      </c>
      <c r="C3779" s="37">
        <f t="shared" ref="C3779:C3842" si="124">(B3779*100/600)</f>
        <v>7.0583333333333336</v>
      </c>
      <c r="D3779" s="37">
        <v>21.164000000000001</v>
      </c>
      <c r="E3779" s="33">
        <f t="shared" si="123"/>
        <v>0</v>
      </c>
    </row>
    <row r="3780" spans="1:5" x14ac:dyDescent="0.25">
      <c r="A3780" s="41">
        <v>43623</v>
      </c>
      <c r="B3780" s="29">
        <v>42.35</v>
      </c>
      <c r="C3780" s="37">
        <f t="shared" si="124"/>
        <v>7.0583333333333336</v>
      </c>
      <c r="D3780" s="37">
        <v>21.164000000000001</v>
      </c>
      <c r="E3780" s="33">
        <f t="shared" ref="E3780:E3843" si="125">(B3780-B3779)/B3779</f>
        <v>0</v>
      </c>
    </row>
    <row r="3781" spans="1:5" x14ac:dyDescent="0.25">
      <c r="A3781" s="41">
        <v>43623</v>
      </c>
      <c r="B3781" s="29">
        <v>42.35</v>
      </c>
      <c r="C3781" s="37">
        <f t="shared" si="124"/>
        <v>7.0583333333333336</v>
      </c>
      <c r="D3781" s="37">
        <v>21.164000000000001</v>
      </c>
      <c r="E3781" s="33">
        <f t="shared" si="125"/>
        <v>0</v>
      </c>
    </row>
    <row r="3782" spans="1:5" x14ac:dyDescent="0.25">
      <c r="A3782" s="41">
        <v>43623</v>
      </c>
      <c r="B3782" s="29">
        <v>42.35</v>
      </c>
      <c r="C3782" s="37">
        <f t="shared" si="124"/>
        <v>7.0583333333333336</v>
      </c>
      <c r="D3782" s="37">
        <v>21.164000000000001</v>
      </c>
      <c r="E3782" s="33">
        <f t="shared" si="125"/>
        <v>0</v>
      </c>
    </row>
    <row r="3783" spans="1:5" x14ac:dyDescent="0.25">
      <c r="A3783" s="41">
        <v>43623</v>
      </c>
      <c r="B3783" s="29">
        <v>42.35</v>
      </c>
      <c r="C3783" s="37">
        <f t="shared" si="124"/>
        <v>7.0583333333333336</v>
      </c>
      <c r="D3783" s="37">
        <v>21.164000000000001</v>
      </c>
      <c r="E3783" s="33">
        <f t="shared" si="125"/>
        <v>0</v>
      </c>
    </row>
    <row r="3784" spans="1:5" x14ac:dyDescent="0.25">
      <c r="A3784" s="41">
        <v>43623</v>
      </c>
      <c r="B3784" s="29">
        <v>42.35</v>
      </c>
      <c r="C3784" s="37">
        <f t="shared" si="124"/>
        <v>7.0583333333333336</v>
      </c>
      <c r="D3784" s="37">
        <v>21.164000000000001</v>
      </c>
      <c r="E3784" s="33">
        <f t="shared" si="125"/>
        <v>0</v>
      </c>
    </row>
    <row r="3785" spans="1:5" x14ac:dyDescent="0.25">
      <c r="A3785" s="41">
        <v>43623</v>
      </c>
      <c r="B3785" s="29">
        <v>42.35</v>
      </c>
      <c r="C3785" s="37">
        <f t="shared" si="124"/>
        <v>7.0583333333333336</v>
      </c>
      <c r="D3785" s="37">
        <v>21.164000000000001</v>
      </c>
      <c r="E3785" s="33">
        <f t="shared" si="125"/>
        <v>0</v>
      </c>
    </row>
    <row r="3786" spans="1:5" x14ac:dyDescent="0.25">
      <c r="A3786" s="41">
        <v>43623</v>
      </c>
      <c r="B3786" s="29">
        <v>42.35</v>
      </c>
      <c r="C3786" s="37">
        <f t="shared" si="124"/>
        <v>7.0583333333333336</v>
      </c>
      <c r="D3786" s="37">
        <v>21.164000000000001</v>
      </c>
      <c r="E3786" s="33">
        <f t="shared" si="125"/>
        <v>0</v>
      </c>
    </row>
    <row r="3787" spans="1:5" x14ac:dyDescent="0.25">
      <c r="A3787" s="41">
        <v>43623</v>
      </c>
      <c r="B3787" s="29">
        <v>42.35</v>
      </c>
      <c r="C3787" s="37">
        <f t="shared" si="124"/>
        <v>7.0583333333333336</v>
      </c>
      <c r="D3787" s="37">
        <v>21.164000000000001</v>
      </c>
      <c r="E3787" s="33">
        <f t="shared" si="125"/>
        <v>0</v>
      </c>
    </row>
    <row r="3788" spans="1:5" x14ac:dyDescent="0.25">
      <c r="A3788" s="41">
        <v>43623</v>
      </c>
      <c r="B3788" s="29">
        <v>42.35</v>
      </c>
      <c r="C3788" s="37">
        <f t="shared" si="124"/>
        <v>7.0583333333333336</v>
      </c>
      <c r="D3788" s="37">
        <v>21.164000000000001</v>
      </c>
      <c r="E3788" s="33">
        <f t="shared" si="125"/>
        <v>0</v>
      </c>
    </row>
    <row r="3789" spans="1:5" x14ac:dyDescent="0.25">
      <c r="A3789" s="41">
        <v>43623</v>
      </c>
      <c r="B3789" s="29">
        <v>42.35</v>
      </c>
      <c r="C3789" s="37">
        <f t="shared" si="124"/>
        <v>7.0583333333333336</v>
      </c>
      <c r="D3789" s="37">
        <v>21.164000000000001</v>
      </c>
      <c r="E3789" s="33">
        <f t="shared" si="125"/>
        <v>0</v>
      </c>
    </row>
    <row r="3790" spans="1:5" x14ac:dyDescent="0.25">
      <c r="A3790" s="41">
        <v>43623</v>
      </c>
      <c r="B3790" s="29">
        <v>42.35</v>
      </c>
      <c r="C3790" s="37">
        <f t="shared" si="124"/>
        <v>7.0583333333333336</v>
      </c>
      <c r="D3790" s="37">
        <v>21.164000000000001</v>
      </c>
      <c r="E3790" s="33">
        <f t="shared" si="125"/>
        <v>0</v>
      </c>
    </row>
    <row r="3791" spans="1:5" x14ac:dyDescent="0.25">
      <c r="A3791" s="41">
        <v>43623</v>
      </c>
      <c r="B3791" s="29">
        <v>42.35</v>
      </c>
      <c r="C3791" s="37">
        <f t="shared" si="124"/>
        <v>7.0583333333333336</v>
      </c>
      <c r="D3791" s="37">
        <v>21.164000000000001</v>
      </c>
      <c r="E3791" s="33">
        <f t="shared" si="125"/>
        <v>0</v>
      </c>
    </row>
    <row r="3792" spans="1:5" x14ac:dyDescent="0.25">
      <c r="A3792" s="41">
        <v>43623</v>
      </c>
      <c r="B3792" s="29">
        <v>42.35</v>
      </c>
      <c r="C3792" s="37">
        <f t="shared" si="124"/>
        <v>7.0583333333333336</v>
      </c>
      <c r="D3792" s="37">
        <v>21.164000000000001</v>
      </c>
      <c r="E3792" s="33">
        <f t="shared" si="125"/>
        <v>0</v>
      </c>
    </row>
    <row r="3793" spans="1:5" x14ac:dyDescent="0.25">
      <c r="A3793" s="41">
        <v>43623</v>
      </c>
      <c r="B3793" s="29">
        <v>42.35</v>
      </c>
      <c r="C3793" s="37">
        <f t="shared" si="124"/>
        <v>7.0583333333333336</v>
      </c>
      <c r="D3793" s="37">
        <v>21.164000000000001</v>
      </c>
      <c r="E3793" s="33">
        <f t="shared" si="125"/>
        <v>0</v>
      </c>
    </row>
    <row r="3794" spans="1:5" x14ac:dyDescent="0.25">
      <c r="A3794" s="41">
        <v>43624</v>
      </c>
      <c r="B3794" s="29">
        <v>42.35</v>
      </c>
      <c r="C3794" s="37">
        <f t="shared" si="124"/>
        <v>7.0583333333333336</v>
      </c>
      <c r="D3794" s="37">
        <v>20.052</v>
      </c>
      <c r="E3794" s="33">
        <f t="shared" si="125"/>
        <v>0</v>
      </c>
    </row>
    <row r="3795" spans="1:5" x14ac:dyDescent="0.25">
      <c r="A3795" s="41">
        <v>43624</v>
      </c>
      <c r="B3795" s="29">
        <v>42.35</v>
      </c>
      <c r="C3795" s="37">
        <f t="shared" si="124"/>
        <v>7.0583333333333336</v>
      </c>
      <c r="D3795" s="37">
        <v>20.052</v>
      </c>
      <c r="E3795" s="33">
        <f t="shared" si="125"/>
        <v>0</v>
      </c>
    </row>
    <row r="3796" spans="1:5" x14ac:dyDescent="0.25">
      <c r="A3796" s="41">
        <v>43624</v>
      </c>
      <c r="B3796" s="29">
        <v>42.35</v>
      </c>
      <c r="C3796" s="37">
        <f t="shared" si="124"/>
        <v>7.0583333333333336</v>
      </c>
      <c r="D3796" s="37">
        <v>20.052</v>
      </c>
      <c r="E3796" s="33">
        <f t="shared" si="125"/>
        <v>0</v>
      </c>
    </row>
    <row r="3797" spans="1:5" x14ac:dyDescent="0.25">
      <c r="A3797" s="41">
        <v>43624</v>
      </c>
      <c r="B3797" s="29">
        <v>42.35</v>
      </c>
      <c r="C3797" s="37">
        <f t="shared" si="124"/>
        <v>7.0583333333333336</v>
      </c>
      <c r="D3797" s="37">
        <v>20.052</v>
      </c>
      <c r="E3797" s="33">
        <f t="shared" si="125"/>
        <v>0</v>
      </c>
    </row>
    <row r="3798" spans="1:5" x14ac:dyDescent="0.25">
      <c r="A3798" s="41">
        <v>43624</v>
      </c>
      <c r="B3798" s="29">
        <v>42.35</v>
      </c>
      <c r="C3798" s="37">
        <f t="shared" si="124"/>
        <v>7.0583333333333336</v>
      </c>
      <c r="D3798" s="37">
        <v>20.052</v>
      </c>
      <c r="E3798" s="33">
        <f t="shared" si="125"/>
        <v>0</v>
      </c>
    </row>
    <row r="3799" spans="1:5" x14ac:dyDescent="0.25">
      <c r="A3799" s="41">
        <v>43624</v>
      </c>
      <c r="B3799" s="29">
        <v>42.35</v>
      </c>
      <c r="C3799" s="37">
        <f t="shared" si="124"/>
        <v>7.0583333333333336</v>
      </c>
      <c r="D3799" s="37">
        <v>20.052</v>
      </c>
      <c r="E3799" s="33">
        <f t="shared" si="125"/>
        <v>0</v>
      </c>
    </row>
    <row r="3800" spans="1:5" x14ac:dyDescent="0.25">
      <c r="A3800" s="41">
        <v>43624</v>
      </c>
      <c r="B3800" s="29">
        <v>42.35</v>
      </c>
      <c r="C3800" s="37">
        <f t="shared" si="124"/>
        <v>7.0583333333333336</v>
      </c>
      <c r="D3800" s="37">
        <v>20.052</v>
      </c>
      <c r="E3800" s="33">
        <f t="shared" si="125"/>
        <v>0</v>
      </c>
    </row>
    <row r="3801" spans="1:5" x14ac:dyDescent="0.25">
      <c r="A3801" s="41">
        <v>43624</v>
      </c>
      <c r="B3801" s="29">
        <v>42.35</v>
      </c>
      <c r="C3801" s="37">
        <f t="shared" si="124"/>
        <v>7.0583333333333336</v>
      </c>
      <c r="D3801" s="37">
        <v>20.052</v>
      </c>
      <c r="E3801" s="33">
        <f t="shared" si="125"/>
        <v>0</v>
      </c>
    </row>
    <row r="3802" spans="1:5" x14ac:dyDescent="0.25">
      <c r="A3802" s="41">
        <v>43624</v>
      </c>
      <c r="B3802" s="29">
        <v>42.35</v>
      </c>
      <c r="C3802" s="37">
        <f t="shared" si="124"/>
        <v>7.0583333333333336</v>
      </c>
      <c r="D3802" s="37">
        <v>20.052</v>
      </c>
      <c r="E3802" s="33">
        <f t="shared" si="125"/>
        <v>0</v>
      </c>
    </row>
    <row r="3803" spans="1:5" x14ac:dyDescent="0.25">
      <c r="A3803" s="41">
        <v>43624</v>
      </c>
      <c r="B3803" s="29">
        <v>42.35</v>
      </c>
      <c r="C3803" s="37">
        <f t="shared" si="124"/>
        <v>7.0583333333333336</v>
      </c>
      <c r="D3803" s="37">
        <v>20.052</v>
      </c>
      <c r="E3803" s="33">
        <f t="shared" si="125"/>
        <v>0</v>
      </c>
    </row>
    <row r="3804" spans="1:5" x14ac:dyDescent="0.25">
      <c r="A3804" s="41">
        <v>43624</v>
      </c>
      <c r="B3804" s="29">
        <v>42.35</v>
      </c>
      <c r="C3804" s="37">
        <f t="shared" si="124"/>
        <v>7.0583333333333336</v>
      </c>
      <c r="D3804" s="37">
        <v>20.052</v>
      </c>
      <c r="E3804" s="33">
        <f t="shared" si="125"/>
        <v>0</v>
      </c>
    </row>
    <row r="3805" spans="1:5" x14ac:dyDescent="0.25">
      <c r="A3805" s="41">
        <v>43624</v>
      </c>
      <c r="B3805" s="29">
        <v>42.35</v>
      </c>
      <c r="C3805" s="37">
        <f t="shared" si="124"/>
        <v>7.0583333333333336</v>
      </c>
      <c r="D3805" s="37">
        <v>20.052</v>
      </c>
      <c r="E3805" s="33">
        <f t="shared" si="125"/>
        <v>0</v>
      </c>
    </row>
    <row r="3806" spans="1:5" x14ac:dyDescent="0.25">
      <c r="A3806" s="41">
        <v>43624</v>
      </c>
      <c r="B3806" s="29">
        <v>42.35</v>
      </c>
      <c r="C3806" s="37">
        <f t="shared" si="124"/>
        <v>7.0583333333333336</v>
      </c>
      <c r="D3806" s="37">
        <v>20.052</v>
      </c>
      <c r="E3806" s="33">
        <f t="shared" si="125"/>
        <v>0</v>
      </c>
    </row>
    <row r="3807" spans="1:5" x14ac:dyDescent="0.25">
      <c r="A3807" s="41">
        <v>43624</v>
      </c>
      <c r="B3807" s="29">
        <v>42.35</v>
      </c>
      <c r="C3807" s="37">
        <f t="shared" si="124"/>
        <v>7.0583333333333336</v>
      </c>
      <c r="D3807" s="37">
        <v>20.052</v>
      </c>
      <c r="E3807" s="33">
        <f t="shared" si="125"/>
        <v>0</v>
      </c>
    </row>
    <row r="3808" spans="1:5" x14ac:dyDescent="0.25">
      <c r="A3808" s="41">
        <v>43624</v>
      </c>
      <c r="B3808" s="29">
        <v>42.35</v>
      </c>
      <c r="C3808" s="37">
        <f t="shared" si="124"/>
        <v>7.0583333333333336</v>
      </c>
      <c r="D3808" s="37">
        <v>20.052</v>
      </c>
      <c r="E3808" s="33">
        <f t="shared" si="125"/>
        <v>0</v>
      </c>
    </row>
    <row r="3809" spans="1:5" x14ac:dyDescent="0.25">
      <c r="A3809" s="41">
        <v>43624</v>
      </c>
      <c r="B3809" s="29">
        <v>42.35</v>
      </c>
      <c r="C3809" s="37">
        <f t="shared" si="124"/>
        <v>7.0583333333333336</v>
      </c>
      <c r="D3809" s="37">
        <v>20.052</v>
      </c>
      <c r="E3809" s="33">
        <f t="shared" si="125"/>
        <v>0</v>
      </c>
    </row>
    <row r="3810" spans="1:5" x14ac:dyDescent="0.25">
      <c r="A3810" s="41">
        <v>43624</v>
      </c>
      <c r="B3810" s="29">
        <v>42.35</v>
      </c>
      <c r="C3810" s="37">
        <f t="shared" si="124"/>
        <v>7.0583333333333336</v>
      </c>
      <c r="D3810" s="37">
        <v>20.052</v>
      </c>
      <c r="E3810" s="33">
        <f t="shared" si="125"/>
        <v>0</v>
      </c>
    </row>
    <row r="3811" spans="1:5" x14ac:dyDescent="0.25">
      <c r="A3811" s="41">
        <v>43624</v>
      </c>
      <c r="B3811" s="29">
        <v>42.35</v>
      </c>
      <c r="C3811" s="37">
        <f t="shared" si="124"/>
        <v>7.0583333333333336</v>
      </c>
      <c r="D3811" s="37">
        <v>20.052</v>
      </c>
      <c r="E3811" s="33">
        <f t="shared" si="125"/>
        <v>0</v>
      </c>
    </row>
    <row r="3812" spans="1:5" x14ac:dyDescent="0.25">
      <c r="A3812" s="41">
        <v>43624</v>
      </c>
      <c r="B3812" s="29">
        <v>42.35</v>
      </c>
      <c r="C3812" s="37">
        <f t="shared" si="124"/>
        <v>7.0583333333333336</v>
      </c>
      <c r="D3812" s="37">
        <v>20.052</v>
      </c>
      <c r="E3812" s="33">
        <f t="shared" si="125"/>
        <v>0</v>
      </c>
    </row>
    <row r="3813" spans="1:5" x14ac:dyDescent="0.25">
      <c r="A3813" s="41">
        <v>43624</v>
      </c>
      <c r="B3813" s="29">
        <v>42.35</v>
      </c>
      <c r="C3813" s="37">
        <f t="shared" si="124"/>
        <v>7.0583333333333336</v>
      </c>
      <c r="D3813" s="37">
        <v>20.052</v>
      </c>
      <c r="E3813" s="33">
        <f t="shared" si="125"/>
        <v>0</v>
      </c>
    </row>
    <row r="3814" spans="1:5" x14ac:dyDescent="0.25">
      <c r="A3814" s="41">
        <v>43624</v>
      </c>
      <c r="B3814" s="29">
        <v>42.35</v>
      </c>
      <c r="C3814" s="37">
        <f t="shared" si="124"/>
        <v>7.0583333333333336</v>
      </c>
      <c r="D3814" s="37">
        <v>20.052</v>
      </c>
      <c r="E3814" s="33">
        <f t="shared" si="125"/>
        <v>0</v>
      </c>
    </row>
    <row r="3815" spans="1:5" x14ac:dyDescent="0.25">
      <c r="A3815" s="41">
        <v>43624</v>
      </c>
      <c r="B3815" s="29">
        <v>42.35</v>
      </c>
      <c r="C3815" s="37">
        <f t="shared" si="124"/>
        <v>7.0583333333333336</v>
      </c>
      <c r="D3815" s="37">
        <v>20.052</v>
      </c>
      <c r="E3815" s="33">
        <f t="shared" si="125"/>
        <v>0</v>
      </c>
    </row>
    <row r="3816" spans="1:5" x14ac:dyDescent="0.25">
      <c r="A3816" s="41">
        <v>43624</v>
      </c>
      <c r="B3816" s="29">
        <v>42.35</v>
      </c>
      <c r="C3816" s="37">
        <f t="shared" si="124"/>
        <v>7.0583333333333336</v>
      </c>
      <c r="D3816" s="37">
        <v>20.052</v>
      </c>
      <c r="E3816" s="33">
        <f t="shared" si="125"/>
        <v>0</v>
      </c>
    </row>
    <row r="3817" spans="1:5" x14ac:dyDescent="0.25">
      <c r="A3817" s="41">
        <v>43624</v>
      </c>
      <c r="B3817" s="29">
        <v>42.35</v>
      </c>
      <c r="C3817" s="37">
        <f t="shared" si="124"/>
        <v>7.0583333333333336</v>
      </c>
      <c r="D3817" s="37">
        <v>20.052</v>
      </c>
      <c r="E3817" s="33">
        <f t="shared" si="125"/>
        <v>0</v>
      </c>
    </row>
    <row r="3818" spans="1:5" x14ac:dyDescent="0.25">
      <c r="A3818" s="41">
        <v>43625</v>
      </c>
      <c r="B3818" s="29">
        <v>42.35</v>
      </c>
      <c r="C3818" s="37">
        <f t="shared" si="124"/>
        <v>7.0583333333333336</v>
      </c>
      <c r="D3818" s="37">
        <v>19.196999999999999</v>
      </c>
      <c r="E3818" s="33">
        <f t="shared" si="125"/>
        <v>0</v>
      </c>
    </row>
    <row r="3819" spans="1:5" x14ac:dyDescent="0.25">
      <c r="A3819" s="41">
        <v>43625</v>
      </c>
      <c r="B3819" s="29">
        <v>42.35</v>
      </c>
      <c r="C3819" s="37">
        <f t="shared" si="124"/>
        <v>7.0583333333333336</v>
      </c>
      <c r="D3819" s="37">
        <v>19.196999999999999</v>
      </c>
      <c r="E3819" s="33">
        <f t="shared" si="125"/>
        <v>0</v>
      </c>
    </row>
    <row r="3820" spans="1:5" x14ac:dyDescent="0.25">
      <c r="A3820" s="41">
        <v>43625</v>
      </c>
      <c r="B3820" s="29">
        <v>42.35</v>
      </c>
      <c r="C3820" s="37">
        <f t="shared" si="124"/>
        <v>7.0583333333333336</v>
      </c>
      <c r="D3820" s="37">
        <v>19.196999999999999</v>
      </c>
      <c r="E3820" s="33">
        <f t="shared" si="125"/>
        <v>0</v>
      </c>
    </row>
    <row r="3821" spans="1:5" x14ac:dyDescent="0.25">
      <c r="A3821" s="41">
        <v>43625</v>
      </c>
      <c r="B3821" s="29">
        <v>42.35</v>
      </c>
      <c r="C3821" s="37">
        <f t="shared" si="124"/>
        <v>7.0583333333333336</v>
      </c>
      <c r="D3821" s="37">
        <v>19.196999999999999</v>
      </c>
      <c r="E3821" s="33">
        <f t="shared" si="125"/>
        <v>0</v>
      </c>
    </row>
    <row r="3822" spans="1:5" x14ac:dyDescent="0.25">
      <c r="A3822" s="41">
        <v>43625</v>
      </c>
      <c r="B3822" s="29">
        <v>42.35</v>
      </c>
      <c r="C3822" s="37">
        <f t="shared" si="124"/>
        <v>7.0583333333333336</v>
      </c>
      <c r="D3822" s="37">
        <v>19.196999999999999</v>
      </c>
      <c r="E3822" s="33">
        <f t="shared" si="125"/>
        <v>0</v>
      </c>
    </row>
    <row r="3823" spans="1:5" x14ac:dyDescent="0.25">
      <c r="A3823" s="41">
        <v>43625</v>
      </c>
      <c r="B3823" s="29">
        <v>42.35</v>
      </c>
      <c r="C3823" s="37">
        <f t="shared" si="124"/>
        <v>7.0583333333333336</v>
      </c>
      <c r="D3823" s="37">
        <v>19.196999999999999</v>
      </c>
      <c r="E3823" s="33">
        <f t="shared" si="125"/>
        <v>0</v>
      </c>
    </row>
    <row r="3824" spans="1:5" x14ac:dyDescent="0.25">
      <c r="A3824" s="41">
        <v>43625</v>
      </c>
      <c r="B3824" s="29">
        <v>42.35</v>
      </c>
      <c r="C3824" s="37">
        <f t="shared" si="124"/>
        <v>7.0583333333333336</v>
      </c>
      <c r="D3824" s="37">
        <v>19.196999999999999</v>
      </c>
      <c r="E3824" s="33">
        <f t="shared" si="125"/>
        <v>0</v>
      </c>
    </row>
    <row r="3825" spans="1:5" x14ac:dyDescent="0.25">
      <c r="A3825" s="41">
        <v>43625</v>
      </c>
      <c r="B3825" s="29">
        <v>42.35</v>
      </c>
      <c r="C3825" s="37">
        <f t="shared" si="124"/>
        <v>7.0583333333333336</v>
      </c>
      <c r="D3825" s="37">
        <v>19.196999999999999</v>
      </c>
      <c r="E3825" s="33">
        <f t="shared" si="125"/>
        <v>0</v>
      </c>
    </row>
    <row r="3826" spans="1:5" x14ac:dyDescent="0.25">
      <c r="A3826" s="41">
        <v>43625</v>
      </c>
      <c r="B3826" s="29">
        <v>42.35</v>
      </c>
      <c r="C3826" s="37">
        <f t="shared" si="124"/>
        <v>7.0583333333333336</v>
      </c>
      <c r="D3826" s="37">
        <v>19.196999999999999</v>
      </c>
      <c r="E3826" s="33">
        <f t="shared" si="125"/>
        <v>0</v>
      </c>
    </row>
    <row r="3827" spans="1:5" x14ac:dyDescent="0.25">
      <c r="A3827" s="41">
        <v>43625</v>
      </c>
      <c r="B3827" s="29">
        <v>42.35</v>
      </c>
      <c r="C3827" s="37">
        <f t="shared" si="124"/>
        <v>7.0583333333333336</v>
      </c>
      <c r="D3827" s="37">
        <v>19.196999999999999</v>
      </c>
      <c r="E3827" s="33">
        <f t="shared" si="125"/>
        <v>0</v>
      </c>
    </row>
    <row r="3828" spans="1:5" x14ac:dyDescent="0.25">
      <c r="A3828" s="41">
        <v>43625</v>
      </c>
      <c r="B3828" s="29">
        <v>42.35</v>
      </c>
      <c r="C3828" s="37">
        <f t="shared" si="124"/>
        <v>7.0583333333333336</v>
      </c>
      <c r="D3828" s="37">
        <v>19.196999999999999</v>
      </c>
      <c r="E3828" s="33">
        <f t="shared" si="125"/>
        <v>0</v>
      </c>
    </row>
    <row r="3829" spans="1:5" x14ac:dyDescent="0.25">
      <c r="A3829" s="41">
        <v>43625</v>
      </c>
      <c r="B3829" s="29">
        <v>42.35</v>
      </c>
      <c r="C3829" s="37">
        <f t="shared" si="124"/>
        <v>7.0583333333333336</v>
      </c>
      <c r="D3829" s="37">
        <v>19.196999999999999</v>
      </c>
      <c r="E3829" s="33">
        <f t="shared" si="125"/>
        <v>0</v>
      </c>
    </row>
    <row r="3830" spans="1:5" x14ac:dyDescent="0.25">
      <c r="A3830" s="41">
        <v>43625</v>
      </c>
      <c r="B3830" s="29">
        <v>42.35</v>
      </c>
      <c r="C3830" s="37">
        <f t="shared" si="124"/>
        <v>7.0583333333333336</v>
      </c>
      <c r="D3830" s="37">
        <v>19.196999999999999</v>
      </c>
      <c r="E3830" s="33">
        <f t="shared" si="125"/>
        <v>0</v>
      </c>
    </row>
    <row r="3831" spans="1:5" x14ac:dyDescent="0.25">
      <c r="A3831" s="41">
        <v>43625</v>
      </c>
      <c r="B3831" s="29">
        <v>42.35</v>
      </c>
      <c r="C3831" s="37">
        <f t="shared" si="124"/>
        <v>7.0583333333333336</v>
      </c>
      <c r="D3831" s="37">
        <v>19.196999999999999</v>
      </c>
      <c r="E3831" s="33">
        <f t="shared" si="125"/>
        <v>0</v>
      </c>
    </row>
    <row r="3832" spans="1:5" x14ac:dyDescent="0.25">
      <c r="A3832" s="41">
        <v>43625</v>
      </c>
      <c r="B3832" s="29">
        <v>42.35</v>
      </c>
      <c r="C3832" s="37">
        <f t="shared" si="124"/>
        <v>7.0583333333333336</v>
      </c>
      <c r="D3832" s="37">
        <v>19.196999999999999</v>
      </c>
      <c r="E3832" s="33">
        <f t="shared" si="125"/>
        <v>0</v>
      </c>
    </row>
    <row r="3833" spans="1:5" x14ac:dyDescent="0.25">
      <c r="A3833" s="41">
        <v>43625</v>
      </c>
      <c r="B3833" s="29">
        <v>42.35</v>
      </c>
      <c r="C3833" s="37">
        <f t="shared" si="124"/>
        <v>7.0583333333333336</v>
      </c>
      <c r="D3833" s="37">
        <v>19.196999999999999</v>
      </c>
      <c r="E3833" s="33">
        <f t="shared" si="125"/>
        <v>0</v>
      </c>
    </row>
    <row r="3834" spans="1:5" x14ac:dyDescent="0.25">
      <c r="A3834" s="41">
        <v>43625</v>
      </c>
      <c r="B3834" s="29">
        <v>42.35</v>
      </c>
      <c r="C3834" s="37">
        <f t="shared" si="124"/>
        <v>7.0583333333333336</v>
      </c>
      <c r="D3834" s="37">
        <v>19.196999999999999</v>
      </c>
      <c r="E3834" s="33">
        <f t="shared" si="125"/>
        <v>0</v>
      </c>
    </row>
    <row r="3835" spans="1:5" x14ac:dyDescent="0.25">
      <c r="A3835" s="41">
        <v>43625</v>
      </c>
      <c r="B3835" s="29">
        <v>42.35</v>
      </c>
      <c r="C3835" s="37">
        <f t="shared" si="124"/>
        <v>7.0583333333333336</v>
      </c>
      <c r="D3835" s="37">
        <v>19.196999999999999</v>
      </c>
      <c r="E3835" s="33">
        <f t="shared" si="125"/>
        <v>0</v>
      </c>
    </row>
    <row r="3836" spans="1:5" x14ac:dyDescent="0.25">
      <c r="A3836" s="41">
        <v>43625</v>
      </c>
      <c r="B3836" s="29">
        <v>42.35</v>
      </c>
      <c r="C3836" s="37">
        <f t="shared" si="124"/>
        <v>7.0583333333333336</v>
      </c>
      <c r="D3836" s="37">
        <v>19.196999999999999</v>
      </c>
      <c r="E3836" s="33">
        <f t="shared" si="125"/>
        <v>0</v>
      </c>
    </row>
    <row r="3837" spans="1:5" x14ac:dyDescent="0.25">
      <c r="A3837" s="41">
        <v>43625</v>
      </c>
      <c r="B3837" s="29">
        <v>42.35</v>
      </c>
      <c r="C3837" s="37">
        <f t="shared" si="124"/>
        <v>7.0583333333333336</v>
      </c>
      <c r="D3837" s="37">
        <v>19.196999999999999</v>
      </c>
      <c r="E3837" s="33">
        <f t="shared" si="125"/>
        <v>0</v>
      </c>
    </row>
    <row r="3838" spans="1:5" x14ac:dyDescent="0.25">
      <c r="A3838" s="41">
        <v>43625</v>
      </c>
      <c r="B3838" s="29">
        <v>42.35</v>
      </c>
      <c r="C3838" s="37">
        <f t="shared" si="124"/>
        <v>7.0583333333333336</v>
      </c>
      <c r="D3838" s="37">
        <v>19.196999999999999</v>
      </c>
      <c r="E3838" s="33">
        <f t="shared" si="125"/>
        <v>0</v>
      </c>
    </row>
    <row r="3839" spans="1:5" x14ac:dyDescent="0.25">
      <c r="A3839" s="41">
        <v>43625</v>
      </c>
      <c r="B3839" s="29">
        <v>42.35</v>
      </c>
      <c r="C3839" s="37">
        <f t="shared" si="124"/>
        <v>7.0583333333333336</v>
      </c>
      <c r="D3839" s="37">
        <v>19.196999999999999</v>
      </c>
      <c r="E3839" s="33">
        <f t="shared" si="125"/>
        <v>0</v>
      </c>
    </row>
    <row r="3840" spans="1:5" x14ac:dyDescent="0.25">
      <c r="A3840" s="41">
        <v>43625</v>
      </c>
      <c r="B3840" s="29">
        <v>42.35</v>
      </c>
      <c r="C3840" s="37">
        <f t="shared" si="124"/>
        <v>7.0583333333333336</v>
      </c>
      <c r="D3840" s="37">
        <v>19.196999999999999</v>
      </c>
      <c r="E3840" s="33">
        <f t="shared" si="125"/>
        <v>0</v>
      </c>
    </row>
    <row r="3841" spans="1:5" x14ac:dyDescent="0.25">
      <c r="A3841" s="41">
        <v>43625</v>
      </c>
      <c r="B3841" s="29">
        <v>42.35</v>
      </c>
      <c r="C3841" s="37">
        <f t="shared" si="124"/>
        <v>7.0583333333333336</v>
      </c>
      <c r="D3841" s="37">
        <v>19.196999999999999</v>
      </c>
      <c r="E3841" s="33">
        <f t="shared" si="125"/>
        <v>0</v>
      </c>
    </row>
    <row r="3842" spans="1:5" x14ac:dyDescent="0.25">
      <c r="A3842" s="41">
        <v>43626</v>
      </c>
      <c r="B3842" s="29">
        <v>42.35</v>
      </c>
      <c r="C3842" s="37">
        <f t="shared" si="124"/>
        <v>7.0583333333333336</v>
      </c>
      <c r="D3842" s="37">
        <v>18.527999999999999</v>
      </c>
      <c r="E3842" s="33">
        <f t="shared" si="125"/>
        <v>0</v>
      </c>
    </row>
    <row r="3843" spans="1:5" x14ac:dyDescent="0.25">
      <c r="A3843" s="41">
        <v>43626</v>
      </c>
      <c r="B3843" s="29">
        <v>42.35</v>
      </c>
      <c r="C3843" s="37">
        <f t="shared" ref="C3843:C3906" si="126">(B3843*100/600)</f>
        <v>7.0583333333333336</v>
      </c>
      <c r="D3843" s="37">
        <v>18.527999999999999</v>
      </c>
      <c r="E3843" s="33">
        <f t="shared" si="125"/>
        <v>0</v>
      </c>
    </row>
    <row r="3844" spans="1:5" x14ac:dyDescent="0.25">
      <c r="A3844" s="41">
        <v>43626</v>
      </c>
      <c r="B3844" s="29">
        <v>42.35</v>
      </c>
      <c r="C3844" s="37">
        <f t="shared" si="126"/>
        <v>7.0583333333333336</v>
      </c>
      <c r="D3844" s="37">
        <v>18.527999999999999</v>
      </c>
      <c r="E3844" s="33">
        <f t="shared" ref="E3844:E3907" si="127">(B3844-B3843)/B3843</f>
        <v>0</v>
      </c>
    </row>
    <row r="3845" spans="1:5" x14ac:dyDescent="0.25">
      <c r="A3845" s="41">
        <v>43626</v>
      </c>
      <c r="B3845" s="29">
        <v>42.35</v>
      </c>
      <c r="C3845" s="37">
        <f t="shared" si="126"/>
        <v>7.0583333333333336</v>
      </c>
      <c r="D3845" s="37">
        <v>18.527999999999999</v>
      </c>
      <c r="E3845" s="33">
        <f t="shared" si="127"/>
        <v>0</v>
      </c>
    </row>
    <row r="3846" spans="1:5" x14ac:dyDescent="0.25">
      <c r="A3846" s="41">
        <v>43626</v>
      </c>
      <c r="B3846" s="29">
        <v>42.35</v>
      </c>
      <c r="C3846" s="37">
        <f t="shared" si="126"/>
        <v>7.0583333333333336</v>
      </c>
      <c r="D3846" s="37">
        <v>18.527999999999999</v>
      </c>
      <c r="E3846" s="33">
        <f t="shared" si="127"/>
        <v>0</v>
      </c>
    </row>
    <row r="3847" spans="1:5" x14ac:dyDescent="0.25">
      <c r="A3847" s="41">
        <v>43626</v>
      </c>
      <c r="B3847" s="29">
        <v>42.35</v>
      </c>
      <c r="C3847" s="37">
        <f t="shared" si="126"/>
        <v>7.0583333333333336</v>
      </c>
      <c r="D3847" s="37">
        <v>18.527999999999999</v>
      </c>
      <c r="E3847" s="33">
        <f t="shared" si="127"/>
        <v>0</v>
      </c>
    </row>
    <row r="3848" spans="1:5" x14ac:dyDescent="0.25">
      <c r="A3848" s="41">
        <v>43626</v>
      </c>
      <c r="B3848" s="29">
        <v>42.35</v>
      </c>
      <c r="C3848" s="37">
        <f t="shared" si="126"/>
        <v>7.0583333333333336</v>
      </c>
      <c r="D3848" s="37">
        <v>18.527999999999999</v>
      </c>
      <c r="E3848" s="33">
        <f t="shared" si="127"/>
        <v>0</v>
      </c>
    </row>
    <row r="3849" spans="1:5" x14ac:dyDescent="0.25">
      <c r="A3849" s="41">
        <v>43626</v>
      </c>
      <c r="B3849" s="29">
        <v>42.35</v>
      </c>
      <c r="C3849" s="37">
        <f t="shared" si="126"/>
        <v>7.0583333333333336</v>
      </c>
      <c r="D3849" s="37">
        <v>18.527999999999999</v>
      </c>
      <c r="E3849" s="33">
        <f t="shared" si="127"/>
        <v>0</v>
      </c>
    </row>
    <row r="3850" spans="1:5" x14ac:dyDescent="0.25">
      <c r="A3850" s="41">
        <v>43626</v>
      </c>
      <c r="B3850" s="29">
        <v>42.35</v>
      </c>
      <c r="C3850" s="37">
        <f t="shared" si="126"/>
        <v>7.0583333333333336</v>
      </c>
      <c r="D3850" s="37">
        <v>18.527999999999999</v>
      </c>
      <c r="E3850" s="33">
        <f t="shared" si="127"/>
        <v>0</v>
      </c>
    </row>
    <row r="3851" spans="1:5" x14ac:dyDescent="0.25">
      <c r="A3851" s="41">
        <v>43626</v>
      </c>
      <c r="B3851" s="29">
        <v>42.35</v>
      </c>
      <c r="C3851" s="37">
        <f t="shared" si="126"/>
        <v>7.0583333333333336</v>
      </c>
      <c r="D3851" s="37">
        <v>18.527999999999999</v>
      </c>
      <c r="E3851" s="33">
        <f t="shared" si="127"/>
        <v>0</v>
      </c>
    </row>
    <row r="3852" spans="1:5" x14ac:dyDescent="0.25">
      <c r="A3852" s="41">
        <v>43626</v>
      </c>
      <c r="B3852" s="29">
        <v>42.35</v>
      </c>
      <c r="C3852" s="37">
        <f t="shared" si="126"/>
        <v>7.0583333333333336</v>
      </c>
      <c r="D3852" s="37">
        <v>18.527999999999999</v>
      </c>
      <c r="E3852" s="33">
        <f t="shared" si="127"/>
        <v>0</v>
      </c>
    </row>
    <row r="3853" spans="1:5" x14ac:dyDescent="0.25">
      <c r="A3853" s="41">
        <v>43626</v>
      </c>
      <c r="B3853" s="29">
        <v>42.35</v>
      </c>
      <c r="C3853" s="37">
        <f t="shared" si="126"/>
        <v>7.0583333333333336</v>
      </c>
      <c r="D3853" s="37">
        <v>18.527999999999999</v>
      </c>
      <c r="E3853" s="33">
        <f t="shared" si="127"/>
        <v>0</v>
      </c>
    </row>
    <row r="3854" spans="1:5" x14ac:dyDescent="0.25">
      <c r="A3854" s="41">
        <v>43626</v>
      </c>
      <c r="B3854" s="29">
        <v>42.35</v>
      </c>
      <c r="C3854" s="37">
        <f t="shared" si="126"/>
        <v>7.0583333333333336</v>
      </c>
      <c r="D3854" s="37">
        <v>18.527999999999999</v>
      </c>
      <c r="E3854" s="33">
        <f t="shared" si="127"/>
        <v>0</v>
      </c>
    </row>
    <row r="3855" spans="1:5" x14ac:dyDescent="0.25">
      <c r="A3855" s="41">
        <v>43626</v>
      </c>
      <c r="B3855" s="29">
        <v>42.35</v>
      </c>
      <c r="C3855" s="37">
        <f t="shared" si="126"/>
        <v>7.0583333333333336</v>
      </c>
      <c r="D3855" s="37">
        <v>18.527999999999999</v>
      </c>
      <c r="E3855" s="33">
        <f t="shared" si="127"/>
        <v>0</v>
      </c>
    </row>
    <row r="3856" spans="1:5" x14ac:dyDescent="0.25">
      <c r="A3856" s="41">
        <v>43626</v>
      </c>
      <c r="B3856" s="29">
        <v>42.35</v>
      </c>
      <c r="C3856" s="37">
        <f t="shared" si="126"/>
        <v>7.0583333333333336</v>
      </c>
      <c r="D3856" s="37">
        <v>18.527999999999999</v>
      </c>
      <c r="E3856" s="33">
        <f t="shared" si="127"/>
        <v>0</v>
      </c>
    </row>
    <row r="3857" spans="1:5" x14ac:dyDescent="0.25">
      <c r="A3857" s="41">
        <v>43626</v>
      </c>
      <c r="B3857" s="29">
        <v>42.35</v>
      </c>
      <c r="C3857" s="37">
        <f t="shared" si="126"/>
        <v>7.0583333333333336</v>
      </c>
      <c r="D3857" s="37">
        <v>18.527999999999999</v>
      </c>
      <c r="E3857" s="33">
        <f t="shared" si="127"/>
        <v>0</v>
      </c>
    </row>
    <row r="3858" spans="1:5" x14ac:dyDescent="0.25">
      <c r="A3858" s="41">
        <v>43626</v>
      </c>
      <c r="B3858" s="29">
        <v>42.35</v>
      </c>
      <c r="C3858" s="37">
        <f t="shared" si="126"/>
        <v>7.0583333333333336</v>
      </c>
      <c r="D3858" s="37">
        <v>18.527999999999999</v>
      </c>
      <c r="E3858" s="33">
        <f t="shared" si="127"/>
        <v>0</v>
      </c>
    </row>
    <row r="3859" spans="1:5" x14ac:dyDescent="0.25">
      <c r="A3859" s="41">
        <v>43626</v>
      </c>
      <c r="B3859" s="29">
        <v>42.35</v>
      </c>
      <c r="C3859" s="37">
        <f t="shared" si="126"/>
        <v>7.0583333333333336</v>
      </c>
      <c r="D3859" s="37">
        <v>18.527999999999999</v>
      </c>
      <c r="E3859" s="33">
        <f t="shared" si="127"/>
        <v>0</v>
      </c>
    </row>
    <row r="3860" spans="1:5" x14ac:dyDescent="0.25">
      <c r="A3860" s="41">
        <v>43626</v>
      </c>
      <c r="B3860" s="29">
        <v>42.35</v>
      </c>
      <c r="C3860" s="37">
        <f t="shared" si="126"/>
        <v>7.0583333333333336</v>
      </c>
      <c r="D3860" s="37">
        <v>18.527999999999999</v>
      </c>
      <c r="E3860" s="33">
        <f t="shared" si="127"/>
        <v>0</v>
      </c>
    </row>
    <row r="3861" spans="1:5" x14ac:dyDescent="0.25">
      <c r="A3861" s="41">
        <v>43626</v>
      </c>
      <c r="B3861" s="29">
        <v>42.35</v>
      </c>
      <c r="C3861" s="37">
        <f t="shared" si="126"/>
        <v>7.0583333333333336</v>
      </c>
      <c r="D3861" s="37">
        <v>18.527999999999999</v>
      </c>
      <c r="E3861" s="33">
        <f t="shared" si="127"/>
        <v>0</v>
      </c>
    </row>
    <row r="3862" spans="1:5" x14ac:dyDescent="0.25">
      <c r="A3862" s="41">
        <v>43626</v>
      </c>
      <c r="B3862" s="29">
        <v>42.35</v>
      </c>
      <c r="C3862" s="37">
        <f t="shared" si="126"/>
        <v>7.0583333333333336</v>
      </c>
      <c r="D3862" s="37">
        <v>18.527999999999999</v>
      </c>
      <c r="E3862" s="33">
        <f t="shared" si="127"/>
        <v>0</v>
      </c>
    </row>
    <row r="3863" spans="1:5" x14ac:dyDescent="0.25">
      <c r="A3863" s="41">
        <v>43626</v>
      </c>
      <c r="B3863" s="29">
        <v>42.35</v>
      </c>
      <c r="C3863" s="37">
        <f t="shared" si="126"/>
        <v>7.0583333333333336</v>
      </c>
      <c r="D3863" s="37">
        <v>18.527999999999999</v>
      </c>
      <c r="E3863" s="33">
        <f t="shared" si="127"/>
        <v>0</v>
      </c>
    </row>
    <row r="3864" spans="1:5" x14ac:dyDescent="0.25">
      <c r="A3864" s="41">
        <v>43626</v>
      </c>
      <c r="B3864" s="29">
        <v>42.35</v>
      </c>
      <c r="C3864" s="37">
        <f t="shared" si="126"/>
        <v>7.0583333333333336</v>
      </c>
      <c r="D3864" s="37">
        <v>18.527999999999999</v>
      </c>
      <c r="E3864" s="33">
        <f t="shared" si="127"/>
        <v>0</v>
      </c>
    </row>
    <row r="3865" spans="1:5" x14ac:dyDescent="0.25">
      <c r="A3865" s="41">
        <v>43626</v>
      </c>
      <c r="B3865" s="29">
        <v>42.35</v>
      </c>
      <c r="C3865" s="37">
        <f t="shared" si="126"/>
        <v>7.0583333333333336</v>
      </c>
      <c r="D3865" s="37">
        <v>18.527999999999999</v>
      </c>
      <c r="E3865" s="33">
        <f t="shared" si="127"/>
        <v>0</v>
      </c>
    </row>
    <row r="3866" spans="1:5" x14ac:dyDescent="0.25">
      <c r="A3866" s="41">
        <v>43627</v>
      </c>
      <c r="B3866" s="29">
        <v>42.35</v>
      </c>
      <c r="C3866" s="37">
        <f t="shared" si="126"/>
        <v>7.0583333333333336</v>
      </c>
      <c r="D3866" s="37">
        <v>17.876000000000001</v>
      </c>
      <c r="E3866" s="33">
        <f t="shared" si="127"/>
        <v>0</v>
      </c>
    </row>
    <row r="3867" spans="1:5" x14ac:dyDescent="0.25">
      <c r="A3867" s="41">
        <v>43627</v>
      </c>
      <c r="B3867" s="29">
        <v>42.35</v>
      </c>
      <c r="C3867" s="37">
        <f t="shared" si="126"/>
        <v>7.0583333333333336</v>
      </c>
      <c r="D3867" s="37">
        <v>17.876000000000001</v>
      </c>
      <c r="E3867" s="33">
        <f t="shared" si="127"/>
        <v>0</v>
      </c>
    </row>
    <row r="3868" spans="1:5" x14ac:dyDescent="0.25">
      <c r="A3868" s="41">
        <v>43627</v>
      </c>
      <c r="B3868" s="29">
        <v>42.35</v>
      </c>
      <c r="C3868" s="37">
        <f t="shared" si="126"/>
        <v>7.0583333333333336</v>
      </c>
      <c r="D3868" s="37">
        <v>17.876000000000001</v>
      </c>
      <c r="E3868" s="33">
        <f t="shared" si="127"/>
        <v>0</v>
      </c>
    </row>
    <row r="3869" spans="1:5" x14ac:dyDescent="0.25">
      <c r="A3869" s="41">
        <v>43627</v>
      </c>
      <c r="B3869" s="29">
        <v>42.35</v>
      </c>
      <c r="C3869" s="37">
        <f t="shared" si="126"/>
        <v>7.0583333333333336</v>
      </c>
      <c r="D3869" s="37">
        <v>17.876000000000001</v>
      </c>
      <c r="E3869" s="33">
        <f t="shared" si="127"/>
        <v>0</v>
      </c>
    </row>
    <row r="3870" spans="1:5" x14ac:dyDescent="0.25">
      <c r="A3870" s="41">
        <v>43627</v>
      </c>
      <c r="B3870" s="29">
        <v>42.35</v>
      </c>
      <c r="C3870" s="37">
        <f t="shared" si="126"/>
        <v>7.0583333333333336</v>
      </c>
      <c r="D3870" s="37">
        <v>17.876000000000001</v>
      </c>
      <c r="E3870" s="33">
        <f t="shared" si="127"/>
        <v>0</v>
      </c>
    </row>
    <row r="3871" spans="1:5" x14ac:dyDescent="0.25">
      <c r="A3871" s="41">
        <v>43627</v>
      </c>
      <c r="B3871" s="29">
        <v>42.35</v>
      </c>
      <c r="C3871" s="37">
        <f t="shared" si="126"/>
        <v>7.0583333333333336</v>
      </c>
      <c r="D3871" s="37">
        <v>17.876000000000001</v>
      </c>
      <c r="E3871" s="33">
        <f t="shared" si="127"/>
        <v>0</v>
      </c>
    </row>
    <row r="3872" spans="1:5" x14ac:dyDescent="0.25">
      <c r="A3872" s="41">
        <v>43627</v>
      </c>
      <c r="B3872" s="29">
        <v>42.35</v>
      </c>
      <c r="C3872" s="37">
        <f t="shared" si="126"/>
        <v>7.0583333333333336</v>
      </c>
      <c r="D3872" s="37">
        <v>17.876000000000001</v>
      </c>
      <c r="E3872" s="33">
        <f t="shared" si="127"/>
        <v>0</v>
      </c>
    </row>
    <row r="3873" spans="1:5" x14ac:dyDescent="0.25">
      <c r="A3873" s="41">
        <v>43627</v>
      </c>
      <c r="B3873" s="29">
        <v>42.35</v>
      </c>
      <c r="C3873" s="37">
        <f t="shared" si="126"/>
        <v>7.0583333333333336</v>
      </c>
      <c r="D3873" s="37">
        <v>17.876000000000001</v>
      </c>
      <c r="E3873" s="33">
        <f t="shared" si="127"/>
        <v>0</v>
      </c>
    </row>
    <row r="3874" spans="1:5" x14ac:dyDescent="0.25">
      <c r="A3874" s="41">
        <v>43627</v>
      </c>
      <c r="B3874" s="29">
        <v>42.35</v>
      </c>
      <c r="C3874" s="37">
        <f t="shared" si="126"/>
        <v>7.0583333333333336</v>
      </c>
      <c r="D3874" s="37">
        <v>17.876000000000001</v>
      </c>
      <c r="E3874" s="33">
        <f t="shared" si="127"/>
        <v>0</v>
      </c>
    </row>
    <row r="3875" spans="1:5" x14ac:dyDescent="0.25">
      <c r="A3875" s="41">
        <v>43627</v>
      </c>
      <c r="B3875" s="29">
        <v>42.35</v>
      </c>
      <c r="C3875" s="37">
        <f t="shared" si="126"/>
        <v>7.0583333333333336</v>
      </c>
      <c r="D3875" s="37">
        <v>17.876000000000001</v>
      </c>
      <c r="E3875" s="33">
        <f t="shared" si="127"/>
        <v>0</v>
      </c>
    </row>
    <row r="3876" spans="1:5" x14ac:dyDescent="0.25">
      <c r="A3876" s="41">
        <v>43627</v>
      </c>
      <c r="B3876" s="29">
        <v>42.35</v>
      </c>
      <c r="C3876" s="37">
        <f t="shared" si="126"/>
        <v>7.0583333333333336</v>
      </c>
      <c r="D3876" s="37">
        <v>17.876000000000001</v>
      </c>
      <c r="E3876" s="33">
        <f t="shared" si="127"/>
        <v>0</v>
      </c>
    </row>
    <row r="3877" spans="1:5" x14ac:dyDescent="0.25">
      <c r="A3877" s="41">
        <v>43627</v>
      </c>
      <c r="B3877" s="29">
        <v>42.35</v>
      </c>
      <c r="C3877" s="37">
        <f t="shared" si="126"/>
        <v>7.0583333333333336</v>
      </c>
      <c r="D3877" s="37">
        <v>17.876000000000001</v>
      </c>
      <c r="E3877" s="33">
        <f t="shared" si="127"/>
        <v>0</v>
      </c>
    </row>
    <row r="3878" spans="1:5" x14ac:dyDescent="0.25">
      <c r="A3878" s="41">
        <v>43627</v>
      </c>
      <c r="B3878" s="29">
        <v>42.35</v>
      </c>
      <c r="C3878" s="37">
        <f t="shared" si="126"/>
        <v>7.0583333333333336</v>
      </c>
      <c r="D3878" s="37">
        <v>17.876000000000001</v>
      </c>
      <c r="E3878" s="33">
        <f t="shared" si="127"/>
        <v>0</v>
      </c>
    </row>
    <row r="3879" spans="1:5" x14ac:dyDescent="0.25">
      <c r="A3879" s="41">
        <v>43627</v>
      </c>
      <c r="B3879" s="29">
        <v>42.35</v>
      </c>
      <c r="C3879" s="37">
        <f t="shared" si="126"/>
        <v>7.0583333333333336</v>
      </c>
      <c r="D3879" s="37">
        <v>17.876000000000001</v>
      </c>
      <c r="E3879" s="33">
        <f t="shared" si="127"/>
        <v>0</v>
      </c>
    </row>
    <row r="3880" spans="1:5" x14ac:dyDescent="0.25">
      <c r="A3880" s="41">
        <v>43627</v>
      </c>
      <c r="B3880" s="29">
        <v>42.35</v>
      </c>
      <c r="C3880" s="37">
        <f t="shared" si="126"/>
        <v>7.0583333333333336</v>
      </c>
      <c r="D3880" s="37">
        <v>17.876000000000001</v>
      </c>
      <c r="E3880" s="33">
        <f t="shared" si="127"/>
        <v>0</v>
      </c>
    </row>
    <row r="3881" spans="1:5" x14ac:dyDescent="0.25">
      <c r="A3881" s="41">
        <v>43627</v>
      </c>
      <c r="B3881" s="29">
        <v>42.35</v>
      </c>
      <c r="C3881" s="37">
        <f t="shared" si="126"/>
        <v>7.0583333333333336</v>
      </c>
      <c r="D3881" s="37">
        <v>17.876000000000001</v>
      </c>
      <c r="E3881" s="33">
        <f t="shared" si="127"/>
        <v>0</v>
      </c>
    </row>
    <row r="3882" spans="1:5" x14ac:dyDescent="0.25">
      <c r="A3882" s="41">
        <v>43627</v>
      </c>
      <c r="B3882" s="29">
        <v>42.35</v>
      </c>
      <c r="C3882" s="37">
        <f t="shared" si="126"/>
        <v>7.0583333333333336</v>
      </c>
      <c r="D3882" s="37">
        <v>17.876000000000001</v>
      </c>
      <c r="E3882" s="33">
        <f t="shared" si="127"/>
        <v>0</v>
      </c>
    </row>
    <row r="3883" spans="1:5" x14ac:dyDescent="0.25">
      <c r="A3883" s="41">
        <v>43627</v>
      </c>
      <c r="B3883" s="29">
        <v>42.35</v>
      </c>
      <c r="C3883" s="37">
        <f t="shared" si="126"/>
        <v>7.0583333333333336</v>
      </c>
      <c r="D3883" s="37">
        <v>17.876000000000001</v>
      </c>
      <c r="E3883" s="33">
        <f t="shared" si="127"/>
        <v>0</v>
      </c>
    </row>
    <row r="3884" spans="1:5" x14ac:dyDescent="0.25">
      <c r="A3884" s="41">
        <v>43627</v>
      </c>
      <c r="B3884" s="29">
        <v>42.35</v>
      </c>
      <c r="C3884" s="37">
        <f t="shared" si="126"/>
        <v>7.0583333333333336</v>
      </c>
      <c r="D3884" s="37">
        <v>17.876000000000001</v>
      </c>
      <c r="E3884" s="33">
        <f t="shared" si="127"/>
        <v>0</v>
      </c>
    </row>
    <row r="3885" spans="1:5" x14ac:dyDescent="0.25">
      <c r="A3885" s="41">
        <v>43627</v>
      </c>
      <c r="B3885" s="29">
        <v>42.35</v>
      </c>
      <c r="C3885" s="37">
        <f t="shared" si="126"/>
        <v>7.0583333333333336</v>
      </c>
      <c r="D3885" s="37">
        <v>17.876000000000001</v>
      </c>
      <c r="E3885" s="33">
        <f t="shared" si="127"/>
        <v>0</v>
      </c>
    </row>
    <row r="3886" spans="1:5" x14ac:dyDescent="0.25">
      <c r="A3886" s="41">
        <v>43627</v>
      </c>
      <c r="B3886" s="29">
        <v>42.35</v>
      </c>
      <c r="C3886" s="37">
        <f t="shared" si="126"/>
        <v>7.0583333333333336</v>
      </c>
      <c r="D3886" s="37">
        <v>17.876000000000001</v>
      </c>
      <c r="E3886" s="33">
        <f t="shared" si="127"/>
        <v>0</v>
      </c>
    </row>
    <row r="3887" spans="1:5" x14ac:dyDescent="0.25">
      <c r="A3887" s="41">
        <v>43627</v>
      </c>
      <c r="B3887" s="29">
        <v>42.35</v>
      </c>
      <c r="C3887" s="37">
        <f t="shared" si="126"/>
        <v>7.0583333333333336</v>
      </c>
      <c r="D3887" s="37">
        <v>17.876000000000001</v>
      </c>
      <c r="E3887" s="33">
        <f t="shared" si="127"/>
        <v>0</v>
      </c>
    </row>
    <row r="3888" spans="1:5" x14ac:dyDescent="0.25">
      <c r="A3888" s="41">
        <v>43627</v>
      </c>
      <c r="B3888" s="29">
        <v>42.35</v>
      </c>
      <c r="C3888" s="37">
        <f t="shared" si="126"/>
        <v>7.0583333333333336</v>
      </c>
      <c r="D3888" s="37">
        <v>17.876000000000001</v>
      </c>
      <c r="E3888" s="33">
        <f t="shared" si="127"/>
        <v>0</v>
      </c>
    </row>
    <row r="3889" spans="1:5" x14ac:dyDescent="0.25">
      <c r="A3889" s="41">
        <v>43627</v>
      </c>
      <c r="B3889" s="29">
        <v>42.35</v>
      </c>
      <c r="C3889" s="37">
        <f t="shared" si="126"/>
        <v>7.0583333333333336</v>
      </c>
      <c r="D3889" s="37">
        <v>17.876000000000001</v>
      </c>
      <c r="E3889" s="33">
        <f t="shared" si="127"/>
        <v>0</v>
      </c>
    </row>
    <row r="3890" spans="1:5" x14ac:dyDescent="0.25">
      <c r="A3890" s="41">
        <v>43628</v>
      </c>
      <c r="B3890" s="29">
        <v>42.35</v>
      </c>
      <c r="C3890" s="37">
        <f t="shared" si="126"/>
        <v>7.0583333333333336</v>
      </c>
      <c r="D3890" s="37">
        <v>17.23</v>
      </c>
      <c r="E3890" s="33">
        <f t="shared" si="127"/>
        <v>0</v>
      </c>
    </row>
    <row r="3891" spans="1:5" x14ac:dyDescent="0.25">
      <c r="A3891" s="41">
        <v>43628</v>
      </c>
      <c r="B3891" s="29">
        <v>42.35</v>
      </c>
      <c r="C3891" s="37">
        <f t="shared" si="126"/>
        <v>7.0583333333333336</v>
      </c>
      <c r="D3891" s="37">
        <v>17.23</v>
      </c>
      <c r="E3891" s="33">
        <f t="shared" si="127"/>
        <v>0</v>
      </c>
    </row>
    <row r="3892" spans="1:5" x14ac:dyDescent="0.25">
      <c r="A3892" s="41">
        <v>43628</v>
      </c>
      <c r="B3892" s="29">
        <v>42.35</v>
      </c>
      <c r="C3892" s="37">
        <f t="shared" si="126"/>
        <v>7.0583333333333336</v>
      </c>
      <c r="D3892" s="37">
        <v>17.23</v>
      </c>
      <c r="E3892" s="33">
        <f t="shared" si="127"/>
        <v>0</v>
      </c>
    </row>
    <row r="3893" spans="1:5" x14ac:dyDescent="0.25">
      <c r="A3893" s="41">
        <v>43628</v>
      </c>
      <c r="B3893" s="29">
        <v>42.35</v>
      </c>
      <c r="C3893" s="37">
        <f t="shared" si="126"/>
        <v>7.0583333333333336</v>
      </c>
      <c r="D3893" s="37">
        <v>17.23</v>
      </c>
      <c r="E3893" s="33">
        <f t="shared" si="127"/>
        <v>0</v>
      </c>
    </row>
    <row r="3894" spans="1:5" x14ac:dyDescent="0.25">
      <c r="A3894" s="41">
        <v>43628</v>
      </c>
      <c r="B3894" s="29">
        <v>42.35</v>
      </c>
      <c r="C3894" s="37">
        <f t="shared" si="126"/>
        <v>7.0583333333333336</v>
      </c>
      <c r="D3894" s="37">
        <v>17.23</v>
      </c>
      <c r="E3894" s="33">
        <f t="shared" si="127"/>
        <v>0</v>
      </c>
    </row>
    <row r="3895" spans="1:5" x14ac:dyDescent="0.25">
      <c r="A3895" s="41">
        <v>43628</v>
      </c>
      <c r="B3895" s="29">
        <v>42.35</v>
      </c>
      <c r="C3895" s="37">
        <f t="shared" si="126"/>
        <v>7.0583333333333336</v>
      </c>
      <c r="D3895" s="37">
        <v>17.23</v>
      </c>
      <c r="E3895" s="33">
        <f t="shared" si="127"/>
        <v>0</v>
      </c>
    </row>
    <row r="3896" spans="1:5" x14ac:dyDescent="0.25">
      <c r="A3896" s="41">
        <v>43628</v>
      </c>
      <c r="B3896" s="29">
        <v>42.35</v>
      </c>
      <c r="C3896" s="37">
        <f t="shared" si="126"/>
        <v>7.0583333333333336</v>
      </c>
      <c r="D3896" s="37">
        <v>17.23</v>
      </c>
      <c r="E3896" s="33">
        <f t="shared" si="127"/>
        <v>0</v>
      </c>
    </row>
    <row r="3897" spans="1:5" x14ac:dyDescent="0.25">
      <c r="A3897" s="41">
        <v>43628</v>
      </c>
      <c r="B3897" s="29">
        <v>42.35</v>
      </c>
      <c r="C3897" s="37">
        <f t="shared" si="126"/>
        <v>7.0583333333333336</v>
      </c>
      <c r="D3897" s="37">
        <v>17.23</v>
      </c>
      <c r="E3897" s="33">
        <f t="shared" si="127"/>
        <v>0</v>
      </c>
    </row>
    <row r="3898" spans="1:5" x14ac:dyDescent="0.25">
      <c r="A3898" s="41">
        <v>43628</v>
      </c>
      <c r="B3898" s="29">
        <v>42.35</v>
      </c>
      <c r="C3898" s="37">
        <f t="shared" si="126"/>
        <v>7.0583333333333336</v>
      </c>
      <c r="D3898" s="37">
        <v>17.23</v>
      </c>
      <c r="E3898" s="33">
        <f t="shared" si="127"/>
        <v>0</v>
      </c>
    </row>
    <row r="3899" spans="1:5" x14ac:dyDescent="0.25">
      <c r="A3899" s="41">
        <v>43628</v>
      </c>
      <c r="B3899" s="29">
        <v>42.35</v>
      </c>
      <c r="C3899" s="37">
        <f t="shared" si="126"/>
        <v>7.0583333333333336</v>
      </c>
      <c r="D3899" s="37">
        <v>17.23</v>
      </c>
      <c r="E3899" s="33">
        <f t="shared" si="127"/>
        <v>0</v>
      </c>
    </row>
    <row r="3900" spans="1:5" x14ac:dyDescent="0.25">
      <c r="A3900" s="41">
        <v>43628</v>
      </c>
      <c r="B3900" s="29">
        <v>42.35</v>
      </c>
      <c r="C3900" s="37">
        <f t="shared" si="126"/>
        <v>7.0583333333333336</v>
      </c>
      <c r="D3900" s="37">
        <v>17.23</v>
      </c>
      <c r="E3900" s="33">
        <f t="shared" si="127"/>
        <v>0</v>
      </c>
    </row>
    <row r="3901" spans="1:5" x14ac:dyDescent="0.25">
      <c r="A3901" s="41">
        <v>43628</v>
      </c>
      <c r="B3901" s="29">
        <v>42.35</v>
      </c>
      <c r="C3901" s="37">
        <f t="shared" si="126"/>
        <v>7.0583333333333336</v>
      </c>
      <c r="D3901" s="37">
        <v>17.23</v>
      </c>
      <c r="E3901" s="33">
        <f t="shared" si="127"/>
        <v>0</v>
      </c>
    </row>
    <row r="3902" spans="1:5" x14ac:dyDescent="0.25">
      <c r="A3902" s="41">
        <v>43628</v>
      </c>
      <c r="B3902" s="29">
        <v>42.35</v>
      </c>
      <c r="C3902" s="37">
        <f t="shared" si="126"/>
        <v>7.0583333333333336</v>
      </c>
      <c r="D3902" s="37">
        <v>17.23</v>
      </c>
      <c r="E3902" s="33">
        <f t="shared" si="127"/>
        <v>0</v>
      </c>
    </row>
    <row r="3903" spans="1:5" x14ac:dyDescent="0.25">
      <c r="A3903" s="41">
        <v>43628</v>
      </c>
      <c r="B3903" s="29">
        <v>42.35</v>
      </c>
      <c r="C3903" s="37">
        <f t="shared" si="126"/>
        <v>7.0583333333333336</v>
      </c>
      <c r="D3903" s="37">
        <v>17.23</v>
      </c>
      <c r="E3903" s="33">
        <f t="shared" si="127"/>
        <v>0</v>
      </c>
    </row>
    <row r="3904" spans="1:5" x14ac:dyDescent="0.25">
      <c r="A3904" s="41">
        <v>43628</v>
      </c>
      <c r="B3904" s="29">
        <v>42.35</v>
      </c>
      <c r="C3904" s="37">
        <f t="shared" si="126"/>
        <v>7.0583333333333336</v>
      </c>
      <c r="D3904" s="37">
        <v>17.23</v>
      </c>
      <c r="E3904" s="33">
        <f t="shared" si="127"/>
        <v>0</v>
      </c>
    </row>
    <row r="3905" spans="1:5" x14ac:dyDescent="0.25">
      <c r="A3905" s="41">
        <v>43628</v>
      </c>
      <c r="B3905" s="29">
        <v>42.35</v>
      </c>
      <c r="C3905" s="37">
        <f t="shared" si="126"/>
        <v>7.0583333333333336</v>
      </c>
      <c r="D3905" s="37">
        <v>17.23</v>
      </c>
      <c r="E3905" s="33">
        <f t="shared" si="127"/>
        <v>0</v>
      </c>
    </row>
    <row r="3906" spans="1:5" x14ac:dyDescent="0.25">
      <c r="A3906" s="41">
        <v>43628</v>
      </c>
      <c r="B3906" s="29">
        <v>42.35</v>
      </c>
      <c r="C3906" s="37">
        <f t="shared" si="126"/>
        <v>7.0583333333333336</v>
      </c>
      <c r="D3906" s="37">
        <v>17.23</v>
      </c>
      <c r="E3906" s="33">
        <f t="shared" si="127"/>
        <v>0</v>
      </c>
    </row>
    <row r="3907" spans="1:5" x14ac:dyDescent="0.25">
      <c r="A3907" s="41">
        <v>43628</v>
      </c>
      <c r="B3907" s="29">
        <v>42.35</v>
      </c>
      <c r="C3907" s="37">
        <f t="shared" ref="C3907:C3970" si="128">(B3907*100/600)</f>
        <v>7.0583333333333336</v>
      </c>
      <c r="D3907" s="37">
        <v>17.23</v>
      </c>
      <c r="E3907" s="33">
        <f t="shared" si="127"/>
        <v>0</v>
      </c>
    </row>
    <row r="3908" spans="1:5" x14ac:dyDescent="0.25">
      <c r="A3908" s="41">
        <v>43628</v>
      </c>
      <c r="B3908" s="29">
        <v>42.35</v>
      </c>
      <c r="C3908" s="37">
        <f t="shared" si="128"/>
        <v>7.0583333333333336</v>
      </c>
      <c r="D3908" s="37">
        <v>17.23</v>
      </c>
      <c r="E3908" s="33">
        <f t="shared" ref="E3908:E3971" si="129">(B3908-B3907)/B3907</f>
        <v>0</v>
      </c>
    </row>
    <row r="3909" spans="1:5" x14ac:dyDescent="0.25">
      <c r="A3909" s="41">
        <v>43628</v>
      </c>
      <c r="B3909" s="29">
        <v>42.35</v>
      </c>
      <c r="C3909" s="37">
        <f t="shared" si="128"/>
        <v>7.0583333333333336</v>
      </c>
      <c r="D3909" s="37">
        <v>17.23</v>
      </c>
      <c r="E3909" s="33">
        <f t="shared" si="129"/>
        <v>0</v>
      </c>
    </row>
    <row r="3910" spans="1:5" x14ac:dyDescent="0.25">
      <c r="A3910" s="41">
        <v>43628</v>
      </c>
      <c r="B3910" s="29">
        <v>42.35</v>
      </c>
      <c r="C3910" s="37">
        <f t="shared" si="128"/>
        <v>7.0583333333333336</v>
      </c>
      <c r="D3910" s="37">
        <v>17.23</v>
      </c>
      <c r="E3910" s="33">
        <f t="shared" si="129"/>
        <v>0</v>
      </c>
    </row>
    <row r="3911" spans="1:5" x14ac:dyDescent="0.25">
      <c r="A3911" s="41">
        <v>43628</v>
      </c>
      <c r="B3911" s="29">
        <v>42.35</v>
      </c>
      <c r="C3911" s="37">
        <f t="shared" si="128"/>
        <v>7.0583333333333336</v>
      </c>
      <c r="D3911" s="37">
        <v>17.23</v>
      </c>
      <c r="E3911" s="33">
        <f t="shared" si="129"/>
        <v>0</v>
      </c>
    </row>
    <row r="3912" spans="1:5" x14ac:dyDescent="0.25">
      <c r="A3912" s="41">
        <v>43628</v>
      </c>
      <c r="B3912" s="29">
        <v>42.35</v>
      </c>
      <c r="C3912" s="37">
        <f t="shared" si="128"/>
        <v>7.0583333333333336</v>
      </c>
      <c r="D3912" s="37">
        <v>17.23</v>
      </c>
      <c r="E3912" s="33">
        <f t="shared" si="129"/>
        <v>0</v>
      </c>
    </row>
    <row r="3913" spans="1:5" x14ac:dyDescent="0.25">
      <c r="A3913" s="41">
        <v>43628</v>
      </c>
      <c r="B3913" s="29">
        <v>42.35</v>
      </c>
      <c r="C3913" s="37">
        <f t="shared" si="128"/>
        <v>7.0583333333333336</v>
      </c>
      <c r="D3913" s="37">
        <v>17.23</v>
      </c>
      <c r="E3913" s="33">
        <f t="shared" si="129"/>
        <v>0</v>
      </c>
    </row>
    <row r="3914" spans="1:5" x14ac:dyDescent="0.25">
      <c r="A3914" s="41">
        <v>43629</v>
      </c>
      <c r="B3914" s="29">
        <v>42.35</v>
      </c>
      <c r="C3914" s="37">
        <f t="shared" si="128"/>
        <v>7.0583333333333336</v>
      </c>
      <c r="D3914" s="37">
        <v>16.494</v>
      </c>
      <c r="E3914" s="33">
        <f t="shared" si="129"/>
        <v>0</v>
      </c>
    </row>
    <row r="3915" spans="1:5" x14ac:dyDescent="0.25">
      <c r="A3915" s="41">
        <v>43629</v>
      </c>
      <c r="B3915" s="29">
        <v>42.35</v>
      </c>
      <c r="C3915" s="37">
        <f t="shared" si="128"/>
        <v>7.0583333333333336</v>
      </c>
      <c r="D3915" s="37">
        <v>16.494</v>
      </c>
      <c r="E3915" s="33">
        <f t="shared" si="129"/>
        <v>0</v>
      </c>
    </row>
    <row r="3916" spans="1:5" x14ac:dyDescent="0.25">
      <c r="A3916" s="41">
        <v>43629</v>
      </c>
      <c r="B3916" s="29">
        <v>42.35</v>
      </c>
      <c r="C3916" s="37">
        <f t="shared" si="128"/>
        <v>7.0583333333333336</v>
      </c>
      <c r="D3916" s="37">
        <v>16.494</v>
      </c>
      <c r="E3916" s="33">
        <f t="shared" si="129"/>
        <v>0</v>
      </c>
    </row>
    <row r="3917" spans="1:5" x14ac:dyDescent="0.25">
      <c r="A3917" s="41">
        <v>43629</v>
      </c>
      <c r="B3917" s="29">
        <v>42.35</v>
      </c>
      <c r="C3917" s="37">
        <f t="shared" si="128"/>
        <v>7.0583333333333336</v>
      </c>
      <c r="D3917" s="37">
        <v>16.494</v>
      </c>
      <c r="E3917" s="33">
        <f t="shared" si="129"/>
        <v>0</v>
      </c>
    </row>
    <row r="3918" spans="1:5" x14ac:dyDescent="0.25">
      <c r="A3918" s="41">
        <v>43629</v>
      </c>
      <c r="B3918" s="29">
        <v>42.35</v>
      </c>
      <c r="C3918" s="37">
        <f t="shared" si="128"/>
        <v>7.0583333333333336</v>
      </c>
      <c r="D3918" s="37">
        <v>16.494</v>
      </c>
      <c r="E3918" s="33">
        <f t="shared" si="129"/>
        <v>0</v>
      </c>
    </row>
    <row r="3919" spans="1:5" x14ac:dyDescent="0.25">
      <c r="A3919" s="41">
        <v>43629</v>
      </c>
      <c r="B3919" s="29">
        <v>42.35</v>
      </c>
      <c r="C3919" s="37">
        <f t="shared" si="128"/>
        <v>7.0583333333333336</v>
      </c>
      <c r="D3919" s="37">
        <v>16.494</v>
      </c>
      <c r="E3919" s="33">
        <f t="shared" si="129"/>
        <v>0</v>
      </c>
    </row>
    <row r="3920" spans="1:5" x14ac:dyDescent="0.25">
      <c r="A3920" s="41">
        <v>43629</v>
      </c>
      <c r="B3920" s="29">
        <v>42.35</v>
      </c>
      <c r="C3920" s="37">
        <f t="shared" si="128"/>
        <v>7.0583333333333336</v>
      </c>
      <c r="D3920" s="37">
        <v>16.494</v>
      </c>
      <c r="E3920" s="33">
        <f t="shared" si="129"/>
        <v>0</v>
      </c>
    </row>
    <row r="3921" spans="1:5" x14ac:dyDescent="0.25">
      <c r="A3921" s="41">
        <v>43629</v>
      </c>
      <c r="B3921" s="29">
        <v>42.35</v>
      </c>
      <c r="C3921" s="37">
        <f t="shared" si="128"/>
        <v>7.0583333333333336</v>
      </c>
      <c r="D3921" s="37">
        <v>16.494</v>
      </c>
      <c r="E3921" s="33">
        <f t="shared" si="129"/>
        <v>0</v>
      </c>
    </row>
    <row r="3922" spans="1:5" x14ac:dyDescent="0.25">
      <c r="A3922" s="41">
        <v>43629</v>
      </c>
      <c r="B3922" s="29">
        <v>42.35</v>
      </c>
      <c r="C3922" s="37">
        <f t="shared" si="128"/>
        <v>7.0583333333333336</v>
      </c>
      <c r="D3922" s="37">
        <v>16.494</v>
      </c>
      <c r="E3922" s="33">
        <f t="shared" si="129"/>
        <v>0</v>
      </c>
    </row>
    <row r="3923" spans="1:5" x14ac:dyDescent="0.25">
      <c r="A3923" s="41">
        <v>43629</v>
      </c>
      <c r="B3923" s="29">
        <v>42.35</v>
      </c>
      <c r="C3923" s="37">
        <f t="shared" si="128"/>
        <v>7.0583333333333336</v>
      </c>
      <c r="D3923" s="37">
        <v>16.494</v>
      </c>
      <c r="E3923" s="33">
        <f t="shared" si="129"/>
        <v>0</v>
      </c>
    </row>
    <row r="3924" spans="1:5" x14ac:dyDescent="0.25">
      <c r="A3924" s="41">
        <v>43629</v>
      </c>
      <c r="B3924" s="29">
        <v>42.35</v>
      </c>
      <c r="C3924" s="37">
        <f t="shared" si="128"/>
        <v>7.0583333333333336</v>
      </c>
      <c r="D3924" s="37">
        <v>16.494</v>
      </c>
      <c r="E3924" s="33">
        <f t="shared" si="129"/>
        <v>0</v>
      </c>
    </row>
    <row r="3925" spans="1:5" x14ac:dyDescent="0.25">
      <c r="A3925" s="41">
        <v>43629</v>
      </c>
      <c r="B3925" s="29">
        <v>42.35</v>
      </c>
      <c r="C3925" s="37">
        <f t="shared" si="128"/>
        <v>7.0583333333333336</v>
      </c>
      <c r="D3925" s="37">
        <v>16.494</v>
      </c>
      <c r="E3925" s="33">
        <f t="shared" si="129"/>
        <v>0</v>
      </c>
    </row>
    <row r="3926" spans="1:5" x14ac:dyDescent="0.25">
      <c r="A3926" s="41">
        <v>43629</v>
      </c>
      <c r="B3926" s="29">
        <v>42.35</v>
      </c>
      <c r="C3926" s="37">
        <f t="shared" si="128"/>
        <v>7.0583333333333336</v>
      </c>
      <c r="D3926" s="37">
        <v>16.494</v>
      </c>
      <c r="E3926" s="33">
        <f t="shared" si="129"/>
        <v>0</v>
      </c>
    </row>
    <row r="3927" spans="1:5" x14ac:dyDescent="0.25">
      <c r="A3927" s="41">
        <v>43629</v>
      </c>
      <c r="B3927" s="29">
        <v>42.35</v>
      </c>
      <c r="C3927" s="37">
        <f t="shared" si="128"/>
        <v>7.0583333333333336</v>
      </c>
      <c r="D3927" s="37">
        <v>16.494</v>
      </c>
      <c r="E3927" s="33">
        <f t="shared" si="129"/>
        <v>0</v>
      </c>
    </row>
    <row r="3928" spans="1:5" x14ac:dyDescent="0.25">
      <c r="A3928" s="41">
        <v>43629</v>
      </c>
      <c r="B3928" s="29">
        <v>42.35</v>
      </c>
      <c r="C3928" s="37">
        <f t="shared" si="128"/>
        <v>7.0583333333333336</v>
      </c>
      <c r="D3928" s="37">
        <v>16.494</v>
      </c>
      <c r="E3928" s="33">
        <f t="shared" si="129"/>
        <v>0</v>
      </c>
    </row>
    <row r="3929" spans="1:5" x14ac:dyDescent="0.25">
      <c r="A3929" s="41">
        <v>43629</v>
      </c>
      <c r="B3929" s="29">
        <v>42.35</v>
      </c>
      <c r="C3929" s="37">
        <f t="shared" si="128"/>
        <v>7.0583333333333336</v>
      </c>
      <c r="D3929" s="37">
        <v>16.494</v>
      </c>
      <c r="E3929" s="33">
        <f t="shared" si="129"/>
        <v>0</v>
      </c>
    </row>
    <row r="3930" spans="1:5" x14ac:dyDescent="0.25">
      <c r="A3930" s="41">
        <v>43629</v>
      </c>
      <c r="B3930" s="29">
        <v>42.35</v>
      </c>
      <c r="C3930" s="37">
        <f t="shared" si="128"/>
        <v>7.0583333333333336</v>
      </c>
      <c r="D3930" s="37">
        <v>16.494</v>
      </c>
      <c r="E3930" s="33">
        <f t="shared" si="129"/>
        <v>0</v>
      </c>
    </row>
    <row r="3931" spans="1:5" x14ac:dyDescent="0.25">
      <c r="A3931" s="41">
        <v>43629</v>
      </c>
      <c r="B3931" s="29">
        <v>42.35</v>
      </c>
      <c r="C3931" s="37">
        <f t="shared" si="128"/>
        <v>7.0583333333333336</v>
      </c>
      <c r="D3931" s="37">
        <v>16.494</v>
      </c>
      <c r="E3931" s="33">
        <f t="shared" si="129"/>
        <v>0</v>
      </c>
    </row>
    <row r="3932" spans="1:5" x14ac:dyDescent="0.25">
      <c r="A3932" s="41">
        <v>43629</v>
      </c>
      <c r="B3932" s="29">
        <v>42.35</v>
      </c>
      <c r="C3932" s="37">
        <f t="shared" si="128"/>
        <v>7.0583333333333336</v>
      </c>
      <c r="D3932" s="37">
        <v>16.494</v>
      </c>
      <c r="E3932" s="33">
        <f t="shared" si="129"/>
        <v>0</v>
      </c>
    </row>
    <row r="3933" spans="1:5" x14ac:dyDescent="0.25">
      <c r="A3933" s="41">
        <v>43629</v>
      </c>
      <c r="B3933" s="29">
        <v>42.35</v>
      </c>
      <c r="C3933" s="37">
        <f t="shared" si="128"/>
        <v>7.0583333333333336</v>
      </c>
      <c r="D3933" s="37">
        <v>16.494</v>
      </c>
      <c r="E3933" s="33">
        <f t="shared" si="129"/>
        <v>0</v>
      </c>
    </row>
    <row r="3934" spans="1:5" x14ac:dyDescent="0.25">
      <c r="A3934" s="41">
        <v>43629</v>
      </c>
      <c r="B3934" s="29">
        <v>42.35</v>
      </c>
      <c r="C3934" s="37">
        <f t="shared" si="128"/>
        <v>7.0583333333333336</v>
      </c>
      <c r="D3934" s="37">
        <v>16.494</v>
      </c>
      <c r="E3934" s="33">
        <f t="shared" si="129"/>
        <v>0</v>
      </c>
    </row>
    <row r="3935" spans="1:5" x14ac:dyDescent="0.25">
      <c r="A3935" s="41">
        <v>43629</v>
      </c>
      <c r="B3935" s="29">
        <v>42.35</v>
      </c>
      <c r="C3935" s="37">
        <f t="shared" si="128"/>
        <v>7.0583333333333336</v>
      </c>
      <c r="D3935" s="37">
        <v>16.494</v>
      </c>
      <c r="E3935" s="33">
        <f t="shared" si="129"/>
        <v>0</v>
      </c>
    </row>
    <row r="3936" spans="1:5" x14ac:dyDescent="0.25">
      <c r="A3936" s="41">
        <v>43629</v>
      </c>
      <c r="B3936" s="29">
        <v>42.35</v>
      </c>
      <c r="C3936" s="37">
        <f t="shared" si="128"/>
        <v>7.0583333333333336</v>
      </c>
      <c r="D3936" s="37">
        <v>16.494</v>
      </c>
      <c r="E3936" s="33">
        <f t="shared" si="129"/>
        <v>0</v>
      </c>
    </row>
    <row r="3937" spans="1:5" x14ac:dyDescent="0.25">
      <c r="A3937" s="41">
        <v>43629</v>
      </c>
      <c r="B3937" s="29">
        <v>42.35</v>
      </c>
      <c r="C3937" s="37">
        <f t="shared" si="128"/>
        <v>7.0583333333333336</v>
      </c>
      <c r="D3937" s="37">
        <v>16.494</v>
      </c>
      <c r="E3937" s="33">
        <f t="shared" si="129"/>
        <v>0</v>
      </c>
    </row>
    <row r="3938" spans="1:5" x14ac:dyDescent="0.25">
      <c r="A3938" s="41">
        <v>43630</v>
      </c>
      <c r="B3938" s="29">
        <v>42.35</v>
      </c>
      <c r="C3938" s="37">
        <f t="shared" si="128"/>
        <v>7.0583333333333336</v>
      </c>
      <c r="D3938" s="37">
        <v>15.686999999999999</v>
      </c>
      <c r="E3938" s="33">
        <f t="shared" si="129"/>
        <v>0</v>
      </c>
    </row>
    <row r="3939" spans="1:5" x14ac:dyDescent="0.25">
      <c r="A3939" s="41">
        <v>43630</v>
      </c>
      <c r="B3939" s="29">
        <v>42.35</v>
      </c>
      <c r="C3939" s="37">
        <f t="shared" si="128"/>
        <v>7.0583333333333336</v>
      </c>
      <c r="D3939" s="37">
        <v>15.686999999999999</v>
      </c>
      <c r="E3939" s="33">
        <f t="shared" si="129"/>
        <v>0</v>
      </c>
    </row>
    <row r="3940" spans="1:5" x14ac:dyDescent="0.25">
      <c r="A3940" s="41">
        <v>43630</v>
      </c>
      <c r="B3940" s="29">
        <v>42.35</v>
      </c>
      <c r="C3940" s="37">
        <f t="shared" si="128"/>
        <v>7.0583333333333336</v>
      </c>
      <c r="D3940" s="37">
        <v>15.686999999999999</v>
      </c>
      <c r="E3940" s="33">
        <f t="shared" si="129"/>
        <v>0</v>
      </c>
    </row>
    <row r="3941" spans="1:5" x14ac:dyDescent="0.25">
      <c r="A3941" s="41">
        <v>43630</v>
      </c>
      <c r="B3941" s="29">
        <v>42.35</v>
      </c>
      <c r="C3941" s="37">
        <f t="shared" si="128"/>
        <v>7.0583333333333336</v>
      </c>
      <c r="D3941" s="37">
        <v>15.686999999999999</v>
      </c>
      <c r="E3941" s="33">
        <f t="shared" si="129"/>
        <v>0</v>
      </c>
    </row>
    <row r="3942" spans="1:5" x14ac:dyDescent="0.25">
      <c r="A3942" s="41">
        <v>43630</v>
      </c>
      <c r="B3942" s="29">
        <v>42.35</v>
      </c>
      <c r="C3942" s="37">
        <f t="shared" si="128"/>
        <v>7.0583333333333336</v>
      </c>
      <c r="D3942" s="37">
        <v>15.686999999999999</v>
      </c>
      <c r="E3942" s="33">
        <f t="shared" si="129"/>
        <v>0</v>
      </c>
    </row>
    <row r="3943" spans="1:5" x14ac:dyDescent="0.25">
      <c r="A3943" s="41">
        <v>43630</v>
      </c>
      <c r="B3943" s="29">
        <v>42.35</v>
      </c>
      <c r="C3943" s="37">
        <f t="shared" si="128"/>
        <v>7.0583333333333336</v>
      </c>
      <c r="D3943" s="37">
        <v>15.686999999999999</v>
      </c>
      <c r="E3943" s="33">
        <f t="shared" si="129"/>
        <v>0</v>
      </c>
    </row>
    <row r="3944" spans="1:5" x14ac:dyDescent="0.25">
      <c r="A3944" s="41">
        <v>43630</v>
      </c>
      <c r="B3944" s="29">
        <v>42.35</v>
      </c>
      <c r="C3944" s="37">
        <f t="shared" si="128"/>
        <v>7.0583333333333336</v>
      </c>
      <c r="D3944" s="37">
        <v>15.686999999999999</v>
      </c>
      <c r="E3944" s="33">
        <f t="shared" si="129"/>
        <v>0</v>
      </c>
    </row>
    <row r="3945" spans="1:5" x14ac:dyDescent="0.25">
      <c r="A3945" s="41">
        <v>43630</v>
      </c>
      <c r="B3945" s="29">
        <v>42.35</v>
      </c>
      <c r="C3945" s="37">
        <f t="shared" si="128"/>
        <v>7.0583333333333336</v>
      </c>
      <c r="D3945" s="37">
        <v>15.686999999999999</v>
      </c>
      <c r="E3945" s="33">
        <f t="shared" si="129"/>
        <v>0</v>
      </c>
    </row>
    <row r="3946" spans="1:5" x14ac:dyDescent="0.25">
      <c r="A3946" s="41">
        <v>43630</v>
      </c>
      <c r="B3946" s="29">
        <v>42.35</v>
      </c>
      <c r="C3946" s="37">
        <f t="shared" si="128"/>
        <v>7.0583333333333336</v>
      </c>
      <c r="D3946" s="37">
        <v>15.686999999999999</v>
      </c>
      <c r="E3946" s="33">
        <f t="shared" si="129"/>
        <v>0</v>
      </c>
    </row>
    <row r="3947" spans="1:5" x14ac:dyDescent="0.25">
      <c r="A3947" s="41">
        <v>43630</v>
      </c>
      <c r="B3947" s="29">
        <v>42.35</v>
      </c>
      <c r="C3947" s="37">
        <f t="shared" si="128"/>
        <v>7.0583333333333336</v>
      </c>
      <c r="D3947" s="37">
        <v>15.686999999999999</v>
      </c>
      <c r="E3947" s="33">
        <f t="shared" si="129"/>
        <v>0</v>
      </c>
    </row>
    <row r="3948" spans="1:5" x14ac:dyDescent="0.25">
      <c r="A3948" s="41">
        <v>43630</v>
      </c>
      <c r="B3948" s="29">
        <v>42.35</v>
      </c>
      <c r="C3948" s="37">
        <f t="shared" si="128"/>
        <v>7.0583333333333336</v>
      </c>
      <c r="D3948" s="37">
        <v>15.686999999999999</v>
      </c>
      <c r="E3948" s="33">
        <f t="shared" si="129"/>
        <v>0</v>
      </c>
    </row>
    <row r="3949" spans="1:5" x14ac:dyDescent="0.25">
      <c r="A3949" s="41">
        <v>43630</v>
      </c>
      <c r="B3949" s="29">
        <v>42.35</v>
      </c>
      <c r="C3949" s="37">
        <f t="shared" si="128"/>
        <v>7.0583333333333336</v>
      </c>
      <c r="D3949" s="37">
        <v>15.686999999999999</v>
      </c>
      <c r="E3949" s="33">
        <f t="shared" si="129"/>
        <v>0</v>
      </c>
    </row>
    <row r="3950" spans="1:5" x14ac:dyDescent="0.25">
      <c r="A3950" s="41">
        <v>43630</v>
      </c>
      <c r="B3950" s="29">
        <v>42.35</v>
      </c>
      <c r="C3950" s="37">
        <f t="shared" si="128"/>
        <v>7.0583333333333336</v>
      </c>
      <c r="D3950" s="37">
        <v>15.686999999999999</v>
      </c>
      <c r="E3950" s="33">
        <f t="shared" si="129"/>
        <v>0</v>
      </c>
    </row>
    <row r="3951" spans="1:5" x14ac:dyDescent="0.25">
      <c r="A3951" s="41">
        <v>43630</v>
      </c>
      <c r="B3951" s="29">
        <v>42.35</v>
      </c>
      <c r="C3951" s="37">
        <f t="shared" si="128"/>
        <v>7.0583333333333336</v>
      </c>
      <c r="D3951" s="37">
        <v>15.686999999999999</v>
      </c>
      <c r="E3951" s="33">
        <f t="shared" si="129"/>
        <v>0</v>
      </c>
    </row>
    <row r="3952" spans="1:5" x14ac:dyDescent="0.25">
      <c r="A3952" s="41">
        <v>43630</v>
      </c>
      <c r="B3952" s="29">
        <v>42.35</v>
      </c>
      <c r="C3952" s="37">
        <f t="shared" si="128"/>
        <v>7.0583333333333336</v>
      </c>
      <c r="D3952" s="37">
        <v>15.686999999999999</v>
      </c>
      <c r="E3952" s="33">
        <f t="shared" si="129"/>
        <v>0</v>
      </c>
    </row>
    <row r="3953" spans="1:5" x14ac:dyDescent="0.25">
      <c r="A3953" s="41">
        <v>43630</v>
      </c>
      <c r="B3953" s="29">
        <v>42.35</v>
      </c>
      <c r="C3953" s="37">
        <f t="shared" si="128"/>
        <v>7.0583333333333336</v>
      </c>
      <c r="D3953" s="37">
        <v>15.686999999999999</v>
      </c>
      <c r="E3953" s="33">
        <f t="shared" si="129"/>
        <v>0</v>
      </c>
    </row>
    <row r="3954" spans="1:5" x14ac:dyDescent="0.25">
      <c r="A3954" s="41">
        <v>43630</v>
      </c>
      <c r="B3954" s="29">
        <v>42.35</v>
      </c>
      <c r="C3954" s="37">
        <f t="shared" si="128"/>
        <v>7.0583333333333336</v>
      </c>
      <c r="D3954" s="37">
        <v>15.686999999999999</v>
      </c>
      <c r="E3954" s="33">
        <f t="shared" si="129"/>
        <v>0</v>
      </c>
    </row>
    <row r="3955" spans="1:5" x14ac:dyDescent="0.25">
      <c r="A3955" s="41">
        <v>43630</v>
      </c>
      <c r="B3955" s="29">
        <v>42.35</v>
      </c>
      <c r="C3955" s="37">
        <f t="shared" si="128"/>
        <v>7.0583333333333336</v>
      </c>
      <c r="D3955" s="37">
        <v>15.686999999999999</v>
      </c>
      <c r="E3955" s="33">
        <f t="shared" si="129"/>
        <v>0</v>
      </c>
    </row>
    <row r="3956" spans="1:5" x14ac:dyDescent="0.25">
      <c r="A3956" s="41">
        <v>43630</v>
      </c>
      <c r="B3956" s="29">
        <v>42.35</v>
      </c>
      <c r="C3956" s="37">
        <f t="shared" si="128"/>
        <v>7.0583333333333336</v>
      </c>
      <c r="D3956" s="37">
        <v>15.686999999999999</v>
      </c>
      <c r="E3956" s="33">
        <f t="shared" si="129"/>
        <v>0</v>
      </c>
    </row>
    <row r="3957" spans="1:5" x14ac:dyDescent="0.25">
      <c r="A3957" s="41">
        <v>43630</v>
      </c>
      <c r="B3957" s="29">
        <v>42.35</v>
      </c>
      <c r="C3957" s="37">
        <f t="shared" si="128"/>
        <v>7.0583333333333336</v>
      </c>
      <c r="D3957" s="37">
        <v>15.686999999999999</v>
      </c>
      <c r="E3957" s="33">
        <f t="shared" si="129"/>
        <v>0</v>
      </c>
    </row>
    <row r="3958" spans="1:5" x14ac:dyDescent="0.25">
      <c r="A3958" s="41">
        <v>43630</v>
      </c>
      <c r="B3958" s="29">
        <v>42.35</v>
      </c>
      <c r="C3958" s="37">
        <f t="shared" si="128"/>
        <v>7.0583333333333336</v>
      </c>
      <c r="D3958" s="37">
        <v>15.686999999999999</v>
      </c>
      <c r="E3958" s="33">
        <f t="shared" si="129"/>
        <v>0</v>
      </c>
    </row>
    <row r="3959" spans="1:5" x14ac:dyDescent="0.25">
      <c r="A3959" s="41">
        <v>43630</v>
      </c>
      <c r="B3959" s="29">
        <v>42.35</v>
      </c>
      <c r="C3959" s="37">
        <f t="shared" si="128"/>
        <v>7.0583333333333336</v>
      </c>
      <c r="D3959" s="37">
        <v>15.686999999999999</v>
      </c>
      <c r="E3959" s="33">
        <f t="shared" si="129"/>
        <v>0</v>
      </c>
    </row>
    <row r="3960" spans="1:5" x14ac:dyDescent="0.25">
      <c r="A3960" s="41">
        <v>43630</v>
      </c>
      <c r="B3960" s="29">
        <v>42.35</v>
      </c>
      <c r="C3960" s="37">
        <f t="shared" si="128"/>
        <v>7.0583333333333336</v>
      </c>
      <c r="D3960" s="37">
        <v>15.686999999999999</v>
      </c>
      <c r="E3960" s="33">
        <f t="shared" si="129"/>
        <v>0</v>
      </c>
    </row>
    <row r="3961" spans="1:5" x14ac:dyDescent="0.25">
      <c r="A3961" s="41">
        <v>43630</v>
      </c>
      <c r="B3961" s="29">
        <v>42.35</v>
      </c>
      <c r="C3961" s="37">
        <f t="shared" si="128"/>
        <v>7.0583333333333336</v>
      </c>
      <c r="D3961" s="37">
        <v>15.686999999999999</v>
      </c>
      <c r="E3961" s="33">
        <f t="shared" si="129"/>
        <v>0</v>
      </c>
    </row>
    <row r="3962" spans="1:5" x14ac:dyDescent="0.25">
      <c r="A3962" s="41">
        <v>43631</v>
      </c>
      <c r="B3962" s="29">
        <v>60.75</v>
      </c>
      <c r="C3962" s="37">
        <f t="shared" si="128"/>
        <v>10.125</v>
      </c>
      <c r="D3962" s="37">
        <v>14.887</v>
      </c>
      <c r="E3962" s="33">
        <f t="shared" si="129"/>
        <v>0.43447461629279804</v>
      </c>
    </row>
    <row r="3963" spans="1:5" x14ac:dyDescent="0.25">
      <c r="A3963" s="41">
        <v>43631</v>
      </c>
      <c r="B3963" s="29">
        <v>60.74</v>
      </c>
      <c r="C3963" s="37">
        <f t="shared" si="128"/>
        <v>10.123333333333333</v>
      </c>
      <c r="D3963" s="37">
        <v>14.887</v>
      </c>
      <c r="E3963" s="33">
        <f t="shared" si="129"/>
        <v>-1.6460905349790963E-4</v>
      </c>
    </row>
    <row r="3964" spans="1:5" x14ac:dyDescent="0.25">
      <c r="A3964" s="41">
        <v>43631</v>
      </c>
      <c r="B3964" s="29">
        <v>60.73</v>
      </c>
      <c r="C3964" s="37">
        <f t="shared" si="128"/>
        <v>10.121666666666666</v>
      </c>
      <c r="D3964" s="37">
        <v>14.887</v>
      </c>
      <c r="E3964" s="33">
        <f t="shared" si="129"/>
        <v>-1.6463615409952447E-4</v>
      </c>
    </row>
    <row r="3965" spans="1:5" x14ac:dyDescent="0.25">
      <c r="A3965" s="41">
        <v>43631</v>
      </c>
      <c r="B3965" s="29">
        <v>60.72</v>
      </c>
      <c r="C3965" s="37">
        <f t="shared" si="128"/>
        <v>10.119999999999999</v>
      </c>
      <c r="D3965" s="37">
        <v>14.887</v>
      </c>
      <c r="E3965" s="33">
        <f t="shared" si="129"/>
        <v>-1.646632636258523E-4</v>
      </c>
    </row>
    <row r="3966" spans="1:5" x14ac:dyDescent="0.25">
      <c r="A3966" s="41">
        <v>43631</v>
      </c>
      <c r="B3966" s="29">
        <v>60.71</v>
      </c>
      <c r="C3966" s="37">
        <f t="shared" si="128"/>
        <v>10.118333333333334</v>
      </c>
      <c r="D3966" s="37">
        <v>14.887</v>
      </c>
      <c r="E3966" s="33">
        <f t="shared" si="129"/>
        <v>-1.6469038208165367E-4</v>
      </c>
    </row>
    <row r="3967" spans="1:5" x14ac:dyDescent="0.25">
      <c r="A3967" s="41">
        <v>43631</v>
      </c>
      <c r="B3967" s="29">
        <v>60.7</v>
      </c>
      <c r="C3967" s="37">
        <f t="shared" si="128"/>
        <v>10.116666666666667</v>
      </c>
      <c r="D3967" s="37">
        <v>14.887</v>
      </c>
      <c r="E3967" s="33">
        <f t="shared" si="129"/>
        <v>-1.6471750947122401E-4</v>
      </c>
    </row>
    <row r="3968" spans="1:5" x14ac:dyDescent="0.25">
      <c r="A3968" s="41">
        <v>43631</v>
      </c>
      <c r="B3968" s="29">
        <v>60.71</v>
      </c>
      <c r="C3968" s="37">
        <f t="shared" si="128"/>
        <v>10.118333333333334</v>
      </c>
      <c r="D3968" s="37">
        <v>14.887</v>
      </c>
      <c r="E3968" s="33">
        <f t="shared" si="129"/>
        <v>1.6474464579897875E-4</v>
      </c>
    </row>
    <row r="3969" spans="1:5" x14ac:dyDescent="0.25">
      <c r="A3969" s="41">
        <v>43631</v>
      </c>
      <c r="B3969" s="29">
        <v>60.76</v>
      </c>
      <c r="C3969" s="37">
        <f t="shared" si="128"/>
        <v>10.126666666666667</v>
      </c>
      <c r="D3969" s="37">
        <v>14.887</v>
      </c>
      <c r="E3969" s="33">
        <f t="shared" si="129"/>
        <v>8.2358754735623713E-4</v>
      </c>
    </row>
    <row r="3970" spans="1:5" x14ac:dyDescent="0.25">
      <c r="A3970" s="41">
        <v>43631</v>
      </c>
      <c r="B3970" s="29">
        <v>60.92</v>
      </c>
      <c r="C3970" s="37">
        <f t="shared" si="128"/>
        <v>10.153333333333334</v>
      </c>
      <c r="D3970" s="37">
        <v>14.887</v>
      </c>
      <c r="E3970" s="33">
        <f t="shared" si="129"/>
        <v>2.6333113890718188E-3</v>
      </c>
    </row>
    <row r="3971" spans="1:5" x14ac:dyDescent="0.25">
      <c r="A3971" s="41">
        <v>43631</v>
      </c>
      <c r="B3971" s="29">
        <v>62.92</v>
      </c>
      <c r="C3971" s="37">
        <f t="shared" ref="C3971:C4034" si="130">(B3971*100/600)</f>
        <v>10.486666666666666</v>
      </c>
      <c r="D3971" s="37">
        <v>14.887</v>
      </c>
      <c r="E3971" s="33">
        <f t="shared" si="129"/>
        <v>3.2829940906106365E-2</v>
      </c>
    </row>
    <row r="3972" spans="1:5" x14ac:dyDescent="0.25">
      <c r="A3972" s="41">
        <v>43631</v>
      </c>
      <c r="B3972" s="29">
        <v>63.32</v>
      </c>
      <c r="C3972" s="37">
        <f t="shared" si="130"/>
        <v>10.553333333333333</v>
      </c>
      <c r="D3972" s="37">
        <v>14.887</v>
      </c>
      <c r="E3972" s="33">
        <f t="shared" ref="E3972:E4035" si="131">(B3972-B3971)/B3971</f>
        <v>6.3572790845517887E-3</v>
      </c>
    </row>
    <row r="3973" spans="1:5" x14ac:dyDescent="0.25">
      <c r="A3973" s="41">
        <v>43631</v>
      </c>
      <c r="B3973" s="29">
        <v>63.34</v>
      </c>
      <c r="C3973" s="37">
        <f t="shared" si="130"/>
        <v>10.556666666666667</v>
      </c>
      <c r="D3973" s="37">
        <v>14.887</v>
      </c>
      <c r="E3973" s="33">
        <f t="shared" si="131"/>
        <v>3.1585596967787627E-4</v>
      </c>
    </row>
    <row r="3974" spans="1:5" x14ac:dyDescent="0.25">
      <c r="A3974" s="41">
        <v>43631</v>
      </c>
      <c r="B3974" s="29">
        <v>63.37</v>
      </c>
      <c r="C3974" s="37">
        <f t="shared" si="130"/>
        <v>10.561666666666667</v>
      </c>
      <c r="D3974" s="37">
        <v>14.887</v>
      </c>
      <c r="E3974" s="33">
        <f t="shared" si="131"/>
        <v>4.7363435427840274E-4</v>
      </c>
    </row>
    <row r="3975" spans="1:5" x14ac:dyDescent="0.25">
      <c r="A3975" s="41">
        <v>43631</v>
      </c>
      <c r="B3975" s="29">
        <v>63.39</v>
      </c>
      <c r="C3975" s="37">
        <f t="shared" si="130"/>
        <v>10.565</v>
      </c>
      <c r="D3975" s="37">
        <v>14.887</v>
      </c>
      <c r="E3975" s="33">
        <f t="shared" si="131"/>
        <v>3.1560675398458463E-4</v>
      </c>
    </row>
    <row r="3976" spans="1:5" x14ac:dyDescent="0.25">
      <c r="A3976" s="41">
        <v>43631</v>
      </c>
      <c r="B3976" s="29">
        <v>63.59</v>
      </c>
      <c r="C3976" s="37">
        <f t="shared" si="130"/>
        <v>10.598333333333333</v>
      </c>
      <c r="D3976" s="37">
        <v>14.887</v>
      </c>
      <c r="E3976" s="33">
        <f t="shared" si="131"/>
        <v>3.1550717778829917E-3</v>
      </c>
    </row>
    <row r="3977" spans="1:5" x14ac:dyDescent="0.25">
      <c r="A3977" s="41">
        <v>43631</v>
      </c>
      <c r="B3977" s="29">
        <v>63.91</v>
      </c>
      <c r="C3977" s="37">
        <f t="shared" si="130"/>
        <v>10.651666666666667</v>
      </c>
      <c r="D3977" s="37">
        <v>14.887</v>
      </c>
      <c r="E3977" s="33">
        <f t="shared" si="131"/>
        <v>5.0322377732346778E-3</v>
      </c>
    </row>
    <row r="3978" spans="1:5" x14ac:dyDescent="0.25">
      <c r="A3978" s="41">
        <v>43631</v>
      </c>
      <c r="B3978" s="29">
        <v>64.25</v>
      </c>
      <c r="C3978" s="37">
        <f t="shared" si="130"/>
        <v>10.708333333333334</v>
      </c>
      <c r="D3978" s="37">
        <v>14.887</v>
      </c>
      <c r="E3978" s="33">
        <f t="shared" si="131"/>
        <v>5.3199812235957353E-3</v>
      </c>
    </row>
    <row r="3979" spans="1:5" x14ac:dyDescent="0.25">
      <c r="A3979" s="41">
        <v>43631</v>
      </c>
      <c r="B3979" s="29">
        <v>65.97</v>
      </c>
      <c r="C3979" s="37">
        <f t="shared" si="130"/>
        <v>10.994999999999999</v>
      </c>
      <c r="D3979" s="37">
        <v>14.887</v>
      </c>
      <c r="E3979" s="33">
        <f t="shared" si="131"/>
        <v>2.6770428015564184E-2</v>
      </c>
    </row>
    <row r="3980" spans="1:5" x14ac:dyDescent="0.25">
      <c r="A3980" s="41">
        <v>43631</v>
      </c>
      <c r="B3980" s="29">
        <v>83.85</v>
      </c>
      <c r="C3980" s="37">
        <f t="shared" si="130"/>
        <v>13.975</v>
      </c>
      <c r="D3980" s="37">
        <v>14.887</v>
      </c>
      <c r="E3980" s="33">
        <f t="shared" si="131"/>
        <v>0.2710322874033651</v>
      </c>
    </row>
    <row r="3981" spans="1:5" x14ac:dyDescent="0.25">
      <c r="A3981" s="41">
        <v>43631</v>
      </c>
      <c r="B3981" s="29">
        <v>69.66</v>
      </c>
      <c r="C3981" s="37">
        <f t="shared" si="130"/>
        <v>11.61</v>
      </c>
      <c r="D3981" s="37">
        <v>14.887</v>
      </c>
      <c r="E3981" s="33">
        <f t="shared" si="131"/>
        <v>-0.16923076923076921</v>
      </c>
    </row>
    <row r="3982" spans="1:5" x14ac:dyDescent="0.25">
      <c r="A3982" s="41">
        <v>43631</v>
      </c>
      <c r="B3982" s="29">
        <v>65.56</v>
      </c>
      <c r="C3982" s="37">
        <f t="shared" si="130"/>
        <v>10.926666666666666</v>
      </c>
      <c r="D3982" s="37">
        <v>14.887</v>
      </c>
      <c r="E3982" s="33">
        <f t="shared" si="131"/>
        <v>-5.8857306919322346E-2</v>
      </c>
    </row>
    <row r="3983" spans="1:5" x14ac:dyDescent="0.25">
      <c r="A3983" s="41">
        <v>43631</v>
      </c>
      <c r="B3983" s="29">
        <v>64.17</v>
      </c>
      <c r="C3983" s="37">
        <f t="shared" si="130"/>
        <v>10.695</v>
      </c>
      <c r="D3983" s="37">
        <v>14.887</v>
      </c>
      <c r="E3983" s="33">
        <f t="shared" si="131"/>
        <v>-2.1201952410006109E-2</v>
      </c>
    </row>
    <row r="3984" spans="1:5" x14ac:dyDescent="0.25">
      <c r="A3984" s="41">
        <v>43631</v>
      </c>
      <c r="B3984" s="29">
        <v>63.51</v>
      </c>
      <c r="C3984" s="37">
        <f t="shared" si="130"/>
        <v>10.585000000000001</v>
      </c>
      <c r="D3984" s="37">
        <v>14.887</v>
      </c>
      <c r="E3984" s="33">
        <f t="shared" si="131"/>
        <v>-1.0285179990649894E-2</v>
      </c>
    </row>
    <row r="3985" spans="1:5" x14ac:dyDescent="0.25">
      <c r="A3985" s="41">
        <v>43631</v>
      </c>
      <c r="B3985" s="29">
        <v>62.39</v>
      </c>
      <c r="C3985" s="37">
        <f t="shared" si="130"/>
        <v>10.398333333333333</v>
      </c>
      <c r="D3985" s="37">
        <v>14.887</v>
      </c>
      <c r="E3985" s="33">
        <f t="shared" si="131"/>
        <v>-1.7635018107384624E-2</v>
      </c>
    </row>
    <row r="3986" spans="1:5" x14ac:dyDescent="0.25">
      <c r="A3986" s="41">
        <v>43632</v>
      </c>
      <c r="B3986" s="29">
        <v>42.35</v>
      </c>
      <c r="C3986" s="37">
        <f t="shared" si="130"/>
        <v>7.0583333333333336</v>
      </c>
      <c r="D3986" s="37">
        <v>14.087999999999999</v>
      </c>
      <c r="E3986" s="33">
        <f t="shared" si="131"/>
        <v>-0.32120532136560342</v>
      </c>
    </row>
    <row r="3987" spans="1:5" x14ac:dyDescent="0.25">
      <c r="A3987" s="41">
        <v>43632</v>
      </c>
      <c r="B3987" s="29">
        <v>42.35</v>
      </c>
      <c r="C3987" s="37">
        <f t="shared" si="130"/>
        <v>7.0583333333333336</v>
      </c>
      <c r="D3987" s="37">
        <v>14.087999999999999</v>
      </c>
      <c r="E3987" s="33">
        <f t="shared" si="131"/>
        <v>0</v>
      </c>
    </row>
    <row r="3988" spans="1:5" x14ac:dyDescent="0.25">
      <c r="A3988" s="41">
        <v>43632</v>
      </c>
      <c r="B3988" s="29">
        <v>42.35</v>
      </c>
      <c r="C3988" s="37">
        <f t="shared" si="130"/>
        <v>7.0583333333333336</v>
      </c>
      <c r="D3988" s="37">
        <v>14.087999999999999</v>
      </c>
      <c r="E3988" s="33">
        <f t="shared" si="131"/>
        <v>0</v>
      </c>
    </row>
    <row r="3989" spans="1:5" x14ac:dyDescent="0.25">
      <c r="A3989" s="41">
        <v>43632</v>
      </c>
      <c r="B3989" s="29">
        <v>42.35</v>
      </c>
      <c r="C3989" s="37">
        <f t="shared" si="130"/>
        <v>7.0583333333333336</v>
      </c>
      <c r="D3989" s="37">
        <v>14.087999999999999</v>
      </c>
      <c r="E3989" s="33">
        <f t="shared" si="131"/>
        <v>0</v>
      </c>
    </row>
    <row r="3990" spans="1:5" x14ac:dyDescent="0.25">
      <c r="A3990" s="41">
        <v>43632</v>
      </c>
      <c r="B3990" s="29">
        <v>42.35</v>
      </c>
      <c r="C3990" s="37">
        <f t="shared" si="130"/>
        <v>7.0583333333333336</v>
      </c>
      <c r="D3990" s="37">
        <v>14.087999999999999</v>
      </c>
      <c r="E3990" s="33">
        <f t="shared" si="131"/>
        <v>0</v>
      </c>
    </row>
    <row r="3991" spans="1:5" x14ac:dyDescent="0.25">
      <c r="A3991" s="41">
        <v>43632</v>
      </c>
      <c r="B3991" s="29">
        <v>42.35</v>
      </c>
      <c r="C3991" s="37">
        <f t="shared" si="130"/>
        <v>7.0583333333333336</v>
      </c>
      <c r="D3991" s="37">
        <v>14.087999999999999</v>
      </c>
      <c r="E3991" s="33">
        <f t="shared" si="131"/>
        <v>0</v>
      </c>
    </row>
    <row r="3992" spans="1:5" x14ac:dyDescent="0.25">
      <c r="A3992" s="41">
        <v>43632</v>
      </c>
      <c r="B3992" s="29">
        <v>42.35</v>
      </c>
      <c r="C3992" s="37">
        <f t="shared" si="130"/>
        <v>7.0583333333333336</v>
      </c>
      <c r="D3992" s="37">
        <v>14.087999999999999</v>
      </c>
      <c r="E3992" s="33">
        <f t="shared" si="131"/>
        <v>0</v>
      </c>
    </row>
    <row r="3993" spans="1:5" x14ac:dyDescent="0.25">
      <c r="A3993" s="41">
        <v>43632</v>
      </c>
      <c r="B3993" s="29">
        <v>42.35</v>
      </c>
      <c r="C3993" s="37">
        <f t="shared" si="130"/>
        <v>7.0583333333333336</v>
      </c>
      <c r="D3993" s="37">
        <v>14.087999999999999</v>
      </c>
      <c r="E3993" s="33">
        <f t="shared" si="131"/>
        <v>0</v>
      </c>
    </row>
    <row r="3994" spans="1:5" x14ac:dyDescent="0.25">
      <c r="A3994" s="41">
        <v>43632</v>
      </c>
      <c r="B3994" s="29">
        <v>42.35</v>
      </c>
      <c r="C3994" s="37">
        <f t="shared" si="130"/>
        <v>7.0583333333333336</v>
      </c>
      <c r="D3994" s="37">
        <v>14.087999999999999</v>
      </c>
      <c r="E3994" s="33">
        <f t="shared" si="131"/>
        <v>0</v>
      </c>
    </row>
    <row r="3995" spans="1:5" x14ac:dyDescent="0.25">
      <c r="A3995" s="41">
        <v>43632</v>
      </c>
      <c r="B3995" s="29">
        <v>42.35</v>
      </c>
      <c r="C3995" s="37">
        <f t="shared" si="130"/>
        <v>7.0583333333333336</v>
      </c>
      <c r="D3995" s="37">
        <v>14.087999999999999</v>
      </c>
      <c r="E3995" s="33">
        <f t="shared" si="131"/>
        <v>0</v>
      </c>
    </row>
    <row r="3996" spans="1:5" x14ac:dyDescent="0.25">
      <c r="A3996" s="41">
        <v>43632</v>
      </c>
      <c r="B3996" s="29">
        <v>42.35</v>
      </c>
      <c r="C3996" s="37">
        <f t="shared" si="130"/>
        <v>7.0583333333333336</v>
      </c>
      <c r="D3996" s="37">
        <v>14.087999999999999</v>
      </c>
      <c r="E3996" s="33">
        <f t="shared" si="131"/>
        <v>0</v>
      </c>
    </row>
    <row r="3997" spans="1:5" x14ac:dyDescent="0.25">
      <c r="A3997" s="41">
        <v>43632</v>
      </c>
      <c r="B3997" s="29">
        <v>55.55</v>
      </c>
      <c r="C3997" s="37">
        <f t="shared" si="130"/>
        <v>9.2583333333333329</v>
      </c>
      <c r="D3997" s="37">
        <v>14.087999999999999</v>
      </c>
      <c r="E3997" s="33">
        <f t="shared" si="131"/>
        <v>0.31168831168831157</v>
      </c>
    </row>
    <row r="3998" spans="1:5" x14ac:dyDescent="0.25">
      <c r="A3998" s="41">
        <v>43632</v>
      </c>
      <c r="B3998" s="29">
        <v>56.03</v>
      </c>
      <c r="C3998" s="37">
        <f t="shared" si="130"/>
        <v>9.3383333333333329</v>
      </c>
      <c r="D3998" s="37">
        <v>14.087999999999999</v>
      </c>
      <c r="E3998" s="33">
        <f t="shared" si="131"/>
        <v>8.6408640864087134E-3</v>
      </c>
    </row>
    <row r="3999" spans="1:5" x14ac:dyDescent="0.25">
      <c r="A3999" s="41">
        <v>43632</v>
      </c>
      <c r="B3999" s="29">
        <v>56.18</v>
      </c>
      <c r="C3999" s="37">
        <f t="shared" si="130"/>
        <v>9.3633333333333333</v>
      </c>
      <c r="D3999" s="37">
        <v>14.087999999999999</v>
      </c>
      <c r="E3999" s="33">
        <f t="shared" si="131"/>
        <v>2.6771372479028836E-3</v>
      </c>
    </row>
    <row r="4000" spans="1:5" x14ac:dyDescent="0.25">
      <c r="A4000" s="41">
        <v>43632</v>
      </c>
      <c r="B4000" s="29">
        <v>56.41</v>
      </c>
      <c r="C4000" s="37">
        <f t="shared" si="130"/>
        <v>9.4016666666666673</v>
      </c>
      <c r="D4000" s="37">
        <v>14.087999999999999</v>
      </c>
      <c r="E4000" s="33">
        <f t="shared" si="131"/>
        <v>4.0939836240654484E-3</v>
      </c>
    </row>
    <row r="4001" spans="1:5" x14ac:dyDescent="0.25">
      <c r="A4001" s="41">
        <v>43632</v>
      </c>
      <c r="B4001" s="29">
        <v>56.6</v>
      </c>
      <c r="C4001" s="37">
        <f t="shared" si="130"/>
        <v>9.4333333333333336</v>
      </c>
      <c r="D4001" s="37">
        <v>14.087999999999999</v>
      </c>
      <c r="E4001" s="33">
        <f t="shared" si="131"/>
        <v>3.3681971281688504E-3</v>
      </c>
    </row>
    <row r="4002" spans="1:5" x14ac:dyDescent="0.25">
      <c r="A4002" s="41">
        <v>43632</v>
      </c>
      <c r="B4002" s="29">
        <v>57.43</v>
      </c>
      <c r="C4002" s="37">
        <f t="shared" si="130"/>
        <v>9.5716666666666672</v>
      </c>
      <c r="D4002" s="37">
        <v>14.087999999999999</v>
      </c>
      <c r="E4002" s="33">
        <f t="shared" si="131"/>
        <v>1.4664310954063575E-2</v>
      </c>
    </row>
    <row r="4003" spans="1:5" x14ac:dyDescent="0.25">
      <c r="A4003" s="41">
        <v>43632</v>
      </c>
      <c r="B4003" s="29">
        <v>59.29</v>
      </c>
      <c r="C4003" s="37">
        <f t="shared" si="130"/>
        <v>9.8816666666666659</v>
      </c>
      <c r="D4003" s="37">
        <v>14.087999999999999</v>
      </c>
      <c r="E4003" s="33">
        <f t="shared" si="131"/>
        <v>3.2387254048406748E-2</v>
      </c>
    </row>
    <row r="4004" spans="1:5" x14ac:dyDescent="0.25">
      <c r="A4004" s="41">
        <v>43632</v>
      </c>
      <c r="B4004" s="29">
        <v>61.5</v>
      </c>
      <c r="C4004" s="37">
        <f t="shared" si="130"/>
        <v>10.25</v>
      </c>
      <c r="D4004" s="37">
        <v>14.087999999999999</v>
      </c>
      <c r="E4004" s="33">
        <f t="shared" si="131"/>
        <v>3.7274413897790536E-2</v>
      </c>
    </row>
    <row r="4005" spans="1:5" x14ac:dyDescent="0.25">
      <c r="A4005" s="41">
        <v>43632</v>
      </c>
      <c r="B4005" s="29">
        <v>61.46</v>
      </c>
      <c r="C4005" s="37">
        <f t="shared" si="130"/>
        <v>10.243333333333334</v>
      </c>
      <c r="D4005" s="37">
        <v>14.087999999999999</v>
      </c>
      <c r="E4005" s="33">
        <f t="shared" si="131"/>
        <v>-6.5040650406502677E-4</v>
      </c>
    </row>
    <row r="4006" spans="1:5" x14ac:dyDescent="0.25">
      <c r="A4006" s="41">
        <v>43632</v>
      </c>
      <c r="B4006" s="29">
        <v>60.58</v>
      </c>
      <c r="C4006" s="37">
        <f t="shared" si="130"/>
        <v>10.096666666666666</v>
      </c>
      <c r="D4006" s="37">
        <v>14.087999999999999</v>
      </c>
      <c r="E4006" s="33">
        <f t="shared" si="131"/>
        <v>-1.4318255776114588E-2</v>
      </c>
    </row>
    <row r="4007" spans="1:5" x14ac:dyDescent="0.25">
      <c r="A4007" s="41">
        <v>43632</v>
      </c>
      <c r="B4007" s="29">
        <v>60.27</v>
      </c>
      <c r="C4007" s="37">
        <f t="shared" si="130"/>
        <v>10.045</v>
      </c>
      <c r="D4007" s="37">
        <v>14.087999999999999</v>
      </c>
      <c r="E4007" s="33">
        <f t="shared" si="131"/>
        <v>-5.1172003961702734E-3</v>
      </c>
    </row>
    <row r="4008" spans="1:5" x14ac:dyDescent="0.25">
      <c r="A4008" s="41">
        <v>43632</v>
      </c>
      <c r="B4008" s="29">
        <v>58.29</v>
      </c>
      <c r="C4008" s="37">
        <f t="shared" si="130"/>
        <v>9.7149999999999999</v>
      </c>
      <c r="D4008" s="37">
        <v>14.087999999999999</v>
      </c>
      <c r="E4008" s="33">
        <f t="shared" si="131"/>
        <v>-3.2852165256346502E-2</v>
      </c>
    </row>
    <row r="4009" spans="1:5" x14ac:dyDescent="0.25">
      <c r="A4009" s="41">
        <v>43632</v>
      </c>
      <c r="B4009" s="29">
        <v>57.27</v>
      </c>
      <c r="C4009" s="37">
        <f t="shared" si="130"/>
        <v>9.5449999999999999</v>
      </c>
      <c r="D4009" s="37">
        <v>14.087999999999999</v>
      </c>
      <c r="E4009" s="33">
        <f t="shared" si="131"/>
        <v>-1.7498713329902146E-2</v>
      </c>
    </row>
    <row r="4010" spans="1:5" x14ac:dyDescent="0.25">
      <c r="A4010" s="41">
        <v>43633</v>
      </c>
      <c r="B4010" s="29">
        <v>48.02</v>
      </c>
      <c r="C4010" s="37">
        <f t="shared" si="130"/>
        <v>8.0033333333333339</v>
      </c>
      <c r="D4010" s="37">
        <v>13.211</v>
      </c>
      <c r="E4010" s="33">
        <f t="shared" si="131"/>
        <v>-0.16151562772830452</v>
      </c>
    </row>
    <row r="4011" spans="1:5" x14ac:dyDescent="0.25">
      <c r="A4011" s="41">
        <v>43633</v>
      </c>
      <c r="B4011" s="29">
        <v>48.02</v>
      </c>
      <c r="C4011" s="37">
        <f t="shared" si="130"/>
        <v>8.0033333333333339</v>
      </c>
      <c r="D4011" s="37">
        <v>13.211</v>
      </c>
      <c r="E4011" s="33">
        <f t="shared" si="131"/>
        <v>0</v>
      </c>
    </row>
    <row r="4012" spans="1:5" x14ac:dyDescent="0.25">
      <c r="A4012" s="41">
        <v>43633</v>
      </c>
      <c r="B4012" s="29">
        <v>48.01</v>
      </c>
      <c r="C4012" s="37">
        <f t="shared" si="130"/>
        <v>8.0016666666666669</v>
      </c>
      <c r="D4012" s="37">
        <v>13.211</v>
      </c>
      <c r="E4012" s="33">
        <f t="shared" si="131"/>
        <v>-2.0824656393180166E-4</v>
      </c>
    </row>
    <row r="4013" spans="1:5" x14ac:dyDescent="0.25">
      <c r="A4013" s="41">
        <v>43633</v>
      </c>
      <c r="B4013" s="29">
        <v>48</v>
      </c>
      <c r="C4013" s="37">
        <f t="shared" si="130"/>
        <v>8</v>
      </c>
      <c r="D4013" s="37">
        <v>13.211</v>
      </c>
      <c r="E4013" s="33">
        <f t="shared" si="131"/>
        <v>-2.0828993959587608E-4</v>
      </c>
    </row>
    <row r="4014" spans="1:5" x14ac:dyDescent="0.25">
      <c r="A4014" s="41">
        <v>43633</v>
      </c>
      <c r="B4014" s="29">
        <v>47.99</v>
      </c>
      <c r="C4014" s="37">
        <f t="shared" si="130"/>
        <v>7.9983333333333331</v>
      </c>
      <c r="D4014" s="37">
        <v>13.211</v>
      </c>
      <c r="E4014" s="33">
        <f t="shared" si="131"/>
        <v>-2.0833333333329188E-4</v>
      </c>
    </row>
    <row r="4015" spans="1:5" x14ac:dyDescent="0.25">
      <c r="A4015" s="41">
        <v>43633</v>
      </c>
      <c r="B4015" s="29">
        <v>48</v>
      </c>
      <c r="C4015" s="37">
        <f t="shared" si="130"/>
        <v>8</v>
      </c>
      <c r="D4015" s="37">
        <v>13.211</v>
      </c>
      <c r="E4015" s="33">
        <f t="shared" si="131"/>
        <v>2.0837674515519921E-4</v>
      </c>
    </row>
    <row r="4016" spans="1:5" x14ac:dyDescent="0.25">
      <c r="A4016" s="41">
        <v>43633</v>
      </c>
      <c r="B4016" s="29">
        <v>66.58</v>
      </c>
      <c r="C4016" s="37">
        <f t="shared" si="130"/>
        <v>11.096666666666666</v>
      </c>
      <c r="D4016" s="37">
        <v>13.211</v>
      </c>
      <c r="E4016" s="33">
        <f t="shared" si="131"/>
        <v>0.38708333333333328</v>
      </c>
    </row>
    <row r="4017" spans="1:5" x14ac:dyDescent="0.25">
      <c r="A4017" s="41">
        <v>43633</v>
      </c>
      <c r="B4017" s="29">
        <v>74.64</v>
      </c>
      <c r="C4017" s="37">
        <f t="shared" si="130"/>
        <v>12.44</v>
      </c>
      <c r="D4017" s="37">
        <v>13.211</v>
      </c>
      <c r="E4017" s="33">
        <f t="shared" si="131"/>
        <v>0.12105737458696308</v>
      </c>
    </row>
    <row r="4018" spans="1:5" x14ac:dyDescent="0.25">
      <c r="A4018" s="41">
        <v>43633</v>
      </c>
      <c r="B4018" s="29">
        <v>80.959999999999994</v>
      </c>
      <c r="C4018" s="37">
        <f t="shared" si="130"/>
        <v>13.493333333333332</v>
      </c>
      <c r="D4018" s="37">
        <v>13.211</v>
      </c>
      <c r="E4018" s="33">
        <f t="shared" si="131"/>
        <v>8.4673097534833777E-2</v>
      </c>
    </row>
    <row r="4019" spans="1:5" x14ac:dyDescent="0.25">
      <c r="A4019" s="41">
        <v>43633</v>
      </c>
      <c r="B4019" s="29">
        <v>82.72</v>
      </c>
      <c r="C4019" s="37">
        <f t="shared" si="130"/>
        <v>13.786666666666667</v>
      </c>
      <c r="D4019" s="37">
        <v>13.211</v>
      </c>
      <c r="E4019" s="33">
        <f t="shared" si="131"/>
        <v>2.1739130434782674E-2</v>
      </c>
    </row>
    <row r="4020" spans="1:5" x14ac:dyDescent="0.25">
      <c r="A4020" s="41">
        <v>43633</v>
      </c>
      <c r="B4020" s="29">
        <v>84.06</v>
      </c>
      <c r="C4020" s="37">
        <f t="shared" si="130"/>
        <v>14.01</v>
      </c>
      <c r="D4020" s="37">
        <v>13.211</v>
      </c>
      <c r="E4020" s="33">
        <f t="shared" si="131"/>
        <v>1.6199226305609327E-2</v>
      </c>
    </row>
    <row r="4021" spans="1:5" x14ac:dyDescent="0.25">
      <c r="A4021" s="41">
        <v>43633</v>
      </c>
      <c r="B4021" s="29">
        <v>84.07</v>
      </c>
      <c r="C4021" s="37">
        <f t="shared" si="130"/>
        <v>14.011666666666667</v>
      </c>
      <c r="D4021" s="37">
        <v>13.211</v>
      </c>
      <c r="E4021" s="33">
        <f t="shared" si="131"/>
        <v>1.1896264572913282E-4</v>
      </c>
    </row>
    <row r="4022" spans="1:5" x14ac:dyDescent="0.25">
      <c r="A4022" s="41">
        <v>43633</v>
      </c>
      <c r="B4022" s="29">
        <v>84.04</v>
      </c>
      <c r="C4022" s="37">
        <f t="shared" si="130"/>
        <v>14.006666666666666</v>
      </c>
      <c r="D4022" s="37">
        <v>13.211</v>
      </c>
      <c r="E4022" s="33">
        <f t="shared" si="131"/>
        <v>-3.5684548590444781E-4</v>
      </c>
    </row>
    <row r="4023" spans="1:5" x14ac:dyDescent="0.25">
      <c r="A4023" s="41">
        <v>43633</v>
      </c>
      <c r="B4023" s="29">
        <v>84.32</v>
      </c>
      <c r="C4023" s="37">
        <f t="shared" si="130"/>
        <v>14.053333333333333</v>
      </c>
      <c r="D4023" s="37">
        <v>13.211</v>
      </c>
      <c r="E4023" s="33">
        <f t="shared" si="131"/>
        <v>3.3317467872440135E-3</v>
      </c>
    </row>
    <row r="4024" spans="1:5" x14ac:dyDescent="0.25">
      <c r="A4024" s="41">
        <v>43633</v>
      </c>
      <c r="B4024" s="29">
        <v>85.15</v>
      </c>
      <c r="C4024" s="37">
        <f t="shared" si="130"/>
        <v>14.191666666666666</v>
      </c>
      <c r="D4024" s="37">
        <v>13.211</v>
      </c>
      <c r="E4024" s="33">
        <f t="shared" si="131"/>
        <v>9.8434535104365822E-3</v>
      </c>
    </row>
    <row r="4025" spans="1:5" x14ac:dyDescent="0.25">
      <c r="A4025" s="41">
        <v>43633</v>
      </c>
      <c r="B4025" s="29">
        <v>85.19</v>
      </c>
      <c r="C4025" s="37">
        <f t="shared" si="130"/>
        <v>14.198333333333334</v>
      </c>
      <c r="D4025" s="37">
        <v>13.211</v>
      </c>
      <c r="E4025" s="33">
        <f t="shared" si="131"/>
        <v>4.6975924838510907E-4</v>
      </c>
    </row>
    <row r="4026" spans="1:5" x14ac:dyDescent="0.25">
      <c r="A4026" s="41">
        <v>43633</v>
      </c>
      <c r="B4026" s="29">
        <v>85.24</v>
      </c>
      <c r="C4026" s="37">
        <f t="shared" si="130"/>
        <v>14.206666666666667</v>
      </c>
      <c r="D4026" s="37">
        <v>13.211</v>
      </c>
      <c r="E4026" s="33">
        <f t="shared" si="131"/>
        <v>5.869233478107426E-4</v>
      </c>
    </row>
    <row r="4027" spans="1:5" x14ac:dyDescent="0.25">
      <c r="A4027" s="41">
        <v>43633</v>
      </c>
      <c r="B4027" s="29">
        <v>85.28</v>
      </c>
      <c r="C4027" s="37">
        <f t="shared" si="130"/>
        <v>14.213333333333333</v>
      </c>
      <c r="D4027" s="37">
        <v>13.211</v>
      </c>
      <c r="E4027" s="33">
        <f t="shared" si="131"/>
        <v>4.6926325668707479E-4</v>
      </c>
    </row>
    <row r="4028" spans="1:5" x14ac:dyDescent="0.25">
      <c r="A4028" s="41">
        <v>43633</v>
      </c>
      <c r="B4028" s="29">
        <v>85.39</v>
      </c>
      <c r="C4028" s="37">
        <f t="shared" si="130"/>
        <v>14.231666666666667</v>
      </c>
      <c r="D4028" s="37">
        <v>13.211</v>
      </c>
      <c r="E4028" s="33">
        <f t="shared" si="131"/>
        <v>1.2898686679174416E-3</v>
      </c>
    </row>
    <row r="4029" spans="1:5" x14ac:dyDescent="0.25">
      <c r="A4029" s="41">
        <v>43633</v>
      </c>
      <c r="B4029" s="29">
        <v>85.28</v>
      </c>
      <c r="C4029" s="37">
        <f t="shared" si="130"/>
        <v>14.213333333333333</v>
      </c>
      <c r="D4029" s="37">
        <v>13.211</v>
      </c>
      <c r="E4029" s="33">
        <f t="shared" si="131"/>
        <v>-1.2882070500058488E-3</v>
      </c>
    </row>
    <row r="4030" spans="1:5" x14ac:dyDescent="0.25">
      <c r="A4030" s="41">
        <v>43633</v>
      </c>
      <c r="B4030" s="29">
        <v>84.74</v>
      </c>
      <c r="C4030" s="37">
        <f t="shared" si="130"/>
        <v>14.123333333333333</v>
      </c>
      <c r="D4030" s="37">
        <v>13.211</v>
      </c>
      <c r="E4030" s="33">
        <f t="shared" si="131"/>
        <v>-6.3320825515948203E-3</v>
      </c>
    </row>
    <row r="4031" spans="1:5" x14ac:dyDescent="0.25">
      <c r="A4031" s="41">
        <v>43633</v>
      </c>
      <c r="B4031" s="29">
        <v>84.36</v>
      </c>
      <c r="C4031" s="37">
        <f t="shared" si="130"/>
        <v>14.06</v>
      </c>
      <c r="D4031" s="37">
        <v>13.211</v>
      </c>
      <c r="E4031" s="33">
        <f t="shared" si="131"/>
        <v>-4.484304932735373E-3</v>
      </c>
    </row>
    <row r="4032" spans="1:5" x14ac:dyDescent="0.25">
      <c r="A4032" s="41">
        <v>43633</v>
      </c>
      <c r="B4032" s="29">
        <v>83.36</v>
      </c>
      <c r="C4032" s="37">
        <f t="shared" si="130"/>
        <v>13.893333333333333</v>
      </c>
      <c r="D4032" s="37">
        <v>13.211</v>
      </c>
      <c r="E4032" s="33">
        <f t="shared" si="131"/>
        <v>-1.1853959222380275E-2</v>
      </c>
    </row>
    <row r="4033" spans="1:5" x14ac:dyDescent="0.25">
      <c r="A4033" s="41">
        <v>43633</v>
      </c>
      <c r="B4033" s="29">
        <v>80.83</v>
      </c>
      <c r="C4033" s="37">
        <f t="shared" si="130"/>
        <v>13.471666666666666</v>
      </c>
      <c r="D4033" s="37">
        <v>13.211</v>
      </c>
      <c r="E4033" s="33">
        <f t="shared" si="131"/>
        <v>-3.0350287907869495E-2</v>
      </c>
    </row>
    <row r="4034" spans="1:5" x14ac:dyDescent="0.25">
      <c r="A4034" s="41">
        <v>43634</v>
      </c>
      <c r="B4034" s="29">
        <v>70.95</v>
      </c>
      <c r="C4034" s="37">
        <f t="shared" si="130"/>
        <v>11.824999999999999</v>
      </c>
      <c r="D4034" s="37">
        <v>12.363</v>
      </c>
      <c r="E4034" s="33">
        <f t="shared" si="131"/>
        <v>-0.12223184461214891</v>
      </c>
    </row>
    <row r="4035" spans="1:5" x14ac:dyDescent="0.25">
      <c r="A4035" s="41">
        <v>43634</v>
      </c>
      <c r="B4035" s="29">
        <v>70.930000000000007</v>
      </c>
      <c r="C4035" s="37">
        <f t="shared" ref="C4035:C4098" si="132">(B4035*100/600)</f>
        <v>11.821666666666669</v>
      </c>
      <c r="D4035" s="37">
        <v>12.363</v>
      </c>
      <c r="E4035" s="33">
        <f t="shared" si="131"/>
        <v>-2.8188865398162113E-4</v>
      </c>
    </row>
    <row r="4036" spans="1:5" x14ac:dyDescent="0.25">
      <c r="A4036" s="41">
        <v>43634</v>
      </c>
      <c r="B4036" s="29">
        <v>70.92</v>
      </c>
      <c r="C4036" s="37">
        <f t="shared" si="132"/>
        <v>11.82</v>
      </c>
      <c r="D4036" s="37">
        <v>12.363</v>
      </c>
      <c r="E4036" s="33">
        <f t="shared" ref="E4036:E4099" si="133">(B4036-B4035)/B4035</f>
        <v>-1.4098406880029768E-4</v>
      </c>
    </row>
    <row r="4037" spans="1:5" x14ac:dyDescent="0.25">
      <c r="A4037" s="41">
        <v>43634</v>
      </c>
      <c r="B4037" s="29">
        <v>70.91</v>
      </c>
      <c r="C4037" s="37">
        <f t="shared" si="132"/>
        <v>11.818333333333333</v>
      </c>
      <c r="D4037" s="37">
        <v>12.363</v>
      </c>
      <c r="E4037" s="33">
        <f t="shared" si="133"/>
        <v>-1.4100394811061923E-4</v>
      </c>
    </row>
    <row r="4038" spans="1:5" x14ac:dyDescent="0.25">
      <c r="A4038" s="41">
        <v>43634</v>
      </c>
      <c r="B4038" s="29">
        <v>70.900000000000006</v>
      </c>
      <c r="C4038" s="37">
        <f t="shared" si="132"/>
        <v>11.816666666666668</v>
      </c>
      <c r="D4038" s="37">
        <v>12.363</v>
      </c>
      <c r="E4038" s="33">
        <f t="shared" si="133"/>
        <v>-1.4102383302765344E-4</v>
      </c>
    </row>
    <row r="4039" spans="1:5" x14ac:dyDescent="0.25">
      <c r="A4039" s="41">
        <v>43634</v>
      </c>
      <c r="B4039" s="29">
        <v>70.89</v>
      </c>
      <c r="C4039" s="37">
        <f t="shared" si="132"/>
        <v>11.815</v>
      </c>
      <c r="D4039" s="37">
        <v>12.363</v>
      </c>
      <c r="E4039" s="33">
        <f t="shared" si="133"/>
        <v>-1.4104372355437398E-4</v>
      </c>
    </row>
    <row r="4040" spans="1:5" x14ac:dyDescent="0.25">
      <c r="A4040" s="41">
        <v>43634</v>
      </c>
      <c r="B4040" s="29">
        <v>70.989999999999995</v>
      </c>
      <c r="C4040" s="37">
        <f t="shared" si="132"/>
        <v>11.831666666666665</v>
      </c>
      <c r="D4040" s="37">
        <v>12.363</v>
      </c>
      <c r="E4040" s="33">
        <f t="shared" si="133"/>
        <v>1.4106361969247329E-3</v>
      </c>
    </row>
    <row r="4041" spans="1:5" x14ac:dyDescent="0.25">
      <c r="A4041" s="41">
        <v>43634</v>
      </c>
      <c r="B4041" s="29">
        <v>79.819999999999993</v>
      </c>
      <c r="C4041" s="37">
        <f t="shared" si="132"/>
        <v>13.303333333333331</v>
      </c>
      <c r="D4041" s="37">
        <v>12.363</v>
      </c>
      <c r="E4041" s="33">
        <f t="shared" si="133"/>
        <v>0.12438371601634031</v>
      </c>
    </row>
    <row r="4042" spans="1:5" x14ac:dyDescent="0.25">
      <c r="A4042" s="41">
        <v>43634</v>
      </c>
      <c r="B4042" s="29">
        <v>81.05</v>
      </c>
      <c r="C4042" s="37">
        <f t="shared" si="132"/>
        <v>13.508333333333333</v>
      </c>
      <c r="D4042" s="37">
        <v>12.363</v>
      </c>
      <c r="E4042" s="33">
        <f t="shared" si="133"/>
        <v>1.5409671761463344E-2</v>
      </c>
    </row>
    <row r="4043" spans="1:5" x14ac:dyDescent="0.25">
      <c r="A4043" s="41">
        <v>43634</v>
      </c>
      <c r="B4043" s="29">
        <v>82.65</v>
      </c>
      <c r="C4043" s="37">
        <f t="shared" si="132"/>
        <v>13.775</v>
      </c>
      <c r="D4043" s="37">
        <v>12.363</v>
      </c>
      <c r="E4043" s="33">
        <f t="shared" si="133"/>
        <v>1.9740900678593565E-2</v>
      </c>
    </row>
    <row r="4044" spans="1:5" x14ac:dyDescent="0.25">
      <c r="A4044" s="41">
        <v>43634</v>
      </c>
      <c r="B4044" s="29">
        <v>84.21</v>
      </c>
      <c r="C4044" s="37">
        <f t="shared" si="132"/>
        <v>14.035</v>
      </c>
      <c r="D4044" s="37">
        <v>12.363</v>
      </c>
      <c r="E4044" s="33">
        <f t="shared" si="133"/>
        <v>1.8874773139745771E-2</v>
      </c>
    </row>
    <row r="4045" spans="1:5" x14ac:dyDescent="0.25">
      <c r="A4045" s="41">
        <v>43634</v>
      </c>
      <c r="B4045" s="29">
        <v>84.72</v>
      </c>
      <c r="C4045" s="37">
        <f t="shared" si="132"/>
        <v>14.12</v>
      </c>
      <c r="D4045" s="37">
        <v>12.363</v>
      </c>
      <c r="E4045" s="33">
        <f t="shared" si="133"/>
        <v>6.0562878517991352E-3</v>
      </c>
    </row>
    <row r="4046" spans="1:5" x14ac:dyDescent="0.25">
      <c r="A4046" s="41">
        <v>43634</v>
      </c>
      <c r="B4046" s="29">
        <v>84.54</v>
      </c>
      <c r="C4046" s="37">
        <f t="shared" si="132"/>
        <v>14.09</v>
      </c>
      <c r="D4046" s="37">
        <v>12.363</v>
      </c>
      <c r="E4046" s="33">
        <f t="shared" si="133"/>
        <v>-2.1246458923511874E-3</v>
      </c>
    </row>
    <row r="4047" spans="1:5" x14ac:dyDescent="0.25">
      <c r="A4047" s="41">
        <v>43634</v>
      </c>
      <c r="B4047" s="29">
        <v>85.39</v>
      </c>
      <c r="C4047" s="37">
        <f t="shared" si="132"/>
        <v>14.231666666666667</v>
      </c>
      <c r="D4047" s="37">
        <v>12.363</v>
      </c>
      <c r="E4047" s="33">
        <f t="shared" si="133"/>
        <v>1.0054412112609348E-2</v>
      </c>
    </row>
    <row r="4048" spans="1:5" x14ac:dyDescent="0.25">
      <c r="A4048" s="41">
        <v>43634</v>
      </c>
      <c r="B4048" s="29">
        <v>85.5</v>
      </c>
      <c r="C4048" s="37">
        <f t="shared" si="132"/>
        <v>14.25</v>
      </c>
      <c r="D4048" s="37">
        <v>12.363</v>
      </c>
      <c r="E4048" s="33">
        <f t="shared" si="133"/>
        <v>1.2882070500058488E-3</v>
      </c>
    </row>
    <row r="4049" spans="1:5" x14ac:dyDescent="0.25">
      <c r="A4049" s="41">
        <v>43634</v>
      </c>
      <c r="B4049" s="29">
        <v>85.48</v>
      </c>
      <c r="C4049" s="37">
        <f t="shared" si="132"/>
        <v>14.246666666666666</v>
      </c>
      <c r="D4049" s="37">
        <v>12.363</v>
      </c>
      <c r="E4049" s="33">
        <f t="shared" si="133"/>
        <v>-2.3391812865492423E-4</v>
      </c>
    </row>
    <row r="4050" spans="1:5" x14ac:dyDescent="0.25">
      <c r="A4050" s="41">
        <v>43634</v>
      </c>
      <c r="B4050" s="29">
        <v>85.46</v>
      </c>
      <c r="C4050" s="37">
        <f t="shared" si="132"/>
        <v>14.243333333333334</v>
      </c>
      <c r="D4050" s="37">
        <v>12.363</v>
      </c>
      <c r="E4050" s="33">
        <f t="shared" si="133"/>
        <v>-2.3397285914845847E-4</v>
      </c>
    </row>
    <row r="4051" spans="1:5" x14ac:dyDescent="0.25">
      <c r="A4051" s="41">
        <v>43634</v>
      </c>
      <c r="B4051" s="29">
        <v>85.43</v>
      </c>
      <c r="C4051" s="37">
        <f t="shared" si="132"/>
        <v>14.238333333333333</v>
      </c>
      <c r="D4051" s="37">
        <v>12.363</v>
      </c>
      <c r="E4051" s="33">
        <f t="shared" si="133"/>
        <v>-3.5104142288774784E-4</v>
      </c>
    </row>
    <row r="4052" spans="1:5" x14ac:dyDescent="0.25">
      <c r="A4052" s="41">
        <v>43634</v>
      </c>
      <c r="B4052" s="29">
        <v>85.44</v>
      </c>
      <c r="C4052" s="37">
        <f t="shared" si="132"/>
        <v>14.24</v>
      </c>
      <c r="D4052" s="37">
        <v>12.363</v>
      </c>
      <c r="E4052" s="33">
        <f t="shared" si="133"/>
        <v>1.1705489874740611E-4</v>
      </c>
    </row>
    <row r="4053" spans="1:5" x14ac:dyDescent="0.25">
      <c r="A4053" s="41">
        <v>43634</v>
      </c>
      <c r="B4053" s="29">
        <v>85.39</v>
      </c>
      <c r="C4053" s="37">
        <f t="shared" si="132"/>
        <v>14.231666666666667</v>
      </c>
      <c r="D4053" s="37">
        <v>12.363</v>
      </c>
      <c r="E4053" s="33">
        <f t="shared" si="133"/>
        <v>-5.8520599250933003E-4</v>
      </c>
    </row>
    <row r="4054" spans="1:5" x14ac:dyDescent="0.25">
      <c r="A4054" s="41">
        <v>43634</v>
      </c>
      <c r="B4054" s="29">
        <v>84.69</v>
      </c>
      <c r="C4054" s="37">
        <f t="shared" si="132"/>
        <v>14.115</v>
      </c>
      <c r="D4054" s="37">
        <v>12.363</v>
      </c>
      <c r="E4054" s="33">
        <f t="shared" si="133"/>
        <v>-8.1976812273100233E-3</v>
      </c>
    </row>
    <row r="4055" spans="1:5" x14ac:dyDescent="0.25">
      <c r="A4055" s="41">
        <v>43634</v>
      </c>
      <c r="B4055" s="29">
        <v>83.79</v>
      </c>
      <c r="C4055" s="37">
        <f t="shared" si="132"/>
        <v>13.965</v>
      </c>
      <c r="D4055" s="37">
        <v>12.363</v>
      </c>
      <c r="E4055" s="33">
        <f t="shared" si="133"/>
        <v>-1.0626992561105107E-2</v>
      </c>
    </row>
    <row r="4056" spans="1:5" x14ac:dyDescent="0.25">
      <c r="A4056" s="41">
        <v>43634</v>
      </c>
      <c r="B4056" s="29">
        <v>82.1</v>
      </c>
      <c r="C4056" s="37">
        <f t="shared" si="132"/>
        <v>13.683333333333334</v>
      </c>
      <c r="D4056" s="37">
        <v>12.363</v>
      </c>
      <c r="E4056" s="33">
        <f t="shared" si="133"/>
        <v>-2.0169471297290988E-2</v>
      </c>
    </row>
    <row r="4057" spans="1:5" x14ac:dyDescent="0.25">
      <c r="A4057" s="41">
        <v>43634</v>
      </c>
      <c r="B4057" s="29">
        <v>80.680000000000007</v>
      </c>
      <c r="C4057" s="37">
        <f t="shared" si="132"/>
        <v>13.446666666666669</v>
      </c>
      <c r="D4057" s="37">
        <v>12.363</v>
      </c>
      <c r="E4057" s="33">
        <f t="shared" si="133"/>
        <v>-1.7295980511571104E-2</v>
      </c>
    </row>
    <row r="4058" spans="1:5" x14ac:dyDescent="0.25">
      <c r="A4058" s="41">
        <v>43635</v>
      </c>
      <c r="B4058" s="29">
        <v>63.51</v>
      </c>
      <c r="C4058" s="37">
        <f t="shared" si="132"/>
        <v>10.585000000000001</v>
      </c>
      <c r="D4058" s="37">
        <v>11.257</v>
      </c>
      <c r="E4058" s="33">
        <f t="shared" si="133"/>
        <v>-0.21281606346058513</v>
      </c>
    </row>
    <row r="4059" spans="1:5" x14ac:dyDescent="0.25">
      <c r="A4059" s="41">
        <v>43635</v>
      </c>
      <c r="B4059" s="29">
        <v>63.5</v>
      </c>
      <c r="C4059" s="37">
        <f t="shared" si="132"/>
        <v>10.583333333333334</v>
      </c>
      <c r="D4059" s="37">
        <v>11.257</v>
      </c>
      <c r="E4059" s="33">
        <f t="shared" si="133"/>
        <v>-1.5745551881590316E-4</v>
      </c>
    </row>
    <row r="4060" spans="1:5" x14ac:dyDescent="0.25">
      <c r="A4060" s="41">
        <v>43635</v>
      </c>
      <c r="B4060" s="29">
        <v>63.46</v>
      </c>
      <c r="C4060" s="37">
        <f t="shared" si="132"/>
        <v>10.576666666666666</v>
      </c>
      <c r="D4060" s="37">
        <v>11.257</v>
      </c>
      <c r="E4060" s="33">
        <f t="shared" si="133"/>
        <v>-6.2992125984250621E-4</v>
      </c>
    </row>
    <row r="4061" spans="1:5" x14ac:dyDescent="0.25">
      <c r="A4061" s="41">
        <v>43635</v>
      </c>
      <c r="B4061" s="29">
        <v>63.47</v>
      </c>
      <c r="C4061" s="37">
        <f t="shared" si="132"/>
        <v>10.578333333333333</v>
      </c>
      <c r="D4061" s="37">
        <v>11.257</v>
      </c>
      <c r="E4061" s="33">
        <f t="shared" si="133"/>
        <v>1.5757957768670045E-4</v>
      </c>
    </row>
    <row r="4062" spans="1:5" x14ac:dyDescent="0.25">
      <c r="A4062" s="41">
        <v>43635</v>
      </c>
      <c r="B4062" s="29">
        <v>63.47</v>
      </c>
      <c r="C4062" s="37">
        <f t="shared" si="132"/>
        <v>10.578333333333333</v>
      </c>
      <c r="D4062" s="37">
        <v>11.257</v>
      </c>
      <c r="E4062" s="33">
        <f t="shared" si="133"/>
        <v>0</v>
      </c>
    </row>
    <row r="4063" spans="1:5" x14ac:dyDescent="0.25">
      <c r="A4063" s="41">
        <v>43635</v>
      </c>
      <c r="B4063" s="29">
        <v>63.5</v>
      </c>
      <c r="C4063" s="37">
        <f t="shared" si="132"/>
        <v>10.583333333333334</v>
      </c>
      <c r="D4063" s="37">
        <v>11.257</v>
      </c>
      <c r="E4063" s="33">
        <f t="shared" si="133"/>
        <v>4.7266425082718034E-4</v>
      </c>
    </row>
    <row r="4064" spans="1:5" x14ac:dyDescent="0.25">
      <c r="A4064" s="41">
        <v>43635</v>
      </c>
      <c r="B4064" s="29">
        <v>70.89</v>
      </c>
      <c r="C4064" s="37">
        <f t="shared" si="132"/>
        <v>11.815</v>
      </c>
      <c r="D4064" s="37">
        <v>11.257</v>
      </c>
      <c r="E4064" s="33">
        <f t="shared" si="133"/>
        <v>0.11637795275590553</v>
      </c>
    </row>
    <row r="4065" spans="1:5" x14ac:dyDescent="0.25">
      <c r="A4065" s="41">
        <v>43635</v>
      </c>
      <c r="B4065" s="29">
        <v>77.760000000000005</v>
      </c>
      <c r="C4065" s="37">
        <f t="shared" si="132"/>
        <v>12.96</v>
      </c>
      <c r="D4065" s="37">
        <v>11.257</v>
      </c>
      <c r="E4065" s="33">
        <f t="shared" si="133"/>
        <v>9.6910706728734725E-2</v>
      </c>
    </row>
    <row r="4066" spans="1:5" x14ac:dyDescent="0.25">
      <c r="A4066" s="41">
        <v>43635</v>
      </c>
      <c r="B4066" s="29">
        <v>79.53</v>
      </c>
      <c r="C4066" s="37">
        <f t="shared" si="132"/>
        <v>13.255000000000001</v>
      </c>
      <c r="D4066" s="37">
        <v>11.257</v>
      </c>
      <c r="E4066" s="33">
        <f t="shared" si="133"/>
        <v>2.2762345679012294E-2</v>
      </c>
    </row>
    <row r="4067" spans="1:5" x14ac:dyDescent="0.25">
      <c r="A4067" s="41">
        <v>43635</v>
      </c>
      <c r="B4067" s="29">
        <v>80.78</v>
      </c>
      <c r="C4067" s="37">
        <f t="shared" si="132"/>
        <v>13.463333333333333</v>
      </c>
      <c r="D4067" s="37">
        <v>11.257</v>
      </c>
      <c r="E4067" s="33">
        <f t="shared" si="133"/>
        <v>1.571733936879165E-2</v>
      </c>
    </row>
    <row r="4068" spans="1:5" x14ac:dyDescent="0.25">
      <c r="A4068" s="41">
        <v>43635</v>
      </c>
      <c r="B4068" s="29">
        <v>82.05</v>
      </c>
      <c r="C4068" s="37">
        <f t="shared" si="132"/>
        <v>13.675000000000001</v>
      </c>
      <c r="D4068" s="37">
        <v>11.257</v>
      </c>
      <c r="E4068" s="33">
        <f t="shared" si="133"/>
        <v>1.5721713295370091E-2</v>
      </c>
    </row>
    <row r="4069" spans="1:5" x14ac:dyDescent="0.25">
      <c r="A4069" s="41">
        <v>43635</v>
      </c>
      <c r="B4069" s="29">
        <v>82.18</v>
      </c>
      <c r="C4069" s="37">
        <f t="shared" si="132"/>
        <v>13.696666666666667</v>
      </c>
      <c r="D4069" s="37">
        <v>11.257</v>
      </c>
      <c r="E4069" s="33">
        <f t="shared" si="133"/>
        <v>1.5843997562463091E-3</v>
      </c>
    </row>
    <row r="4070" spans="1:5" x14ac:dyDescent="0.25">
      <c r="A4070" s="41">
        <v>43635</v>
      </c>
      <c r="B4070" s="29">
        <v>82.1</v>
      </c>
      <c r="C4070" s="37">
        <f t="shared" si="132"/>
        <v>13.683333333333334</v>
      </c>
      <c r="D4070" s="37">
        <v>11.257</v>
      </c>
      <c r="E4070" s="33">
        <f t="shared" si="133"/>
        <v>-9.7347286444405569E-4</v>
      </c>
    </row>
    <row r="4071" spans="1:5" x14ac:dyDescent="0.25">
      <c r="A4071" s="41">
        <v>43635</v>
      </c>
      <c r="B4071" s="29">
        <v>82.35</v>
      </c>
      <c r="C4071" s="37">
        <f t="shared" si="132"/>
        <v>13.725</v>
      </c>
      <c r="D4071" s="37">
        <v>11.257</v>
      </c>
      <c r="E4071" s="33">
        <f t="shared" si="133"/>
        <v>3.0450669914738127E-3</v>
      </c>
    </row>
    <row r="4072" spans="1:5" x14ac:dyDescent="0.25">
      <c r="A4072" s="41">
        <v>43635</v>
      </c>
      <c r="B4072" s="29">
        <v>82.35</v>
      </c>
      <c r="C4072" s="37">
        <f t="shared" si="132"/>
        <v>13.725</v>
      </c>
      <c r="D4072" s="37">
        <v>11.257</v>
      </c>
      <c r="E4072" s="33">
        <f t="shared" si="133"/>
        <v>0</v>
      </c>
    </row>
    <row r="4073" spans="1:5" x14ac:dyDescent="0.25">
      <c r="A4073" s="41">
        <v>43635</v>
      </c>
      <c r="B4073" s="29">
        <v>82.33</v>
      </c>
      <c r="C4073" s="37">
        <f t="shared" si="132"/>
        <v>13.721666666666666</v>
      </c>
      <c r="D4073" s="37">
        <v>11.257</v>
      </c>
      <c r="E4073" s="33">
        <f t="shared" si="133"/>
        <v>-2.4286581663626015E-4</v>
      </c>
    </row>
    <row r="4074" spans="1:5" x14ac:dyDescent="0.25">
      <c r="A4074" s="41">
        <v>43635</v>
      </c>
      <c r="B4074" s="29">
        <v>82.31</v>
      </c>
      <c r="C4074" s="37">
        <f t="shared" si="132"/>
        <v>13.718333333333334</v>
      </c>
      <c r="D4074" s="37">
        <v>11.257</v>
      </c>
      <c r="E4074" s="33">
        <f t="shared" si="133"/>
        <v>-2.4292481476978042E-4</v>
      </c>
    </row>
    <row r="4075" spans="1:5" x14ac:dyDescent="0.25">
      <c r="A4075" s="41">
        <v>43635</v>
      </c>
      <c r="B4075" s="29">
        <v>82.28</v>
      </c>
      <c r="C4075" s="37">
        <f t="shared" si="132"/>
        <v>13.713333333333333</v>
      </c>
      <c r="D4075" s="37">
        <v>11.257</v>
      </c>
      <c r="E4075" s="33">
        <f t="shared" si="133"/>
        <v>-3.6447576236181675E-4</v>
      </c>
    </row>
    <row r="4076" spans="1:5" x14ac:dyDescent="0.25">
      <c r="A4076" s="41">
        <v>43635</v>
      </c>
      <c r="B4076" s="29">
        <v>82.26</v>
      </c>
      <c r="C4076" s="37">
        <f t="shared" si="132"/>
        <v>13.71</v>
      </c>
      <c r="D4076" s="37">
        <v>11.257</v>
      </c>
      <c r="E4076" s="33">
        <f t="shared" si="133"/>
        <v>-2.4307243558575621E-4</v>
      </c>
    </row>
    <row r="4077" spans="1:5" x14ac:dyDescent="0.25">
      <c r="A4077" s="41">
        <v>43635</v>
      </c>
      <c r="B4077" s="29">
        <v>82.24</v>
      </c>
      <c r="C4077" s="37">
        <f t="shared" si="132"/>
        <v>13.706666666666667</v>
      </c>
      <c r="D4077" s="37">
        <v>11.257</v>
      </c>
      <c r="E4077" s="33">
        <f t="shared" si="133"/>
        <v>-2.4313153416010493E-4</v>
      </c>
    </row>
    <row r="4078" spans="1:5" x14ac:dyDescent="0.25">
      <c r="A4078" s="41">
        <v>43635</v>
      </c>
      <c r="B4078" s="29">
        <v>81.93</v>
      </c>
      <c r="C4078" s="37">
        <f t="shared" si="132"/>
        <v>13.654999999999999</v>
      </c>
      <c r="D4078" s="37">
        <v>11.257</v>
      </c>
      <c r="E4078" s="33">
        <f t="shared" si="133"/>
        <v>-3.7694552529181431E-3</v>
      </c>
    </row>
    <row r="4079" spans="1:5" x14ac:dyDescent="0.25">
      <c r="A4079" s="41">
        <v>43635</v>
      </c>
      <c r="B4079" s="29">
        <v>80.88</v>
      </c>
      <c r="C4079" s="37">
        <f t="shared" si="132"/>
        <v>13.48</v>
      </c>
      <c r="D4079" s="37">
        <v>11.257</v>
      </c>
      <c r="E4079" s="33">
        <f t="shared" si="133"/>
        <v>-1.2815818381545359E-2</v>
      </c>
    </row>
    <row r="4080" spans="1:5" x14ac:dyDescent="0.25">
      <c r="A4080" s="41">
        <v>43635</v>
      </c>
      <c r="B4080" s="29">
        <v>80.02</v>
      </c>
      <c r="C4080" s="37">
        <f t="shared" si="132"/>
        <v>13.336666666666666</v>
      </c>
      <c r="D4080" s="37">
        <v>11.257</v>
      </c>
      <c r="E4080" s="33">
        <f t="shared" si="133"/>
        <v>-1.0633036597428282E-2</v>
      </c>
    </row>
    <row r="4081" spans="1:5" x14ac:dyDescent="0.25">
      <c r="A4081" s="41">
        <v>43635</v>
      </c>
      <c r="B4081" s="29">
        <v>77.7</v>
      </c>
      <c r="C4081" s="37">
        <f t="shared" si="132"/>
        <v>12.95</v>
      </c>
      <c r="D4081" s="37">
        <v>11.257</v>
      </c>
      <c r="E4081" s="33">
        <f t="shared" si="133"/>
        <v>-2.8992751812046906E-2</v>
      </c>
    </row>
    <row r="4082" spans="1:5" x14ac:dyDescent="0.25">
      <c r="A4082" s="41">
        <v>43636</v>
      </c>
      <c r="B4082" s="29">
        <v>52.27</v>
      </c>
      <c r="C4082" s="37">
        <f t="shared" si="132"/>
        <v>8.711666666666666</v>
      </c>
      <c r="D4082" s="37">
        <v>10.026</v>
      </c>
      <c r="E4082" s="33">
        <f t="shared" si="133"/>
        <v>-0.32728442728442725</v>
      </c>
    </row>
    <row r="4083" spans="1:5" x14ac:dyDescent="0.25">
      <c r="A4083" s="41">
        <v>43636</v>
      </c>
      <c r="B4083" s="29">
        <v>51.62</v>
      </c>
      <c r="C4083" s="37">
        <f t="shared" si="132"/>
        <v>8.6033333333333335</v>
      </c>
      <c r="D4083" s="37">
        <v>10.026</v>
      </c>
      <c r="E4083" s="33">
        <f t="shared" si="133"/>
        <v>-1.2435431413813003E-2</v>
      </c>
    </row>
    <row r="4084" spans="1:5" x14ac:dyDescent="0.25">
      <c r="A4084" s="41">
        <v>43636</v>
      </c>
      <c r="B4084" s="29">
        <v>51.61</v>
      </c>
      <c r="C4084" s="37">
        <f t="shared" si="132"/>
        <v>8.6016666666666666</v>
      </c>
      <c r="D4084" s="37">
        <v>10.026</v>
      </c>
      <c r="E4084" s="33">
        <f t="shared" si="133"/>
        <v>-1.9372336303754379E-4</v>
      </c>
    </row>
    <row r="4085" spans="1:5" x14ac:dyDescent="0.25">
      <c r="A4085" s="41">
        <v>43636</v>
      </c>
      <c r="B4085" s="29">
        <v>51.6</v>
      </c>
      <c r="C4085" s="37">
        <f t="shared" si="132"/>
        <v>8.6</v>
      </c>
      <c r="D4085" s="37">
        <v>10.026</v>
      </c>
      <c r="E4085" s="33">
        <f t="shared" si="133"/>
        <v>-1.9376089905053304E-4</v>
      </c>
    </row>
    <row r="4086" spans="1:5" x14ac:dyDescent="0.25">
      <c r="A4086" s="41">
        <v>43636</v>
      </c>
      <c r="B4086" s="29">
        <v>51.59</v>
      </c>
      <c r="C4086" s="37">
        <f t="shared" si="132"/>
        <v>8.5983333333333327</v>
      </c>
      <c r="D4086" s="37">
        <v>10.026</v>
      </c>
      <c r="E4086" s="33">
        <f t="shared" si="133"/>
        <v>-1.9379844961236453E-4</v>
      </c>
    </row>
    <row r="4087" spans="1:5" x14ac:dyDescent="0.25">
      <c r="A4087" s="41">
        <v>43636</v>
      </c>
      <c r="B4087" s="29">
        <v>51.57</v>
      </c>
      <c r="C4087" s="37">
        <f t="shared" si="132"/>
        <v>8.5950000000000006</v>
      </c>
      <c r="D4087" s="37">
        <v>10.026</v>
      </c>
      <c r="E4087" s="33">
        <f t="shared" si="133"/>
        <v>-3.8767202946313482E-4</v>
      </c>
    </row>
    <row r="4088" spans="1:5" x14ac:dyDescent="0.25">
      <c r="A4088" s="41">
        <v>43636</v>
      </c>
      <c r="B4088" s="29">
        <v>51.57</v>
      </c>
      <c r="C4088" s="37">
        <f t="shared" si="132"/>
        <v>8.5950000000000006</v>
      </c>
      <c r="D4088" s="37">
        <v>10.026</v>
      </c>
      <c r="E4088" s="33">
        <f t="shared" si="133"/>
        <v>0</v>
      </c>
    </row>
    <row r="4089" spans="1:5" x14ac:dyDescent="0.25">
      <c r="A4089" s="41">
        <v>43636</v>
      </c>
      <c r="B4089" s="29">
        <v>51.56</v>
      </c>
      <c r="C4089" s="37">
        <f t="shared" si="132"/>
        <v>8.5933333333333337</v>
      </c>
      <c r="D4089" s="37">
        <v>10.026</v>
      </c>
      <c r="E4089" s="33">
        <f t="shared" si="133"/>
        <v>-1.9391118867554801E-4</v>
      </c>
    </row>
    <row r="4090" spans="1:5" x14ac:dyDescent="0.25">
      <c r="A4090" s="41">
        <v>43636</v>
      </c>
      <c r="B4090" s="29">
        <v>51.57</v>
      </c>
      <c r="C4090" s="37">
        <f t="shared" si="132"/>
        <v>8.5950000000000006</v>
      </c>
      <c r="D4090" s="37">
        <v>10.026</v>
      </c>
      <c r="E4090" s="33">
        <f t="shared" si="133"/>
        <v>1.9394879751741679E-4</v>
      </c>
    </row>
    <row r="4091" spans="1:5" x14ac:dyDescent="0.25">
      <c r="A4091" s="41">
        <v>43636</v>
      </c>
      <c r="B4091" s="29">
        <v>63.71</v>
      </c>
      <c r="C4091" s="37">
        <f t="shared" si="132"/>
        <v>10.618333333333334</v>
      </c>
      <c r="D4091" s="37">
        <v>10.026</v>
      </c>
      <c r="E4091" s="33">
        <f t="shared" si="133"/>
        <v>0.23540818305216213</v>
      </c>
    </row>
    <row r="4092" spans="1:5" x14ac:dyDescent="0.25">
      <c r="A4092" s="41">
        <v>43636</v>
      </c>
      <c r="B4092" s="29">
        <v>65.86</v>
      </c>
      <c r="C4092" s="37">
        <f t="shared" si="132"/>
        <v>10.976666666666667</v>
      </c>
      <c r="D4092" s="37">
        <v>10.026</v>
      </c>
      <c r="E4092" s="33">
        <f t="shared" si="133"/>
        <v>3.3746664573850234E-2</v>
      </c>
    </row>
    <row r="4093" spans="1:5" x14ac:dyDescent="0.25">
      <c r="A4093" s="41">
        <v>43636</v>
      </c>
      <c r="B4093" s="29">
        <v>67.56</v>
      </c>
      <c r="C4093" s="37">
        <f t="shared" si="132"/>
        <v>11.26</v>
      </c>
      <c r="D4093" s="37">
        <v>10.026</v>
      </c>
      <c r="E4093" s="33">
        <f t="shared" si="133"/>
        <v>2.5812329183115743E-2</v>
      </c>
    </row>
    <row r="4094" spans="1:5" x14ac:dyDescent="0.25">
      <c r="A4094" s="41">
        <v>43636</v>
      </c>
      <c r="B4094" s="29">
        <v>67.790000000000006</v>
      </c>
      <c r="C4094" s="37">
        <f t="shared" si="132"/>
        <v>11.298333333333336</v>
      </c>
      <c r="D4094" s="37">
        <v>10.026</v>
      </c>
      <c r="E4094" s="33">
        <f t="shared" si="133"/>
        <v>3.4043812907046177E-3</v>
      </c>
    </row>
    <row r="4095" spans="1:5" x14ac:dyDescent="0.25">
      <c r="A4095" s="41">
        <v>43636</v>
      </c>
      <c r="B4095" s="29">
        <v>68.02</v>
      </c>
      <c r="C4095" s="37">
        <f t="shared" si="132"/>
        <v>11.336666666666666</v>
      </c>
      <c r="D4095" s="37">
        <v>10.026</v>
      </c>
      <c r="E4095" s="33">
        <f t="shared" si="133"/>
        <v>3.3928308010029466E-3</v>
      </c>
    </row>
    <row r="4096" spans="1:5" x14ac:dyDescent="0.25">
      <c r="A4096" s="41">
        <v>43636</v>
      </c>
      <c r="B4096" s="29">
        <v>68.239999999999995</v>
      </c>
      <c r="C4096" s="37">
        <f t="shared" si="132"/>
        <v>11.373333333333331</v>
      </c>
      <c r="D4096" s="37">
        <v>10.026</v>
      </c>
      <c r="E4096" s="33">
        <f t="shared" si="133"/>
        <v>3.2343428403410596E-3</v>
      </c>
    </row>
    <row r="4097" spans="1:5" x14ac:dyDescent="0.25">
      <c r="A4097" s="41">
        <v>43636</v>
      </c>
      <c r="B4097" s="29">
        <v>68.5</v>
      </c>
      <c r="C4097" s="37">
        <f t="shared" si="132"/>
        <v>11.416666666666666</v>
      </c>
      <c r="D4097" s="37">
        <v>10.026</v>
      </c>
      <c r="E4097" s="33">
        <f t="shared" si="133"/>
        <v>3.8100820633060542E-3</v>
      </c>
    </row>
    <row r="4098" spans="1:5" x14ac:dyDescent="0.25">
      <c r="A4098" s="41">
        <v>43636</v>
      </c>
      <c r="B4098" s="29">
        <v>68.8</v>
      </c>
      <c r="C4098" s="37">
        <f t="shared" si="132"/>
        <v>11.466666666666667</v>
      </c>
      <c r="D4098" s="37">
        <v>10.026</v>
      </c>
      <c r="E4098" s="33">
        <f t="shared" si="133"/>
        <v>4.3795620437955792E-3</v>
      </c>
    </row>
    <row r="4099" spans="1:5" x14ac:dyDescent="0.25">
      <c r="A4099" s="41">
        <v>43636</v>
      </c>
      <c r="B4099" s="29">
        <v>73.62</v>
      </c>
      <c r="C4099" s="37">
        <f t="shared" ref="C4099:C4162" si="134">(B4099*100/600)</f>
        <v>12.27</v>
      </c>
      <c r="D4099" s="37">
        <v>10.026</v>
      </c>
      <c r="E4099" s="33">
        <f t="shared" si="133"/>
        <v>7.0058139534883837E-2</v>
      </c>
    </row>
    <row r="4100" spans="1:5" x14ac:dyDescent="0.25">
      <c r="A4100" s="41">
        <v>43636</v>
      </c>
      <c r="B4100" s="29">
        <v>79.540000000000006</v>
      </c>
      <c r="C4100" s="37">
        <f t="shared" si="134"/>
        <v>13.256666666666668</v>
      </c>
      <c r="D4100" s="37">
        <v>10.026</v>
      </c>
      <c r="E4100" s="33">
        <f t="shared" ref="E4100:E4163" si="135">(B4100-B4099)/B4099</f>
        <v>8.0412931268677004E-2</v>
      </c>
    </row>
    <row r="4101" spans="1:5" x14ac:dyDescent="0.25">
      <c r="A4101" s="41">
        <v>43636</v>
      </c>
      <c r="B4101" s="29">
        <v>76.91</v>
      </c>
      <c r="C4101" s="37">
        <f t="shared" si="134"/>
        <v>12.818333333333333</v>
      </c>
      <c r="D4101" s="37">
        <v>10.026</v>
      </c>
      <c r="E4101" s="33">
        <f t="shared" si="135"/>
        <v>-3.3065124465677768E-2</v>
      </c>
    </row>
    <row r="4102" spans="1:5" x14ac:dyDescent="0.25">
      <c r="A4102" s="41">
        <v>43636</v>
      </c>
      <c r="B4102" s="29">
        <v>74.569999999999993</v>
      </c>
      <c r="C4102" s="37">
        <f t="shared" si="134"/>
        <v>12.428333333333331</v>
      </c>
      <c r="D4102" s="37">
        <v>10.026</v>
      </c>
      <c r="E4102" s="33">
        <f t="shared" si="135"/>
        <v>-3.0425172279287524E-2</v>
      </c>
    </row>
    <row r="4103" spans="1:5" x14ac:dyDescent="0.25">
      <c r="A4103" s="41">
        <v>43636</v>
      </c>
      <c r="B4103" s="29">
        <v>72.66</v>
      </c>
      <c r="C4103" s="37">
        <f t="shared" si="134"/>
        <v>12.11</v>
      </c>
      <c r="D4103" s="37">
        <v>10.026</v>
      </c>
      <c r="E4103" s="33">
        <f t="shared" si="135"/>
        <v>-2.5613517500335213E-2</v>
      </c>
    </row>
    <row r="4104" spans="1:5" x14ac:dyDescent="0.25">
      <c r="A4104" s="41">
        <v>43636</v>
      </c>
      <c r="B4104" s="29">
        <v>70.45</v>
      </c>
      <c r="C4104" s="37">
        <f t="shared" si="134"/>
        <v>11.741666666666667</v>
      </c>
      <c r="D4104" s="37">
        <v>10.026</v>
      </c>
      <c r="E4104" s="33">
        <f t="shared" si="135"/>
        <v>-3.0415634461877152E-2</v>
      </c>
    </row>
    <row r="4105" spans="1:5" x14ac:dyDescent="0.25">
      <c r="A4105" s="41">
        <v>43636</v>
      </c>
      <c r="B4105" s="29">
        <v>68.680000000000007</v>
      </c>
      <c r="C4105" s="37">
        <f t="shared" si="134"/>
        <v>11.446666666666669</v>
      </c>
      <c r="D4105" s="37">
        <v>10.026</v>
      </c>
      <c r="E4105" s="33">
        <f t="shared" si="135"/>
        <v>-2.5124201561390998E-2</v>
      </c>
    </row>
    <row r="4106" spans="1:5" x14ac:dyDescent="0.25">
      <c r="A4106" s="41">
        <v>43637</v>
      </c>
      <c r="B4106" s="29">
        <v>47.65</v>
      </c>
      <c r="C4106" s="37">
        <f t="shared" si="134"/>
        <v>7.9416666666666664</v>
      </c>
      <c r="D4106" s="37">
        <v>8.7119999999999997</v>
      </c>
      <c r="E4106" s="33">
        <f t="shared" si="135"/>
        <v>-0.30620267909143867</v>
      </c>
    </row>
    <row r="4107" spans="1:5" x14ac:dyDescent="0.25">
      <c r="A4107" s="41">
        <v>43637</v>
      </c>
      <c r="B4107" s="29">
        <v>45.55</v>
      </c>
      <c r="C4107" s="37">
        <f t="shared" si="134"/>
        <v>7.5916666666666668</v>
      </c>
      <c r="D4107" s="37">
        <v>8.7119999999999997</v>
      </c>
      <c r="E4107" s="33">
        <f t="shared" si="135"/>
        <v>-4.4071353620146934E-2</v>
      </c>
    </row>
    <row r="4108" spans="1:5" x14ac:dyDescent="0.25">
      <c r="A4108" s="41">
        <v>43637</v>
      </c>
      <c r="B4108" s="29">
        <v>45.02</v>
      </c>
      <c r="C4108" s="37">
        <f t="shared" si="134"/>
        <v>7.503333333333333</v>
      </c>
      <c r="D4108" s="37">
        <v>8.7119999999999997</v>
      </c>
      <c r="E4108" s="33">
        <f t="shared" si="135"/>
        <v>-1.16355653128429E-2</v>
      </c>
    </row>
    <row r="4109" spans="1:5" x14ac:dyDescent="0.25">
      <c r="A4109" s="41">
        <v>43637</v>
      </c>
      <c r="B4109" s="29">
        <v>44.57</v>
      </c>
      <c r="C4109" s="37">
        <f t="shared" si="134"/>
        <v>7.4283333333333337</v>
      </c>
      <c r="D4109" s="37">
        <v>8.7119999999999997</v>
      </c>
      <c r="E4109" s="33">
        <f t="shared" si="135"/>
        <v>-9.9955575299867355E-3</v>
      </c>
    </row>
    <row r="4110" spans="1:5" x14ac:dyDescent="0.25">
      <c r="A4110" s="41">
        <v>43637</v>
      </c>
      <c r="B4110" s="29">
        <v>44.3</v>
      </c>
      <c r="C4110" s="37">
        <f t="shared" si="134"/>
        <v>7.3833333333333337</v>
      </c>
      <c r="D4110" s="37">
        <v>8.7119999999999997</v>
      </c>
      <c r="E4110" s="33">
        <f t="shared" si="135"/>
        <v>-6.0578864707202858E-3</v>
      </c>
    </row>
    <row r="4111" spans="1:5" x14ac:dyDescent="0.25">
      <c r="A4111" s="41">
        <v>43637</v>
      </c>
      <c r="B4111" s="29">
        <v>45.02</v>
      </c>
      <c r="C4111" s="37">
        <f t="shared" si="134"/>
        <v>7.503333333333333</v>
      </c>
      <c r="D4111" s="37">
        <v>8.7119999999999997</v>
      </c>
      <c r="E4111" s="33">
        <f t="shared" si="135"/>
        <v>1.6252821670429029E-2</v>
      </c>
    </row>
    <row r="4112" spans="1:5" x14ac:dyDescent="0.25">
      <c r="A4112" s="41">
        <v>43637</v>
      </c>
      <c r="B4112" s="29">
        <v>47.62</v>
      </c>
      <c r="C4112" s="37">
        <f t="shared" si="134"/>
        <v>7.9366666666666665</v>
      </c>
      <c r="D4112" s="37">
        <v>8.7119999999999997</v>
      </c>
      <c r="E4112" s="33">
        <f t="shared" si="135"/>
        <v>5.7752110173256203E-2</v>
      </c>
    </row>
    <row r="4113" spans="1:5" x14ac:dyDescent="0.25">
      <c r="A4113" s="41">
        <v>43637</v>
      </c>
      <c r="B4113" s="29">
        <v>63.87</v>
      </c>
      <c r="C4113" s="37">
        <f t="shared" si="134"/>
        <v>10.645</v>
      </c>
      <c r="D4113" s="37">
        <v>8.7119999999999997</v>
      </c>
      <c r="E4113" s="33">
        <f t="shared" si="135"/>
        <v>0.34124317513649727</v>
      </c>
    </row>
    <row r="4114" spans="1:5" x14ac:dyDescent="0.25">
      <c r="A4114" s="41">
        <v>43637</v>
      </c>
      <c r="B4114" s="29">
        <v>78.319999999999993</v>
      </c>
      <c r="C4114" s="37">
        <f t="shared" si="134"/>
        <v>13.053333333333331</v>
      </c>
      <c r="D4114" s="37">
        <v>8.7119999999999997</v>
      </c>
      <c r="E4114" s="33">
        <f t="shared" si="135"/>
        <v>0.22624080162830745</v>
      </c>
    </row>
    <row r="4115" spans="1:5" x14ac:dyDescent="0.25">
      <c r="A4115" s="41">
        <v>43637</v>
      </c>
      <c r="B4115" s="29">
        <v>78.8</v>
      </c>
      <c r="C4115" s="37">
        <f t="shared" si="134"/>
        <v>13.133333333333333</v>
      </c>
      <c r="D4115" s="37">
        <v>8.7119999999999997</v>
      </c>
      <c r="E4115" s="33">
        <f t="shared" si="135"/>
        <v>6.128702757916292E-3</v>
      </c>
    </row>
    <row r="4116" spans="1:5" x14ac:dyDescent="0.25">
      <c r="A4116" s="41">
        <v>43637</v>
      </c>
      <c r="B4116" s="29">
        <v>81.72</v>
      </c>
      <c r="C4116" s="37">
        <f t="shared" si="134"/>
        <v>13.62</v>
      </c>
      <c r="D4116" s="37">
        <v>8.7119999999999997</v>
      </c>
      <c r="E4116" s="33">
        <f t="shared" si="135"/>
        <v>3.70558375634518E-2</v>
      </c>
    </row>
    <row r="4117" spans="1:5" x14ac:dyDescent="0.25">
      <c r="A4117" s="41">
        <v>43637</v>
      </c>
      <c r="B4117" s="29">
        <v>81.73</v>
      </c>
      <c r="C4117" s="37">
        <f t="shared" si="134"/>
        <v>13.621666666666666</v>
      </c>
      <c r="D4117" s="37">
        <v>8.7119999999999997</v>
      </c>
      <c r="E4117" s="33">
        <f t="shared" si="135"/>
        <v>1.2236906510040523E-4</v>
      </c>
    </row>
    <row r="4118" spans="1:5" x14ac:dyDescent="0.25">
      <c r="A4118" s="41">
        <v>43637</v>
      </c>
      <c r="B4118" s="29">
        <v>81.709999999999994</v>
      </c>
      <c r="C4118" s="37">
        <f t="shared" si="134"/>
        <v>13.618333333333332</v>
      </c>
      <c r="D4118" s="37">
        <v>8.7119999999999997</v>
      </c>
      <c r="E4118" s="33">
        <f t="shared" si="135"/>
        <v>-2.4470818548892977E-4</v>
      </c>
    </row>
    <row r="4119" spans="1:5" x14ac:dyDescent="0.25">
      <c r="A4119" s="41">
        <v>43637</v>
      </c>
      <c r="B4119" s="29">
        <v>82.97</v>
      </c>
      <c r="C4119" s="37">
        <f t="shared" si="134"/>
        <v>13.828333333333333</v>
      </c>
      <c r="D4119" s="37">
        <v>8.7119999999999997</v>
      </c>
      <c r="E4119" s="33">
        <f t="shared" si="135"/>
        <v>1.5420389181250828E-2</v>
      </c>
    </row>
    <row r="4120" spans="1:5" x14ac:dyDescent="0.25">
      <c r="A4120" s="41">
        <v>43637</v>
      </c>
      <c r="B4120" s="29">
        <v>83.31</v>
      </c>
      <c r="C4120" s="37">
        <f t="shared" si="134"/>
        <v>13.885</v>
      </c>
      <c r="D4120" s="37">
        <v>8.7119999999999997</v>
      </c>
      <c r="E4120" s="33">
        <f t="shared" si="135"/>
        <v>4.0978666988068391E-3</v>
      </c>
    </row>
    <row r="4121" spans="1:5" x14ac:dyDescent="0.25">
      <c r="A4121" s="41">
        <v>43637</v>
      </c>
      <c r="B4121" s="29">
        <v>83.3</v>
      </c>
      <c r="C4121" s="37">
        <f t="shared" si="134"/>
        <v>13.883333333333333</v>
      </c>
      <c r="D4121" s="37">
        <v>8.7119999999999997</v>
      </c>
      <c r="E4121" s="33">
        <f t="shared" si="135"/>
        <v>-1.2003360941069638E-4</v>
      </c>
    </row>
    <row r="4122" spans="1:5" x14ac:dyDescent="0.25">
      <c r="A4122" s="41">
        <v>43637</v>
      </c>
      <c r="B4122" s="29">
        <v>83.3</v>
      </c>
      <c r="C4122" s="37">
        <f t="shared" si="134"/>
        <v>13.883333333333333</v>
      </c>
      <c r="D4122" s="37">
        <v>8.7119999999999997</v>
      </c>
      <c r="E4122" s="33">
        <f t="shared" si="135"/>
        <v>0</v>
      </c>
    </row>
    <row r="4123" spans="1:5" x14ac:dyDescent="0.25">
      <c r="A4123" s="41">
        <v>43637</v>
      </c>
      <c r="B4123" s="29">
        <v>83.32</v>
      </c>
      <c r="C4123" s="37">
        <f t="shared" si="134"/>
        <v>13.886666666666667</v>
      </c>
      <c r="D4123" s="37">
        <v>8.7119999999999997</v>
      </c>
      <c r="E4123" s="33">
        <f t="shared" si="135"/>
        <v>2.400960384153184E-4</v>
      </c>
    </row>
    <row r="4124" spans="1:5" x14ac:dyDescent="0.25">
      <c r="A4124" s="41">
        <v>43637</v>
      </c>
      <c r="B4124" s="29">
        <v>84.33</v>
      </c>
      <c r="C4124" s="37">
        <f t="shared" si="134"/>
        <v>14.055</v>
      </c>
      <c r="D4124" s="37">
        <v>8.7119999999999997</v>
      </c>
      <c r="E4124" s="33">
        <f t="shared" si="135"/>
        <v>1.2121939510321714E-2</v>
      </c>
    </row>
    <row r="4125" spans="1:5" x14ac:dyDescent="0.25">
      <c r="A4125" s="41">
        <v>43637</v>
      </c>
      <c r="B4125" s="29">
        <v>83.31</v>
      </c>
      <c r="C4125" s="37">
        <f t="shared" si="134"/>
        <v>13.885</v>
      </c>
      <c r="D4125" s="37">
        <v>8.7119999999999997</v>
      </c>
      <c r="E4125" s="33">
        <f t="shared" si="135"/>
        <v>-1.2095339736748442E-2</v>
      </c>
    </row>
    <row r="4126" spans="1:5" x14ac:dyDescent="0.25">
      <c r="A4126" s="41">
        <v>43637</v>
      </c>
      <c r="B4126" s="29">
        <v>83.27</v>
      </c>
      <c r="C4126" s="37">
        <f t="shared" si="134"/>
        <v>13.878333333333334</v>
      </c>
      <c r="D4126" s="37">
        <v>8.7119999999999997</v>
      </c>
      <c r="E4126" s="33">
        <f t="shared" si="135"/>
        <v>-4.8013443764261497E-4</v>
      </c>
    </row>
    <row r="4127" spans="1:5" x14ac:dyDescent="0.25">
      <c r="A4127" s="41">
        <v>43637</v>
      </c>
      <c r="B4127" s="29">
        <v>83.26</v>
      </c>
      <c r="C4127" s="37">
        <f t="shared" si="134"/>
        <v>13.876666666666667</v>
      </c>
      <c r="D4127" s="37">
        <v>8.7119999999999997</v>
      </c>
      <c r="E4127" s="33">
        <f t="shared" si="135"/>
        <v>-1.2009126936460797E-4</v>
      </c>
    </row>
    <row r="4128" spans="1:5" x14ac:dyDescent="0.25">
      <c r="A4128" s="41">
        <v>43637</v>
      </c>
      <c r="B4128" s="29">
        <v>82.81</v>
      </c>
      <c r="C4128" s="37">
        <f t="shared" si="134"/>
        <v>13.801666666666666</v>
      </c>
      <c r="D4128" s="37">
        <v>8.7119999999999997</v>
      </c>
      <c r="E4128" s="33">
        <f t="shared" si="135"/>
        <v>-5.4047561854432234E-3</v>
      </c>
    </row>
    <row r="4129" spans="1:5" x14ac:dyDescent="0.25">
      <c r="A4129" s="41">
        <v>43637</v>
      </c>
      <c r="B4129" s="29">
        <v>79.37</v>
      </c>
      <c r="C4129" s="37">
        <f t="shared" si="134"/>
        <v>13.228333333333333</v>
      </c>
      <c r="D4129" s="37">
        <v>8.7119999999999997</v>
      </c>
      <c r="E4129" s="33">
        <f t="shared" si="135"/>
        <v>-4.1540876705711841E-2</v>
      </c>
    </row>
    <row r="4130" spans="1:5" x14ac:dyDescent="0.25">
      <c r="A4130" s="41">
        <v>43638</v>
      </c>
      <c r="B4130" s="29">
        <v>66.75</v>
      </c>
      <c r="C4130" s="37">
        <f t="shared" si="134"/>
        <v>11.125</v>
      </c>
      <c r="D4130" s="37">
        <v>7.5949999999999998</v>
      </c>
      <c r="E4130" s="33">
        <f t="shared" si="135"/>
        <v>-0.15900214186720429</v>
      </c>
    </row>
    <row r="4131" spans="1:5" x14ac:dyDescent="0.25">
      <c r="A4131" s="41">
        <v>43638</v>
      </c>
      <c r="B4131" s="29">
        <v>66.739999999999995</v>
      </c>
      <c r="C4131" s="37">
        <f t="shared" si="134"/>
        <v>11.123333333333331</v>
      </c>
      <c r="D4131" s="37">
        <v>7.5949999999999998</v>
      </c>
      <c r="E4131" s="33">
        <f t="shared" si="135"/>
        <v>-1.4981273408247364E-4</v>
      </c>
    </row>
    <row r="4132" spans="1:5" x14ac:dyDescent="0.25">
      <c r="A4132" s="41">
        <v>43638</v>
      </c>
      <c r="B4132" s="29">
        <v>66.62</v>
      </c>
      <c r="C4132" s="37">
        <f t="shared" si="134"/>
        <v>11.103333333333333</v>
      </c>
      <c r="D4132" s="37">
        <v>7.5949999999999998</v>
      </c>
      <c r="E4132" s="33">
        <f t="shared" si="135"/>
        <v>-1.7980221756066879E-3</v>
      </c>
    </row>
    <row r="4133" spans="1:5" x14ac:dyDescent="0.25">
      <c r="A4133" s="41">
        <v>43638</v>
      </c>
      <c r="B4133" s="29">
        <v>66.510000000000005</v>
      </c>
      <c r="C4133" s="37">
        <f t="shared" si="134"/>
        <v>11.085000000000001</v>
      </c>
      <c r="D4133" s="37">
        <v>7.5949999999999998</v>
      </c>
      <c r="E4133" s="33">
        <f t="shared" si="135"/>
        <v>-1.6511558090663379E-3</v>
      </c>
    </row>
    <row r="4134" spans="1:5" x14ac:dyDescent="0.25">
      <c r="A4134" s="41">
        <v>43638</v>
      </c>
      <c r="B4134" s="29">
        <v>66.489999999999995</v>
      </c>
      <c r="C4134" s="37">
        <f t="shared" si="134"/>
        <v>11.081666666666665</v>
      </c>
      <c r="D4134" s="37">
        <v>7.5949999999999998</v>
      </c>
      <c r="E4134" s="33">
        <f t="shared" si="135"/>
        <v>-3.0070666065268726E-4</v>
      </c>
    </row>
    <row r="4135" spans="1:5" x14ac:dyDescent="0.25">
      <c r="A4135" s="41">
        <v>43638</v>
      </c>
      <c r="B4135" s="29">
        <v>66.540000000000006</v>
      </c>
      <c r="C4135" s="37">
        <f t="shared" si="134"/>
        <v>11.090000000000002</v>
      </c>
      <c r="D4135" s="37">
        <v>7.5949999999999998</v>
      </c>
      <c r="E4135" s="33">
        <f t="shared" si="135"/>
        <v>7.5199278086947471E-4</v>
      </c>
    </row>
    <row r="4136" spans="1:5" x14ac:dyDescent="0.25">
      <c r="A4136" s="41">
        <v>43638</v>
      </c>
      <c r="B4136" s="29">
        <v>66.59</v>
      </c>
      <c r="C4136" s="37">
        <f t="shared" si="134"/>
        <v>11.098333333333333</v>
      </c>
      <c r="D4136" s="37">
        <v>7.5949999999999998</v>
      </c>
      <c r="E4136" s="33">
        <f t="shared" si="135"/>
        <v>7.5142771265399987E-4</v>
      </c>
    </row>
    <row r="4137" spans="1:5" x14ac:dyDescent="0.25">
      <c r="A4137" s="41">
        <v>43638</v>
      </c>
      <c r="B4137" s="29">
        <v>66.67</v>
      </c>
      <c r="C4137" s="37">
        <f t="shared" si="134"/>
        <v>11.111666666666666</v>
      </c>
      <c r="D4137" s="37">
        <v>7.5949999999999998</v>
      </c>
      <c r="E4137" s="33">
        <f t="shared" si="135"/>
        <v>1.2013815888271256E-3</v>
      </c>
    </row>
    <row r="4138" spans="1:5" x14ac:dyDescent="0.25">
      <c r="A4138" s="41">
        <v>43638</v>
      </c>
      <c r="B4138" s="29">
        <v>66.81</v>
      </c>
      <c r="C4138" s="37">
        <f t="shared" si="134"/>
        <v>11.135</v>
      </c>
      <c r="D4138" s="37">
        <v>7.5949999999999998</v>
      </c>
      <c r="E4138" s="33">
        <f t="shared" si="135"/>
        <v>2.099895005249746E-3</v>
      </c>
    </row>
    <row r="4139" spans="1:5" x14ac:dyDescent="0.25">
      <c r="A4139" s="41">
        <v>43638</v>
      </c>
      <c r="B4139" s="29">
        <v>66.97</v>
      </c>
      <c r="C4139" s="37">
        <f t="shared" si="134"/>
        <v>11.161666666666667</v>
      </c>
      <c r="D4139" s="37">
        <v>7.5949999999999998</v>
      </c>
      <c r="E4139" s="33">
        <f t="shared" si="135"/>
        <v>2.394851070199021E-3</v>
      </c>
    </row>
    <row r="4140" spans="1:5" x14ac:dyDescent="0.25">
      <c r="A4140" s="41">
        <v>43638</v>
      </c>
      <c r="B4140" s="29">
        <v>66.97</v>
      </c>
      <c r="C4140" s="37">
        <f t="shared" si="134"/>
        <v>11.161666666666667</v>
      </c>
      <c r="D4140" s="37">
        <v>7.5949999999999998</v>
      </c>
      <c r="E4140" s="33">
        <f t="shared" si="135"/>
        <v>0</v>
      </c>
    </row>
    <row r="4141" spans="1:5" x14ac:dyDescent="0.25">
      <c r="A4141" s="41">
        <v>43638</v>
      </c>
      <c r="B4141" s="29">
        <v>66.97</v>
      </c>
      <c r="C4141" s="37">
        <f t="shared" si="134"/>
        <v>11.161666666666667</v>
      </c>
      <c r="D4141" s="37">
        <v>7.5949999999999998</v>
      </c>
      <c r="E4141" s="33">
        <f t="shared" si="135"/>
        <v>0</v>
      </c>
    </row>
    <row r="4142" spans="1:5" x14ac:dyDescent="0.25">
      <c r="A4142" s="41">
        <v>43638</v>
      </c>
      <c r="B4142" s="29">
        <v>66.97</v>
      </c>
      <c r="C4142" s="37">
        <f t="shared" si="134"/>
        <v>11.161666666666667</v>
      </c>
      <c r="D4142" s="37">
        <v>7.5949999999999998</v>
      </c>
      <c r="E4142" s="33">
        <f t="shared" si="135"/>
        <v>0</v>
      </c>
    </row>
    <row r="4143" spans="1:5" x14ac:dyDescent="0.25">
      <c r="A4143" s="41">
        <v>43638</v>
      </c>
      <c r="B4143" s="29">
        <v>66.98</v>
      </c>
      <c r="C4143" s="37">
        <f t="shared" si="134"/>
        <v>11.163333333333334</v>
      </c>
      <c r="D4143" s="37">
        <v>7.5949999999999998</v>
      </c>
      <c r="E4143" s="33">
        <f t="shared" si="135"/>
        <v>1.4932059130961798E-4</v>
      </c>
    </row>
    <row r="4144" spans="1:5" x14ac:dyDescent="0.25">
      <c r="A4144" s="41">
        <v>43638</v>
      </c>
      <c r="B4144" s="29">
        <v>66.959999999999994</v>
      </c>
      <c r="C4144" s="37">
        <f t="shared" si="134"/>
        <v>11.159999999999998</v>
      </c>
      <c r="D4144" s="37">
        <v>7.5949999999999998</v>
      </c>
      <c r="E4144" s="33">
        <f t="shared" si="135"/>
        <v>-2.9859659599895834E-4</v>
      </c>
    </row>
    <row r="4145" spans="1:5" x14ac:dyDescent="0.25">
      <c r="A4145" s="41">
        <v>43638</v>
      </c>
      <c r="B4145" s="29">
        <v>66.989999999999995</v>
      </c>
      <c r="C4145" s="37">
        <f t="shared" si="134"/>
        <v>11.164999999999999</v>
      </c>
      <c r="D4145" s="37">
        <v>7.5949999999999998</v>
      </c>
      <c r="E4145" s="33">
        <f t="shared" si="135"/>
        <v>4.4802867383514247E-4</v>
      </c>
    </row>
    <row r="4146" spans="1:5" x14ac:dyDescent="0.25">
      <c r="A4146" s="41">
        <v>43638</v>
      </c>
      <c r="B4146" s="29">
        <v>67.069999999999993</v>
      </c>
      <c r="C4146" s="37">
        <f t="shared" si="134"/>
        <v>11.178333333333331</v>
      </c>
      <c r="D4146" s="37">
        <v>7.5949999999999998</v>
      </c>
      <c r="E4146" s="33">
        <f t="shared" si="135"/>
        <v>1.1942080907597894E-3</v>
      </c>
    </row>
    <row r="4147" spans="1:5" x14ac:dyDescent="0.25">
      <c r="A4147" s="41">
        <v>43638</v>
      </c>
      <c r="B4147" s="29">
        <v>70.010000000000005</v>
      </c>
      <c r="C4147" s="37">
        <f t="shared" si="134"/>
        <v>11.668333333333335</v>
      </c>
      <c r="D4147" s="37">
        <v>7.5949999999999998</v>
      </c>
      <c r="E4147" s="33">
        <f t="shared" si="135"/>
        <v>4.3834799463247538E-2</v>
      </c>
    </row>
    <row r="4148" spans="1:5" x14ac:dyDescent="0.25">
      <c r="A4148" s="41">
        <v>43638</v>
      </c>
      <c r="B4148" s="29">
        <v>72.59</v>
      </c>
      <c r="C4148" s="37">
        <f t="shared" si="134"/>
        <v>12.098333333333333</v>
      </c>
      <c r="D4148" s="37">
        <v>7.5949999999999998</v>
      </c>
      <c r="E4148" s="33">
        <f t="shared" si="135"/>
        <v>3.6851878303099529E-2</v>
      </c>
    </row>
    <row r="4149" spans="1:5" x14ac:dyDescent="0.25">
      <c r="A4149" s="41">
        <v>43638</v>
      </c>
      <c r="B4149" s="29">
        <v>70.56</v>
      </c>
      <c r="C4149" s="37">
        <f t="shared" si="134"/>
        <v>11.76</v>
      </c>
      <c r="D4149" s="37">
        <v>7.5949999999999998</v>
      </c>
      <c r="E4149" s="33">
        <f t="shared" si="135"/>
        <v>-2.7965284474445531E-2</v>
      </c>
    </row>
    <row r="4150" spans="1:5" x14ac:dyDescent="0.25">
      <c r="A4150" s="41">
        <v>43638</v>
      </c>
      <c r="B4150" s="29">
        <v>70.47</v>
      </c>
      <c r="C4150" s="37">
        <f t="shared" si="134"/>
        <v>11.744999999999999</v>
      </c>
      <c r="D4150" s="37">
        <v>7.5949999999999998</v>
      </c>
      <c r="E4150" s="33">
        <f t="shared" si="135"/>
        <v>-1.2755102040816809E-3</v>
      </c>
    </row>
    <row r="4151" spans="1:5" x14ac:dyDescent="0.25">
      <c r="A4151" s="41">
        <v>43638</v>
      </c>
      <c r="B4151" s="29">
        <v>68.84</v>
      </c>
      <c r="C4151" s="37">
        <f t="shared" si="134"/>
        <v>11.473333333333333</v>
      </c>
      <c r="D4151" s="37">
        <v>7.5949999999999998</v>
      </c>
      <c r="E4151" s="33">
        <f t="shared" si="135"/>
        <v>-2.3130410103590116E-2</v>
      </c>
    </row>
    <row r="4152" spans="1:5" x14ac:dyDescent="0.25">
      <c r="A4152" s="41">
        <v>43638</v>
      </c>
      <c r="B4152" s="29">
        <v>67.41</v>
      </c>
      <c r="C4152" s="37">
        <f t="shared" si="134"/>
        <v>11.234999999999999</v>
      </c>
      <c r="D4152" s="37">
        <v>7.5949999999999998</v>
      </c>
      <c r="E4152" s="33">
        <f t="shared" si="135"/>
        <v>-2.0772806507844375E-2</v>
      </c>
    </row>
    <row r="4153" spans="1:5" x14ac:dyDescent="0.25">
      <c r="A4153" s="41">
        <v>43638</v>
      </c>
      <c r="B4153" s="29">
        <v>66.599999999999994</v>
      </c>
      <c r="C4153" s="37">
        <f t="shared" si="134"/>
        <v>11.099999999999998</v>
      </c>
      <c r="D4153" s="37">
        <v>7.5949999999999998</v>
      </c>
      <c r="E4153" s="33">
        <f t="shared" si="135"/>
        <v>-1.2016021361815789E-2</v>
      </c>
    </row>
    <row r="4154" spans="1:5" x14ac:dyDescent="0.25">
      <c r="A4154" s="41">
        <v>43639</v>
      </c>
      <c r="B4154" s="29">
        <v>42.35</v>
      </c>
      <c r="C4154" s="37">
        <f t="shared" si="134"/>
        <v>7.0583333333333336</v>
      </c>
      <c r="D4154" s="37">
        <v>6.827</v>
      </c>
      <c r="E4154" s="33">
        <f t="shared" si="135"/>
        <v>-0.36411411411411404</v>
      </c>
    </row>
    <row r="4155" spans="1:5" x14ac:dyDescent="0.25">
      <c r="A4155" s="41">
        <v>43639</v>
      </c>
      <c r="B4155" s="29">
        <v>42.35</v>
      </c>
      <c r="C4155" s="37">
        <f t="shared" si="134"/>
        <v>7.0583333333333336</v>
      </c>
      <c r="D4155" s="37">
        <v>6.827</v>
      </c>
      <c r="E4155" s="33">
        <f t="shared" si="135"/>
        <v>0</v>
      </c>
    </row>
    <row r="4156" spans="1:5" x14ac:dyDescent="0.25">
      <c r="A4156" s="41">
        <v>43639</v>
      </c>
      <c r="B4156" s="29">
        <v>42.35</v>
      </c>
      <c r="C4156" s="37">
        <f t="shared" si="134"/>
        <v>7.0583333333333336</v>
      </c>
      <c r="D4156" s="37">
        <v>6.827</v>
      </c>
      <c r="E4156" s="33">
        <f t="shared" si="135"/>
        <v>0</v>
      </c>
    </row>
    <row r="4157" spans="1:5" x14ac:dyDescent="0.25">
      <c r="A4157" s="41">
        <v>43639</v>
      </c>
      <c r="B4157" s="29">
        <v>42.35</v>
      </c>
      <c r="C4157" s="37">
        <f t="shared" si="134"/>
        <v>7.0583333333333336</v>
      </c>
      <c r="D4157" s="37">
        <v>6.827</v>
      </c>
      <c r="E4157" s="33">
        <f t="shared" si="135"/>
        <v>0</v>
      </c>
    </row>
    <row r="4158" spans="1:5" x14ac:dyDescent="0.25">
      <c r="A4158" s="41">
        <v>43639</v>
      </c>
      <c r="B4158" s="29">
        <v>42.35</v>
      </c>
      <c r="C4158" s="37">
        <f t="shared" si="134"/>
        <v>7.0583333333333336</v>
      </c>
      <c r="D4158" s="37">
        <v>6.827</v>
      </c>
      <c r="E4158" s="33">
        <f t="shared" si="135"/>
        <v>0</v>
      </c>
    </row>
    <row r="4159" spans="1:5" x14ac:dyDescent="0.25">
      <c r="A4159" s="41">
        <v>43639</v>
      </c>
      <c r="B4159" s="29">
        <v>42.35</v>
      </c>
      <c r="C4159" s="37">
        <f t="shared" si="134"/>
        <v>7.0583333333333336</v>
      </c>
      <c r="D4159" s="37">
        <v>6.827</v>
      </c>
      <c r="E4159" s="33">
        <f t="shared" si="135"/>
        <v>0</v>
      </c>
    </row>
    <row r="4160" spans="1:5" x14ac:dyDescent="0.25">
      <c r="A4160" s="41">
        <v>43639</v>
      </c>
      <c r="B4160" s="29">
        <v>42.35</v>
      </c>
      <c r="C4160" s="37">
        <f t="shared" si="134"/>
        <v>7.0583333333333336</v>
      </c>
      <c r="D4160" s="37">
        <v>6.827</v>
      </c>
      <c r="E4160" s="33">
        <f t="shared" si="135"/>
        <v>0</v>
      </c>
    </row>
    <row r="4161" spans="1:5" x14ac:dyDescent="0.25">
      <c r="A4161" s="41">
        <v>43639</v>
      </c>
      <c r="B4161" s="29">
        <v>42.35</v>
      </c>
      <c r="C4161" s="37">
        <f t="shared" si="134"/>
        <v>7.0583333333333336</v>
      </c>
      <c r="D4161" s="37">
        <v>6.827</v>
      </c>
      <c r="E4161" s="33">
        <f t="shared" si="135"/>
        <v>0</v>
      </c>
    </row>
    <row r="4162" spans="1:5" x14ac:dyDescent="0.25">
      <c r="A4162" s="41">
        <v>43639</v>
      </c>
      <c r="B4162" s="29">
        <v>42.35</v>
      </c>
      <c r="C4162" s="37">
        <f t="shared" si="134"/>
        <v>7.0583333333333336</v>
      </c>
      <c r="D4162" s="37">
        <v>6.827</v>
      </c>
      <c r="E4162" s="33">
        <f t="shared" si="135"/>
        <v>0</v>
      </c>
    </row>
    <row r="4163" spans="1:5" x14ac:dyDescent="0.25">
      <c r="A4163" s="41">
        <v>43639</v>
      </c>
      <c r="B4163" s="29">
        <v>42.35</v>
      </c>
      <c r="C4163" s="37">
        <f t="shared" ref="C4163:C4226" si="136">(B4163*100/600)</f>
        <v>7.0583333333333336</v>
      </c>
      <c r="D4163" s="37">
        <v>6.827</v>
      </c>
      <c r="E4163" s="33">
        <f t="shared" si="135"/>
        <v>0</v>
      </c>
    </row>
    <row r="4164" spans="1:5" x14ac:dyDescent="0.25">
      <c r="A4164" s="41">
        <v>43639</v>
      </c>
      <c r="B4164" s="29">
        <v>42.35</v>
      </c>
      <c r="C4164" s="37">
        <f t="shared" si="136"/>
        <v>7.0583333333333336</v>
      </c>
      <c r="D4164" s="37">
        <v>6.827</v>
      </c>
      <c r="E4164" s="33">
        <f t="shared" ref="E4164:E4227" si="137">(B4164-B4163)/B4163</f>
        <v>0</v>
      </c>
    </row>
    <row r="4165" spans="1:5" x14ac:dyDescent="0.25">
      <c r="A4165" s="41">
        <v>43639</v>
      </c>
      <c r="B4165" s="29">
        <v>68.61</v>
      </c>
      <c r="C4165" s="37">
        <f t="shared" si="136"/>
        <v>11.435</v>
      </c>
      <c r="D4165" s="37">
        <v>6.827</v>
      </c>
      <c r="E4165" s="33">
        <f t="shared" si="137"/>
        <v>0.62007083825265641</v>
      </c>
    </row>
    <row r="4166" spans="1:5" x14ac:dyDescent="0.25">
      <c r="A4166" s="41">
        <v>43639</v>
      </c>
      <c r="B4166" s="29">
        <v>68.87</v>
      </c>
      <c r="C4166" s="37">
        <f t="shared" si="136"/>
        <v>11.478333333333333</v>
      </c>
      <c r="D4166" s="37">
        <v>6.827</v>
      </c>
      <c r="E4166" s="33">
        <f t="shared" si="137"/>
        <v>3.7895350531993166E-3</v>
      </c>
    </row>
    <row r="4167" spans="1:5" x14ac:dyDescent="0.25">
      <c r="A4167" s="41">
        <v>43639</v>
      </c>
      <c r="B4167" s="29">
        <v>70.89</v>
      </c>
      <c r="C4167" s="37">
        <f t="shared" si="136"/>
        <v>11.815</v>
      </c>
      <c r="D4167" s="37">
        <v>6.827</v>
      </c>
      <c r="E4167" s="33">
        <f t="shared" si="137"/>
        <v>2.9330622912734076E-2</v>
      </c>
    </row>
    <row r="4168" spans="1:5" x14ac:dyDescent="0.25">
      <c r="A4168" s="41">
        <v>43639</v>
      </c>
      <c r="B4168" s="29">
        <v>79.760000000000005</v>
      </c>
      <c r="C4168" s="37">
        <f t="shared" si="136"/>
        <v>13.293333333333335</v>
      </c>
      <c r="D4168" s="37">
        <v>6.827</v>
      </c>
      <c r="E4168" s="33">
        <f t="shared" si="137"/>
        <v>0.12512343066723097</v>
      </c>
    </row>
    <row r="4169" spans="1:5" x14ac:dyDescent="0.25">
      <c r="A4169" s="41">
        <v>43639</v>
      </c>
      <c r="B4169" s="29">
        <v>79.86</v>
      </c>
      <c r="C4169" s="37">
        <f t="shared" si="136"/>
        <v>13.31</v>
      </c>
      <c r="D4169" s="37">
        <v>6.827</v>
      </c>
      <c r="E4169" s="33">
        <f t="shared" si="137"/>
        <v>1.2537612838514833E-3</v>
      </c>
    </row>
    <row r="4170" spans="1:5" x14ac:dyDescent="0.25">
      <c r="A4170" s="41">
        <v>43639</v>
      </c>
      <c r="B4170" s="29">
        <v>79.87</v>
      </c>
      <c r="C4170" s="37">
        <f t="shared" si="136"/>
        <v>13.311666666666667</v>
      </c>
      <c r="D4170" s="37">
        <v>6.827</v>
      </c>
      <c r="E4170" s="33">
        <f t="shared" si="137"/>
        <v>1.2521913348366036E-4</v>
      </c>
    </row>
    <row r="4171" spans="1:5" x14ac:dyDescent="0.25">
      <c r="A4171" s="41">
        <v>43639</v>
      </c>
      <c r="B4171" s="29">
        <v>84.08</v>
      </c>
      <c r="C4171" s="37">
        <f t="shared" si="136"/>
        <v>14.013333333333334</v>
      </c>
      <c r="D4171" s="37">
        <v>6.827</v>
      </c>
      <c r="E4171" s="33">
        <f t="shared" si="137"/>
        <v>5.2710654814072784E-2</v>
      </c>
    </row>
    <row r="4172" spans="1:5" x14ac:dyDescent="0.25">
      <c r="A4172" s="41">
        <v>43639</v>
      </c>
      <c r="B4172" s="29">
        <v>85.21</v>
      </c>
      <c r="C4172" s="37">
        <f t="shared" si="136"/>
        <v>14.201666666666666</v>
      </c>
      <c r="D4172" s="37">
        <v>6.827</v>
      </c>
      <c r="E4172" s="33">
        <f t="shared" si="137"/>
        <v>1.3439581351094142E-2</v>
      </c>
    </row>
    <row r="4173" spans="1:5" x14ac:dyDescent="0.25">
      <c r="A4173" s="41">
        <v>43639</v>
      </c>
      <c r="B4173" s="29">
        <v>84.36</v>
      </c>
      <c r="C4173" s="37">
        <f t="shared" si="136"/>
        <v>14.06</v>
      </c>
      <c r="D4173" s="37">
        <v>6.827</v>
      </c>
      <c r="E4173" s="33">
        <f t="shared" si="137"/>
        <v>-9.9753550052810048E-3</v>
      </c>
    </row>
    <row r="4174" spans="1:5" x14ac:dyDescent="0.25">
      <c r="A4174" s="41">
        <v>43639</v>
      </c>
      <c r="B4174" s="29">
        <v>84.34</v>
      </c>
      <c r="C4174" s="37">
        <f t="shared" si="136"/>
        <v>14.056666666666667</v>
      </c>
      <c r="D4174" s="37">
        <v>6.827</v>
      </c>
      <c r="E4174" s="33">
        <f t="shared" si="137"/>
        <v>-2.3707918444755834E-4</v>
      </c>
    </row>
    <row r="4175" spans="1:5" x14ac:dyDescent="0.25">
      <c r="A4175" s="41">
        <v>43639</v>
      </c>
      <c r="B4175" s="29">
        <v>84.32</v>
      </c>
      <c r="C4175" s="37">
        <f t="shared" si="136"/>
        <v>14.053333333333333</v>
      </c>
      <c r="D4175" s="37">
        <v>6.827</v>
      </c>
      <c r="E4175" s="33">
        <f t="shared" si="137"/>
        <v>-2.3713540431598567E-4</v>
      </c>
    </row>
    <row r="4176" spans="1:5" x14ac:dyDescent="0.25">
      <c r="A4176" s="41">
        <v>43639</v>
      </c>
      <c r="B4176" s="29">
        <v>82.32</v>
      </c>
      <c r="C4176" s="37">
        <f t="shared" si="136"/>
        <v>13.72</v>
      </c>
      <c r="D4176" s="37">
        <v>6.827</v>
      </c>
      <c r="E4176" s="33">
        <f t="shared" si="137"/>
        <v>-2.3719165085388995E-2</v>
      </c>
    </row>
    <row r="4177" spans="1:5" x14ac:dyDescent="0.25">
      <c r="A4177" s="41">
        <v>43639</v>
      </c>
      <c r="B4177" s="29">
        <v>79.930000000000007</v>
      </c>
      <c r="C4177" s="37">
        <f t="shared" si="136"/>
        <v>13.321666666666669</v>
      </c>
      <c r="D4177" s="37">
        <v>6.827</v>
      </c>
      <c r="E4177" s="33">
        <f t="shared" si="137"/>
        <v>-2.9033041788143664E-2</v>
      </c>
    </row>
    <row r="4178" spans="1:5" x14ac:dyDescent="0.25">
      <c r="A4178" s="41">
        <v>43640</v>
      </c>
      <c r="B4178" s="29">
        <v>90.39</v>
      </c>
      <c r="C4178" s="37">
        <f t="shared" si="136"/>
        <v>15.065</v>
      </c>
      <c r="D4178" s="37">
        <v>6.3319999999999999</v>
      </c>
      <c r="E4178" s="33">
        <f t="shared" si="137"/>
        <v>0.13086450644313766</v>
      </c>
    </row>
    <row r="4179" spans="1:5" x14ac:dyDescent="0.25">
      <c r="A4179" s="41">
        <v>43640</v>
      </c>
      <c r="B4179" s="29">
        <v>87.98</v>
      </c>
      <c r="C4179" s="37">
        <f t="shared" si="136"/>
        <v>14.663333333333334</v>
      </c>
      <c r="D4179" s="37">
        <v>6.3319999999999999</v>
      </c>
      <c r="E4179" s="33">
        <f t="shared" si="137"/>
        <v>-2.6662241398384738E-2</v>
      </c>
    </row>
    <row r="4180" spans="1:5" x14ac:dyDescent="0.25">
      <c r="A4180" s="41">
        <v>43640</v>
      </c>
      <c r="B4180" s="29">
        <v>80.44</v>
      </c>
      <c r="C4180" s="37">
        <f t="shared" si="136"/>
        <v>13.406666666666666</v>
      </c>
      <c r="D4180" s="37">
        <v>6.3319999999999999</v>
      </c>
      <c r="E4180" s="33">
        <f t="shared" si="137"/>
        <v>-8.5701295749033943E-2</v>
      </c>
    </row>
    <row r="4181" spans="1:5" x14ac:dyDescent="0.25">
      <c r="A4181" s="41">
        <v>43640</v>
      </c>
      <c r="B4181" s="29">
        <v>79.33</v>
      </c>
      <c r="C4181" s="37">
        <f t="shared" si="136"/>
        <v>13.221666666666666</v>
      </c>
      <c r="D4181" s="37">
        <v>6.3319999999999999</v>
      </c>
      <c r="E4181" s="33">
        <f t="shared" si="137"/>
        <v>-1.3799104922923912E-2</v>
      </c>
    </row>
    <row r="4182" spans="1:5" x14ac:dyDescent="0.25">
      <c r="A4182" s="41">
        <v>43640</v>
      </c>
      <c r="B4182" s="29">
        <v>80.44</v>
      </c>
      <c r="C4182" s="37">
        <f t="shared" si="136"/>
        <v>13.406666666666666</v>
      </c>
      <c r="D4182" s="37">
        <v>6.3319999999999999</v>
      </c>
      <c r="E4182" s="33">
        <f t="shared" si="137"/>
        <v>1.3992184545569135E-2</v>
      </c>
    </row>
    <row r="4183" spans="1:5" x14ac:dyDescent="0.25">
      <c r="A4183" s="41">
        <v>43640</v>
      </c>
      <c r="B4183" s="29">
        <v>94.28</v>
      </c>
      <c r="C4183" s="37">
        <f t="shared" si="136"/>
        <v>15.713333333333333</v>
      </c>
      <c r="D4183" s="37">
        <v>6.3319999999999999</v>
      </c>
      <c r="E4183" s="33">
        <f t="shared" si="137"/>
        <v>0.17205370462456493</v>
      </c>
    </row>
    <row r="4184" spans="1:5" x14ac:dyDescent="0.25">
      <c r="A4184" s="41">
        <v>43640</v>
      </c>
      <c r="B4184" s="29">
        <v>112.26</v>
      </c>
      <c r="C4184" s="37">
        <f t="shared" si="136"/>
        <v>18.71</v>
      </c>
      <c r="D4184" s="37">
        <v>6.3319999999999999</v>
      </c>
      <c r="E4184" s="33">
        <f t="shared" si="137"/>
        <v>0.19070852778956304</v>
      </c>
    </row>
    <row r="4185" spans="1:5" x14ac:dyDescent="0.25">
      <c r="A4185" s="41">
        <v>43640</v>
      </c>
      <c r="B4185" s="29">
        <v>117.66</v>
      </c>
      <c r="C4185" s="37">
        <f t="shared" si="136"/>
        <v>19.61</v>
      </c>
      <c r="D4185" s="37">
        <v>6.3319999999999999</v>
      </c>
      <c r="E4185" s="33">
        <f t="shared" si="137"/>
        <v>4.8102618920363362E-2</v>
      </c>
    </row>
    <row r="4186" spans="1:5" x14ac:dyDescent="0.25">
      <c r="A4186" s="41">
        <v>43640</v>
      </c>
      <c r="B4186" s="29">
        <v>124.11</v>
      </c>
      <c r="C4186" s="37">
        <f t="shared" si="136"/>
        <v>20.684999999999999</v>
      </c>
      <c r="D4186" s="37">
        <v>6.3319999999999999</v>
      </c>
      <c r="E4186" s="33">
        <f t="shared" si="137"/>
        <v>5.4818969913309562E-2</v>
      </c>
    </row>
    <row r="4187" spans="1:5" x14ac:dyDescent="0.25">
      <c r="A4187" s="41">
        <v>43640</v>
      </c>
      <c r="B4187" s="29">
        <v>124.11</v>
      </c>
      <c r="C4187" s="37">
        <f t="shared" si="136"/>
        <v>20.684999999999999</v>
      </c>
      <c r="D4187" s="37">
        <v>6.3319999999999999</v>
      </c>
      <c r="E4187" s="33">
        <f t="shared" si="137"/>
        <v>0</v>
      </c>
    </row>
    <row r="4188" spans="1:5" x14ac:dyDescent="0.25">
      <c r="A4188" s="41">
        <v>43640</v>
      </c>
      <c r="B4188" s="29">
        <v>124.6</v>
      </c>
      <c r="C4188" s="37">
        <f t="shared" si="136"/>
        <v>20.766666666666666</v>
      </c>
      <c r="D4188" s="37">
        <v>6.3319999999999999</v>
      </c>
      <c r="E4188" s="33">
        <f t="shared" si="137"/>
        <v>3.9481105470952774E-3</v>
      </c>
    </row>
    <row r="4189" spans="1:5" x14ac:dyDescent="0.25">
      <c r="A4189" s="41">
        <v>43640</v>
      </c>
      <c r="B4189" s="29">
        <v>125.72</v>
      </c>
      <c r="C4189" s="37">
        <f t="shared" si="136"/>
        <v>20.953333333333333</v>
      </c>
      <c r="D4189" s="37">
        <v>6.3319999999999999</v>
      </c>
      <c r="E4189" s="33">
        <f t="shared" si="137"/>
        <v>8.9887640449438574E-3</v>
      </c>
    </row>
    <row r="4190" spans="1:5" x14ac:dyDescent="0.25">
      <c r="A4190" s="41">
        <v>43640</v>
      </c>
      <c r="B4190" s="29">
        <v>124.91</v>
      </c>
      <c r="C4190" s="37">
        <f t="shared" si="136"/>
        <v>20.818333333333332</v>
      </c>
      <c r="D4190" s="37">
        <v>6.3319999999999999</v>
      </c>
      <c r="E4190" s="33">
        <f t="shared" si="137"/>
        <v>-6.4428889595927637E-3</v>
      </c>
    </row>
    <row r="4191" spans="1:5" x14ac:dyDescent="0.25">
      <c r="A4191" s="41">
        <v>43640</v>
      </c>
      <c r="B4191" s="29">
        <v>125.72</v>
      </c>
      <c r="C4191" s="37">
        <f t="shared" si="136"/>
        <v>20.953333333333333</v>
      </c>
      <c r="D4191" s="37">
        <v>6.3319999999999999</v>
      </c>
      <c r="E4191" s="33">
        <f t="shared" si="137"/>
        <v>6.4846689616524077E-3</v>
      </c>
    </row>
    <row r="4192" spans="1:5" x14ac:dyDescent="0.25">
      <c r="A4192" s="41">
        <v>43640</v>
      </c>
      <c r="B4192" s="29">
        <v>127.67</v>
      </c>
      <c r="C4192" s="37">
        <f t="shared" si="136"/>
        <v>21.278333333333332</v>
      </c>
      <c r="D4192" s="37">
        <v>6.3319999999999999</v>
      </c>
      <c r="E4192" s="33">
        <f t="shared" si="137"/>
        <v>1.5510658606427004E-2</v>
      </c>
    </row>
    <row r="4193" spans="1:5" x14ac:dyDescent="0.25">
      <c r="A4193" s="41">
        <v>43640</v>
      </c>
      <c r="B4193" s="29">
        <v>127.79</v>
      </c>
      <c r="C4193" s="37">
        <f t="shared" si="136"/>
        <v>21.298333333333332</v>
      </c>
      <c r="D4193" s="37">
        <v>6.3319999999999999</v>
      </c>
      <c r="E4193" s="33">
        <f t="shared" si="137"/>
        <v>9.3992323960213474E-4</v>
      </c>
    </row>
    <row r="4194" spans="1:5" x14ac:dyDescent="0.25">
      <c r="A4194" s="41">
        <v>43640</v>
      </c>
      <c r="B4194" s="29">
        <v>127.9</v>
      </c>
      <c r="C4194" s="37">
        <f t="shared" si="136"/>
        <v>21.316666666666666</v>
      </c>
      <c r="D4194" s="37">
        <v>6.3319999999999999</v>
      </c>
      <c r="E4194" s="33">
        <f t="shared" si="137"/>
        <v>8.6078722904765184E-4</v>
      </c>
    </row>
    <row r="4195" spans="1:5" x14ac:dyDescent="0.25">
      <c r="A4195" s="41">
        <v>43640</v>
      </c>
      <c r="B4195" s="29">
        <v>127.95</v>
      </c>
      <c r="C4195" s="37">
        <f t="shared" si="136"/>
        <v>21.324999999999999</v>
      </c>
      <c r="D4195" s="37">
        <v>6.3319999999999999</v>
      </c>
      <c r="E4195" s="33">
        <f t="shared" si="137"/>
        <v>3.9093041438621702E-4</v>
      </c>
    </row>
    <row r="4196" spans="1:5" x14ac:dyDescent="0.25">
      <c r="A4196" s="41">
        <v>43640</v>
      </c>
      <c r="B4196" s="29">
        <v>128.18</v>
      </c>
      <c r="C4196" s="37">
        <f t="shared" si="136"/>
        <v>21.363333333333333</v>
      </c>
      <c r="D4196" s="37">
        <v>6.3319999999999999</v>
      </c>
      <c r="E4196" s="33">
        <f t="shared" si="137"/>
        <v>1.7975771785854161E-3</v>
      </c>
    </row>
    <row r="4197" spans="1:5" x14ac:dyDescent="0.25">
      <c r="A4197" s="41">
        <v>43640</v>
      </c>
      <c r="B4197" s="29">
        <v>127.94</v>
      </c>
      <c r="C4197" s="37">
        <f t="shared" si="136"/>
        <v>21.323333333333334</v>
      </c>
      <c r="D4197" s="37">
        <v>6.3319999999999999</v>
      </c>
      <c r="E4197" s="33">
        <f t="shared" si="137"/>
        <v>-1.8723669839289209E-3</v>
      </c>
    </row>
    <row r="4198" spans="1:5" x14ac:dyDescent="0.25">
      <c r="A4198" s="41">
        <v>43640</v>
      </c>
      <c r="B4198" s="29">
        <v>127.04</v>
      </c>
      <c r="C4198" s="37">
        <f t="shared" si="136"/>
        <v>21.173333333333332</v>
      </c>
      <c r="D4198" s="37">
        <v>6.3319999999999999</v>
      </c>
      <c r="E4198" s="33">
        <f t="shared" si="137"/>
        <v>-7.034547444114362E-3</v>
      </c>
    </row>
    <row r="4199" spans="1:5" x14ac:dyDescent="0.25">
      <c r="A4199" s="41">
        <v>43640</v>
      </c>
      <c r="B4199" s="29">
        <v>125.71</v>
      </c>
      <c r="C4199" s="37">
        <f t="shared" si="136"/>
        <v>20.951666666666668</v>
      </c>
      <c r="D4199" s="37">
        <v>6.3319999999999999</v>
      </c>
      <c r="E4199" s="33">
        <f t="shared" si="137"/>
        <v>-1.0469143576826295E-2</v>
      </c>
    </row>
    <row r="4200" spans="1:5" x14ac:dyDescent="0.25">
      <c r="A4200" s="41">
        <v>43640</v>
      </c>
      <c r="B4200" s="29">
        <v>124.2</v>
      </c>
      <c r="C4200" s="37">
        <f t="shared" si="136"/>
        <v>20.7</v>
      </c>
      <c r="D4200" s="37">
        <v>6.3319999999999999</v>
      </c>
      <c r="E4200" s="33">
        <f t="shared" si="137"/>
        <v>-1.2011773128629314E-2</v>
      </c>
    </row>
    <row r="4201" spans="1:5" x14ac:dyDescent="0.25">
      <c r="A4201" s="41">
        <v>43640</v>
      </c>
      <c r="B4201" s="29">
        <v>123.04</v>
      </c>
      <c r="C4201" s="37">
        <f t="shared" si="136"/>
        <v>20.506666666666668</v>
      </c>
      <c r="D4201" s="37">
        <v>6.3319999999999999</v>
      </c>
      <c r="E4201" s="33">
        <f t="shared" si="137"/>
        <v>-9.3397745571658346E-3</v>
      </c>
    </row>
    <row r="4202" spans="1:5" x14ac:dyDescent="0.25">
      <c r="A4202" s="41">
        <v>43641</v>
      </c>
      <c r="B4202" s="29">
        <v>110.82</v>
      </c>
      <c r="C4202" s="37">
        <f t="shared" si="136"/>
        <v>18.47</v>
      </c>
      <c r="D4202" s="37">
        <v>6.1120000000000001</v>
      </c>
      <c r="E4202" s="33">
        <f t="shared" si="137"/>
        <v>-9.931729518855667E-2</v>
      </c>
    </row>
    <row r="4203" spans="1:5" x14ac:dyDescent="0.25">
      <c r="A4203" s="41">
        <v>43641</v>
      </c>
      <c r="B4203" s="29">
        <v>105.78</v>
      </c>
      <c r="C4203" s="37">
        <f t="shared" si="136"/>
        <v>17.63</v>
      </c>
      <c r="D4203" s="37">
        <v>6.1120000000000001</v>
      </c>
      <c r="E4203" s="33">
        <f t="shared" si="137"/>
        <v>-4.5479155387114167E-2</v>
      </c>
    </row>
    <row r="4204" spans="1:5" x14ac:dyDescent="0.25">
      <c r="A4204" s="41">
        <v>43641</v>
      </c>
      <c r="B4204" s="29">
        <v>105.48</v>
      </c>
      <c r="C4204" s="37">
        <f t="shared" si="136"/>
        <v>17.579999999999998</v>
      </c>
      <c r="D4204" s="37">
        <v>6.1120000000000001</v>
      </c>
      <c r="E4204" s="33">
        <f t="shared" si="137"/>
        <v>-2.8360748723766037E-3</v>
      </c>
    </row>
    <row r="4205" spans="1:5" x14ac:dyDescent="0.25">
      <c r="A4205" s="41">
        <v>43641</v>
      </c>
      <c r="B4205" s="29">
        <v>105.49</v>
      </c>
      <c r="C4205" s="37">
        <f t="shared" si="136"/>
        <v>17.581666666666667</v>
      </c>
      <c r="D4205" s="37">
        <v>6.1120000000000001</v>
      </c>
      <c r="E4205" s="33">
        <f t="shared" si="137"/>
        <v>9.480470231314851E-5</v>
      </c>
    </row>
    <row r="4206" spans="1:5" x14ac:dyDescent="0.25">
      <c r="A4206" s="41">
        <v>43641</v>
      </c>
      <c r="B4206" s="29">
        <v>105.41</v>
      </c>
      <c r="C4206" s="37">
        <f t="shared" si="136"/>
        <v>17.568333333333332</v>
      </c>
      <c r="D4206" s="37">
        <v>6.1120000000000001</v>
      </c>
      <c r="E4206" s="33">
        <f t="shared" si="137"/>
        <v>-7.5836572186935541E-4</v>
      </c>
    </row>
    <row r="4207" spans="1:5" x14ac:dyDescent="0.25">
      <c r="A4207" s="41">
        <v>43641</v>
      </c>
      <c r="B4207" s="29">
        <v>109.1</v>
      </c>
      <c r="C4207" s="37">
        <f t="shared" si="136"/>
        <v>18.183333333333334</v>
      </c>
      <c r="D4207" s="37">
        <v>6.1120000000000001</v>
      </c>
      <c r="E4207" s="33">
        <f t="shared" si="137"/>
        <v>3.5006166397874947E-2</v>
      </c>
    </row>
    <row r="4208" spans="1:5" x14ac:dyDescent="0.25">
      <c r="A4208" s="41">
        <v>43641</v>
      </c>
      <c r="B4208" s="29">
        <v>124.83</v>
      </c>
      <c r="C4208" s="37">
        <f t="shared" si="136"/>
        <v>20.805</v>
      </c>
      <c r="D4208" s="37">
        <v>6.1120000000000001</v>
      </c>
      <c r="E4208" s="33">
        <f t="shared" si="137"/>
        <v>0.14417965169569208</v>
      </c>
    </row>
    <row r="4209" spans="1:5" x14ac:dyDescent="0.25">
      <c r="A4209" s="41">
        <v>43641</v>
      </c>
      <c r="B4209" s="29">
        <v>128.44999999999999</v>
      </c>
      <c r="C4209" s="37">
        <f t="shared" si="136"/>
        <v>21.408333333333331</v>
      </c>
      <c r="D4209" s="37">
        <v>6.1120000000000001</v>
      </c>
      <c r="E4209" s="33">
        <f t="shared" si="137"/>
        <v>2.8999439237362735E-2</v>
      </c>
    </row>
    <row r="4210" spans="1:5" x14ac:dyDescent="0.25">
      <c r="A4210" s="41">
        <v>43641</v>
      </c>
      <c r="B4210" s="29">
        <v>129.85</v>
      </c>
      <c r="C4210" s="37">
        <f t="shared" si="136"/>
        <v>21.641666666666666</v>
      </c>
      <c r="D4210" s="37">
        <v>6.1120000000000001</v>
      </c>
      <c r="E4210" s="33">
        <f t="shared" si="137"/>
        <v>1.0899182561307947E-2</v>
      </c>
    </row>
    <row r="4211" spans="1:5" x14ac:dyDescent="0.25">
      <c r="A4211" s="41">
        <v>43641</v>
      </c>
      <c r="B4211" s="29">
        <v>131.47999999999999</v>
      </c>
      <c r="C4211" s="37">
        <f t="shared" si="136"/>
        <v>21.91333333333333</v>
      </c>
      <c r="D4211" s="37">
        <v>6.1120000000000001</v>
      </c>
      <c r="E4211" s="33">
        <f t="shared" si="137"/>
        <v>1.2552945706584486E-2</v>
      </c>
    </row>
    <row r="4212" spans="1:5" x14ac:dyDescent="0.25">
      <c r="A4212" s="41">
        <v>43641</v>
      </c>
      <c r="B4212" s="29">
        <v>131.85</v>
      </c>
      <c r="C4212" s="37">
        <f t="shared" si="136"/>
        <v>21.975000000000001</v>
      </c>
      <c r="D4212" s="37">
        <v>6.1120000000000001</v>
      </c>
      <c r="E4212" s="33">
        <f t="shared" si="137"/>
        <v>2.814116215394011E-3</v>
      </c>
    </row>
    <row r="4213" spans="1:5" x14ac:dyDescent="0.25">
      <c r="A4213" s="41">
        <v>43641</v>
      </c>
      <c r="B4213" s="29">
        <v>132.44999999999999</v>
      </c>
      <c r="C4213" s="37">
        <f t="shared" si="136"/>
        <v>22.074999999999996</v>
      </c>
      <c r="D4213" s="37">
        <v>6.1120000000000001</v>
      </c>
      <c r="E4213" s="33">
        <f t="shared" si="137"/>
        <v>4.5506257110352246E-3</v>
      </c>
    </row>
    <row r="4214" spans="1:5" x14ac:dyDescent="0.25">
      <c r="A4214" s="41">
        <v>43641</v>
      </c>
      <c r="B4214" s="29">
        <v>131.80000000000001</v>
      </c>
      <c r="C4214" s="37">
        <f t="shared" si="136"/>
        <v>21.966666666666669</v>
      </c>
      <c r="D4214" s="37">
        <v>6.1120000000000001</v>
      </c>
      <c r="E4214" s="33">
        <f t="shared" si="137"/>
        <v>-4.9075122687805006E-3</v>
      </c>
    </row>
    <row r="4215" spans="1:5" x14ac:dyDescent="0.25">
      <c r="A4215" s="41">
        <v>43641</v>
      </c>
      <c r="B4215" s="29">
        <v>133.16999999999999</v>
      </c>
      <c r="C4215" s="37">
        <f t="shared" si="136"/>
        <v>22.194999999999997</v>
      </c>
      <c r="D4215" s="37">
        <v>6.1120000000000001</v>
      </c>
      <c r="E4215" s="33">
        <f t="shared" si="137"/>
        <v>1.0394537177541548E-2</v>
      </c>
    </row>
    <row r="4216" spans="1:5" x14ac:dyDescent="0.25">
      <c r="A4216" s="41">
        <v>43641</v>
      </c>
      <c r="B4216" s="29">
        <v>134.57</v>
      </c>
      <c r="C4216" s="37">
        <f t="shared" si="136"/>
        <v>22.428333333333335</v>
      </c>
      <c r="D4216" s="37">
        <v>6.1120000000000001</v>
      </c>
      <c r="E4216" s="33">
        <f t="shared" si="137"/>
        <v>1.0512878275888007E-2</v>
      </c>
    </row>
    <row r="4217" spans="1:5" x14ac:dyDescent="0.25">
      <c r="A4217" s="41">
        <v>43641</v>
      </c>
      <c r="B4217" s="29">
        <v>134.81</v>
      </c>
      <c r="C4217" s="37">
        <f t="shared" si="136"/>
        <v>22.468333333333334</v>
      </c>
      <c r="D4217" s="37">
        <v>6.1120000000000001</v>
      </c>
      <c r="E4217" s="33">
        <f t="shared" si="137"/>
        <v>1.7834584231255785E-3</v>
      </c>
    </row>
    <row r="4218" spans="1:5" x14ac:dyDescent="0.25">
      <c r="A4218" s="41">
        <v>43641</v>
      </c>
      <c r="B4218" s="29">
        <v>134.81</v>
      </c>
      <c r="C4218" s="37">
        <f t="shared" si="136"/>
        <v>22.468333333333334</v>
      </c>
      <c r="D4218" s="37">
        <v>6.1120000000000001</v>
      </c>
      <c r="E4218" s="33">
        <f t="shared" si="137"/>
        <v>0</v>
      </c>
    </row>
    <row r="4219" spans="1:5" x14ac:dyDescent="0.25">
      <c r="A4219" s="41">
        <v>43641</v>
      </c>
      <c r="B4219" s="29">
        <v>134.46</v>
      </c>
      <c r="C4219" s="37">
        <f t="shared" si="136"/>
        <v>22.41</v>
      </c>
      <c r="D4219" s="37">
        <v>6.1120000000000001</v>
      </c>
      <c r="E4219" s="33">
        <f t="shared" si="137"/>
        <v>-2.5962465692455626E-3</v>
      </c>
    </row>
    <row r="4220" spans="1:5" x14ac:dyDescent="0.25">
      <c r="A4220" s="41">
        <v>43641</v>
      </c>
      <c r="B4220" s="29">
        <v>135.85</v>
      </c>
      <c r="C4220" s="37">
        <f t="shared" si="136"/>
        <v>22.641666666666666</v>
      </c>
      <c r="D4220" s="37">
        <v>6.1120000000000001</v>
      </c>
      <c r="E4220" s="33">
        <f t="shared" si="137"/>
        <v>1.0337646883831521E-2</v>
      </c>
    </row>
    <row r="4221" spans="1:5" x14ac:dyDescent="0.25">
      <c r="A4221" s="41">
        <v>43641</v>
      </c>
      <c r="B4221" s="29">
        <v>134.5</v>
      </c>
      <c r="C4221" s="37">
        <f t="shared" si="136"/>
        <v>22.416666666666668</v>
      </c>
      <c r="D4221" s="37">
        <v>6.1120000000000001</v>
      </c>
      <c r="E4221" s="33">
        <f t="shared" si="137"/>
        <v>-9.9374309900625273E-3</v>
      </c>
    </row>
    <row r="4222" spans="1:5" x14ac:dyDescent="0.25">
      <c r="A4222" s="41">
        <v>43641</v>
      </c>
      <c r="B4222" s="29">
        <v>132.91</v>
      </c>
      <c r="C4222" s="37">
        <f t="shared" si="136"/>
        <v>22.151666666666667</v>
      </c>
      <c r="D4222" s="37">
        <v>6.1120000000000001</v>
      </c>
      <c r="E4222" s="33">
        <f t="shared" si="137"/>
        <v>-1.1821561338289988E-2</v>
      </c>
    </row>
    <row r="4223" spans="1:5" x14ac:dyDescent="0.25">
      <c r="A4223" s="41">
        <v>43641</v>
      </c>
      <c r="B4223" s="29">
        <v>131.75</v>
      </c>
      <c r="C4223" s="37">
        <f t="shared" si="136"/>
        <v>21.958333333333332</v>
      </c>
      <c r="D4223" s="37">
        <v>6.1120000000000001</v>
      </c>
      <c r="E4223" s="33">
        <f t="shared" si="137"/>
        <v>-8.7277104807764391E-3</v>
      </c>
    </row>
    <row r="4224" spans="1:5" x14ac:dyDescent="0.25">
      <c r="A4224" s="41">
        <v>43641</v>
      </c>
      <c r="B4224" s="29">
        <v>131.08000000000001</v>
      </c>
      <c r="C4224" s="37">
        <f t="shared" si="136"/>
        <v>21.846666666666671</v>
      </c>
      <c r="D4224" s="37">
        <v>6.1120000000000001</v>
      </c>
      <c r="E4224" s="33">
        <f t="shared" si="137"/>
        <v>-5.0853889943073055E-3</v>
      </c>
    </row>
    <row r="4225" spans="1:5" x14ac:dyDescent="0.25">
      <c r="A4225" s="41">
        <v>43641</v>
      </c>
      <c r="B4225" s="29">
        <v>128.44</v>
      </c>
      <c r="C4225" s="37">
        <f t="shared" si="136"/>
        <v>21.406666666666666</v>
      </c>
      <c r="D4225" s="37">
        <v>6.1120000000000001</v>
      </c>
      <c r="E4225" s="33">
        <f t="shared" si="137"/>
        <v>-2.0140372291730352E-2</v>
      </c>
    </row>
    <row r="4226" spans="1:5" x14ac:dyDescent="0.25">
      <c r="A4226" s="41">
        <v>43642</v>
      </c>
      <c r="B4226" s="29">
        <v>108.01</v>
      </c>
      <c r="C4226" s="37">
        <f t="shared" si="136"/>
        <v>18.001666666666665</v>
      </c>
      <c r="D4226" s="37">
        <v>6.3419999999999996</v>
      </c>
      <c r="E4226" s="33">
        <f t="shared" si="137"/>
        <v>-0.15906259732170658</v>
      </c>
    </row>
    <row r="4227" spans="1:5" x14ac:dyDescent="0.25">
      <c r="A4227" s="41">
        <v>43642</v>
      </c>
      <c r="B4227" s="29">
        <v>103.65</v>
      </c>
      <c r="C4227" s="37">
        <f t="shared" ref="C4227:C4290" si="138">(B4227*100/600)</f>
        <v>17.274999999999999</v>
      </c>
      <c r="D4227" s="37">
        <v>6.3419999999999996</v>
      </c>
      <c r="E4227" s="33">
        <f t="shared" si="137"/>
        <v>-4.0366632719192663E-2</v>
      </c>
    </row>
    <row r="4228" spans="1:5" x14ac:dyDescent="0.25">
      <c r="A4228" s="41">
        <v>43642</v>
      </c>
      <c r="B4228" s="29">
        <v>103</v>
      </c>
      <c r="C4228" s="37">
        <f t="shared" si="138"/>
        <v>17.166666666666668</v>
      </c>
      <c r="D4228" s="37">
        <v>6.3419999999999996</v>
      </c>
      <c r="E4228" s="33">
        <f t="shared" ref="E4228:E4291" si="139">(B4228-B4227)/B4227</f>
        <v>-6.2711046792089309E-3</v>
      </c>
    </row>
    <row r="4229" spans="1:5" x14ac:dyDescent="0.25">
      <c r="A4229" s="41">
        <v>43642</v>
      </c>
      <c r="B4229" s="29">
        <v>102.98</v>
      </c>
      <c r="C4229" s="37">
        <f t="shared" si="138"/>
        <v>17.163333333333334</v>
      </c>
      <c r="D4229" s="37">
        <v>6.3419999999999996</v>
      </c>
      <c r="E4229" s="33">
        <f t="shared" si="139"/>
        <v>-1.9417475728151476E-4</v>
      </c>
    </row>
    <row r="4230" spans="1:5" x14ac:dyDescent="0.25">
      <c r="A4230" s="41">
        <v>43642</v>
      </c>
      <c r="B4230" s="29">
        <v>102.95</v>
      </c>
      <c r="C4230" s="37">
        <f t="shared" si="138"/>
        <v>17.158333333333335</v>
      </c>
      <c r="D4230" s="37">
        <v>6.3419999999999996</v>
      </c>
      <c r="E4230" s="33">
        <f t="shared" si="139"/>
        <v>-2.9131870266072186E-4</v>
      </c>
    </row>
    <row r="4231" spans="1:5" x14ac:dyDescent="0.25">
      <c r="A4231" s="41">
        <v>43642</v>
      </c>
      <c r="B4231" s="29">
        <v>103.64</v>
      </c>
      <c r="C4231" s="37">
        <f t="shared" si="138"/>
        <v>17.273333333333333</v>
      </c>
      <c r="D4231" s="37">
        <v>6.3419999999999996</v>
      </c>
      <c r="E4231" s="33">
        <f t="shared" si="139"/>
        <v>6.7022826614861362E-3</v>
      </c>
    </row>
    <row r="4232" spans="1:5" x14ac:dyDescent="0.25">
      <c r="A4232" s="41">
        <v>43642</v>
      </c>
      <c r="B4232" s="29">
        <v>119.18</v>
      </c>
      <c r="C4232" s="37">
        <f t="shared" si="138"/>
        <v>19.863333333333333</v>
      </c>
      <c r="D4232" s="37">
        <v>6.3419999999999996</v>
      </c>
      <c r="E4232" s="33">
        <f t="shared" si="139"/>
        <v>0.14994210729448096</v>
      </c>
    </row>
    <row r="4233" spans="1:5" x14ac:dyDescent="0.25">
      <c r="A4233" s="41">
        <v>43642</v>
      </c>
      <c r="B4233" s="29">
        <v>120.83</v>
      </c>
      <c r="C4233" s="37">
        <f t="shared" si="138"/>
        <v>20.138333333333332</v>
      </c>
      <c r="D4233" s="37">
        <v>6.3419999999999996</v>
      </c>
      <c r="E4233" s="33">
        <f t="shared" si="139"/>
        <v>1.3844604799462925E-2</v>
      </c>
    </row>
    <row r="4234" spans="1:5" x14ac:dyDescent="0.25">
      <c r="A4234" s="41">
        <v>43642</v>
      </c>
      <c r="B4234" s="29">
        <v>122.71</v>
      </c>
      <c r="C4234" s="37">
        <f t="shared" si="138"/>
        <v>20.451666666666668</v>
      </c>
      <c r="D4234" s="37">
        <v>6.3419999999999996</v>
      </c>
      <c r="E4234" s="33">
        <f t="shared" si="139"/>
        <v>1.5559049904824923E-2</v>
      </c>
    </row>
    <row r="4235" spans="1:5" x14ac:dyDescent="0.25">
      <c r="A4235" s="41">
        <v>43642</v>
      </c>
      <c r="B4235" s="29">
        <v>122.78</v>
      </c>
      <c r="C4235" s="37">
        <f t="shared" si="138"/>
        <v>20.463333333333335</v>
      </c>
      <c r="D4235" s="37">
        <v>6.3419999999999996</v>
      </c>
      <c r="E4235" s="33">
        <f t="shared" si="139"/>
        <v>5.7045065601831466E-4</v>
      </c>
    </row>
    <row r="4236" spans="1:5" x14ac:dyDescent="0.25">
      <c r="A4236" s="41">
        <v>43642</v>
      </c>
      <c r="B4236" s="29">
        <v>124.04</v>
      </c>
      <c r="C4236" s="37">
        <f t="shared" si="138"/>
        <v>20.673333333333332</v>
      </c>
      <c r="D4236" s="37">
        <v>6.3419999999999996</v>
      </c>
      <c r="E4236" s="33">
        <f t="shared" si="139"/>
        <v>1.0262257696693314E-2</v>
      </c>
    </row>
    <row r="4237" spans="1:5" x14ac:dyDescent="0.25">
      <c r="A4237" s="41">
        <v>43642</v>
      </c>
      <c r="B4237" s="29">
        <v>125.05</v>
      </c>
      <c r="C4237" s="37">
        <f t="shared" si="138"/>
        <v>20.841666666666665</v>
      </c>
      <c r="D4237" s="37">
        <v>6.3419999999999996</v>
      </c>
      <c r="E4237" s="33">
        <f t="shared" si="139"/>
        <v>8.1425346662366248E-3</v>
      </c>
    </row>
    <row r="4238" spans="1:5" x14ac:dyDescent="0.25">
      <c r="A4238" s="41">
        <v>43642</v>
      </c>
      <c r="B4238" s="29">
        <v>124.66</v>
      </c>
      <c r="C4238" s="37">
        <f t="shared" si="138"/>
        <v>20.776666666666667</v>
      </c>
      <c r="D4238" s="37">
        <v>6.3419999999999996</v>
      </c>
      <c r="E4238" s="33">
        <f t="shared" si="139"/>
        <v>-3.1187524990004046E-3</v>
      </c>
    </row>
    <row r="4239" spans="1:5" x14ac:dyDescent="0.25">
      <c r="A4239" s="41">
        <v>43642</v>
      </c>
      <c r="B4239" s="29">
        <v>125.74</v>
      </c>
      <c r="C4239" s="37">
        <f t="shared" si="138"/>
        <v>20.956666666666667</v>
      </c>
      <c r="D4239" s="37">
        <v>6.3419999999999996</v>
      </c>
      <c r="E4239" s="33">
        <f t="shared" si="139"/>
        <v>8.6635648965185177E-3</v>
      </c>
    </row>
    <row r="4240" spans="1:5" x14ac:dyDescent="0.25">
      <c r="A4240" s="41">
        <v>43642</v>
      </c>
      <c r="B4240" s="29">
        <v>126.5</v>
      </c>
      <c r="C4240" s="37">
        <f t="shared" si="138"/>
        <v>21.083333333333332</v>
      </c>
      <c r="D4240" s="37">
        <v>6.3419999999999996</v>
      </c>
      <c r="E4240" s="33">
        <f t="shared" si="139"/>
        <v>6.0442182280897499E-3</v>
      </c>
    </row>
    <row r="4241" spans="1:5" x14ac:dyDescent="0.25">
      <c r="A4241" s="41">
        <v>43642</v>
      </c>
      <c r="B4241" s="29">
        <v>126.54</v>
      </c>
      <c r="C4241" s="37">
        <f t="shared" si="138"/>
        <v>21.09</v>
      </c>
      <c r="D4241" s="37">
        <v>6.3419999999999996</v>
      </c>
      <c r="E4241" s="33">
        <f t="shared" si="139"/>
        <v>3.1620553359688739E-4</v>
      </c>
    </row>
    <row r="4242" spans="1:5" x14ac:dyDescent="0.25">
      <c r="A4242" s="41">
        <v>43642</v>
      </c>
      <c r="B4242" s="29">
        <v>126.75</v>
      </c>
      <c r="C4242" s="37">
        <f t="shared" si="138"/>
        <v>21.125</v>
      </c>
      <c r="D4242" s="37">
        <v>6.3419999999999996</v>
      </c>
      <c r="E4242" s="33">
        <f t="shared" si="139"/>
        <v>1.6595542911331891E-3</v>
      </c>
    </row>
    <row r="4243" spans="1:5" x14ac:dyDescent="0.25">
      <c r="A4243" s="41">
        <v>43642</v>
      </c>
      <c r="B4243" s="29">
        <v>126.59</v>
      </c>
      <c r="C4243" s="37">
        <f t="shared" si="138"/>
        <v>21.098333333333333</v>
      </c>
      <c r="D4243" s="37">
        <v>6.3419999999999996</v>
      </c>
      <c r="E4243" s="33">
        <f t="shared" si="139"/>
        <v>-1.262327416173543E-3</v>
      </c>
    </row>
    <row r="4244" spans="1:5" x14ac:dyDescent="0.25">
      <c r="A4244" s="41">
        <v>43642</v>
      </c>
      <c r="B4244" s="29">
        <v>129.16999999999999</v>
      </c>
      <c r="C4244" s="37">
        <f t="shared" si="138"/>
        <v>21.528333333333329</v>
      </c>
      <c r="D4244" s="37">
        <v>6.3419999999999996</v>
      </c>
      <c r="E4244" s="33">
        <f t="shared" si="139"/>
        <v>2.0380756773836668E-2</v>
      </c>
    </row>
    <row r="4245" spans="1:5" x14ac:dyDescent="0.25">
      <c r="A4245" s="41">
        <v>43642</v>
      </c>
      <c r="B4245" s="29">
        <v>126.76</v>
      </c>
      <c r="C4245" s="37">
        <f t="shared" si="138"/>
        <v>21.126666666666665</v>
      </c>
      <c r="D4245" s="37">
        <v>6.3419999999999996</v>
      </c>
      <c r="E4245" s="33">
        <f t="shared" si="139"/>
        <v>-1.8657583030115218E-2</v>
      </c>
    </row>
    <row r="4246" spans="1:5" x14ac:dyDescent="0.25">
      <c r="A4246" s="41">
        <v>43642</v>
      </c>
      <c r="B4246" s="29">
        <v>125.63</v>
      </c>
      <c r="C4246" s="37">
        <f t="shared" si="138"/>
        <v>20.938333333333333</v>
      </c>
      <c r="D4246" s="37">
        <v>6.3419999999999996</v>
      </c>
      <c r="E4246" s="33">
        <f t="shared" si="139"/>
        <v>-8.9144840643736959E-3</v>
      </c>
    </row>
    <row r="4247" spans="1:5" x14ac:dyDescent="0.25">
      <c r="A4247" s="41">
        <v>43642</v>
      </c>
      <c r="B4247" s="29">
        <v>125.45</v>
      </c>
      <c r="C4247" s="37">
        <f t="shared" si="138"/>
        <v>20.908333333333335</v>
      </c>
      <c r="D4247" s="37">
        <v>6.3419999999999996</v>
      </c>
      <c r="E4247" s="33">
        <f t="shared" si="139"/>
        <v>-1.432778794873777E-3</v>
      </c>
    </row>
    <row r="4248" spans="1:5" x14ac:dyDescent="0.25">
      <c r="A4248" s="41">
        <v>43642</v>
      </c>
      <c r="B4248" s="29">
        <v>122.93</v>
      </c>
      <c r="C4248" s="37">
        <f t="shared" si="138"/>
        <v>20.488333333333333</v>
      </c>
      <c r="D4248" s="37">
        <v>6.3419999999999996</v>
      </c>
      <c r="E4248" s="33">
        <f t="shared" si="139"/>
        <v>-2.0087684336388967E-2</v>
      </c>
    </row>
    <row r="4249" spans="1:5" x14ac:dyDescent="0.25">
      <c r="A4249" s="41">
        <v>43642</v>
      </c>
      <c r="B4249" s="29">
        <v>122.42</v>
      </c>
      <c r="C4249" s="37">
        <f t="shared" si="138"/>
        <v>20.403333333333332</v>
      </c>
      <c r="D4249" s="37">
        <v>6.3419999999999996</v>
      </c>
      <c r="E4249" s="33">
        <f t="shared" si="139"/>
        <v>-4.1487025136256817E-3</v>
      </c>
    </row>
    <row r="4250" spans="1:5" x14ac:dyDescent="0.25">
      <c r="A4250" s="41">
        <v>43643</v>
      </c>
      <c r="B4250" s="29">
        <v>101.53</v>
      </c>
      <c r="C4250" s="37">
        <f t="shared" si="138"/>
        <v>16.921666666666667</v>
      </c>
      <c r="D4250" s="37">
        <v>6.7949999999999999</v>
      </c>
      <c r="E4250" s="33">
        <f t="shared" si="139"/>
        <v>-0.17064205195229537</v>
      </c>
    </row>
    <row r="4251" spans="1:5" x14ac:dyDescent="0.25">
      <c r="A4251" s="41">
        <v>43643</v>
      </c>
      <c r="B4251" s="29">
        <v>101.24</v>
      </c>
      <c r="C4251" s="37">
        <f t="shared" si="138"/>
        <v>16.873333333333335</v>
      </c>
      <c r="D4251" s="37">
        <v>6.7949999999999999</v>
      </c>
      <c r="E4251" s="33">
        <f t="shared" si="139"/>
        <v>-2.8562986309465799E-3</v>
      </c>
    </row>
    <row r="4252" spans="1:5" x14ac:dyDescent="0.25">
      <c r="A4252" s="41">
        <v>43643</v>
      </c>
      <c r="B4252" s="29">
        <v>101.22</v>
      </c>
      <c r="C4252" s="37">
        <f t="shared" si="138"/>
        <v>16.87</v>
      </c>
      <c r="D4252" s="37">
        <v>6.7949999999999999</v>
      </c>
      <c r="E4252" s="33">
        <f t="shared" si="139"/>
        <v>-1.9755037534567387E-4</v>
      </c>
    </row>
    <row r="4253" spans="1:5" x14ac:dyDescent="0.25">
      <c r="A4253" s="41">
        <v>43643</v>
      </c>
      <c r="B4253" s="29">
        <v>101.02</v>
      </c>
      <c r="C4253" s="37">
        <f t="shared" si="138"/>
        <v>16.836666666666666</v>
      </c>
      <c r="D4253" s="37">
        <v>6.7949999999999999</v>
      </c>
      <c r="E4253" s="33">
        <f t="shared" si="139"/>
        <v>-1.9758940920766928E-3</v>
      </c>
    </row>
    <row r="4254" spans="1:5" x14ac:dyDescent="0.25">
      <c r="A4254" s="41">
        <v>43643</v>
      </c>
      <c r="B4254" s="29">
        <v>101.08</v>
      </c>
      <c r="C4254" s="37">
        <f t="shared" si="138"/>
        <v>16.846666666666668</v>
      </c>
      <c r="D4254" s="37">
        <v>6.7949999999999999</v>
      </c>
      <c r="E4254" s="33">
        <f t="shared" si="139"/>
        <v>5.9394179370423955E-4</v>
      </c>
    </row>
    <row r="4255" spans="1:5" x14ac:dyDescent="0.25">
      <c r="A4255" s="41">
        <v>43643</v>
      </c>
      <c r="B4255" s="29">
        <v>101.17</v>
      </c>
      <c r="C4255" s="37">
        <f t="shared" si="138"/>
        <v>16.861666666666668</v>
      </c>
      <c r="D4255" s="37">
        <v>6.7949999999999999</v>
      </c>
      <c r="E4255" s="33">
        <f t="shared" si="139"/>
        <v>8.9038385437280776E-4</v>
      </c>
    </row>
    <row r="4256" spans="1:5" x14ac:dyDescent="0.25">
      <c r="A4256" s="41">
        <v>43643</v>
      </c>
      <c r="B4256" s="29">
        <v>105.51</v>
      </c>
      <c r="C4256" s="37">
        <f t="shared" si="138"/>
        <v>17.585000000000001</v>
      </c>
      <c r="D4256" s="37">
        <v>6.7949999999999999</v>
      </c>
      <c r="E4256" s="33">
        <f t="shared" si="139"/>
        <v>4.2898092319857702E-2</v>
      </c>
    </row>
    <row r="4257" spans="1:5" x14ac:dyDescent="0.25">
      <c r="A4257" s="41">
        <v>43643</v>
      </c>
      <c r="B4257" s="29">
        <v>119.98</v>
      </c>
      <c r="C4257" s="37">
        <f t="shared" si="138"/>
        <v>19.996666666666666</v>
      </c>
      <c r="D4257" s="37">
        <v>6.7949999999999999</v>
      </c>
      <c r="E4257" s="33">
        <f t="shared" si="139"/>
        <v>0.13714339872997819</v>
      </c>
    </row>
    <row r="4258" spans="1:5" x14ac:dyDescent="0.25">
      <c r="A4258" s="41">
        <v>43643</v>
      </c>
      <c r="B4258" s="29">
        <v>124.44</v>
      </c>
      <c r="C4258" s="37">
        <f t="shared" si="138"/>
        <v>20.74</v>
      </c>
      <c r="D4258" s="37">
        <v>6.7949999999999999</v>
      </c>
      <c r="E4258" s="33">
        <f t="shared" si="139"/>
        <v>3.717286214369056E-2</v>
      </c>
    </row>
    <row r="4259" spans="1:5" x14ac:dyDescent="0.25">
      <c r="A4259" s="41">
        <v>43643</v>
      </c>
      <c r="B4259" s="29">
        <v>126.83</v>
      </c>
      <c r="C4259" s="37">
        <f t="shared" si="138"/>
        <v>21.138333333333332</v>
      </c>
      <c r="D4259" s="37">
        <v>6.7949999999999999</v>
      </c>
      <c r="E4259" s="33">
        <f t="shared" si="139"/>
        <v>1.9206043072966895E-2</v>
      </c>
    </row>
    <row r="4260" spans="1:5" x14ac:dyDescent="0.25">
      <c r="A4260" s="41">
        <v>43643</v>
      </c>
      <c r="B4260" s="29">
        <v>127.53</v>
      </c>
      <c r="C4260" s="37">
        <f t="shared" si="138"/>
        <v>21.254999999999999</v>
      </c>
      <c r="D4260" s="37">
        <v>6.7949999999999999</v>
      </c>
      <c r="E4260" s="33">
        <f t="shared" si="139"/>
        <v>5.5191989276985164E-3</v>
      </c>
    </row>
    <row r="4261" spans="1:5" x14ac:dyDescent="0.25">
      <c r="A4261" s="41">
        <v>43643</v>
      </c>
      <c r="B4261" s="29">
        <v>127.53</v>
      </c>
      <c r="C4261" s="37">
        <f t="shared" si="138"/>
        <v>21.254999999999999</v>
      </c>
      <c r="D4261" s="37">
        <v>6.7949999999999999</v>
      </c>
      <c r="E4261" s="33">
        <f t="shared" si="139"/>
        <v>0</v>
      </c>
    </row>
    <row r="4262" spans="1:5" x14ac:dyDescent="0.25">
      <c r="A4262" s="41">
        <v>43643</v>
      </c>
      <c r="B4262" s="29">
        <v>127.34</v>
      </c>
      <c r="C4262" s="37">
        <f t="shared" si="138"/>
        <v>21.223333333333333</v>
      </c>
      <c r="D4262" s="37">
        <v>6.7949999999999999</v>
      </c>
      <c r="E4262" s="33">
        <f t="shared" si="139"/>
        <v>-1.4898455265427565E-3</v>
      </c>
    </row>
    <row r="4263" spans="1:5" x14ac:dyDescent="0.25">
      <c r="A4263" s="41">
        <v>43643</v>
      </c>
      <c r="B4263" s="29">
        <v>128.22</v>
      </c>
      <c r="C4263" s="37">
        <f t="shared" si="138"/>
        <v>21.37</v>
      </c>
      <c r="D4263" s="37">
        <v>6.7949999999999999</v>
      </c>
      <c r="E4263" s="33">
        <f t="shared" si="139"/>
        <v>6.9106329511543539E-3</v>
      </c>
    </row>
    <row r="4264" spans="1:5" x14ac:dyDescent="0.25">
      <c r="A4264" s="41">
        <v>43643</v>
      </c>
      <c r="B4264" s="29">
        <v>129.02000000000001</v>
      </c>
      <c r="C4264" s="37">
        <f t="shared" si="138"/>
        <v>21.503333333333337</v>
      </c>
      <c r="D4264" s="37">
        <v>6.7949999999999999</v>
      </c>
      <c r="E4264" s="33">
        <f t="shared" si="139"/>
        <v>6.2392762439557898E-3</v>
      </c>
    </row>
    <row r="4265" spans="1:5" x14ac:dyDescent="0.25">
      <c r="A4265" s="41">
        <v>43643</v>
      </c>
      <c r="B4265" s="29">
        <v>129.08000000000001</v>
      </c>
      <c r="C4265" s="37">
        <f t="shared" si="138"/>
        <v>21.513333333333335</v>
      </c>
      <c r="D4265" s="37">
        <v>6.7949999999999999</v>
      </c>
      <c r="E4265" s="33">
        <f t="shared" si="139"/>
        <v>4.6504417919704128E-4</v>
      </c>
    </row>
    <row r="4266" spans="1:5" x14ac:dyDescent="0.25">
      <c r="A4266" s="41">
        <v>43643</v>
      </c>
      <c r="B4266" s="29">
        <v>129.15</v>
      </c>
      <c r="C4266" s="37">
        <f t="shared" si="138"/>
        <v>21.524999999999999</v>
      </c>
      <c r="D4266" s="37">
        <v>6.7949999999999999</v>
      </c>
      <c r="E4266" s="33">
        <f t="shared" si="139"/>
        <v>5.4229934924072802E-4</v>
      </c>
    </row>
    <row r="4267" spans="1:5" x14ac:dyDescent="0.25">
      <c r="A4267" s="41">
        <v>43643</v>
      </c>
      <c r="B4267" s="29">
        <v>129.16</v>
      </c>
      <c r="C4267" s="37">
        <f t="shared" si="138"/>
        <v>21.526666666666667</v>
      </c>
      <c r="D4267" s="37">
        <v>6.7949999999999999</v>
      </c>
      <c r="E4267" s="33">
        <f t="shared" si="139"/>
        <v>7.742934572195823E-5</v>
      </c>
    </row>
    <row r="4268" spans="1:5" x14ac:dyDescent="0.25">
      <c r="A4268" s="41">
        <v>43643</v>
      </c>
      <c r="B4268" s="29">
        <v>129.62</v>
      </c>
      <c r="C4268" s="37">
        <f t="shared" si="138"/>
        <v>21.603333333333332</v>
      </c>
      <c r="D4268" s="37">
        <v>6.7949999999999999</v>
      </c>
      <c r="E4268" s="33">
        <f t="shared" si="139"/>
        <v>3.5614741406008671E-3</v>
      </c>
    </row>
    <row r="4269" spans="1:5" x14ac:dyDescent="0.25">
      <c r="A4269" s="41">
        <v>43643</v>
      </c>
      <c r="B4269" s="29">
        <v>129.07</v>
      </c>
      <c r="C4269" s="37">
        <f t="shared" si="138"/>
        <v>21.511666666666667</v>
      </c>
      <c r="D4269" s="37">
        <v>6.7949999999999999</v>
      </c>
      <c r="E4269" s="33">
        <f t="shared" si="139"/>
        <v>-4.2431723499460833E-3</v>
      </c>
    </row>
    <row r="4270" spans="1:5" x14ac:dyDescent="0.25">
      <c r="A4270" s="41">
        <v>43643</v>
      </c>
      <c r="B4270" s="29">
        <v>127.42</v>
      </c>
      <c r="C4270" s="37">
        <f t="shared" si="138"/>
        <v>21.236666666666668</v>
      </c>
      <c r="D4270" s="37">
        <v>6.7949999999999999</v>
      </c>
      <c r="E4270" s="33">
        <f t="shared" si="139"/>
        <v>-1.2783760749980565E-2</v>
      </c>
    </row>
    <row r="4271" spans="1:5" x14ac:dyDescent="0.25">
      <c r="A4271" s="41">
        <v>43643</v>
      </c>
      <c r="B4271" s="29">
        <v>127.35</v>
      </c>
      <c r="C4271" s="37">
        <f t="shared" si="138"/>
        <v>21.225000000000001</v>
      </c>
      <c r="D4271" s="37">
        <v>6.7949999999999999</v>
      </c>
      <c r="E4271" s="33">
        <f t="shared" si="139"/>
        <v>-5.4936430701622505E-4</v>
      </c>
    </row>
    <row r="4272" spans="1:5" x14ac:dyDescent="0.25">
      <c r="A4272" s="41">
        <v>43643</v>
      </c>
      <c r="B4272" s="29">
        <v>126.51</v>
      </c>
      <c r="C4272" s="37">
        <f t="shared" si="138"/>
        <v>21.085000000000001</v>
      </c>
      <c r="D4272" s="37">
        <v>6.7949999999999999</v>
      </c>
      <c r="E4272" s="33">
        <f t="shared" si="139"/>
        <v>-6.5959952885747096E-3</v>
      </c>
    </row>
    <row r="4273" spans="1:5" x14ac:dyDescent="0.25">
      <c r="A4273" s="41">
        <v>43643</v>
      </c>
      <c r="B4273" s="29">
        <v>123.87</v>
      </c>
      <c r="C4273" s="37">
        <f t="shared" si="138"/>
        <v>20.645</v>
      </c>
      <c r="D4273" s="37">
        <v>6.7949999999999999</v>
      </c>
      <c r="E4273" s="33">
        <f t="shared" si="139"/>
        <v>-2.0867915579796066E-2</v>
      </c>
    </row>
    <row r="4274" spans="1:5" x14ac:dyDescent="0.25">
      <c r="A4274" s="41">
        <v>43644</v>
      </c>
      <c r="B4274" s="29">
        <v>106.23</v>
      </c>
      <c r="C4274" s="37">
        <f t="shared" si="138"/>
        <v>17.704999999999998</v>
      </c>
      <c r="D4274" s="37">
        <v>6.9119999999999999</v>
      </c>
      <c r="E4274" s="33">
        <f t="shared" si="139"/>
        <v>-0.14240736255751998</v>
      </c>
    </row>
    <row r="4275" spans="1:5" x14ac:dyDescent="0.25">
      <c r="A4275" s="41">
        <v>43644</v>
      </c>
      <c r="B4275" s="29">
        <v>106.08</v>
      </c>
      <c r="C4275" s="37">
        <f t="shared" si="138"/>
        <v>17.68</v>
      </c>
      <c r="D4275" s="37">
        <v>6.9119999999999999</v>
      </c>
      <c r="E4275" s="33">
        <f t="shared" si="139"/>
        <v>-1.4120304998588504E-3</v>
      </c>
    </row>
    <row r="4276" spans="1:5" x14ac:dyDescent="0.25">
      <c r="A4276" s="41">
        <v>43644</v>
      </c>
      <c r="B4276" s="29">
        <v>103.31</v>
      </c>
      <c r="C4276" s="37">
        <f t="shared" si="138"/>
        <v>17.218333333333334</v>
      </c>
      <c r="D4276" s="37">
        <v>6.9119999999999999</v>
      </c>
      <c r="E4276" s="33">
        <f t="shared" si="139"/>
        <v>-2.6112368024132693E-2</v>
      </c>
    </row>
    <row r="4277" spans="1:5" x14ac:dyDescent="0.25">
      <c r="A4277" s="41">
        <v>43644</v>
      </c>
      <c r="B4277" s="29">
        <v>102.18</v>
      </c>
      <c r="C4277" s="37">
        <f t="shared" si="138"/>
        <v>17.03</v>
      </c>
      <c r="D4277" s="37">
        <v>6.9119999999999999</v>
      </c>
      <c r="E4277" s="33">
        <f t="shared" si="139"/>
        <v>-1.0937953731487711E-2</v>
      </c>
    </row>
    <row r="4278" spans="1:5" x14ac:dyDescent="0.25">
      <c r="A4278" s="41">
        <v>43644</v>
      </c>
      <c r="B4278" s="29">
        <v>103.47</v>
      </c>
      <c r="C4278" s="37">
        <f t="shared" si="138"/>
        <v>17.245000000000001</v>
      </c>
      <c r="D4278" s="37">
        <v>6.9119999999999999</v>
      </c>
      <c r="E4278" s="33">
        <f t="shared" si="139"/>
        <v>1.262477980035224E-2</v>
      </c>
    </row>
    <row r="4279" spans="1:5" x14ac:dyDescent="0.25">
      <c r="A4279" s="41">
        <v>43644</v>
      </c>
      <c r="B4279" s="29">
        <v>106.15</v>
      </c>
      <c r="C4279" s="37">
        <f t="shared" si="138"/>
        <v>17.691666666666666</v>
      </c>
      <c r="D4279" s="37">
        <v>6.9119999999999999</v>
      </c>
      <c r="E4279" s="33">
        <f t="shared" si="139"/>
        <v>2.5901227408910862E-2</v>
      </c>
    </row>
    <row r="4280" spans="1:5" x14ac:dyDescent="0.25">
      <c r="A4280" s="41">
        <v>43644</v>
      </c>
      <c r="B4280" s="29">
        <v>119.09</v>
      </c>
      <c r="C4280" s="37">
        <f t="shared" si="138"/>
        <v>19.848333333333333</v>
      </c>
      <c r="D4280" s="37">
        <v>6.9119999999999999</v>
      </c>
      <c r="E4280" s="33">
        <f t="shared" si="139"/>
        <v>0.12190296749882239</v>
      </c>
    </row>
    <row r="4281" spans="1:5" x14ac:dyDescent="0.25">
      <c r="A4281" s="41">
        <v>43644</v>
      </c>
      <c r="B4281" s="29">
        <v>122.49</v>
      </c>
      <c r="C4281" s="37">
        <f t="shared" si="138"/>
        <v>20.414999999999999</v>
      </c>
      <c r="D4281" s="37">
        <v>6.9119999999999999</v>
      </c>
      <c r="E4281" s="33">
        <f t="shared" si="139"/>
        <v>2.8549836258291977E-2</v>
      </c>
    </row>
    <row r="4282" spans="1:5" x14ac:dyDescent="0.25">
      <c r="A4282" s="41">
        <v>43644</v>
      </c>
      <c r="B4282" s="29">
        <v>125.67</v>
      </c>
      <c r="C4282" s="37">
        <f t="shared" si="138"/>
        <v>20.945</v>
      </c>
      <c r="D4282" s="37">
        <v>6.9119999999999999</v>
      </c>
      <c r="E4282" s="33">
        <f t="shared" si="139"/>
        <v>2.5961302963507283E-2</v>
      </c>
    </row>
    <row r="4283" spans="1:5" x14ac:dyDescent="0.25">
      <c r="A4283" s="41">
        <v>43644</v>
      </c>
      <c r="B4283" s="29">
        <v>128.47</v>
      </c>
      <c r="C4283" s="37">
        <f t="shared" si="138"/>
        <v>21.411666666666665</v>
      </c>
      <c r="D4283" s="37">
        <v>6.9119999999999999</v>
      </c>
      <c r="E4283" s="33">
        <f t="shared" si="139"/>
        <v>2.2280576112039447E-2</v>
      </c>
    </row>
    <row r="4284" spans="1:5" x14ac:dyDescent="0.25">
      <c r="A4284" s="41">
        <v>43644</v>
      </c>
      <c r="B4284" s="29">
        <v>129.84</v>
      </c>
      <c r="C4284" s="37">
        <f t="shared" si="138"/>
        <v>21.64</v>
      </c>
      <c r="D4284" s="37">
        <v>6.9119999999999999</v>
      </c>
      <c r="E4284" s="33">
        <f t="shared" si="139"/>
        <v>1.0663968241612863E-2</v>
      </c>
    </row>
    <row r="4285" spans="1:5" x14ac:dyDescent="0.25">
      <c r="A4285" s="41">
        <v>43644</v>
      </c>
      <c r="B4285" s="29">
        <v>129.86000000000001</v>
      </c>
      <c r="C4285" s="37">
        <f t="shared" si="138"/>
        <v>21.643333333333338</v>
      </c>
      <c r="D4285" s="37">
        <v>6.9119999999999999</v>
      </c>
      <c r="E4285" s="33">
        <f t="shared" si="139"/>
        <v>1.5403573629089827E-4</v>
      </c>
    </row>
    <row r="4286" spans="1:5" x14ac:dyDescent="0.25">
      <c r="A4286" s="41">
        <v>43644</v>
      </c>
      <c r="B4286" s="29">
        <v>129.84</v>
      </c>
      <c r="C4286" s="37">
        <f t="shared" si="138"/>
        <v>21.64</v>
      </c>
      <c r="D4286" s="37">
        <v>6.9119999999999999</v>
      </c>
      <c r="E4286" s="33">
        <f t="shared" si="139"/>
        <v>-1.5401201293708787E-4</v>
      </c>
    </row>
    <row r="4287" spans="1:5" x14ac:dyDescent="0.25">
      <c r="A4287" s="41">
        <v>43644</v>
      </c>
      <c r="B4287" s="29">
        <v>129.83000000000001</v>
      </c>
      <c r="C4287" s="37">
        <f t="shared" si="138"/>
        <v>21.638333333333335</v>
      </c>
      <c r="D4287" s="37">
        <v>6.9119999999999999</v>
      </c>
      <c r="E4287" s="33">
        <f t="shared" si="139"/>
        <v>-7.7017868145339686E-5</v>
      </c>
    </row>
    <row r="4288" spans="1:5" x14ac:dyDescent="0.25">
      <c r="A4288" s="41">
        <v>43644</v>
      </c>
      <c r="B4288" s="29">
        <v>129.85</v>
      </c>
      <c r="C4288" s="37">
        <f t="shared" si="138"/>
        <v>21.641666666666666</v>
      </c>
      <c r="D4288" s="37">
        <v>6.9119999999999999</v>
      </c>
      <c r="E4288" s="33">
        <f t="shared" si="139"/>
        <v>1.5404760070847885E-4</v>
      </c>
    </row>
    <row r="4289" spans="1:5" x14ac:dyDescent="0.25">
      <c r="A4289" s="41">
        <v>43644</v>
      </c>
      <c r="B4289" s="29">
        <v>129.87</v>
      </c>
      <c r="C4289" s="37">
        <f t="shared" si="138"/>
        <v>21.645</v>
      </c>
      <c r="D4289" s="37">
        <v>6.9119999999999999</v>
      </c>
      <c r="E4289" s="33">
        <f t="shared" si="139"/>
        <v>1.5402387370050237E-4</v>
      </c>
    </row>
    <row r="4290" spans="1:5" x14ac:dyDescent="0.25">
      <c r="A4290" s="41">
        <v>43644</v>
      </c>
      <c r="B4290" s="29">
        <v>129.82</v>
      </c>
      <c r="C4290" s="37">
        <f t="shared" si="138"/>
        <v>21.636666666666667</v>
      </c>
      <c r="D4290" s="37">
        <v>6.9119999999999999</v>
      </c>
      <c r="E4290" s="33">
        <f t="shared" si="139"/>
        <v>-3.8500038500047251E-4</v>
      </c>
    </row>
    <row r="4291" spans="1:5" x14ac:dyDescent="0.25">
      <c r="A4291" s="41">
        <v>43644</v>
      </c>
      <c r="B4291" s="29">
        <v>129.79</v>
      </c>
      <c r="C4291" s="37">
        <f t="shared" ref="C4291:C4354" si="140">(B4291*100/600)</f>
        <v>21.631666666666668</v>
      </c>
      <c r="D4291" s="37">
        <v>6.9119999999999999</v>
      </c>
      <c r="E4291" s="33">
        <f t="shared" si="139"/>
        <v>-2.3108920043137527E-4</v>
      </c>
    </row>
    <row r="4292" spans="1:5" x14ac:dyDescent="0.25">
      <c r="A4292" s="41">
        <v>43644</v>
      </c>
      <c r="B4292" s="29">
        <v>130.13</v>
      </c>
      <c r="C4292" s="37">
        <f t="shared" si="140"/>
        <v>21.688333333333333</v>
      </c>
      <c r="D4292" s="37">
        <v>6.9119999999999999</v>
      </c>
      <c r="E4292" s="33">
        <f t="shared" ref="E4292:E4355" si="141">(B4292-B4291)/B4291</f>
        <v>2.6196163032591374E-3</v>
      </c>
    </row>
    <row r="4293" spans="1:5" x14ac:dyDescent="0.25">
      <c r="A4293" s="41">
        <v>43644</v>
      </c>
      <c r="B4293" s="29">
        <v>129.74</v>
      </c>
      <c r="C4293" s="37">
        <f t="shared" si="140"/>
        <v>21.623333333333335</v>
      </c>
      <c r="D4293" s="37">
        <v>6.9119999999999999</v>
      </c>
      <c r="E4293" s="33">
        <f t="shared" si="141"/>
        <v>-2.9970029970028925E-3</v>
      </c>
    </row>
    <row r="4294" spans="1:5" x14ac:dyDescent="0.25">
      <c r="A4294" s="41">
        <v>43644</v>
      </c>
      <c r="B4294" s="29">
        <v>129.66</v>
      </c>
      <c r="C4294" s="37">
        <f t="shared" si="140"/>
        <v>21.61</v>
      </c>
      <c r="D4294" s="37">
        <v>6.9119999999999999</v>
      </c>
      <c r="E4294" s="33">
        <f t="shared" si="141"/>
        <v>-6.1661785108688529E-4</v>
      </c>
    </row>
    <row r="4295" spans="1:5" x14ac:dyDescent="0.25">
      <c r="A4295" s="41">
        <v>43644</v>
      </c>
      <c r="B4295" s="29">
        <v>129.61000000000001</v>
      </c>
      <c r="C4295" s="37">
        <f t="shared" si="140"/>
        <v>21.60166666666667</v>
      </c>
      <c r="D4295" s="37">
        <v>6.9119999999999999</v>
      </c>
      <c r="E4295" s="33">
        <f t="shared" si="141"/>
        <v>-3.8562393953403475E-4</v>
      </c>
    </row>
    <row r="4296" spans="1:5" x14ac:dyDescent="0.25">
      <c r="A4296" s="41">
        <v>43644</v>
      </c>
      <c r="B4296" s="29">
        <v>127.72</v>
      </c>
      <c r="C4296" s="37">
        <f t="shared" si="140"/>
        <v>21.286666666666665</v>
      </c>
      <c r="D4296" s="37">
        <v>6.9119999999999999</v>
      </c>
      <c r="E4296" s="33">
        <f t="shared" si="141"/>
        <v>-1.4582208162950501E-2</v>
      </c>
    </row>
    <row r="4297" spans="1:5" x14ac:dyDescent="0.25">
      <c r="A4297" s="41">
        <v>43644</v>
      </c>
      <c r="B4297" s="29">
        <v>125.41</v>
      </c>
      <c r="C4297" s="37">
        <f t="shared" si="140"/>
        <v>20.901666666666667</v>
      </c>
      <c r="D4297" s="37">
        <v>6.9119999999999999</v>
      </c>
      <c r="E4297" s="33">
        <f t="shared" si="141"/>
        <v>-1.8086439085499548E-2</v>
      </c>
    </row>
    <row r="4298" spans="1:5" x14ac:dyDescent="0.25">
      <c r="A4298" s="41">
        <v>43645</v>
      </c>
      <c r="B4298" s="29">
        <v>168.21</v>
      </c>
      <c r="C4298" s="37">
        <f t="shared" si="140"/>
        <v>28.035</v>
      </c>
      <c r="D4298" s="37">
        <v>6.8860000000000001</v>
      </c>
      <c r="E4298" s="33">
        <f t="shared" si="141"/>
        <v>0.34128059963320317</v>
      </c>
    </row>
    <row r="4299" spans="1:5" x14ac:dyDescent="0.25">
      <c r="A4299" s="41">
        <v>43645</v>
      </c>
      <c r="B4299" s="29">
        <v>167.45</v>
      </c>
      <c r="C4299" s="37">
        <f t="shared" si="140"/>
        <v>27.908333333333335</v>
      </c>
      <c r="D4299" s="37">
        <v>6.8860000000000001</v>
      </c>
      <c r="E4299" s="33">
        <f t="shared" si="141"/>
        <v>-4.5181618215327226E-3</v>
      </c>
    </row>
    <row r="4300" spans="1:5" x14ac:dyDescent="0.25">
      <c r="A4300" s="41">
        <v>43645</v>
      </c>
      <c r="B4300" s="29">
        <v>167.42</v>
      </c>
      <c r="C4300" s="37">
        <f t="shared" si="140"/>
        <v>27.903333333333332</v>
      </c>
      <c r="D4300" s="37">
        <v>6.8860000000000001</v>
      </c>
      <c r="E4300" s="33">
        <f t="shared" si="141"/>
        <v>-1.7915795759929017E-4</v>
      </c>
    </row>
    <row r="4301" spans="1:5" x14ac:dyDescent="0.25">
      <c r="A4301" s="41">
        <v>43645</v>
      </c>
      <c r="B4301" s="29">
        <v>167.39</v>
      </c>
      <c r="C4301" s="37">
        <f t="shared" si="140"/>
        <v>27.898333333333333</v>
      </c>
      <c r="D4301" s="37">
        <v>6.8860000000000001</v>
      </c>
      <c r="E4301" s="33">
        <f t="shared" si="141"/>
        <v>-1.7919006092462751E-4</v>
      </c>
    </row>
    <row r="4302" spans="1:5" x14ac:dyDescent="0.25">
      <c r="A4302" s="41">
        <v>43645</v>
      </c>
      <c r="B4302" s="29">
        <v>167.36</v>
      </c>
      <c r="C4302" s="37">
        <f t="shared" si="140"/>
        <v>27.893333333333334</v>
      </c>
      <c r="D4302" s="37">
        <v>6.8860000000000001</v>
      </c>
      <c r="E4302" s="33">
        <f t="shared" si="141"/>
        <v>-1.7922217575705072E-4</v>
      </c>
    </row>
    <row r="4303" spans="1:5" x14ac:dyDescent="0.25">
      <c r="A4303" s="41">
        <v>43645</v>
      </c>
      <c r="B4303" s="29">
        <v>167.33</v>
      </c>
      <c r="C4303" s="37">
        <f t="shared" si="140"/>
        <v>27.888333333333332</v>
      </c>
      <c r="D4303" s="37">
        <v>6.8860000000000001</v>
      </c>
      <c r="E4303" s="33">
        <f t="shared" si="141"/>
        <v>-1.7925430210325726E-4</v>
      </c>
    </row>
    <row r="4304" spans="1:5" x14ac:dyDescent="0.25">
      <c r="A4304" s="41">
        <v>43645</v>
      </c>
      <c r="B4304" s="29">
        <v>167.3</v>
      </c>
      <c r="C4304" s="37">
        <f t="shared" si="140"/>
        <v>27.883333333333333</v>
      </c>
      <c r="D4304" s="37">
        <v>6.8860000000000001</v>
      </c>
      <c r="E4304" s="33">
        <f t="shared" si="141"/>
        <v>-1.7928643996893047E-4</v>
      </c>
    </row>
    <row r="4305" spans="1:5" x14ac:dyDescent="0.25">
      <c r="A4305" s="41">
        <v>43645</v>
      </c>
      <c r="B4305" s="29">
        <v>167.68</v>
      </c>
      <c r="C4305" s="37">
        <f t="shared" si="140"/>
        <v>27.946666666666665</v>
      </c>
      <c r="D4305" s="37">
        <v>6.8860000000000001</v>
      </c>
      <c r="E4305" s="33">
        <f t="shared" si="141"/>
        <v>2.271368798565424E-3</v>
      </c>
    </row>
    <row r="4306" spans="1:5" x14ac:dyDescent="0.25">
      <c r="A4306" s="41">
        <v>43645</v>
      </c>
      <c r="B4306" s="29">
        <v>169.28</v>
      </c>
      <c r="C4306" s="37">
        <f t="shared" si="140"/>
        <v>28.213333333333335</v>
      </c>
      <c r="D4306" s="37">
        <v>6.8860000000000001</v>
      </c>
      <c r="E4306" s="33">
        <f t="shared" si="141"/>
        <v>9.5419847328243931E-3</v>
      </c>
    </row>
    <row r="4307" spans="1:5" x14ac:dyDescent="0.25">
      <c r="A4307" s="41">
        <v>43645</v>
      </c>
      <c r="B4307" s="29">
        <v>170.33</v>
      </c>
      <c r="C4307" s="37">
        <f t="shared" si="140"/>
        <v>28.388333333333332</v>
      </c>
      <c r="D4307" s="37">
        <v>6.8860000000000001</v>
      </c>
      <c r="E4307" s="33">
        <f t="shared" si="141"/>
        <v>6.2027410207940179E-3</v>
      </c>
    </row>
    <row r="4308" spans="1:5" x14ac:dyDescent="0.25">
      <c r="A4308" s="41">
        <v>43645</v>
      </c>
      <c r="B4308" s="29">
        <v>170.34</v>
      </c>
      <c r="C4308" s="37">
        <f t="shared" si="140"/>
        <v>28.39</v>
      </c>
      <c r="D4308" s="37">
        <v>6.8860000000000001</v>
      </c>
      <c r="E4308" s="33">
        <f t="shared" si="141"/>
        <v>5.8709563787887655E-5</v>
      </c>
    </row>
    <row r="4309" spans="1:5" x14ac:dyDescent="0.25">
      <c r="A4309" s="41">
        <v>43645</v>
      </c>
      <c r="B4309" s="29">
        <v>170.34</v>
      </c>
      <c r="C4309" s="37">
        <f t="shared" si="140"/>
        <v>28.39</v>
      </c>
      <c r="D4309" s="37">
        <v>6.8860000000000001</v>
      </c>
      <c r="E4309" s="33">
        <f t="shared" si="141"/>
        <v>0</v>
      </c>
    </row>
    <row r="4310" spans="1:5" x14ac:dyDescent="0.25">
      <c r="A4310" s="41">
        <v>43645</v>
      </c>
      <c r="B4310" s="29">
        <v>170.34</v>
      </c>
      <c r="C4310" s="37">
        <f t="shared" si="140"/>
        <v>28.39</v>
      </c>
      <c r="D4310" s="37">
        <v>6.8860000000000001</v>
      </c>
      <c r="E4310" s="33">
        <f t="shared" si="141"/>
        <v>0</v>
      </c>
    </row>
    <row r="4311" spans="1:5" x14ac:dyDescent="0.25">
      <c r="A4311" s="41">
        <v>43645</v>
      </c>
      <c r="B4311" s="29">
        <v>170.34</v>
      </c>
      <c r="C4311" s="37">
        <f t="shared" si="140"/>
        <v>28.39</v>
      </c>
      <c r="D4311" s="37">
        <v>6.8860000000000001</v>
      </c>
      <c r="E4311" s="33">
        <f t="shared" si="141"/>
        <v>0</v>
      </c>
    </row>
    <row r="4312" spans="1:5" x14ac:dyDescent="0.25">
      <c r="A4312" s="41">
        <v>43645</v>
      </c>
      <c r="B4312" s="29">
        <v>170.34</v>
      </c>
      <c r="C4312" s="37">
        <f t="shared" si="140"/>
        <v>28.39</v>
      </c>
      <c r="D4312" s="37">
        <v>6.8860000000000001</v>
      </c>
      <c r="E4312" s="33">
        <f t="shared" si="141"/>
        <v>0</v>
      </c>
    </row>
    <row r="4313" spans="1:5" x14ac:dyDescent="0.25">
      <c r="A4313" s="41">
        <v>43645</v>
      </c>
      <c r="B4313" s="29">
        <v>170.34</v>
      </c>
      <c r="C4313" s="37">
        <f t="shared" si="140"/>
        <v>28.39</v>
      </c>
      <c r="D4313" s="37">
        <v>6.8860000000000001</v>
      </c>
      <c r="E4313" s="33">
        <f t="shared" si="141"/>
        <v>0</v>
      </c>
    </row>
    <row r="4314" spans="1:5" x14ac:dyDescent="0.25">
      <c r="A4314" s="41">
        <v>43645</v>
      </c>
      <c r="B4314" s="29">
        <v>170.56</v>
      </c>
      <c r="C4314" s="37">
        <f t="shared" si="140"/>
        <v>28.426666666666666</v>
      </c>
      <c r="D4314" s="37">
        <v>6.8860000000000001</v>
      </c>
      <c r="E4314" s="33">
        <f t="shared" si="141"/>
        <v>1.2915345779030108E-3</v>
      </c>
    </row>
    <row r="4315" spans="1:5" x14ac:dyDescent="0.25">
      <c r="A4315" s="41">
        <v>43645</v>
      </c>
      <c r="B4315" s="29">
        <v>171.77</v>
      </c>
      <c r="C4315" s="37">
        <f t="shared" si="140"/>
        <v>28.628333333333334</v>
      </c>
      <c r="D4315" s="37">
        <v>6.8860000000000001</v>
      </c>
      <c r="E4315" s="33">
        <f t="shared" si="141"/>
        <v>7.0942776735460128E-3</v>
      </c>
    </row>
    <row r="4316" spans="1:5" x14ac:dyDescent="0.25">
      <c r="A4316" s="41">
        <v>43645</v>
      </c>
      <c r="B4316" s="29">
        <v>174.92</v>
      </c>
      <c r="C4316" s="37">
        <f t="shared" si="140"/>
        <v>29.153333333333332</v>
      </c>
      <c r="D4316" s="37">
        <v>6.8860000000000001</v>
      </c>
      <c r="E4316" s="33">
        <f t="shared" si="141"/>
        <v>1.8338475868894318E-2</v>
      </c>
    </row>
    <row r="4317" spans="1:5" x14ac:dyDescent="0.25">
      <c r="A4317" s="41">
        <v>43645</v>
      </c>
      <c r="B4317" s="29">
        <v>173.61</v>
      </c>
      <c r="C4317" s="37">
        <f t="shared" si="140"/>
        <v>28.934999999999999</v>
      </c>
      <c r="D4317" s="37">
        <v>6.8860000000000001</v>
      </c>
      <c r="E4317" s="33">
        <f t="shared" si="141"/>
        <v>-7.4891378916074431E-3</v>
      </c>
    </row>
    <row r="4318" spans="1:5" x14ac:dyDescent="0.25">
      <c r="A4318" s="41">
        <v>43645</v>
      </c>
      <c r="B4318" s="29">
        <v>172.22</v>
      </c>
      <c r="C4318" s="37">
        <f t="shared" si="140"/>
        <v>28.703333333333333</v>
      </c>
      <c r="D4318" s="37">
        <v>6.8860000000000001</v>
      </c>
      <c r="E4318" s="33">
        <f t="shared" si="141"/>
        <v>-8.006451241288029E-3</v>
      </c>
    </row>
    <row r="4319" spans="1:5" x14ac:dyDescent="0.25">
      <c r="A4319" s="41">
        <v>43645</v>
      </c>
      <c r="B4319" s="29">
        <v>171.13</v>
      </c>
      <c r="C4319" s="37">
        <f t="shared" si="140"/>
        <v>28.521666666666668</v>
      </c>
      <c r="D4319" s="37">
        <v>6.8860000000000001</v>
      </c>
      <c r="E4319" s="33">
        <f t="shared" si="141"/>
        <v>-6.3291139240506528E-3</v>
      </c>
    </row>
    <row r="4320" spans="1:5" x14ac:dyDescent="0.25">
      <c r="A4320" s="41">
        <v>43645</v>
      </c>
      <c r="B4320" s="29">
        <v>170.29</v>
      </c>
      <c r="C4320" s="37">
        <f t="shared" si="140"/>
        <v>28.381666666666668</v>
      </c>
      <c r="D4320" s="37">
        <v>6.8860000000000001</v>
      </c>
      <c r="E4320" s="33">
        <f t="shared" si="141"/>
        <v>-4.9085490562730287E-3</v>
      </c>
    </row>
    <row r="4321" spans="1:5" x14ac:dyDescent="0.25">
      <c r="A4321" s="41">
        <v>43645</v>
      </c>
      <c r="B4321" s="29">
        <v>168.4</v>
      </c>
      <c r="C4321" s="37">
        <f t="shared" si="140"/>
        <v>28.066666666666666</v>
      </c>
      <c r="D4321" s="37">
        <v>6.8860000000000001</v>
      </c>
      <c r="E4321" s="33">
        <f t="shared" si="141"/>
        <v>-1.1098713958541232E-2</v>
      </c>
    </row>
    <row r="4322" spans="1:5" x14ac:dyDescent="0.25">
      <c r="A4322" s="41">
        <v>43646</v>
      </c>
      <c r="B4322" s="29">
        <v>168.22</v>
      </c>
      <c r="C4322" s="37">
        <f t="shared" si="140"/>
        <v>28.036666666666665</v>
      </c>
      <c r="D4322" s="37">
        <v>6.9870000000000001</v>
      </c>
      <c r="E4322" s="33">
        <f t="shared" si="141"/>
        <v>-1.0688836104513469E-3</v>
      </c>
    </row>
    <row r="4323" spans="1:5" x14ac:dyDescent="0.25">
      <c r="A4323" s="41">
        <v>43646</v>
      </c>
      <c r="B4323" s="29">
        <v>168.04</v>
      </c>
      <c r="C4323" s="37">
        <f t="shared" si="140"/>
        <v>28.006666666666668</v>
      </c>
      <c r="D4323" s="37">
        <v>6.9870000000000001</v>
      </c>
      <c r="E4323" s="33">
        <f t="shared" si="141"/>
        <v>-1.0700273451433053E-3</v>
      </c>
    </row>
    <row r="4324" spans="1:5" x14ac:dyDescent="0.25">
      <c r="A4324" s="41">
        <v>43646</v>
      </c>
      <c r="B4324" s="29">
        <v>168.01</v>
      </c>
      <c r="C4324" s="37">
        <f t="shared" si="140"/>
        <v>28.001666666666665</v>
      </c>
      <c r="D4324" s="37">
        <v>6.9870000000000001</v>
      </c>
      <c r="E4324" s="33">
        <f t="shared" si="141"/>
        <v>-1.7852892168531979E-4</v>
      </c>
    </row>
    <row r="4325" spans="1:5" x14ac:dyDescent="0.25">
      <c r="A4325" s="41">
        <v>43646</v>
      </c>
      <c r="B4325" s="29">
        <v>167.98</v>
      </c>
      <c r="C4325" s="37">
        <f t="shared" si="140"/>
        <v>27.996666666666666</v>
      </c>
      <c r="D4325" s="37">
        <v>6.9870000000000001</v>
      </c>
      <c r="E4325" s="33">
        <f t="shared" si="141"/>
        <v>-1.7856079995239057E-4</v>
      </c>
    </row>
    <row r="4326" spans="1:5" x14ac:dyDescent="0.25">
      <c r="A4326" s="41">
        <v>43646</v>
      </c>
      <c r="B4326" s="29">
        <v>167.92</v>
      </c>
      <c r="C4326" s="37">
        <f t="shared" si="140"/>
        <v>27.986666666666668</v>
      </c>
      <c r="D4326" s="37">
        <v>6.9870000000000001</v>
      </c>
      <c r="E4326" s="33">
        <f t="shared" si="141"/>
        <v>-3.5718537921182447E-4</v>
      </c>
    </row>
    <row r="4327" spans="1:5" x14ac:dyDescent="0.25">
      <c r="A4327" s="41">
        <v>43646</v>
      </c>
      <c r="B4327" s="29">
        <v>167.92</v>
      </c>
      <c r="C4327" s="37">
        <f t="shared" si="140"/>
        <v>27.986666666666668</v>
      </c>
      <c r="D4327" s="37">
        <v>6.9870000000000001</v>
      </c>
      <c r="E4327" s="33">
        <f t="shared" si="141"/>
        <v>0</v>
      </c>
    </row>
    <row r="4328" spans="1:5" x14ac:dyDescent="0.25">
      <c r="A4328" s="41">
        <v>43646</v>
      </c>
      <c r="B4328" s="29">
        <v>167.89</v>
      </c>
      <c r="C4328" s="37">
        <f t="shared" si="140"/>
        <v>27.981666666666666</v>
      </c>
      <c r="D4328" s="37">
        <v>6.9870000000000001</v>
      </c>
      <c r="E4328" s="33">
        <f t="shared" si="141"/>
        <v>-1.7865650309671949E-4</v>
      </c>
    </row>
    <row r="4329" spans="1:5" x14ac:dyDescent="0.25">
      <c r="A4329" s="41">
        <v>43646</v>
      </c>
      <c r="B4329" s="29">
        <v>167.87</v>
      </c>
      <c r="C4329" s="37">
        <f t="shared" si="140"/>
        <v>27.978333333333332</v>
      </c>
      <c r="D4329" s="37">
        <v>6.9870000000000001</v>
      </c>
      <c r="E4329" s="33">
        <f t="shared" si="141"/>
        <v>-1.1912561796403485E-4</v>
      </c>
    </row>
    <row r="4330" spans="1:5" x14ac:dyDescent="0.25">
      <c r="A4330" s="41">
        <v>43646</v>
      </c>
      <c r="B4330" s="29">
        <v>167.84</v>
      </c>
      <c r="C4330" s="37">
        <f t="shared" si="140"/>
        <v>27.973333333333333</v>
      </c>
      <c r="D4330" s="37">
        <v>6.9870000000000001</v>
      </c>
      <c r="E4330" s="33">
        <f t="shared" si="141"/>
        <v>-1.7870971585155857E-4</v>
      </c>
    </row>
    <row r="4331" spans="1:5" x14ac:dyDescent="0.25">
      <c r="A4331" s="41">
        <v>43646</v>
      </c>
      <c r="B4331" s="29">
        <v>167.91</v>
      </c>
      <c r="C4331" s="37">
        <f t="shared" si="140"/>
        <v>27.984999999999999</v>
      </c>
      <c r="D4331" s="37">
        <v>6.9870000000000001</v>
      </c>
      <c r="E4331" s="33">
        <f t="shared" si="141"/>
        <v>4.1706387035267623E-4</v>
      </c>
    </row>
    <row r="4332" spans="1:5" x14ac:dyDescent="0.25">
      <c r="A4332" s="41">
        <v>43646</v>
      </c>
      <c r="B4332" s="29">
        <v>168.46</v>
      </c>
      <c r="C4332" s="37">
        <f t="shared" si="140"/>
        <v>28.076666666666668</v>
      </c>
      <c r="D4332" s="37">
        <v>6.9870000000000001</v>
      </c>
      <c r="E4332" s="33">
        <f t="shared" si="141"/>
        <v>3.2755642903937311E-3</v>
      </c>
    </row>
    <row r="4333" spans="1:5" x14ac:dyDescent="0.25">
      <c r="A4333" s="41">
        <v>43646</v>
      </c>
      <c r="B4333" s="29">
        <v>168.59</v>
      </c>
      <c r="C4333" s="37">
        <f t="shared" si="140"/>
        <v>28.098333333333333</v>
      </c>
      <c r="D4333" s="37">
        <v>6.9870000000000001</v>
      </c>
      <c r="E4333" s="33">
        <f t="shared" si="141"/>
        <v>7.7169654517390146E-4</v>
      </c>
    </row>
    <row r="4334" spans="1:5" x14ac:dyDescent="0.25">
      <c r="A4334" s="41">
        <v>43646</v>
      </c>
      <c r="B4334" s="29">
        <v>168.59</v>
      </c>
      <c r="C4334" s="37">
        <f t="shared" si="140"/>
        <v>28.098333333333333</v>
      </c>
      <c r="D4334" s="37">
        <v>6.9870000000000001</v>
      </c>
      <c r="E4334" s="33">
        <f t="shared" si="141"/>
        <v>0</v>
      </c>
    </row>
    <row r="4335" spans="1:5" x14ac:dyDescent="0.25">
      <c r="A4335" s="41">
        <v>43646</v>
      </c>
      <c r="B4335" s="29">
        <v>168.57</v>
      </c>
      <c r="C4335" s="37">
        <f t="shared" si="140"/>
        <v>28.094999999999999</v>
      </c>
      <c r="D4335" s="37">
        <v>6.9870000000000001</v>
      </c>
      <c r="E4335" s="33">
        <f t="shared" si="141"/>
        <v>-1.1863099827991122E-4</v>
      </c>
    </row>
    <row r="4336" spans="1:5" x14ac:dyDescent="0.25">
      <c r="A4336" s="41">
        <v>43646</v>
      </c>
      <c r="B4336" s="29">
        <v>168.6</v>
      </c>
      <c r="C4336" s="37">
        <f t="shared" si="140"/>
        <v>28.1</v>
      </c>
      <c r="D4336" s="37">
        <v>6.9870000000000001</v>
      </c>
      <c r="E4336" s="33">
        <f t="shared" si="141"/>
        <v>1.7796760989500585E-4</v>
      </c>
    </row>
    <row r="4337" spans="1:5" x14ac:dyDescent="0.25">
      <c r="A4337" s="41">
        <v>43646</v>
      </c>
      <c r="B4337" s="29">
        <v>168.69</v>
      </c>
      <c r="C4337" s="37">
        <f t="shared" si="140"/>
        <v>28.114999999999998</v>
      </c>
      <c r="D4337" s="37">
        <v>6.9870000000000001</v>
      </c>
      <c r="E4337" s="33">
        <f t="shared" si="141"/>
        <v>5.3380782918151487E-4</v>
      </c>
    </row>
    <row r="4338" spans="1:5" x14ac:dyDescent="0.25">
      <c r="A4338" s="41">
        <v>43646</v>
      </c>
      <c r="B4338" s="29">
        <v>169.55</v>
      </c>
      <c r="C4338" s="37">
        <f t="shared" si="140"/>
        <v>28.258333333333333</v>
      </c>
      <c r="D4338" s="37">
        <v>6.9870000000000001</v>
      </c>
      <c r="E4338" s="33">
        <f t="shared" si="141"/>
        <v>5.0981089572589584E-3</v>
      </c>
    </row>
    <row r="4339" spans="1:5" x14ac:dyDescent="0.25">
      <c r="A4339" s="41">
        <v>43646</v>
      </c>
      <c r="B4339" s="29">
        <v>171.61</v>
      </c>
      <c r="C4339" s="37">
        <f t="shared" si="140"/>
        <v>28.601666666666667</v>
      </c>
      <c r="D4339" s="37">
        <v>6.9870000000000001</v>
      </c>
      <c r="E4339" s="33">
        <f t="shared" si="141"/>
        <v>1.2149808316130948E-2</v>
      </c>
    </row>
    <row r="4340" spans="1:5" x14ac:dyDescent="0.25">
      <c r="A4340" s="41">
        <v>43646</v>
      </c>
      <c r="B4340" s="29">
        <v>173.83</v>
      </c>
      <c r="C4340" s="37">
        <f t="shared" si="140"/>
        <v>28.971666666666668</v>
      </c>
      <c r="D4340" s="37">
        <v>6.9870000000000001</v>
      </c>
      <c r="E4340" s="33">
        <f t="shared" si="141"/>
        <v>1.2936309072897842E-2</v>
      </c>
    </row>
    <row r="4341" spans="1:5" x14ac:dyDescent="0.25">
      <c r="A4341" s="41">
        <v>43646</v>
      </c>
      <c r="B4341" s="29">
        <v>173.22</v>
      </c>
      <c r="C4341" s="37">
        <f t="shared" si="140"/>
        <v>28.87</v>
      </c>
      <c r="D4341" s="37">
        <v>6.9870000000000001</v>
      </c>
      <c r="E4341" s="33">
        <f t="shared" si="141"/>
        <v>-3.5091756313640546E-3</v>
      </c>
    </row>
    <row r="4342" spans="1:5" x14ac:dyDescent="0.25">
      <c r="A4342" s="41">
        <v>43646</v>
      </c>
      <c r="B4342" s="29">
        <v>172.26</v>
      </c>
      <c r="C4342" s="37">
        <f t="shared" si="140"/>
        <v>28.71</v>
      </c>
      <c r="D4342" s="37">
        <v>6.9870000000000001</v>
      </c>
      <c r="E4342" s="33">
        <f t="shared" si="141"/>
        <v>-5.5420852095601431E-3</v>
      </c>
    </row>
    <row r="4343" spans="1:5" x14ac:dyDescent="0.25">
      <c r="A4343" s="41">
        <v>43646</v>
      </c>
      <c r="B4343" s="29">
        <v>172.2</v>
      </c>
      <c r="C4343" s="37">
        <f t="shared" si="140"/>
        <v>28.7</v>
      </c>
      <c r="D4343" s="37">
        <v>6.9870000000000001</v>
      </c>
      <c r="E4343" s="33">
        <f t="shared" si="141"/>
        <v>-3.4831069313829259E-4</v>
      </c>
    </row>
    <row r="4344" spans="1:5" x14ac:dyDescent="0.25">
      <c r="A4344" s="41">
        <v>43646</v>
      </c>
      <c r="B4344" s="29">
        <v>171.52</v>
      </c>
      <c r="C4344" s="37">
        <f t="shared" si="140"/>
        <v>28.586666666666666</v>
      </c>
      <c r="D4344" s="37">
        <v>6.9870000000000001</v>
      </c>
      <c r="E4344" s="33">
        <f t="shared" si="141"/>
        <v>-3.9488966318233362E-3</v>
      </c>
    </row>
    <row r="4345" spans="1:5" x14ac:dyDescent="0.25">
      <c r="A4345" s="41">
        <v>43646</v>
      </c>
      <c r="B4345" s="29">
        <v>169.99</v>
      </c>
      <c r="C4345" s="37">
        <f t="shared" si="140"/>
        <v>28.331666666666667</v>
      </c>
      <c r="D4345" s="37">
        <v>6.9870000000000001</v>
      </c>
      <c r="E4345" s="33">
        <f t="shared" si="141"/>
        <v>-8.9202425373134386E-3</v>
      </c>
    </row>
    <row r="4346" spans="1:5" x14ac:dyDescent="0.25">
      <c r="A4346" s="41">
        <v>43647</v>
      </c>
      <c r="B4346" s="29">
        <v>170.42</v>
      </c>
      <c r="C4346" s="37">
        <f t="shared" si="140"/>
        <v>28.403333333333332</v>
      </c>
      <c r="D4346" s="37">
        <v>8.7059999999999995</v>
      </c>
      <c r="E4346" s="33">
        <f t="shared" si="141"/>
        <v>2.5295605623858954E-3</v>
      </c>
    </row>
    <row r="4347" spans="1:5" x14ac:dyDescent="0.25">
      <c r="A4347" s="41">
        <v>43647</v>
      </c>
      <c r="B4347" s="29">
        <v>169.25</v>
      </c>
      <c r="C4347" s="37">
        <f t="shared" si="140"/>
        <v>28.208333333333332</v>
      </c>
      <c r="D4347" s="37">
        <v>8.7059999999999995</v>
      </c>
      <c r="E4347" s="33">
        <f t="shared" si="141"/>
        <v>-6.865391385987487E-3</v>
      </c>
    </row>
    <row r="4348" spans="1:5" x14ac:dyDescent="0.25">
      <c r="A4348" s="41">
        <v>43647</v>
      </c>
      <c r="B4348" s="29">
        <v>169.14</v>
      </c>
      <c r="C4348" s="37">
        <f t="shared" si="140"/>
        <v>28.19</v>
      </c>
      <c r="D4348" s="37">
        <v>8.7059999999999995</v>
      </c>
      <c r="E4348" s="33">
        <f t="shared" si="141"/>
        <v>-6.4992614475635826E-4</v>
      </c>
    </row>
    <row r="4349" spans="1:5" x14ac:dyDescent="0.25">
      <c r="A4349" s="41">
        <v>43647</v>
      </c>
      <c r="B4349" s="29">
        <v>169.06</v>
      </c>
      <c r="C4349" s="37">
        <f t="shared" si="140"/>
        <v>28.176666666666666</v>
      </c>
      <c r="D4349" s="37">
        <v>8.7059999999999995</v>
      </c>
      <c r="E4349" s="33">
        <f t="shared" si="141"/>
        <v>-4.7298096251616466E-4</v>
      </c>
    </row>
    <row r="4350" spans="1:5" x14ac:dyDescent="0.25">
      <c r="A4350" s="41">
        <v>43647</v>
      </c>
      <c r="B4350" s="29">
        <v>169.06</v>
      </c>
      <c r="C4350" s="37">
        <f t="shared" si="140"/>
        <v>28.176666666666666</v>
      </c>
      <c r="D4350" s="37">
        <v>8.7059999999999995</v>
      </c>
      <c r="E4350" s="33">
        <f t="shared" si="141"/>
        <v>0</v>
      </c>
    </row>
    <row r="4351" spans="1:5" x14ac:dyDescent="0.25">
      <c r="A4351" s="41">
        <v>43647</v>
      </c>
      <c r="B4351" s="29">
        <v>170.42</v>
      </c>
      <c r="C4351" s="37">
        <f t="shared" si="140"/>
        <v>28.403333333333332</v>
      </c>
      <c r="D4351" s="37">
        <v>8.7059999999999995</v>
      </c>
      <c r="E4351" s="33">
        <f t="shared" si="141"/>
        <v>8.0444812492605298E-3</v>
      </c>
    </row>
    <row r="4352" spans="1:5" x14ac:dyDescent="0.25">
      <c r="A4352" s="41">
        <v>43647</v>
      </c>
      <c r="B4352" s="29">
        <v>171.11</v>
      </c>
      <c r="C4352" s="37">
        <f t="shared" si="140"/>
        <v>28.518333333333334</v>
      </c>
      <c r="D4352" s="37">
        <v>8.7059999999999995</v>
      </c>
      <c r="E4352" s="33">
        <f t="shared" si="141"/>
        <v>4.0488205609671762E-3</v>
      </c>
    </row>
    <row r="4353" spans="1:5" x14ac:dyDescent="0.25">
      <c r="A4353" s="41">
        <v>43647</v>
      </c>
      <c r="B4353" s="29">
        <v>173.05</v>
      </c>
      <c r="C4353" s="37">
        <f t="shared" si="140"/>
        <v>28.841666666666665</v>
      </c>
      <c r="D4353" s="37">
        <v>8.7059999999999995</v>
      </c>
      <c r="E4353" s="33">
        <f t="shared" si="141"/>
        <v>1.1337735959324398E-2</v>
      </c>
    </row>
    <row r="4354" spans="1:5" x14ac:dyDescent="0.25">
      <c r="A4354" s="41">
        <v>43647</v>
      </c>
      <c r="B4354" s="29">
        <v>175.05</v>
      </c>
      <c r="C4354" s="37">
        <f t="shared" si="140"/>
        <v>29.175000000000001</v>
      </c>
      <c r="D4354" s="37">
        <v>8.7059999999999995</v>
      </c>
      <c r="E4354" s="33">
        <f t="shared" si="141"/>
        <v>1.1557353366079166E-2</v>
      </c>
    </row>
    <row r="4355" spans="1:5" x14ac:dyDescent="0.25">
      <c r="A4355" s="41">
        <v>43647</v>
      </c>
      <c r="B4355" s="29">
        <v>176.82</v>
      </c>
      <c r="C4355" s="37">
        <f t="shared" ref="C4355:C4418" si="142">(B4355*100/600)</f>
        <v>29.47</v>
      </c>
      <c r="D4355" s="37">
        <v>8.7059999999999995</v>
      </c>
      <c r="E4355" s="33">
        <f t="shared" si="141"/>
        <v>1.0111396743787384E-2</v>
      </c>
    </row>
    <row r="4356" spans="1:5" x14ac:dyDescent="0.25">
      <c r="A4356" s="41">
        <v>43647</v>
      </c>
      <c r="B4356" s="29">
        <v>177.06</v>
      </c>
      <c r="C4356" s="37">
        <f t="shared" si="142"/>
        <v>29.51</v>
      </c>
      <c r="D4356" s="37">
        <v>8.7059999999999995</v>
      </c>
      <c r="E4356" s="33">
        <f t="shared" ref="E4356:E4419" si="143">(B4356-B4355)/B4355</f>
        <v>1.3573125212080596E-3</v>
      </c>
    </row>
    <row r="4357" spans="1:5" x14ac:dyDescent="0.25">
      <c r="A4357" s="41">
        <v>43647</v>
      </c>
      <c r="B4357" s="29">
        <v>177.1</v>
      </c>
      <c r="C4357" s="37">
        <f t="shared" si="142"/>
        <v>29.516666666666666</v>
      </c>
      <c r="D4357" s="37">
        <v>8.7059999999999995</v>
      </c>
      <c r="E4357" s="33">
        <f t="shared" si="143"/>
        <v>2.2591212018520298E-4</v>
      </c>
    </row>
    <row r="4358" spans="1:5" x14ac:dyDescent="0.25">
      <c r="A4358" s="41">
        <v>43647</v>
      </c>
      <c r="B4358" s="29">
        <v>177.02</v>
      </c>
      <c r="C4358" s="37">
        <f t="shared" si="142"/>
        <v>29.503333333333334</v>
      </c>
      <c r="D4358" s="37">
        <v>8.7059999999999995</v>
      </c>
      <c r="E4358" s="33">
        <f t="shared" si="143"/>
        <v>-4.5172219085253576E-4</v>
      </c>
    </row>
    <row r="4359" spans="1:5" x14ac:dyDescent="0.25">
      <c r="A4359" s="41">
        <v>43647</v>
      </c>
      <c r="B4359" s="29">
        <v>177.21</v>
      </c>
      <c r="C4359" s="37">
        <f t="shared" si="142"/>
        <v>29.535</v>
      </c>
      <c r="D4359" s="37">
        <v>8.7059999999999995</v>
      </c>
      <c r="E4359" s="33">
        <f t="shared" si="143"/>
        <v>1.0733250480171603E-3</v>
      </c>
    </row>
    <row r="4360" spans="1:5" x14ac:dyDescent="0.25">
      <c r="A4360" s="41">
        <v>43647</v>
      </c>
      <c r="B4360" s="29">
        <v>177.98</v>
      </c>
      <c r="C4360" s="37">
        <f t="shared" si="142"/>
        <v>29.663333333333334</v>
      </c>
      <c r="D4360" s="37">
        <v>8.7059999999999995</v>
      </c>
      <c r="E4360" s="33">
        <f t="shared" si="143"/>
        <v>4.3451272501550805E-3</v>
      </c>
    </row>
    <row r="4361" spans="1:5" x14ac:dyDescent="0.25">
      <c r="A4361" s="41">
        <v>43647</v>
      </c>
      <c r="B4361" s="29">
        <v>178.02</v>
      </c>
      <c r="C4361" s="37">
        <f t="shared" si="142"/>
        <v>29.67</v>
      </c>
      <c r="D4361" s="37">
        <v>8.7059999999999995</v>
      </c>
      <c r="E4361" s="33">
        <f t="shared" si="143"/>
        <v>2.2474435329823838E-4</v>
      </c>
    </row>
    <row r="4362" spans="1:5" x14ac:dyDescent="0.25">
      <c r="A4362" s="41">
        <v>43647</v>
      </c>
      <c r="B4362" s="29">
        <v>178.15</v>
      </c>
      <c r="C4362" s="37">
        <f t="shared" si="142"/>
        <v>29.691666666666666</v>
      </c>
      <c r="D4362" s="37">
        <v>8.7059999999999995</v>
      </c>
      <c r="E4362" s="33">
        <f t="shared" si="143"/>
        <v>7.3025502752497163E-4</v>
      </c>
    </row>
    <row r="4363" spans="1:5" x14ac:dyDescent="0.25">
      <c r="A4363" s="41">
        <v>43647</v>
      </c>
      <c r="B4363" s="29">
        <v>178.05</v>
      </c>
      <c r="C4363" s="37">
        <f t="shared" si="142"/>
        <v>29.675000000000001</v>
      </c>
      <c r="D4363" s="37">
        <v>8.7059999999999995</v>
      </c>
      <c r="E4363" s="33">
        <f t="shared" si="143"/>
        <v>-5.6132472635416397E-4</v>
      </c>
    </row>
    <row r="4364" spans="1:5" x14ac:dyDescent="0.25">
      <c r="A4364" s="41">
        <v>43647</v>
      </c>
      <c r="B4364" s="29">
        <v>179.26</v>
      </c>
      <c r="C4364" s="37">
        <f t="shared" si="142"/>
        <v>29.876666666666665</v>
      </c>
      <c r="D4364" s="37">
        <v>8.7059999999999995</v>
      </c>
      <c r="E4364" s="33">
        <f t="shared" si="143"/>
        <v>6.7958438640830076E-3</v>
      </c>
    </row>
    <row r="4365" spans="1:5" x14ac:dyDescent="0.25">
      <c r="A4365" s="41">
        <v>43647</v>
      </c>
      <c r="B4365" s="29">
        <v>178.74</v>
      </c>
      <c r="C4365" s="37">
        <f t="shared" si="142"/>
        <v>29.79</v>
      </c>
      <c r="D4365" s="37">
        <v>8.7059999999999995</v>
      </c>
      <c r="E4365" s="33">
        <f t="shared" si="143"/>
        <v>-2.9008144594442811E-3</v>
      </c>
    </row>
    <row r="4366" spans="1:5" x14ac:dyDescent="0.25">
      <c r="A4366" s="41">
        <v>43647</v>
      </c>
      <c r="B4366" s="29">
        <v>178.06</v>
      </c>
      <c r="C4366" s="37">
        <f t="shared" si="142"/>
        <v>29.676666666666666</v>
      </c>
      <c r="D4366" s="37">
        <v>8.7059999999999995</v>
      </c>
      <c r="E4366" s="33">
        <f t="shared" si="143"/>
        <v>-3.8044086382455341E-3</v>
      </c>
    </row>
    <row r="4367" spans="1:5" x14ac:dyDescent="0.25">
      <c r="A4367" s="41">
        <v>43647</v>
      </c>
      <c r="B4367" s="29">
        <v>177.62</v>
      </c>
      <c r="C4367" s="37">
        <f t="shared" si="142"/>
        <v>29.603333333333332</v>
      </c>
      <c r="D4367" s="37">
        <v>8.7059999999999995</v>
      </c>
      <c r="E4367" s="33">
        <f t="shared" si="143"/>
        <v>-2.4710771650005487E-3</v>
      </c>
    </row>
    <row r="4368" spans="1:5" x14ac:dyDescent="0.25">
      <c r="A4368" s="41">
        <v>43647</v>
      </c>
      <c r="B4368" s="29">
        <v>176.4</v>
      </c>
      <c r="C4368" s="37">
        <f t="shared" si="142"/>
        <v>29.4</v>
      </c>
      <c r="D4368" s="37">
        <v>8.7059999999999995</v>
      </c>
      <c r="E4368" s="33">
        <f t="shared" si="143"/>
        <v>-6.8685958788424657E-3</v>
      </c>
    </row>
    <row r="4369" spans="1:5" x14ac:dyDescent="0.25">
      <c r="A4369" s="41">
        <v>43647</v>
      </c>
      <c r="B4369" s="29">
        <v>174.96</v>
      </c>
      <c r="C4369" s="37">
        <f t="shared" si="142"/>
        <v>29.16</v>
      </c>
      <c r="D4369" s="37">
        <v>8.7059999999999995</v>
      </c>
      <c r="E4369" s="33">
        <f t="shared" si="143"/>
        <v>-8.1632653061224358E-3</v>
      </c>
    </row>
    <row r="4370" spans="1:5" x14ac:dyDescent="0.25">
      <c r="A4370" s="41">
        <v>43648</v>
      </c>
      <c r="B4370" s="29">
        <v>171.67</v>
      </c>
      <c r="C4370" s="37">
        <f t="shared" si="142"/>
        <v>28.611666666666668</v>
      </c>
      <c r="D4370" s="37">
        <v>11.377000000000001</v>
      </c>
      <c r="E4370" s="33">
        <f t="shared" si="143"/>
        <v>-1.8804298125285897E-2</v>
      </c>
    </row>
    <row r="4371" spans="1:5" x14ac:dyDescent="0.25">
      <c r="A4371" s="41">
        <v>43648</v>
      </c>
      <c r="B4371" s="29">
        <v>169.44</v>
      </c>
      <c r="C4371" s="37">
        <f t="shared" si="142"/>
        <v>28.24</v>
      </c>
      <c r="D4371" s="37">
        <v>11.377000000000001</v>
      </c>
      <c r="E4371" s="33">
        <f t="shared" si="143"/>
        <v>-1.2990039028368322E-2</v>
      </c>
    </row>
    <row r="4372" spans="1:5" x14ac:dyDescent="0.25">
      <c r="A4372" s="41">
        <v>43648</v>
      </c>
      <c r="B4372" s="29">
        <v>169.38</v>
      </c>
      <c r="C4372" s="37">
        <f t="shared" si="142"/>
        <v>28.23</v>
      </c>
      <c r="D4372" s="37">
        <v>11.377000000000001</v>
      </c>
      <c r="E4372" s="33">
        <f t="shared" si="143"/>
        <v>-3.5410764872522587E-4</v>
      </c>
    </row>
    <row r="4373" spans="1:5" x14ac:dyDescent="0.25">
      <c r="A4373" s="41">
        <v>43648</v>
      </c>
      <c r="B4373" s="29">
        <v>169.38</v>
      </c>
      <c r="C4373" s="37">
        <f t="shared" si="142"/>
        <v>28.23</v>
      </c>
      <c r="D4373" s="37">
        <v>11.377000000000001</v>
      </c>
      <c r="E4373" s="33">
        <f t="shared" si="143"/>
        <v>0</v>
      </c>
    </row>
    <row r="4374" spans="1:5" x14ac:dyDescent="0.25">
      <c r="A4374" s="41">
        <v>43648</v>
      </c>
      <c r="B4374" s="29">
        <v>169.4</v>
      </c>
      <c r="C4374" s="37">
        <f t="shared" si="142"/>
        <v>28.233333333333334</v>
      </c>
      <c r="D4374" s="37">
        <v>11.377000000000001</v>
      </c>
      <c r="E4374" s="33">
        <f t="shared" si="143"/>
        <v>1.180776951234516E-4</v>
      </c>
    </row>
    <row r="4375" spans="1:5" x14ac:dyDescent="0.25">
      <c r="A4375" s="41">
        <v>43648</v>
      </c>
      <c r="B4375" s="29">
        <v>170.26</v>
      </c>
      <c r="C4375" s="37">
        <f t="shared" si="142"/>
        <v>28.376666666666665</v>
      </c>
      <c r="D4375" s="37">
        <v>11.377000000000001</v>
      </c>
      <c r="E4375" s="33">
        <f t="shared" si="143"/>
        <v>5.076741440377717E-3</v>
      </c>
    </row>
    <row r="4376" spans="1:5" x14ac:dyDescent="0.25">
      <c r="A4376" s="41">
        <v>43648</v>
      </c>
      <c r="B4376" s="29">
        <v>172.39</v>
      </c>
      <c r="C4376" s="37">
        <f t="shared" si="142"/>
        <v>28.731666666666666</v>
      </c>
      <c r="D4376" s="37">
        <v>11.377000000000001</v>
      </c>
      <c r="E4376" s="33">
        <f t="shared" si="143"/>
        <v>1.2510278397744599E-2</v>
      </c>
    </row>
    <row r="4377" spans="1:5" x14ac:dyDescent="0.25">
      <c r="A4377" s="41">
        <v>43648</v>
      </c>
      <c r="B4377" s="29">
        <v>172.7</v>
      </c>
      <c r="C4377" s="37">
        <f t="shared" si="142"/>
        <v>28.783333333333335</v>
      </c>
      <c r="D4377" s="37">
        <v>11.377000000000001</v>
      </c>
      <c r="E4377" s="33">
        <f t="shared" si="143"/>
        <v>1.7982481582458512E-3</v>
      </c>
    </row>
    <row r="4378" spans="1:5" x14ac:dyDescent="0.25">
      <c r="A4378" s="41">
        <v>43648</v>
      </c>
      <c r="B4378" s="29">
        <v>173.83</v>
      </c>
      <c r="C4378" s="37">
        <f t="shared" si="142"/>
        <v>28.971666666666668</v>
      </c>
      <c r="D4378" s="37">
        <v>11.377000000000001</v>
      </c>
      <c r="E4378" s="33">
        <f t="shared" si="143"/>
        <v>6.5431383902722871E-3</v>
      </c>
    </row>
    <row r="4379" spans="1:5" x14ac:dyDescent="0.25">
      <c r="A4379" s="41">
        <v>43648</v>
      </c>
      <c r="B4379" s="29">
        <v>175.46</v>
      </c>
      <c r="C4379" s="37">
        <f t="shared" si="142"/>
        <v>29.243333333333332</v>
      </c>
      <c r="D4379" s="37">
        <v>11.377000000000001</v>
      </c>
      <c r="E4379" s="33">
        <f t="shared" si="143"/>
        <v>9.3769775067594503E-3</v>
      </c>
    </row>
    <row r="4380" spans="1:5" x14ac:dyDescent="0.25">
      <c r="A4380" s="41">
        <v>43648</v>
      </c>
      <c r="B4380" s="29">
        <v>176.07</v>
      </c>
      <c r="C4380" s="37">
        <f t="shared" si="142"/>
        <v>29.344999999999999</v>
      </c>
      <c r="D4380" s="37">
        <v>11.377000000000001</v>
      </c>
      <c r="E4380" s="33">
        <f t="shared" si="143"/>
        <v>3.4765758577452706E-3</v>
      </c>
    </row>
    <row r="4381" spans="1:5" x14ac:dyDescent="0.25">
      <c r="A4381" s="41">
        <v>43648</v>
      </c>
      <c r="B4381" s="29">
        <v>176.11</v>
      </c>
      <c r="C4381" s="37">
        <f t="shared" si="142"/>
        <v>29.351666666666667</v>
      </c>
      <c r="D4381" s="37">
        <v>11.377000000000001</v>
      </c>
      <c r="E4381" s="33">
        <f t="shared" si="143"/>
        <v>2.2718237064815394E-4</v>
      </c>
    </row>
    <row r="4382" spans="1:5" x14ac:dyDescent="0.25">
      <c r="A4382" s="41">
        <v>43648</v>
      </c>
      <c r="B4382" s="29">
        <v>176.12</v>
      </c>
      <c r="C4382" s="37">
        <f t="shared" si="142"/>
        <v>29.353333333333332</v>
      </c>
      <c r="D4382" s="37">
        <v>11.377000000000001</v>
      </c>
      <c r="E4382" s="33">
        <f t="shared" si="143"/>
        <v>5.6782692635233117E-5</v>
      </c>
    </row>
    <row r="4383" spans="1:5" x14ac:dyDescent="0.25">
      <c r="A4383" s="41">
        <v>43648</v>
      </c>
      <c r="B4383" s="29">
        <v>176.69</v>
      </c>
      <c r="C4383" s="37">
        <f t="shared" si="142"/>
        <v>29.448333333333334</v>
      </c>
      <c r="D4383" s="37">
        <v>11.377000000000001</v>
      </c>
      <c r="E4383" s="33">
        <f t="shared" si="143"/>
        <v>3.2364297070179033E-3</v>
      </c>
    </row>
    <row r="4384" spans="1:5" x14ac:dyDescent="0.25">
      <c r="A4384" s="41">
        <v>43648</v>
      </c>
      <c r="B4384" s="29">
        <v>177.26</v>
      </c>
      <c r="C4384" s="37">
        <f t="shared" si="142"/>
        <v>29.543333333333333</v>
      </c>
      <c r="D4384" s="37">
        <v>11.377000000000001</v>
      </c>
      <c r="E4384" s="33">
        <f t="shared" si="143"/>
        <v>3.2259890203180327E-3</v>
      </c>
    </row>
    <row r="4385" spans="1:5" x14ac:dyDescent="0.25">
      <c r="A4385" s="41">
        <v>43648</v>
      </c>
      <c r="B4385" s="29">
        <v>177.43</v>
      </c>
      <c r="C4385" s="37">
        <f t="shared" si="142"/>
        <v>29.571666666666665</v>
      </c>
      <c r="D4385" s="37">
        <v>11.377000000000001</v>
      </c>
      <c r="E4385" s="33">
        <f t="shared" si="143"/>
        <v>9.5904321335899771E-4</v>
      </c>
    </row>
    <row r="4386" spans="1:5" x14ac:dyDescent="0.25">
      <c r="A4386" s="41">
        <v>43648</v>
      </c>
      <c r="B4386" s="29">
        <v>177.42</v>
      </c>
      <c r="C4386" s="37">
        <f t="shared" si="142"/>
        <v>29.57</v>
      </c>
      <c r="D4386" s="37">
        <v>11.377000000000001</v>
      </c>
      <c r="E4386" s="33">
        <f t="shared" si="143"/>
        <v>-5.6360254748460386E-5</v>
      </c>
    </row>
    <row r="4387" spans="1:5" x14ac:dyDescent="0.25">
      <c r="A4387" s="41">
        <v>43648</v>
      </c>
      <c r="B4387" s="29">
        <v>177.41</v>
      </c>
      <c r="C4387" s="37">
        <f t="shared" si="142"/>
        <v>29.568333333333332</v>
      </c>
      <c r="D4387" s="37">
        <v>11.377000000000001</v>
      </c>
      <c r="E4387" s="33">
        <f t="shared" si="143"/>
        <v>-5.6363431405652719E-5</v>
      </c>
    </row>
    <row r="4388" spans="1:5" x14ac:dyDescent="0.25">
      <c r="A4388" s="41">
        <v>43648</v>
      </c>
      <c r="B4388" s="29">
        <v>178.8</v>
      </c>
      <c r="C4388" s="37">
        <f t="shared" si="142"/>
        <v>29.8</v>
      </c>
      <c r="D4388" s="37">
        <v>11.377000000000001</v>
      </c>
      <c r="E4388" s="33">
        <f t="shared" si="143"/>
        <v>7.8349585705428937E-3</v>
      </c>
    </row>
    <row r="4389" spans="1:5" x14ac:dyDescent="0.25">
      <c r="A4389" s="41">
        <v>43648</v>
      </c>
      <c r="B4389" s="29">
        <v>177.29</v>
      </c>
      <c r="C4389" s="37">
        <f t="shared" si="142"/>
        <v>29.548333333333332</v>
      </c>
      <c r="D4389" s="37">
        <v>11.377000000000001</v>
      </c>
      <c r="E4389" s="33">
        <f t="shared" si="143"/>
        <v>-8.4451901565996603E-3</v>
      </c>
    </row>
    <row r="4390" spans="1:5" x14ac:dyDescent="0.25">
      <c r="A4390" s="41">
        <v>43648</v>
      </c>
      <c r="B4390" s="29">
        <v>176.48</v>
      </c>
      <c r="C4390" s="37">
        <f t="shared" si="142"/>
        <v>29.413333333333334</v>
      </c>
      <c r="D4390" s="37">
        <v>11.377000000000001</v>
      </c>
      <c r="E4390" s="33">
        <f t="shared" si="143"/>
        <v>-4.568785605505118E-3</v>
      </c>
    </row>
    <row r="4391" spans="1:5" x14ac:dyDescent="0.25">
      <c r="A4391" s="41">
        <v>43648</v>
      </c>
      <c r="B4391" s="29">
        <v>176.25</v>
      </c>
      <c r="C4391" s="37">
        <f t="shared" si="142"/>
        <v>29.375</v>
      </c>
      <c r="D4391" s="37">
        <v>11.377000000000001</v>
      </c>
      <c r="E4391" s="33">
        <f t="shared" si="143"/>
        <v>-1.3032638259292259E-3</v>
      </c>
    </row>
    <row r="4392" spans="1:5" x14ac:dyDescent="0.25">
      <c r="A4392" s="41">
        <v>43648</v>
      </c>
      <c r="B4392" s="29">
        <v>175.03</v>
      </c>
      <c r="C4392" s="37">
        <f t="shared" si="142"/>
        <v>29.171666666666667</v>
      </c>
      <c r="D4392" s="37">
        <v>11.377000000000001</v>
      </c>
      <c r="E4392" s="33">
        <f t="shared" si="143"/>
        <v>-6.9219858156028304E-3</v>
      </c>
    </row>
    <row r="4393" spans="1:5" x14ac:dyDescent="0.25">
      <c r="A4393" s="41">
        <v>43648</v>
      </c>
      <c r="B4393" s="29">
        <v>173.37</v>
      </c>
      <c r="C4393" s="37">
        <f t="shared" si="142"/>
        <v>28.895</v>
      </c>
      <c r="D4393" s="37">
        <v>11.377000000000001</v>
      </c>
      <c r="E4393" s="33">
        <f t="shared" si="143"/>
        <v>-9.4840884419813559E-3</v>
      </c>
    </row>
    <row r="4394" spans="1:5" x14ac:dyDescent="0.25">
      <c r="A4394" s="41">
        <v>43649</v>
      </c>
      <c r="B4394" s="29">
        <v>172.14</v>
      </c>
      <c r="C4394" s="37">
        <f t="shared" si="142"/>
        <v>28.69</v>
      </c>
      <c r="D4394" s="37">
        <v>19.748000000000001</v>
      </c>
      <c r="E4394" s="33">
        <f t="shared" si="143"/>
        <v>-7.094653054161724E-3</v>
      </c>
    </row>
    <row r="4395" spans="1:5" x14ac:dyDescent="0.25">
      <c r="A4395" s="41">
        <v>43649</v>
      </c>
      <c r="B4395" s="29">
        <v>171.83</v>
      </c>
      <c r="C4395" s="37">
        <f t="shared" si="142"/>
        <v>28.638333333333332</v>
      </c>
      <c r="D4395" s="37">
        <v>19.748000000000001</v>
      </c>
      <c r="E4395" s="33">
        <f t="shared" si="143"/>
        <v>-1.8008597653071563E-3</v>
      </c>
    </row>
    <row r="4396" spans="1:5" x14ac:dyDescent="0.25">
      <c r="A4396" s="41">
        <v>43649</v>
      </c>
      <c r="B4396" s="29">
        <v>170.07</v>
      </c>
      <c r="C4396" s="37">
        <f t="shared" si="142"/>
        <v>28.344999999999999</v>
      </c>
      <c r="D4396" s="37">
        <v>19.748000000000001</v>
      </c>
      <c r="E4396" s="33">
        <f t="shared" si="143"/>
        <v>-1.0242681720305064E-2</v>
      </c>
    </row>
    <row r="4397" spans="1:5" x14ac:dyDescent="0.25">
      <c r="A4397" s="41">
        <v>43649</v>
      </c>
      <c r="B4397" s="29">
        <v>170.01</v>
      </c>
      <c r="C4397" s="37">
        <f t="shared" si="142"/>
        <v>28.335000000000001</v>
      </c>
      <c r="D4397" s="37">
        <v>19.748000000000001</v>
      </c>
      <c r="E4397" s="33">
        <f t="shared" si="143"/>
        <v>-3.5279590756748561E-4</v>
      </c>
    </row>
    <row r="4398" spans="1:5" x14ac:dyDescent="0.25">
      <c r="A4398" s="41">
        <v>43649</v>
      </c>
      <c r="B4398" s="29">
        <v>170.01</v>
      </c>
      <c r="C4398" s="37">
        <f t="shared" si="142"/>
        <v>28.335000000000001</v>
      </c>
      <c r="D4398" s="37">
        <v>19.748000000000001</v>
      </c>
      <c r="E4398" s="33">
        <f t="shared" si="143"/>
        <v>0</v>
      </c>
    </row>
    <row r="4399" spans="1:5" x14ac:dyDescent="0.25">
      <c r="A4399" s="41">
        <v>43649</v>
      </c>
      <c r="B4399" s="29">
        <v>171.99</v>
      </c>
      <c r="C4399" s="37">
        <f t="shared" si="142"/>
        <v>28.664999999999999</v>
      </c>
      <c r="D4399" s="37">
        <v>19.748000000000001</v>
      </c>
      <c r="E4399" s="33">
        <f t="shared" si="143"/>
        <v>1.1646373742721124E-2</v>
      </c>
    </row>
    <row r="4400" spans="1:5" x14ac:dyDescent="0.25">
      <c r="A4400" s="41">
        <v>43649</v>
      </c>
      <c r="B4400" s="29">
        <v>172.08</v>
      </c>
      <c r="C4400" s="37">
        <f t="shared" si="142"/>
        <v>28.68</v>
      </c>
      <c r="D4400" s="37">
        <v>19.748000000000001</v>
      </c>
      <c r="E4400" s="33">
        <f t="shared" si="143"/>
        <v>5.2328623757197162E-4</v>
      </c>
    </row>
    <row r="4401" spans="1:5" x14ac:dyDescent="0.25">
      <c r="A4401" s="41">
        <v>43649</v>
      </c>
      <c r="B4401" s="29">
        <v>172.38</v>
      </c>
      <c r="C4401" s="37">
        <f t="shared" si="142"/>
        <v>28.73</v>
      </c>
      <c r="D4401" s="37">
        <v>19.748000000000001</v>
      </c>
      <c r="E4401" s="33">
        <f t="shared" si="143"/>
        <v>1.7433751743374181E-3</v>
      </c>
    </row>
    <row r="4402" spans="1:5" x14ac:dyDescent="0.25">
      <c r="A4402" s="41">
        <v>43649</v>
      </c>
      <c r="B4402" s="29">
        <v>174.96</v>
      </c>
      <c r="C4402" s="37">
        <f t="shared" si="142"/>
        <v>29.16</v>
      </c>
      <c r="D4402" s="37">
        <v>19.748000000000001</v>
      </c>
      <c r="E4402" s="33">
        <f t="shared" si="143"/>
        <v>1.4966933518969791E-2</v>
      </c>
    </row>
    <row r="4403" spans="1:5" x14ac:dyDescent="0.25">
      <c r="A4403" s="41">
        <v>43649</v>
      </c>
      <c r="B4403" s="29">
        <v>176.11</v>
      </c>
      <c r="C4403" s="37">
        <f t="shared" si="142"/>
        <v>29.351666666666667</v>
      </c>
      <c r="D4403" s="37">
        <v>19.748000000000001</v>
      </c>
      <c r="E4403" s="33">
        <f t="shared" si="143"/>
        <v>6.5729309556470375E-3</v>
      </c>
    </row>
    <row r="4404" spans="1:5" x14ac:dyDescent="0.25">
      <c r="A4404" s="41">
        <v>43649</v>
      </c>
      <c r="B4404" s="29">
        <v>177.36</v>
      </c>
      <c r="C4404" s="37">
        <f t="shared" si="142"/>
        <v>29.56</v>
      </c>
      <c r="D4404" s="37">
        <v>19.748000000000001</v>
      </c>
      <c r="E4404" s="33">
        <f t="shared" si="143"/>
        <v>7.0978365794105948E-3</v>
      </c>
    </row>
    <row r="4405" spans="1:5" x14ac:dyDescent="0.25">
      <c r="A4405" s="41">
        <v>43649</v>
      </c>
      <c r="B4405" s="29">
        <v>177.44</v>
      </c>
      <c r="C4405" s="37">
        <f t="shared" si="142"/>
        <v>29.573333333333334</v>
      </c>
      <c r="D4405" s="37">
        <v>19.748000000000001</v>
      </c>
      <c r="E4405" s="33">
        <f t="shared" si="143"/>
        <v>4.5105999097871041E-4</v>
      </c>
    </row>
    <row r="4406" spans="1:5" x14ac:dyDescent="0.25">
      <c r="A4406" s="41">
        <v>43649</v>
      </c>
      <c r="B4406" s="29">
        <v>177.31</v>
      </c>
      <c r="C4406" s="37">
        <f t="shared" si="142"/>
        <v>29.551666666666666</v>
      </c>
      <c r="D4406" s="37">
        <v>19.748000000000001</v>
      </c>
      <c r="E4406" s="33">
        <f t="shared" si="143"/>
        <v>-7.3264201983766594E-4</v>
      </c>
    </row>
    <row r="4407" spans="1:5" x14ac:dyDescent="0.25">
      <c r="A4407" s="41">
        <v>43649</v>
      </c>
      <c r="B4407" s="29">
        <v>177.82</v>
      </c>
      <c r="C4407" s="37">
        <f t="shared" si="142"/>
        <v>29.636666666666667</v>
      </c>
      <c r="D4407" s="37">
        <v>19.748000000000001</v>
      </c>
      <c r="E4407" s="33">
        <f t="shared" si="143"/>
        <v>2.8763183125598718E-3</v>
      </c>
    </row>
    <row r="4408" spans="1:5" x14ac:dyDescent="0.25">
      <c r="A4408" s="41">
        <v>43649</v>
      </c>
      <c r="B4408" s="29">
        <v>178.31</v>
      </c>
      <c r="C4408" s="37">
        <f t="shared" si="142"/>
        <v>29.718333333333334</v>
      </c>
      <c r="D4408" s="37">
        <v>19.748000000000001</v>
      </c>
      <c r="E4408" s="33">
        <f t="shared" si="143"/>
        <v>2.7555955460578626E-3</v>
      </c>
    </row>
    <row r="4409" spans="1:5" x14ac:dyDescent="0.25">
      <c r="A4409" s="41">
        <v>43649</v>
      </c>
      <c r="B4409" s="29">
        <v>178.34</v>
      </c>
      <c r="C4409" s="37">
        <f t="shared" si="142"/>
        <v>29.723333333333333</v>
      </c>
      <c r="D4409" s="37">
        <v>19.748000000000001</v>
      </c>
      <c r="E4409" s="33">
        <f t="shared" si="143"/>
        <v>1.6824631260165519E-4</v>
      </c>
    </row>
    <row r="4410" spans="1:5" x14ac:dyDescent="0.25">
      <c r="A4410" s="41">
        <v>43649</v>
      </c>
      <c r="B4410" s="29">
        <v>178.36</v>
      </c>
      <c r="C4410" s="37">
        <f t="shared" si="142"/>
        <v>29.726666666666667</v>
      </c>
      <c r="D4410" s="37">
        <v>19.748000000000001</v>
      </c>
      <c r="E4410" s="33">
        <f t="shared" si="143"/>
        <v>1.1214534036116536E-4</v>
      </c>
    </row>
    <row r="4411" spans="1:5" x14ac:dyDescent="0.25">
      <c r="A4411" s="41">
        <v>43649</v>
      </c>
      <c r="B4411" s="29">
        <v>178.37</v>
      </c>
      <c r="C4411" s="37">
        <f t="shared" si="142"/>
        <v>29.728333333333332</v>
      </c>
      <c r="D4411" s="37">
        <v>19.748000000000001</v>
      </c>
      <c r="E4411" s="33">
        <f t="shared" si="143"/>
        <v>5.6066382596943847E-5</v>
      </c>
    </row>
    <row r="4412" spans="1:5" x14ac:dyDescent="0.25">
      <c r="A4412" s="41">
        <v>43649</v>
      </c>
      <c r="B4412" s="29">
        <v>178.56</v>
      </c>
      <c r="C4412" s="37">
        <f t="shared" si="142"/>
        <v>29.76</v>
      </c>
      <c r="D4412" s="37">
        <v>19.748000000000001</v>
      </c>
      <c r="E4412" s="33">
        <f t="shared" si="143"/>
        <v>1.0652015473453927E-3</v>
      </c>
    </row>
    <row r="4413" spans="1:5" x14ac:dyDescent="0.25">
      <c r="A4413" s="41">
        <v>43649</v>
      </c>
      <c r="B4413" s="29">
        <v>178.29</v>
      </c>
      <c r="C4413" s="37">
        <f t="shared" si="142"/>
        <v>29.715</v>
      </c>
      <c r="D4413" s="37">
        <v>19.748000000000001</v>
      </c>
      <c r="E4413" s="33">
        <f t="shared" si="143"/>
        <v>-1.5120967741936056E-3</v>
      </c>
    </row>
    <row r="4414" spans="1:5" x14ac:dyDescent="0.25">
      <c r="A4414" s="41">
        <v>43649</v>
      </c>
      <c r="B4414" s="29">
        <v>177.41</v>
      </c>
      <c r="C4414" s="37">
        <f t="shared" si="142"/>
        <v>29.568333333333332</v>
      </c>
      <c r="D4414" s="37">
        <v>19.748000000000001</v>
      </c>
      <c r="E4414" s="33">
        <f t="shared" si="143"/>
        <v>-4.9357787873688681E-3</v>
      </c>
    </row>
    <row r="4415" spans="1:5" x14ac:dyDescent="0.25">
      <c r="A4415" s="41">
        <v>43649</v>
      </c>
      <c r="B4415" s="29">
        <v>177.35</v>
      </c>
      <c r="C4415" s="37">
        <f t="shared" si="142"/>
        <v>29.558333333333334</v>
      </c>
      <c r="D4415" s="37">
        <v>19.748000000000001</v>
      </c>
      <c r="E4415" s="33">
        <f t="shared" si="143"/>
        <v>-3.3819965052704062E-4</v>
      </c>
    </row>
    <row r="4416" spans="1:5" x14ac:dyDescent="0.25">
      <c r="A4416" s="41">
        <v>43649</v>
      </c>
      <c r="B4416" s="29">
        <v>175.74</v>
      </c>
      <c r="C4416" s="37">
        <f t="shared" si="142"/>
        <v>29.29</v>
      </c>
      <c r="D4416" s="37">
        <v>19.748000000000001</v>
      </c>
      <c r="E4416" s="33">
        <f t="shared" si="143"/>
        <v>-9.0780941640822392E-3</v>
      </c>
    </row>
    <row r="4417" spans="1:5" x14ac:dyDescent="0.25">
      <c r="A4417" s="41">
        <v>43649</v>
      </c>
      <c r="B4417" s="29">
        <v>174.18</v>
      </c>
      <c r="C4417" s="37">
        <f t="shared" si="142"/>
        <v>29.03</v>
      </c>
      <c r="D4417" s="37">
        <v>19.748000000000001</v>
      </c>
      <c r="E4417" s="33">
        <f t="shared" si="143"/>
        <v>-8.8767497439399233E-3</v>
      </c>
    </row>
    <row r="4418" spans="1:5" x14ac:dyDescent="0.25">
      <c r="A4418" s="41">
        <v>43650</v>
      </c>
      <c r="B4418" s="29">
        <v>171.72</v>
      </c>
      <c r="C4418" s="37">
        <f t="shared" si="142"/>
        <v>28.62</v>
      </c>
      <c r="D4418" s="37">
        <v>18.716999999999999</v>
      </c>
      <c r="E4418" s="33">
        <f t="shared" si="143"/>
        <v>-1.4123320702721367E-2</v>
      </c>
    </row>
    <row r="4419" spans="1:5" x14ac:dyDescent="0.25">
      <c r="A4419" s="41">
        <v>43650</v>
      </c>
      <c r="B4419" s="29">
        <v>171.47</v>
      </c>
      <c r="C4419" s="37">
        <f t="shared" ref="C4419:C4482" si="144">(B4419*100/600)</f>
        <v>28.578333333333333</v>
      </c>
      <c r="D4419" s="37">
        <v>18.716999999999999</v>
      </c>
      <c r="E4419" s="33">
        <f t="shared" si="143"/>
        <v>-1.4558583740973679E-3</v>
      </c>
    </row>
    <row r="4420" spans="1:5" x14ac:dyDescent="0.25">
      <c r="A4420" s="41">
        <v>43650</v>
      </c>
      <c r="B4420" s="29">
        <v>171.34</v>
      </c>
      <c r="C4420" s="37">
        <f t="shared" si="144"/>
        <v>28.556666666666668</v>
      </c>
      <c r="D4420" s="37">
        <v>18.716999999999999</v>
      </c>
      <c r="E4420" s="33">
        <f t="shared" ref="E4420:E4483" si="145">(B4420-B4419)/B4419</f>
        <v>-7.581501137224906E-4</v>
      </c>
    </row>
    <row r="4421" spans="1:5" x14ac:dyDescent="0.25">
      <c r="A4421" s="41">
        <v>43650</v>
      </c>
      <c r="B4421" s="29">
        <v>171.2</v>
      </c>
      <c r="C4421" s="37">
        <f t="shared" si="144"/>
        <v>28.533333333333335</v>
      </c>
      <c r="D4421" s="37">
        <v>18.716999999999999</v>
      </c>
      <c r="E4421" s="33">
        <f t="shared" si="145"/>
        <v>-8.1708882922852091E-4</v>
      </c>
    </row>
    <row r="4422" spans="1:5" x14ac:dyDescent="0.25">
      <c r="A4422" s="41">
        <v>43650</v>
      </c>
      <c r="B4422" s="29">
        <v>171.23</v>
      </c>
      <c r="C4422" s="37">
        <f t="shared" si="144"/>
        <v>28.538333333333334</v>
      </c>
      <c r="D4422" s="37">
        <v>18.716999999999999</v>
      </c>
      <c r="E4422" s="33">
        <f t="shared" si="145"/>
        <v>1.7523364485981974E-4</v>
      </c>
    </row>
    <row r="4423" spans="1:5" x14ac:dyDescent="0.25">
      <c r="A4423" s="41">
        <v>43650</v>
      </c>
      <c r="B4423" s="29">
        <v>171.4</v>
      </c>
      <c r="C4423" s="37">
        <f t="shared" si="144"/>
        <v>28.566666666666666</v>
      </c>
      <c r="D4423" s="37">
        <v>18.716999999999999</v>
      </c>
      <c r="E4423" s="33">
        <f t="shared" si="145"/>
        <v>9.9281667932030562E-4</v>
      </c>
    </row>
    <row r="4424" spans="1:5" x14ac:dyDescent="0.25">
      <c r="A4424" s="41">
        <v>43650</v>
      </c>
      <c r="B4424" s="29">
        <v>171.55</v>
      </c>
      <c r="C4424" s="37">
        <f t="shared" si="144"/>
        <v>28.591666666666665</v>
      </c>
      <c r="D4424" s="37">
        <v>18.716999999999999</v>
      </c>
      <c r="E4424" s="33">
        <f t="shared" si="145"/>
        <v>8.7514585764297359E-4</v>
      </c>
    </row>
    <row r="4425" spans="1:5" x14ac:dyDescent="0.25">
      <c r="A4425" s="41">
        <v>43650</v>
      </c>
      <c r="B4425" s="29">
        <v>171.93</v>
      </c>
      <c r="C4425" s="37">
        <f t="shared" si="144"/>
        <v>28.655000000000001</v>
      </c>
      <c r="D4425" s="37">
        <v>18.716999999999999</v>
      </c>
      <c r="E4425" s="33">
        <f t="shared" si="145"/>
        <v>2.2150976391722265E-3</v>
      </c>
    </row>
    <row r="4426" spans="1:5" x14ac:dyDescent="0.25">
      <c r="A4426" s="41">
        <v>43650</v>
      </c>
      <c r="B4426" s="29">
        <v>173.55</v>
      </c>
      <c r="C4426" s="37">
        <f t="shared" si="144"/>
        <v>28.925000000000001</v>
      </c>
      <c r="D4426" s="37">
        <v>18.716999999999999</v>
      </c>
      <c r="E4426" s="33">
        <f t="shared" si="145"/>
        <v>9.422439364857817E-3</v>
      </c>
    </row>
    <row r="4427" spans="1:5" x14ac:dyDescent="0.25">
      <c r="A4427" s="41">
        <v>43650</v>
      </c>
      <c r="B4427" s="29">
        <v>173.84</v>
      </c>
      <c r="C4427" s="37">
        <f t="shared" si="144"/>
        <v>28.973333333333333</v>
      </c>
      <c r="D4427" s="37">
        <v>18.716999999999999</v>
      </c>
      <c r="E4427" s="33">
        <f t="shared" si="145"/>
        <v>1.6709881878420746E-3</v>
      </c>
    </row>
    <row r="4428" spans="1:5" x14ac:dyDescent="0.25">
      <c r="A4428" s="41">
        <v>43650</v>
      </c>
      <c r="B4428" s="29">
        <v>175.69</v>
      </c>
      <c r="C4428" s="37">
        <f t="shared" si="144"/>
        <v>29.281666666666666</v>
      </c>
      <c r="D4428" s="37">
        <v>18.716999999999999</v>
      </c>
      <c r="E4428" s="33">
        <f t="shared" si="145"/>
        <v>1.0641969627243409E-2</v>
      </c>
    </row>
    <row r="4429" spans="1:5" x14ac:dyDescent="0.25">
      <c r="A4429" s="41">
        <v>43650</v>
      </c>
      <c r="B4429" s="29">
        <v>175.74</v>
      </c>
      <c r="C4429" s="37">
        <f t="shared" si="144"/>
        <v>29.29</v>
      </c>
      <c r="D4429" s="37">
        <v>18.716999999999999</v>
      </c>
      <c r="E4429" s="33">
        <f t="shared" si="145"/>
        <v>2.8459217940697459E-4</v>
      </c>
    </row>
    <row r="4430" spans="1:5" x14ac:dyDescent="0.25">
      <c r="A4430" s="41">
        <v>43650</v>
      </c>
      <c r="B4430" s="29">
        <v>174.92</v>
      </c>
      <c r="C4430" s="37">
        <f t="shared" si="144"/>
        <v>29.153333333333332</v>
      </c>
      <c r="D4430" s="37">
        <v>18.716999999999999</v>
      </c>
      <c r="E4430" s="33">
        <f t="shared" si="145"/>
        <v>-4.6659838397634093E-3</v>
      </c>
    </row>
    <row r="4431" spans="1:5" x14ac:dyDescent="0.25">
      <c r="A4431" s="41">
        <v>43650</v>
      </c>
      <c r="B4431" s="29">
        <v>175.69</v>
      </c>
      <c r="C4431" s="37">
        <f t="shared" si="144"/>
        <v>29.281666666666666</v>
      </c>
      <c r="D4431" s="37">
        <v>18.716999999999999</v>
      </c>
      <c r="E4431" s="33">
        <f t="shared" si="145"/>
        <v>4.4020123485022308E-3</v>
      </c>
    </row>
    <row r="4432" spans="1:5" x14ac:dyDescent="0.25">
      <c r="A4432" s="41">
        <v>43650</v>
      </c>
      <c r="B4432" s="29">
        <v>176.63</v>
      </c>
      <c r="C4432" s="37">
        <f t="shared" si="144"/>
        <v>29.438333333333333</v>
      </c>
      <c r="D4432" s="37">
        <v>18.716999999999999</v>
      </c>
      <c r="E4432" s="33">
        <f t="shared" si="145"/>
        <v>5.3503329728498928E-3</v>
      </c>
    </row>
    <row r="4433" spans="1:5" x14ac:dyDescent="0.25">
      <c r="A4433" s="41">
        <v>43650</v>
      </c>
      <c r="B4433" s="29">
        <v>176.77</v>
      </c>
      <c r="C4433" s="37">
        <f t="shared" si="144"/>
        <v>29.461666666666666</v>
      </c>
      <c r="D4433" s="37">
        <v>18.716999999999999</v>
      </c>
      <c r="E4433" s="33">
        <f t="shared" si="145"/>
        <v>7.9261733567352534E-4</v>
      </c>
    </row>
    <row r="4434" spans="1:5" x14ac:dyDescent="0.25">
      <c r="A4434" s="41">
        <v>43650</v>
      </c>
      <c r="B4434" s="29">
        <v>176.76</v>
      </c>
      <c r="C4434" s="37">
        <f t="shared" si="144"/>
        <v>29.46</v>
      </c>
      <c r="D4434" s="37">
        <v>18.716999999999999</v>
      </c>
      <c r="E4434" s="33">
        <f t="shared" si="145"/>
        <v>-5.6570685071105539E-5</v>
      </c>
    </row>
    <row r="4435" spans="1:5" x14ac:dyDescent="0.25">
      <c r="A4435" s="41">
        <v>43650</v>
      </c>
      <c r="B4435" s="29">
        <v>176.76</v>
      </c>
      <c r="C4435" s="37">
        <f t="shared" si="144"/>
        <v>29.46</v>
      </c>
      <c r="D4435" s="37">
        <v>18.716999999999999</v>
      </c>
      <c r="E4435" s="33">
        <f t="shared" si="145"/>
        <v>0</v>
      </c>
    </row>
    <row r="4436" spans="1:5" x14ac:dyDescent="0.25">
      <c r="A4436" s="41">
        <v>43650</v>
      </c>
      <c r="B4436" s="29">
        <v>179.45</v>
      </c>
      <c r="C4436" s="37">
        <f t="shared" si="144"/>
        <v>29.908333333333335</v>
      </c>
      <c r="D4436" s="37">
        <v>18.716999999999999</v>
      </c>
      <c r="E4436" s="33">
        <f t="shared" si="145"/>
        <v>1.5218375198008588E-2</v>
      </c>
    </row>
    <row r="4437" spans="1:5" x14ac:dyDescent="0.25">
      <c r="A4437" s="41">
        <v>43650</v>
      </c>
      <c r="B4437" s="29">
        <v>177.57</v>
      </c>
      <c r="C4437" s="37">
        <f t="shared" si="144"/>
        <v>29.594999999999999</v>
      </c>
      <c r="D4437" s="37">
        <v>18.716999999999999</v>
      </c>
      <c r="E4437" s="33">
        <f t="shared" si="145"/>
        <v>-1.0476455837280555E-2</v>
      </c>
    </row>
    <row r="4438" spans="1:5" x14ac:dyDescent="0.25">
      <c r="A4438" s="41">
        <v>43650</v>
      </c>
      <c r="B4438" s="29">
        <v>176.6</v>
      </c>
      <c r="C4438" s="37">
        <f t="shared" si="144"/>
        <v>29.433333333333334</v>
      </c>
      <c r="D4438" s="37">
        <v>18.716999999999999</v>
      </c>
      <c r="E4438" s="33">
        <f t="shared" si="145"/>
        <v>-5.4626344540181278E-3</v>
      </c>
    </row>
    <row r="4439" spans="1:5" x14ac:dyDescent="0.25">
      <c r="A4439" s="41">
        <v>43650</v>
      </c>
      <c r="B4439" s="29">
        <v>175.69</v>
      </c>
      <c r="C4439" s="37">
        <f t="shared" si="144"/>
        <v>29.281666666666666</v>
      </c>
      <c r="D4439" s="37">
        <v>18.716999999999999</v>
      </c>
      <c r="E4439" s="33">
        <f t="shared" si="145"/>
        <v>-5.1528878822196863E-3</v>
      </c>
    </row>
    <row r="4440" spans="1:5" x14ac:dyDescent="0.25">
      <c r="A4440" s="41">
        <v>43650</v>
      </c>
      <c r="B4440" s="29">
        <v>173.5</v>
      </c>
      <c r="C4440" s="37">
        <f t="shared" si="144"/>
        <v>28.916666666666668</v>
      </c>
      <c r="D4440" s="37">
        <v>18.716999999999999</v>
      </c>
      <c r="E4440" s="33">
        <f t="shared" si="145"/>
        <v>-1.246513745802264E-2</v>
      </c>
    </row>
    <row r="4441" spans="1:5" x14ac:dyDescent="0.25">
      <c r="A4441" s="41">
        <v>43650</v>
      </c>
      <c r="B4441" s="29">
        <v>173.31</v>
      </c>
      <c r="C4441" s="37">
        <f t="shared" si="144"/>
        <v>28.885000000000002</v>
      </c>
      <c r="D4441" s="37">
        <v>18.716999999999999</v>
      </c>
      <c r="E4441" s="33">
        <f t="shared" si="145"/>
        <v>-1.095100864553301E-3</v>
      </c>
    </row>
    <row r="4442" spans="1:5" x14ac:dyDescent="0.25">
      <c r="A4442" s="41">
        <v>43651</v>
      </c>
      <c r="B4442" s="29">
        <v>168.6</v>
      </c>
      <c r="C4442" s="37">
        <f t="shared" si="144"/>
        <v>28.1</v>
      </c>
      <c r="D4442" s="37">
        <v>14.478999999999999</v>
      </c>
      <c r="E4442" s="33">
        <f t="shared" si="145"/>
        <v>-2.7176735329755973E-2</v>
      </c>
    </row>
    <row r="4443" spans="1:5" x14ac:dyDescent="0.25">
      <c r="A4443" s="41">
        <v>43651</v>
      </c>
      <c r="B4443" s="29">
        <v>166.9</v>
      </c>
      <c r="C4443" s="37">
        <f t="shared" si="144"/>
        <v>27.816666666666666</v>
      </c>
      <c r="D4443" s="37">
        <v>14.478999999999999</v>
      </c>
      <c r="E4443" s="33">
        <f t="shared" si="145"/>
        <v>-1.0083036773428165E-2</v>
      </c>
    </row>
    <row r="4444" spans="1:5" x14ac:dyDescent="0.25">
      <c r="A4444" s="41">
        <v>43651</v>
      </c>
      <c r="B4444" s="29">
        <v>166.15</v>
      </c>
      <c r="C4444" s="37">
        <f t="shared" si="144"/>
        <v>27.691666666666666</v>
      </c>
      <c r="D4444" s="37">
        <v>14.478999999999999</v>
      </c>
      <c r="E4444" s="33">
        <f t="shared" si="145"/>
        <v>-4.493708807669263E-3</v>
      </c>
    </row>
    <row r="4445" spans="1:5" x14ac:dyDescent="0.25">
      <c r="A4445" s="41">
        <v>43651</v>
      </c>
      <c r="B4445" s="29">
        <v>165.95</v>
      </c>
      <c r="C4445" s="37">
        <f t="shared" si="144"/>
        <v>27.658333333333335</v>
      </c>
      <c r="D4445" s="37">
        <v>14.478999999999999</v>
      </c>
      <c r="E4445" s="33">
        <f t="shared" si="145"/>
        <v>-1.2037315678604698E-3</v>
      </c>
    </row>
    <row r="4446" spans="1:5" x14ac:dyDescent="0.25">
      <c r="A4446" s="41">
        <v>43651</v>
      </c>
      <c r="B4446" s="29">
        <v>166.55</v>
      </c>
      <c r="C4446" s="37">
        <f t="shared" si="144"/>
        <v>27.758333333333333</v>
      </c>
      <c r="D4446" s="37">
        <v>14.478999999999999</v>
      </c>
      <c r="E4446" s="33">
        <f t="shared" si="145"/>
        <v>3.6155468514614208E-3</v>
      </c>
    </row>
    <row r="4447" spans="1:5" x14ac:dyDescent="0.25">
      <c r="A4447" s="41">
        <v>43651</v>
      </c>
      <c r="B4447" s="29">
        <v>167.85</v>
      </c>
      <c r="C4447" s="37">
        <f t="shared" si="144"/>
        <v>27.975000000000001</v>
      </c>
      <c r="D4447" s="37">
        <v>14.478999999999999</v>
      </c>
      <c r="E4447" s="33">
        <f t="shared" si="145"/>
        <v>7.8054638246771715E-3</v>
      </c>
    </row>
    <row r="4448" spans="1:5" x14ac:dyDescent="0.25">
      <c r="A4448" s="41">
        <v>43651</v>
      </c>
      <c r="B4448" s="29">
        <v>168.63</v>
      </c>
      <c r="C4448" s="37">
        <f t="shared" si="144"/>
        <v>28.105</v>
      </c>
      <c r="D4448" s="37">
        <v>14.478999999999999</v>
      </c>
      <c r="E4448" s="33">
        <f t="shared" si="145"/>
        <v>4.647006255585351E-3</v>
      </c>
    </row>
    <row r="4449" spans="1:5" x14ac:dyDescent="0.25">
      <c r="A4449" s="41">
        <v>43651</v>
      </c>
      <c r="B4449" s="29">
        <v>169.62</v>
      </c>
      <c r="C4449" s="37">
        <f t="shared" si="144"/>
        <v>28.27</v>
      </c>
      <c r="D4449" s="37">
        <v>14.478999999999999</v>
      </c>
      <c r="E4449" s="33">
        <f t="shared" si="145"/>
        <v>5.8708414872798978E-3</v>
      </c>
    </row>
    <row r="4450" spans="1:5" x14ac:dyDescent="0.25">
      <c r="A4450" s="41">
        <v>43651</v>
      </c>
      <c r="B4450" s="29">
        <v>170.23</v>
      </c>
      <c r="C4450" s="37">
        <f t="shared" si="144"/>
        <v>28.371666666666666</v>
      </c>
      <c r="D4450" s="37">
        <v>14.478999999999999</v>
      </c>
      <c r="E4450" s="33">
        <f t="shared" si="145"/>
        <v>3.5962740242895014E-3</v>
      </c>
    </row>
    <row r="4451" spans="1:5" x14ac:dyDescent="0.25">
      <c r="A4451" s="41">
        <v>43651</v>
      </c>
      <c r="B4451" s="29">
        <v>171.38</v>
      </c>
      <c r="C4451" s="37">
        <f t="shared" si="144"/>
        <v>28.563333333333333</v>
      </c>
      <c r="D4451" s="37">
        <v>14.478999999999999</v>
      </c>
      <c r="E4451" s="33">
        <f t="shared" si="145"/>
        <v>6.7555659989426411E-3</v>
      </c>
    </row>
    <row r="4452" spans="1:5" x14ac:dyDescent="0.25">
      <c r="A4452" s="41">
        <v>43651</v>
      </c>
      <c r="B4452" s="29">
        <v>172.97</v>
      </c>
      <c r="C4452" s="37">
        <f t="shared" si="144"/>
        <v>28.828333333333333</v>
      </c>
      <c r="D4452" s="37">
        <v>14.478999999999999</v>
      </c>
      <c r="E4452" s="33">
        <f t="shared" si="145"/>
        <v>9.2776286614540994E-3</v>
      </c>
    </row>
    <row r="4453" spans="1:5" x14ac:dyDescent="0.25">
      <c r="A4453" s="41">
        <v>43651</v>
      </c>
      <c r="B4453" s="29">
        <v>172.97</v>
      </c>
      <c r="C4453" s="37">
        <f t="shared" si="144"/>
        <v>28.828333333333333</v>
      </c>
      <c r="D4453" s="37">
        <v>14.478999999999999</v>
      </c>
      <c r="E4453" s="33">
        <f t="shared" si="145"/>
        <v>0</v>
      </c>
    </row>
    <row r="4454" spans="1:5" x14ac:dyDescent="0.25">
      <c r="A4454" s="41">
        <v>43651</v>
      </c>
      <c r="B4454" s="29">
        <v>172.94</v>
      </c>
      <c r="C4454" s="37">
        <f t="shared" si="144"/>
        <v>28.823333333333334</v>
      </c>
      <c r="D4454" s="37">
        <v>14.478999999999999</v>
      </c>
      <c r="E4454" s="33">
        <f t="shared" si="145"/>
        <v>-1.7344048100827389E-4</v>
      </c>
    </row>
    <row r="4455" spans="1:5" x14ac:dyDescent="0.25">
      <c r="A4455" s="41">
        <v>43651</v>
      </c>
      <c r="B4455" s="29">
        <v>173.5</v>
      </c>
      <c r="C4455" s="37">
        <f t="shared" si="144"/>
        <v>28.916666666666668</v>
      </c>
      <c r="D4455" s="37">
        <v>14.478999999999999</v>
      </c>
      <c r="E4455" s="33">
        <f t="shared" si="145"/>
        <v>3.2381172661038642E-3</v>
      </c>
    </row>
    <row r="4456" spans="1:5" x14ac:dyDescent="0.25">
      <c r="A4456" s="41">
        <v>43651</v>
      </c>
      <c r="B4456" s="29">
        <v>173.7</v>
      </c>
      <c r="C4456" s="37">
        <f t="shared" si="144"/>
        <v>28.95</v>
      </c>
      <c r="D4456" s="37">
        <v>14.478999999999999</v>
      </c>
      <c r="E4456" s="33">
        <f t="shared" si="145"/>
        <v>1.1527377521613179E-3</v>
      </c>
    </row>
    <row r="4457" spans="1:5" x14ac:dyDescent="0.25">
      <c r="A4457" s="41">
        <v>43651</v>
      </c>
      <c r="B4457" s="29">
        <v>173.67</v>
      </c>
      <c r="C4457" s="37">
        <f t="shared" si="144"/>
        <v>28.945</v>
      </c>
      <c r="D4457" s="37">
        <v>14.478999999999999</v>
      </c>
      <c r="E4457" s="33">
        <f t="shared" si="145"/>
        <v>-1.727115716753088E-4</v>
      </c>
    </row>
    <row r="4458" spans="1:5" x14ac:dyDescent="0.25">
      <c r="A4458" s="41">
        <v>43651</v>
      </c>
      <c r="B4458" s="29">
        <v>173.64</v>
      </c>
      <c r="C4458" s="37">
        <f t="shared" si="144"/>
        <v>28.94</v>
      </c>
      <c r="D4458" s="37">
        <v>14.478999999999999</v>
      </c>
      <c r="E4458" s="33">
        <f t="shared" si="145"/>
        <v>-1.7274140611505233E-4</v>
      </c>
    </row>
    <row r="4459" spans="1:5" x14ac:dyDescent="0.25">
      <c r="A4459" s="41">
        <v>43651</v>
      </c>
      <c r="B4459" s="29">
        <v>173.61</v>
      </c>
      <c r="C4459" s="37">
        <f t="shared" si="144"/>
        <v>28.934999999999999</v>
      </c>
      <c r="D4459" s="37">
        <v>14.478999999999999</v>
      </c>
      <c r="E4459" s="33">
        <f t="shared" si="145"/>
        <v>-1.7277125086369912E-4</v>
      </c>
    </row>
    <row r="4460" spans="1:5" x14ac:dyDescent="0.25">
      <c r="A4460" s="41">
        <v>43651</v>
      </c>
      <c r="B4460" s="29">
        <v>176.27</v>
      </c>
      <c r="C4460" s="37">
        <f t="shared" si="144"/>
        <v>29.378333333333334</v>
      </c>
      <c r="D4460" s="37">
        <v>14.478999999999999</v>
      </c>
      <c r="E4460" s="33">
        <f t="shared" si="145"/>
        <v>1.5321698058867557E-2</v>
      </c>
    </row>
    <row r="4461" spans="1:5" x14ac:dyDescent="0.25">
      <c r="A4461" s="41">
        <v>43651</v>
      </c>
      <c r="B4461" s="29">
        <v>173.98</v>
      </c>
      <c r="C4461" s="37">
        <f t="shared" si="144"/>
        <v>28.996666666666666</v>
      </c>
      <c r="D4461" s="37">
        <v>14.478999999999999</v>
      </c>
      <c r="E4461" s="33">
        <f t="shared" si="145"/>
        <v>-1.2991433596187782E-2</v>
      </c>
    </row>
    <row r="4462" spans="1:5" x14ac:dyDescent="0.25">
      <c r="A4462" s="41">
        <v>43651</v>
      </c>
      <c r="B4462" s="29">
        <v>173.51</v>
      </c>
      <c r="C4462" s="37">
        <f t="shared" si="144"/>
        <v>28.918333333333333</v>
      </c>
      <c r="D4462" s="37">
        <v>14.478999999999999</v>
      </c>
      <c r="E4462" s="33">
        <f t="shared" si="145"/>
        <v>-2.7014599379238929E-3</v>
      </c>
    </row>
    <row r="4463" spans="1:5" x14ac:dyDescent="0.25">
      <c r="A4463" s="41">
        <v>43651</v>
      </c>
      <c r="B4463" s="29">
        <v>173.48</v>
      </c>
      <c r="C4463" s="37">
        <f t="shared" si="144"/>
        <v>28.913333333333334</v>
      </c>
      <c r="D4463" s="37">
        <v>14.478999999999999</v>
      </c>
      <c r="E4463" s="33">
        <f t="shared" si="145"/>
        <v>-1.7290069736615259E-4</v>
      </c>
    </row>
    <row r="4464" spans="1:5" x14ac:dyDescent="0.25">
      <c r="A4464" s="41">
        <v>43651</v>
      </c>
      <c r="B4464" s="29">
        <v>172.31</v>
      </c>
      <c r="C4464" s="37">
        <f t="shared" si="144"/>
        <v>28.718333333333334</v>
      </c>
      <c r="D4464" s="37">
        <v>14.478999999999999</v>
      </c>
      <c r="E4464" s="33">
        <f t="shared" si="145"/>
        <v>-6.7442932902927579E-3</v>
      </c>
    </row>
    <row r="4465" spans="1:5" x14ac:dyDescent="0.25">
      <c r="A4465" s="41">
        <v>43651</v>
      </c>
      <c r="B4465" s="29">
        <v>169.89</v>
      </c>
      <c r="C4465" s="37">
        <f t="shared" si="144"/>
        <v>28.315000000000001</v>
      </c>
      <c r="D4465" s="37">
        <v>14.478999999999999</v>
      </c>
      <c r="E4465" s="33">
        <f t="shared" si="145"/>
        <v>-1.4044454761766675E-2</v>
      </c>
    </row>
    <row r="4466" spans="1:5" x14ac:dyDescent="0.25">
      <c r="A4466" s="41">
        <v>43652</v>
      </c>
      <c r="B4466" s="29">
        <v>173.39</v>
      </c>
      <c r="C4466" s="37">
        <f t="shared" si="144"/>
        <v>28.898333333333333</v>
      </c>
      <c r="D4466" s="37">
        <v>10.891999999999999</v>
      </c>
      <c r="E4466" s="33">
        <f t="shared" si="145"/>
        <v>2.0601565718994644E-2</v>
      </c>
    </row>
    <row r="4467" spans="1:5" x14ac:dyDescent="0.25">
      <c r="A4467" s="41">
        <v>43652</v>
      </c>
      <c r="B4467" s="29">
        <v>172.31</v>
      </c>
      <c r="C4467" s="37">
        <f t="shared" si="144"/>
        <v>28.718333333333334</v>
      </c>
      <c r="D4467" s="37">
        <v>10.891999999999999</v>
      </c>
      <c r="E4467" s="33">
        <f t="shared" si="145"/>
        <v>-6.2287329142394843E-3</v>
      </c>
    </row>
    <row r="4468" spans="1:5" x14ac:dyDescent="0.25">
      <c r="A4468" s="41">
        <v>43652</v>
      </c>
      <c r="B4468" s="29">
        <v>172.28</v>
      </c>
      <c r="C4468" s="37">
        <f t="shared" si="144"/>
        <v>28.713333333333335</v>
      </c>
      <c r="D4468" s="37">
        <v>10.891999999999999</v>
      </c>
      <c r="E4468" s="33">
        <f t="shared" si="145"/>
        <v>-1.7410481109628656E-4</v>
      </c>
    </row>
    <row r="4469" spans="1:5" x14ac:dyDescent="0.25">
      <c r="A4469" s="41">
        <v>43652</v>
      </c>
      <c r="B4469" s="29">
        <v>172.26</v>
      </c>
      <c r="C4469" s="37">
        <f t="shared" si="144"/>
        <v>28.71</v>
      </c>
      <c r="D4469" s="37">
        <v>10.891999999999999</v>
      </c>
      <c r="E4469" s="33">
        <f t="shared" si="145"/>
        <v>-1.1609008590672296E-4</v>
      </c>
    </row>
    <row r="4470" spans="1:5" x14ac:dyDescent="0.25">
      <c r="A4470" s="41">
        <v>43652</v>
      </c>
      <c r="B4470" s="29">
        <v>172.23</v>
      </c>
      <c r="C4470" s="37">
        <f t="shared" si="144"/>
        <v>28.704999999999998</v>
      </c>
      <c r="D4470" s="37">
        <v>10.891999999999999</v>
      </c>
      <c r="E4470" s="33">
        <f t="shared" si="145"/>
        <v>-1.7415534656914629E-4</v>
      </c>
    </row>
    <row r="4471" spans="1:5" x14ac:dyDescent="0.25">
      <c r="A4471" s="41">
        <v>43652</v>
      </c>
      <c r="B4471" s="29">
        <v>172.2</v>
      </c>
      <c r="C4471" s="37">
        <f t="shared" si="144"/>
        <v>28.7</v>
      </c>
      <c r="D4471" s="37">
        <v>10.891999999999999</v>
      </c>
      <c r="E4471" s="33">
        <f t="shared" si="145"/>
        <v>-1.7418568193695139E-4</v>
      </c>
    </row>
    <row r="4472" spans="1:5" x14ac:dyDescent="0.25">
      <c r="A4472" s="41">
        <v>43652</v>
      </c>
      <c r="B4472" s="29">
        <v>172.17</v>
      </c>
      <c r="C4472" s="37">
        <f t="shared" si="144"/>
        <v>28.695</v>
      </c>
      <c r="D4472" s="37">
        <v>10.891999999999999</v>
      </c>
      <c r="E4472" s="33">
        <f t="shared" si="145"/>
        <v>-1.7421602787457107E-4</v>
      </c>
    </row>
    <row r="4473" spans="1:5" x14ac:dyDescent="0.25">
      <c r="A4473" s="41">
        <v>43652</v>
      </c>
      <c r="B4473" s="29">
        <v>172.14</v>
      </c>
      <c r="C4473" s="37">
        <f t="shared" si="144"/>
        <v>28.69</v>
      </c>
      <c r="D4473" s="37">
        <v>10.891999999999999</v>
      </c>
      <c r="E4473" s="33">
        <f t="shared" si="145"/>
        <v>-1.7424638438753057E-4</v>
      </c>
    </row>
    <row r="4474" spans="1:5" x14ac:dyDescent="0.25">
      <c r="A4474" s="41">
        <v>43652</v>
      </c>
      <c r="B4474" s="29">
        <v>175.38</v>
      </c>
      <c r="C4474" s="37">
        <f t="shared" si="144"/>
        <v>29.23</v>
      </c>
      <c r="D4474" s="37">
        <v>10.891999999999999</v>
      </c>
      <c r="E4474" s="33">
        <f t="shared" si="145"/>
        <v>1.8821889159986113E-2</v>
      </c>
    </row>
    <row r="4475" spans="1:5" x14ac:dyDescent="0.25">
      <c r="A4475" s="41">
        <v>43652</v>
      </c>
      <c r="B4475" s="29">
        <v>176.89</v>
      </c>
      <c r="C4475" s="37">
        <f t="shared" si="144"/>
        <v>29.481666666666666</v>
      </c>
      <c r="D4475" s="37">
        <v>10.891999999999999</v>
      </c>
      <c r="E4475" s="33">
        <f t="shared" si="145"/>
        <v>8.6098756984832412E-3</v>
      </c>
    </row>
    <row r="4476" spans="1:5" x14ac:dyDescent="0.25">
      <c r="A4476" s="41">
        <v>43652</v>
      </c>
      <c r="B4476" s="29">
        <v>178.15</v>
      </c>
      <c r="C4476" s="37">
        <f t="shared" si="144"/>
        <v>29.691666666666666</v>
      </c>
      <c r="D4476" s="37">
        <v>10.891999999999999</v>
      </c>
      <c r="E4476" s="33">
        <f t="shared" si="145"/>
        <v>7.1230708349823025E-3</v>
      </c>
    </row>
    <row r="4477" spans="1:5" x14ac:dyDescent="0.25">
      <c r="A4477" s="41">
        <v>43652</v>
      </c>
      <c r="B4477" s="29">
        <v>178.16</v>
      </c>
      <c r="C4477" s="37">
        <f t="shared" si="144"/>
        <v>29.693333333333332</v>
      </c>
      <c r="D4477" s="37">
        <v>10.891999999999999</v>
      </c>
      <c r="E4477" s="33">
        <f t="shared" si="145"/>
        <v>5.6132472635368536E-5</v>
      </c>
    </row>
    <row r="4478" spans="1:5" x14ac:dyDescent="0.25">
      <c r="A4478" s="41">
        <v>43652</v>
      </c>
      <c r="B4478" s="29">
        <v>178.15</v>
      </c>
      <c r="C4478" s="37">
        <f t="shared" si="144"/>
        <v>29.691666666666666</v>
      </c>
      <c r="D4478" s="37">
        <v>10.891999999999999</v>
      </c>
      <c r="E4478" s="33">
        <f t="shared" si="145"/>
        <v>-5.6129321957739702E-5</v>
      </c>
    </row>
    <row r="4479" spans="1:5" x14ac:dyDescent="0.25">
      <c r="A4479" s="41">
        <v>43652</v>
      </c>
      <c r="B4479" s="29">
        <v>178.15</v>
      </c>
      <c r="C4479" s="37">
        <f t="shared" si="144"/>
        <v>29.691666666666666</v>
      </c>
      <c r="D4479" s="37">
        <v>10.891999999999999</v>
      </c>
      <c r="E4479" s="33">
        <f t="shared" si="145"/>
        <v>0</v>
      </c>
    </row>
    <row r="4480" spans="1:5" x14ac:dyDescent="0.25">
      <c r="A4480" s="41">
        <v>43652</v>
      </c>
      <c r="B4480" s="29">
        <v>178.15</v>
      </c>
      <c r="C4480" s="37">
        <f t="shared" si="144"/>
        <v>29.691666666666666</v>
      </c>
      <c r="D4480" s="37">
        <v>10.891999999999999</v>
      </c>
      <c r="E4480" s="33">
        <f t="shared" si="145"/>
        <v>0</v>
      </c>
    </row>
    <row r="4481" spans="1:5" x14ac:dyDescent="0.25">
      <c r="A4481" s="41">
        <v>43652</v>
      </c>
      <c r="B4481" s="29">
        <v>178.15</v>
      </c>
      <c r="C4481" s="37">
        <f t="shared" si="144"/>
        <v>29.691666666666666</v>
      </c>
      <c r="D4481" s="37">
        <v>10.891999999999999</v>
      </c>
      <c r="E4481" s="33">
        <f t="shared" si="145"/>
        <v>0</v>
      </c>
    </row>
    <row r="4482" spans="1:5" x14ac:dyDescent="0.25">
      <c r="A4482" s="41">
        <v>43652</v>
      </c>
      <c r="B4482" s="29">
        <v>178.15</v>
      </c>
      <c r="C4482" s="37">
        <f t="shared" si="144"/>
        <v>29.691666666666666</v>
      </c>
      <c r="D4482" s="37">
        <v>10.891999999999999</v>
      </c>
      <c r="E4482" s="33">
        <f t="shared" si="145"/>
        <v>0</v>
      </c>
    </row>
    <row r="4483" spans="1:5" x14ac:dyDescent="0.25">
      <c r="A4483" s="41">
        <v>43652</v>
      </c>
      <c r="B4483" s="29">
        <v>179.42</v>
      </c>
      <c r="C4483" s="37">
        <f t="shared" ref="C4483:C4546" si="146">(B4483*100/600)</f>
        <v>29.903333333333332</v>
      </c>
      <c r="D4483" s="37">
        <v>10.891999999999999</v>
      </c>
      <c r="E4483" s="33">
        <f t="shared" si="145"/>
        <v>7.128824024698186E-3</v>
      </c>
    </row>
    <row r="4484" spans="1:5" x14ac:dyDescent="0.25">
      <c r="A4484" s="41">
        <v>43652</v>
      </c>
      <c r="B4484" s="29">
        <v>181.55</v>
      </c>
      <c r="C4484" s="37">
        <f t="shared" si="146"/>
        <v>30.258333333333333</v>
      </c>
      <c r="D4484" s="37">
        <v>10.891999999999999</v>
      </c>
      <c r="E4484" s="33">
        <f t="shared" ref="E4484:E4547" si="147">(B4484-B4483)/B4483</f>
        <v>1.1871586222271899E-2</v>
      </c>
    </row>
    <row r="4485" spans="1:5" x14ac:dyDescent="0.25">
      <c r="A4485" s="41">
        <v>43652</v>
      </c>
      <c r="B4485" s="29">
        <v>181.05</v>
      </c>
      <c r="C4485" s="37">
        <f t="shared" si="146"/>
        <v>30.175000000000001</v>
      </c>
      <c r="D4485" s="37">
        <v>10.891999999999999</v>
      </c>
      <c r="E4485" s="33">
        <f t="shared" si="147"/>
        <v>-2.7540622418066648E-3</v>
      </c>
    </row>
    <row r="4486" spans="1:5" x14ac:dyDescent="0.25">
      <c r="A4486" s="41">
        <v>43652</v>
      </c>
      <c r="B4486" s="29">
        <v>180.01</v>
      </c>
      <c r="C4486" s="37">
        <f t="shared" si="146"/>
        <v>30.001666666666665</v>
      </c>
      <c r="D4486" s="37">
        <v>10.891999999999999</v>
      </c>
      <c r="E4486" s="33">
        <f t="shared" si="147"/>
        <v>-5.7442695388015491E-3</v>
      </c>
    </row>
    <row r="4487" spans="1:5" x14ac:dyDescent="0.25">
      <c r="A4487" s="41">
        <v>43652</v>
      </c>
      <c r="B4487" s="29">
        <v>179.43</v>
      </c>
      <c r="C4487" s="37">
        <f t="shared" si="146"/>
        <v>29.905000000000001</v>
      </c>
      <c r="D4487" s="37">
        <v>10.891999999999999</v>
      </c>
      <c r="E4487" s="33">
        <f t="shared" si="147"/>
        <v>-3.2220432198210329E-3</v>
      </c>
    </row>
    <row r="4488" spans="1:5" x14ac:dyDescent="0.25">
      <c r="A4488" s="41">
        <v>43652</v>
      </c>
      <c r="B4488" s="29">
        <v>177.75</v>
      </c>
      <c r="C4488" s="37">
        <f t="shared" si="146"/>
        <v>29.625</v>
      </c>
      <c r="D4488" s="37">
        <v>10.891999999999999</v>
      </c>
      <c r="E4488" s="33">
        <f t="shared" si="147"/>
        <v>-9.3629827787995688E-3</v>
      </c>
    </row>
    <row r="4489" spans="1:5" x14ac:dyDescent="0.25">
      <c r="A4489" s="41">
        <v>43652</v>
      </c>
      <c r="B4489" s="29">
        <v>174.92</v>
      </c>
      <c r="C4489" s="37">
        <f t="shared" si="146"/>
        <v>29.153333333333332</v>
      </c>
      <c r="D4489" s="37">
        <v>10.891999999999999</v>
      </c>
      <c r="E4489" s="33">
        <f t="shared" si="147"/>
        <v>-1.5921237693389663E-2</v>
      </c>
    </row>
    <row r="4490" spans="1:5" x14ac:dyDescent="0.25">
      <c r="A4490" s="41">
        <v>43653</v>
      </c>
      <c r="B4490" s="29">
        <v>170.74</v>
      </c>
      <c r="C4490" s="37">
        <f t="shared" si="146"/>
        <v>28.456666666666667</v>
      </c>
      <c r="D4490" s="37">
        <v>8.8889999999999993</v>
      </c>
      <c r="E4490" s="33">
        <f t="shared" si="147"/>
        <v>-2.3896638463297384E-2</v>
      </c>
    </row>
    <row r="4491" spans="1:5" x14ac:dyDescent="0.25">
      <c r="A4491" s="41">
        <v>43653</v>
      </c>
      <c r="B4491" s="29">
        <v>170.58</v>
      </c>
      <c r="C4491" s="37">
        <f t="shared" si="146"/>
        <v>28.43</v>
      </c>
      <c r="D4491" s="37">
        <v>8.8889999999999993</v>
      </c>
      <c r="E4491" s="33">
        <f t="shared" si="147"/>
        <v>-9.3709734098627493E-4</v>
      </c>
    </row>
    <row r="4492" spans="1:5" x14ac:dyDescent="0.25">
      <c r="A4492" s="41">
        <v>43653</v>
      </c>
      <c r="B4492" s="29">
        <v>170.55</v>
      </c>
      <c r="C4492" s="37">
        <f t="shared" si="146"/>
        <v>28.425000000000001</v>
      </c>
      <c r="D4492" s="37">
        <v>8.8889999999999993</v>
      </c>
      <c r="E4492" s="33">
        <f t="shared" si="147"/>
        <v>-1.7587055926838514E-4</v>
      </c>
    </row>
    <row r="4493" spans="1:5" x14ac:dyDescent="0.25">
      <c r="A4493" s="41">
        <v>43653</v>
      </c>
      <c r="B4493" s="29">
        <v>170.27</v>
      </c>
      <c r="C4493" s="37">
        <f t="shared" si="146"/>
        <v>28.378333333333334</v>
      </c>
      <c r="D4493" s="37">
        <v>8.8889999999999993</v>
      </c>
      <c r="E4493" s="33">
        <f t="shared" si="147"/>
        <v>-1.6417472881852895E-3</v>
      </c>
    </row>
    <row r="4494" spans="1:5" x14ac:dyDescent="0.25">
      <c r="A4494" s="41">
        <v>43653</v>
      </c>
      <c r="B4494" s="29">
        <v>170.25</v>
      </c>
      <c r="C4494" s="37">
        <f t="shared" si="146"/>
        <v>28.375</v>
      </c>
      <c r="D4494" s="37">
        <v>8.8889999999999993</v>
      </c>
      <c r="E4494" s="33">
        <f t="shared" si="147"/>
        <v>-1.1746050390562184E-4</v>
      </c>
    </row>
    <row r="4495" spans="1:5" x14ac:dyDescent="0.25">
      <c r="A4495" s="41">
        <v>43653</v>
      </c>
      <c r="B4495" s="29">
        <v>169.97</v>
      </c>
      <c r="C4495" s="37">
        <f t="shared" si="146"/>
        <v>28.328333333333333</v>
      </c>
      <c r="D4495" s="37">
        <v>8.8889999999999993</v>
      </c>
      <c r="E4495" s="33">
        <f t="shared" si="147"/>
        <v>-1.6446402349486117E-3</v>
      </c>
    </row>
    <row r="4496" spans="1:5" x14ac:dyDescent="0.25">
      <c r="A4496" s="41">
        <v>43653</v>
      </c>
      <c r="B4496" s="29">
        <v>169.7</v>
      </c>
      <c r="C4496" s="37">
        <f t="shared" si="146"/>
        <v>28.283333333333335</v>
      </c>
      <c r="D4496" s="37">
        <v>8.8889999999999993</v>
      </c>
      <c r="E4496" s="33">
        <f t="shared" si="147"/>
        <v>-1.5885156204036609E-3</v>
      </c>
    </row>
    <row r="4497" spans="1:5" x14ac:dyDescent="0.25">
      <c r="A4497" s="41">
        <v>43653</v>
      </c>
      <c r="B4497" s="29">
        <v>168.66</v>
      </c>
      <c r="C4497" s="37">
        <f t="shared" si="146"/>
        <v>28.11</v>
      </c>
      <c r="D4497" s="37">
        <v>8.8889999999999993</v>
      </c>
      <c r="E4497" s="33">
        <f t="shared" si="147"/>
        <v>-6.1284619917501004E-3</v>
      </c>
    </row>
    <row r="4498" spans="1:5" x14ac:dyDescent="0.25">
      <c r="A4498" s="41">
        <v>43653</v>
      </c>
      <c r="B4498" s="29">
        <v>169.87</v>
      </c>
      <c r="C4498" s="37">
        <f t="shared" si="146"/>
        <v>28.311666666666667</v>
      </c>
      <c r="D4498" s="37">
        <v>8.8889999999999993</v>
      </c>
      <c r="E4498" s="33">
        <f t="shared" si="147"/>
        <v>7.1741966085616506E-3</v>
      </c>
    </row>
    <row r="4499" spans="1:5" x14ac:dyDescent="0.25">
      <c r="A4499" s="41">
        <v>43653</v>
      </c>
      <c r="B4499" s="29">
        <v>170.34</v>
      </c>
      <c r="C4499" s="37">
        <f t="shared" si="146"/>
        <v>28.39</v>
      </c>
      <c r="D4499" s="37">
        <v>8.8889999999999993</v>
      </c>
      <c r="E4499" s="33">
        <f t="shared" si="147"/>
        <v>2.7668216871725368E-3</v>
      </c>
    </row>
    <row r="4500" spans="1:5" x14ac:dyDescent="0.25">
      <c r="A4500" s="41">
        <v>43653</v>
      </c>
      <c r="B4500" s="29">
        <v>170.31</v>
      </c>
      <c r="C4500" s="37">
        <f t="shared" si="146"/>
        <v>28.385000000000002</v>
      </c>
      <c r="D4500" s="37">
        <v>8.8889999999999993</v>
      </c>
      <c r="E4500" s="33">
        <f t="shared" si="147"/>
        <v>-1.7611835153223633E-4</v>
      </c>
    </row>
    <row r="4501" spans="1:5" x14ac:dyDescent="0.25">
      <c r="A4501" s="41">
        <v>43653</v>
      </c>
      <c r="B4501" s="29">
        <v>170.37</v>
      </c>
      <c r="C4501" s="37">
        <f t="shared" si="146"/>
        <v>28.395</v>
      </c>
      <c r="D4501" s="37">
        <v>8.8889999999999993</v>
      </c>
      <c r="E4501" s="33">
        <f t="shared" si="147"/>
        <v>3.5229874933945319E-4</v>
      </c>
    </row>
    <row r="4502" spans="1:5" x14ac:dyDescent="0.25">
      <c r="A4502" s="41">
        <v>43653</v>
      </c>
      <c r="B4502" s="29">
        <v>170.41</v>
      </c>
      <c r="C4502" s="37">
        <f t="shared" si="146"/>
        <v>28.401666666666667</v>
      </c>
      <c r="D4502" s="37">
        <v>8.8889999999999993</v>
      </c>
      <c r="E4502" s="33">
        <f t="shared" si="147"/>
        <v>2.3478311909369044E-4</v>
      </c>
    </row>
    <row r="4503" spans="1:5" x14ac:dyDescent="0.25">
      <c r="A4503" s="41">
        <v>43653</v>
      </c>
      <c r="B4503" s="29">
        <v>170.43</v>
      </c>
      <c r="C4503" s="37">
        <f t="shared" si="146"/>
        <v>28.405000000000001</v>
      </c>
      <c r="D4503" s="37">
        <v>8.8889999999999993</v>
      </c>
      <c r="E4503" s="33">
        <f t="shared" si="147"/>
        <v>1.1736400445989221E-4</v>
      </c>
    </row>
    <row r="4504" spans="1:5" x14ac:dyDescent="0.25">
      <c r="A4504" s="41">
        <v>43653</v>
      </c>
      <c r="B4504" s="29">
        <v>170.43</v>
      </c>
      <c r="C4504" s="37">
        <f t="shared" si="146"/>
        <v>28.405000000000001</v>
      </c>
      <c r="D4504" s="37">
        <v>8.8889999999999993</v>
      </c>
      <c r="E4504" s="33">
        <f t="shared" si="147"/>
        <v>0</v>
      </c>
    </row>
    <row r="4505" spans="1:5" x14ac:dyDescent="0.25">
      <c r="A4505" s="41">
        <v>43653</v>
      </c>
      <c r="B4505" s="29">
        <v>170.28</v>
      </c>
      <c r="C4505" s="37">
        <f t="shared" si="146"/>
        <v>28.38</v>
      </c>
      <c r="D4505" s="37">
        <v>8.8889999999999993</v>
      </c>
      <c r="E4505" s="33">
        <f t="shared" si="147"/>
        <v>-8.8012673825034135E-4</v>
      </c>
    </row>
    <row r="4506" spans="1:5" x14ac:dyDescent="0.25">
      <c r="A4506" s="41">
        <v>43653</v>
      </c>
      <c r="B4506" s="29">
        <v>170.32</v>
      </c>
      <c r="C4506" s="37">
        <f t="shared" si="146"/>
        <v>28.386666666666667</v>
      </c>
      <c r="D4506" s="37">
        <v>8.8889999999999993</v>
      </c>
      <c r="E4506" s="33">
        <f t="shared" si="147"/>
        <v>2.3490721165135095E-4</v>
      </c>
    </row>
    <row r="4507" spans="1:5" x14ac:dyDescent="0.25">
      <c r="A4507" s="41">
        <v>43653</v>
      </c>
      <c r="B4507" s="29">
        <v>175.14</v>
      </c>
      <c r="C4507" s="37">
        <f t="shared" si="146"/>
        <v>29.19</v>
      </c>
      <c r="D4507" s="37">
        <v>8.8889999999999993</v>
      </c>
      <c r="E4507" s="33">
        <f t="shared" si="147"/>
        <v>2.8299671207139464E-2</v>
      </c>
    </row>
    <row r="4508" spans="1:5" x14ac:dyDescent="0.25">
      <c r="A4508" s="41">
        <v>43653</v>
      </c>
      <c r="B4508" s="29">
        <v>179.77</v>
      </c>
      <c r="C4508" s="37">
        <f t="shared" si="146"/>
        <v>29.961666666666666</v>
      </c>
      <c r="D4508" s="37">
        <v>8.8889999999999993</v>
      </c>
      <c r="E4508" s="33">
        <f t="shared" si="147"/>
        <v>2.6435994061893481E-2</v>
      </c>
    </row>
    <row r="4509" spans="1:5" x14ac:dyDescent="0.25">
      <c r="A4509" s="41">
        <v>43653</v>
      </c>
      <c r="B4509" s="29">
        <v>179.77</v>
      </c>
      <c r="C4509" s="37">
        <f t="shared" si="146"/>
        <v>29.961666666666666</v>
      </c>
      <c r="D4509" s="37">
        <v>8.8889999999999993</v>
      </c>
      <c r="E4509" s="33">
        <f t="shared" si="147"/>
        <v>0</v>
      </c>
    </row>
    <row r="4510" spans="1:5" x14ac:dyDescent="0.25">
      <c r="A4510" s="41">
        <v>43653</v>
      </c>
      <c r="B4510" s="29">
        <v>178.6</v>
      </c>
      <c r="C4510" s="37">
        <f t="shared" si="146"/>
        <v>29.766666666666666</v>
      </c>
      <c r="D4510" s="37">
        <v>8.8889999999999993</v>
      </c>
      <c r="E4510" s="33">
        <f t="shared" si="147"/>
        <v>-6.5083161817879286E-3</v>
      </c>
    </row>
    <row r="4511" spans="1:5" x14ac:dyDescent="0.25">
      <c r="A4511" s="41">
        <v>43653</v>
      </c>
      <c r="B4511" s="29">
        <v>177.9</v>
      </c>
      <c r="C4511" s="37">
        <f t="shared" si="146"/>
        <v>29.65</v>
      </c>
      <c r="D4511" s="37">
        <v>8.8889999999999993</v>
      </c>
      <c r="E4511" s="33">
        <f t="shared" si="147"/>
        <v>-3.9193729003358831E-3</v>
      </c>
    </row>
    <row r="4512" spans="1:5" x14ac:dyDescent="0.25">
      <c r="A4512" s="41">
        <v>43653</v>
      </c>
      <c r="B4512" s="29">
        <v>175.49</v>
      </c>
      <c r="C4512" s="37">
        <f t="shared" si="146"/>
        <v>29.248333333333335</v>
      </c>
      <c r="D4512" s="37">
        <v>8.8889999999999993</v>
      </c>
      <c r="E4512" s="33">
        <f t="shared" si="147"/>
        <v>-1.3546936481169176E-2</v>
      </c>
    </row>
    <row r="4513" spans="1:5" x14ac:dyDescent="0.25">
      <c r="A4513" s="41">
        <v>43653</v>
      </c>
      <c r="B4513" s="29">
        <v>172.17</v>
      </c>
      <c r="C4513" s="37">
        <f t="shared" si="146"/>
        <v>28.695</v>
      </c>
      <c r="D4513" s="37">
        <v>8.8889999999999993</v>
      </c>
      <c r="E4513" s="33">
        <f t="shared" si="147"/>
        <v>-1.8918456892130727E-2</v>
      </c>
    </row>
    <row r="4514" spans="1:5" x14ac:dyDescent="0.25">
      <c r="A4514" s="41">
        <v>43654</v>
      </c>
      <c r="B4514" s="29">
        <v>172.17</v>
      </c>
      <c r="C4514" s="37">
        <f t="shared" si="146"/>
        <v>28.695</v>
      </c>
      <c r="D4514" s="37">
        <v>7.9589999999999996</v>
      </c>
      <c r="E4514" s="33">
        <f t="shared" si="147"/>
        <v>0</v>
      </c>
    </row>
    <row r="4515" spans="1:5" x14ac:dyDescent="0.25">
      <c r="A4515" s="41">
        <v>43654</v>
      </c>
      <c r="B4515" s="29">
        <v>171.06</v>
      </c>
      <c r="C4515" s="37">
        <f t="shared" si="146"/>
        <v>28.51</v>
      </c>
      <c r="D4515" s="37">
        <v>7.9589999999999996</v>
      </c>
      <c r="E4515" s="33">
        <f t="shared" si="147"/>
        <v>-6.4471162223383007E-3</v>
      </c>
    </row>
    <row r="4516" spans="1:5" x14ac:dyDescent="0.25">
      <c r="A4516" s="41">
        <v>43654</v>
      </c>
      <c r="B4516" s="29">
        <v>169.9</v>
      </c>
      <c r="C4516" s="37">
        <f t="shared" si="146"/>
        <v>28.316666666666666</v>
      </c>
      <c r="D4516" s="37">
        <v>7.9589999999999996</v>
      </c>
      <c r="E4516" s="33">
        <f t="shared" si="147"/>
        <v>-6.7812463463112161E-3</v>
      </c>
    </row>
    <row r="4517" spans="1:5" x14ac:dyDescent="0.25">
      <c r="A4517" s="41">
        <v>43654</v>
      </c>
      <c r="B4517" s="29">
        <v>170.82</v>
      </c>
      <c r="C4517" s="37">
        <f t="shared" si="146"/>
        <v>28.47</v>
      </c>
      <c r="D4517" s="37">
        <v>7.9589999999999996</v>
      </c>
      <c r="E4517" s="33">
        <f t="shared" si="147"/>
        <v>5.4149499705708499E-3</v>
      </c>
    </row>
    <row r="4518" spans="1:5" x14ac:dyDescent="0.25">
      <c r="A4518" s="41">
        <v>43654</v>
      </c>
      <c r="B4518" s="29">
        <v>171.75</v>
      </c>
      <c r="C4518" s="37">
        <f t="shared" si="146"/>
        <v>28.625</v>
      </c>
      <c r="D4518" s="37">
        <v>7.9589999999999996</v>
      </c>
      <c r="E4518" s="33">
        <f t="shared" si="147"/>
        <v>5.4443273621356215E-3</v>
      </c>
    </row>
    <row r="4519" spans="1:5" x14ac:dyDescent="0.25">
      <c r="A4519" s="41">
        <v>43654</v>
      </c>
      <c r="B4519" s="29">
        <v>175.4</v>
      </c>
      <c r="C4519" s="37">
        <f t="shared" si="146"/>
        <v>29.233333333333334</v>
      </c>
      <c r="D4519" s="37">
        <v>7.9589999999999996</v>
      </c>
      <c r="E4519" s="33">
        <f t="shared" si="147"/>
        <v>2.1251819505094648E-2</v>
      </c>
    </row>
    <row r="4520" spans="1:5" x14ac:dyDescent="0.25">
      <c r="A4520" s="41">
        <v>43654</v>
      </c>
      <c r="B4520" s="29">
        <v>178.09</v>
      </c>
      <c r="C4520" s="37">
        <f t="shared" si="146"/>
        <v>29.681666666666668</v>
      </c>
      <c r="D4520" s="37">
        <v>7.9589999999999996</v>
      </c>
      <c r="E4520" s="33">
        <f t="shared" si="147"/>
        <v>1.5336374002280488E-2</v>
      </c>
    </row>
    <row r="4521" spans="1:5" x14ac:dyDescent="0.25">
      <c r="A4521" s="41">
        <v>43654</v>
      </c>
      <c r="B4521" s="29">
        <v>178.64</v>
      </c>
      <c r="C4521" s="37">
        <f t="shared" si="146"/>
        <v>29.773333333333333</v>
      </c>
      <c r="D4521" s="37">
        <v>7.9589999999999996</v>
      </c>
      <c r="E4521" s="33">
        <f t="shared" si="147"/>
        <v>3.0883261272389405E-3</v>
      </c>
    </row>
    <row r="4522" spans="1:5" x14ac:dyDescent="0.25">
      <c r="A4522" s="41">
        <v>43654</v>
      </c>
      <c r="B4522" s="29">
        <v>179.43</v>
      </c>
      <c r="C4522" s="37">
        <f t="shared" si="146"/>
        <v>29.905000000000001</v>
      </c>
      <c r="D4522" s="37">
        <v>7.9589999999999996</v>
      </c>
      <c r="E4522" s="33">
        <f t="shared" si="147"/>
        <v>4.4223018360950543E-3</v>
      </c>
    </row>
    <row r="4523" spans="1:5" x14ac:dyDescent="0.25">
      <c r="A4523" s="41">
        <v>43654</v>
      </c>
      <c r="B4523" s="29">
        <v>180.75</v>
      </c>
      <c r="C4523" s="37">
        <f t="shared" si="146"/>
        <v>30.125</v>
      </c>
      <c r="D4523" s="37">
        <v>7.9589999999999996</v>
      </c>
      <c r="E4523" s="33">
        <f t="shared" si="147"/>
        <v>7.3566293261995942E-3</v>
      </c>
    </row>
    <row r="4524" spans="1:5" x14ac:dyDescent="0.25">
      <c r="A4524" s="41">
        <v>43654</v>
      </c>
      <c r="B4524" s="29">
        <v>181.4</v>
      </c>
      <c r="C4524" s="37">
        <f t="shared" si="146"/>
        <v>30.233333333333334</v>
      </c>
      <c r="D4524" s="37">
        <v>7.9589999999999996</v>
      </c>
      <c r="E4524" s="33">
        <f t="shared" si="147"/>
        <v>3.5961272475795612E-3</v>
      </c>
    </row>
    <row r="4525" spans="1:5" x14ac:dyDescent="0.25">
      <c r="A4525" s="41">
        <v>43654</v>
      </c>
      <c r="B4525" s="29">
        <v>181.43</v>
      </c>
      <c r="C4525" s="37">
        <f t="shared" si="146"/>
        <v>30.238333333333333</v>
      </c>
      <c r="D4525" s="37">
        <v>7.9589999999999996</v>
      </c>
      <c r="E4525" s="33">
        <f t="shared" si="147"/>
        <v>1.653803748621893E-4</v>
      </c>
    </row>
    <row r="4526" spans="1:5" x14ac:dyDescent="0.25">
      <c r="A4526" s="41">
        <v>43654</v>
      </c>
      <c r="B4526" s="29">
        <v>181.19</v>
      </c>
      <c r="C4526" s="37">
        <f t="shared" si="146"/>
        <v>30.198333333333334</v>
      </c>
      <c r="D4526" s="37">
        <v>7.9589999999999996</v>
      </c>
      <c r="E4526" s="33">
        <f t="shared" si="147"/>
        <v>-1.3228242297305245E-3</v>
      </c>
    </row>
    <row r="4527" spans="1:5" x14ac:dyDescent="0.25">
      <c r="A4527" s="41">
        <v>43654</v>
      </c>
      <c r="B4527" s="29">
        <v>181.5</v>
      </c>
      <c r="C4527" s="37">
        <f t="shared" si="146"/>
        <v>30.25</v>
      </c>
      <c r="D4527" s="37">
        <v>7.9589999999999996</v>
      </c>
      <c r="E4527" s="33">
        <f t="shared" si="147"/>
        <v>1.7109111981897581E-3</v>
      </c>
    </row>
    <row r="4528" spans="1:5" x14ac:dyDescent="0.25">
      <c r="A4528" s="41">
        <v>43654</v>
      </c>
      <c r="B4528" s="29">
        <v>181.68</v>
      </c>
      <c r="C4528" s="37">
        <f t="shared" si="146"/>
        <v>30.28</v>
      </c>
      <c r="D4528" s="37">
        <v>7.9589999999999996</v>
      </c>
      <c r="E4528" s="33">
        <f t="shared" si="147"/>
        <v>9.9173553719012018E-4</v>
      </c>
    </row>
    <row r="4529" spans="1:5" x14ac:dyDescent="0.25">
      <c r="A4529" s="41">
        <v>43654</v>
      </c>
      <c r="B4529" s="29">
        <v>181.78</v>
      </c>
      <c r="C4529" s="37">
        <f t="shared" si="146"/>
        <v>30.296666666666667</v>
      </c>
      <c r="D4529" s="37">
        <v>7.9589999999999996</v>
      </c>
      <c r="E4529" s="33">
        <f t="shared" si="147"/>
        <v>5.5041831792158912E-4</v>
      </c>
    </row>
    <row r="4530" spans="1:5" x14ac:dyDescent="0.25">
      <c r="A4530" s="41">
        <v>43654</v>
      </c>
      <c r="B4530" s="29">
        <v>181.78</v>
      </c>
      <c r="C4530" s="37">
        <f t="shared" si="146"/>
        <v>30.296666666666667</v>
      </c>
      <c r="D4530" s="37">
        <v>7.9589999999999996</v>
      </c>
      <c r="E4530" s="33">
        <f t="shared" si="147"/>
        <v>0</v>
      </c>
    </row>
    <row r="4531" spans="1:5" x14ac:dyDescent="0.25">
      <c r="A4531" s="41">
        <v>43654</v>
      </c>
      <c r="B4531" s="29">
        <v>181.96</v>
      </c>
      <c r="C4531" s="37">
        <f t="shared" si="146"/>
        <v>30.326666666666668</v>
      </c>
      <c r="D4531" s="37">
        <v>7.9589999999999996</v>
      </c>
      <c r="E4531" s="33">
        <f t="shared" si="147"/>
        <v>9.9020794366820792E-4</v>
      </c>
    </row>
    <row r="4532" spans="1:5" x14ac:dyDescent="0.25">
      <c r="A4532" s="41">
        <v>43654</v>
      </c>
      <c r="B4532" s="29">
        <v>184.24</v>
      </c>
      <c r="C4532" s="37">
        <f t="shared" si="146"/>
        <v>30.706666666666667</v>
      </c>
      <c r="D4532" s="37">
        <v>7.9589999999999996</v>
      </c>
      <c r="E4532" s="33">
        <f t="shared" si="147"/>
        <v>1.2530226423389761E-2</v>
      </c>
    </row>
    <row r="4533" spans="1:5" x14ac:dyDescent="0.25">
      <c r="A4533" s="41">
        <v>43654</v>
      </c>
      <c r="B4533" s="29">
        <v>182.32</v>
      </c>
      <c r="C4533" s="37">
        <f t="shared" si="146"/>
        <v>30.386666666666667</v>
      </c>
      <c r="D4533" s="37">
        <v>7.9589999999999996</v>
      </c>
      <c r="E4533" s="33">
        <f t="shared" si="147"/>
        <v>-1.042118975249683E-2</v>
      </c>
    </row>
    <row r="4534" spans="1:5" x14ac:dyDescent="0.25">
      <c r="A4534" s="41">
        <v>43654</v>
      </c>
      <c r="B4534" s="29">
        <v>181.79</v>
      </c>
      <c r="C4534" s="37">
        <f t="shared" si="146"/>
        <v>30.298333333333332</v>
      </c>
      <c r="D4534" s="37">
        <v>7.9589999999999996</v>
      </c>
      <c r="E4534" s="33">
        <f t="shared" si="147"/>
        <v>-2.906976744186053E-3</v>
      </c>
    </row>
    <row r="4535" spans="1:5" x14ac:dyDescent="0.25">
      <c r="A4535" s="41">
        <v>43654</v>
      </c>
      <c r="B4535" s="29">
        <v>181.79</v>
      </c>
      <c r="C4535" s="37">
        <f t="shared" si="146"/>
        <v>30.298333333333332</v>
      </c>
      <c r="D4535" s="37">
        <v>7.9589999999999996</v>
      </c>
      <c r="E4535" s="33">
        <f t="shared" si="147"/>
        <v>0</v>
      </c>
    </row>
    <row r="4536" spans="1:5" x14ac:dyDescent="0.25">
      <c r="A4536" s="41">
        <v>43654</v>
      </c>
      <c r="B4536" s="29">
        <v>181.24</v>
      </c>
      <c r="C4536" s="37">
        <f t="shared" si="146"/>
        <v>30.206666666666667</v>
      </c>
      <c r="D4536" s="37">
        <v>7.9589999999999996</v>
      </c>
      <c r="E4536" s="33">
        <f t="shared" si="147"/>
        <v>-3.0254689476867979E-3</v>
      </c>
    </row>
    <row r="4537" spans="1:5" x14ac:dyDescent="0.25">
      <c r="A4537" s="41">
        <v>43654</v>
      </c>
      <c r="B4537" s="29">
        <v>178.99</v>
      </c>
      <c r="C4537" s="37">
        <f t="shared" si="146"/>
        <v>29.831666666666667</v>
      </c>
      <c r="D4537" s="37">
        <v>7.9589999999999996</v>
      </c>
      <c r="E4537" s="33">
        <f t="shared" si="147"/>
        <v>-1.2414478040167733E-2</v>
      </c>
    </row>
    <row r="4538" spans="1:5" x14ac:dyDescent="0.25">
      <c r="A4538" s="41">
        <v>43655</v>
      </c>
      <c r="B4538" s="29">
        <v>167.22</v>
      </c>
      <c r="C4538" s="37">
        <f t="shared" si="146"/>
        <v>27.87</v>
      </c>
      <c r="D4538" s="37">
        <v>7.2629999999999999</v>
      </c>
      <c r="E4538" s="33">
        <f t="shared" si="147"/>
        <v>-6.5757863567797142E-2</v>
      </c>
    </row>
    <row r="4539" spans="1:5" x14ac:dyDescent="0.25">
      <c r="A4539" s="41">
        <v>43655</v>
      </c>
      <c r="B4539" s="29">
        <v>164.85</v>
      </c>
      <c r="C4539" s="37">
        <f t="shared" si="146"/>
        <v>27.475000000000001</v>
      </c>
      <c r="D4539" s="37">
        <v>7.2629999999999999</v>
      </c>
      <c r="E4539" s="33">
        <f t="shared" si="147"/>
        <v>-1.4172945819878033E-2</v>
      </c>
    </row>
    <row r="4540" spans="1:5" x14ac:dyDescent="0.25">
      <c r="A4540" s="41">
        <v>43655</v>
      </c>
      <c r="B4540" s="29">
        <v>164.77</v>
      </c>
      <c r="C4540" s="37">
        <f t="shared" si="146"/>
        <v>27.461666666666666</v>
      </c>
      <c r="D4540" s="37">
        <v>7.2629999999999999</v>
      </c>
      <c r="E4540" s="33">
        <f t="shared" si="147"/>
        <v>-4.8528965726408303E-4</v>
      </c>
    </row>
    <row r="4541" spans="1:5" x14ac:dyDescent="0.25">
      <c r="A4541" s="41">
        <v>43655</v>
      </c>
      <c r="B4541" s="29">
        <v>164.82</v>
      </c>
      <c r="C4541" s="37">
        <f t="shared" si="146"/>
        <v>27.47</v>
      </c>
      <c r="D4541" s="37">
        <v>7.2629999999999999</v>
      </c>
      <c r="E4541" s="33">
        <f t="shared" si="147"/>
        <v>3.0345329853725158E-4</v>
      </c>
    </row>
    <row r="4542" spans="1:5" x14ac:dyDescent="0.25">
      <c r="A4542" s="41">
        <v>43655</v>
      </c>
      <c r="B4542" s="29">
        <v>165.62</v>
      </c>
      <c r="C4542" s="37">
        <f t="shared" si="146"/>
        <v>27.603333333333332</v>
      </c>
      <c r="D4542" s="37">
        <v>7.2629999999999999</v>
      </c>
      <c r="E4542" s="33">
        <f t="shared" si="147"/>
        <v>4.8537798810824621E-3</v>
      </c>
    </row>
    <row r="4543" spans="1:5" x14ac:dyDescent="0.25">
      <c r="A4543" s="41">
        <v>43655</v>
      </c>
      <c r="B4543" s="29">
        <v>168.46</v>
      </c>
      <c r="C4543" s="37">
        <f t="shared" si="146"/>
        <v>28.076666666666668</v>
      </c>
      <c r="D4543" s="37">
        <v>7.2629999999999999</v>
      </c>
      <c r="E4543" s="33">
        <f t="shared" si="147"/>
        <v>1.7147687477357829E-2</v>
      </c>
    </row>
    <row r="4544" spans="1:5" x14ac:dyDescent="0.25">
      <c r="A4544" s="41">
        <v>43655</v>
      </c>
      <c r="B4544" s="29">
        <v>176.2</v>
      </c>
      <c r="C4544" s="37">
        <f t="shared" si="146"/>
        <v>29.366666666666667</v>
      </c>
      <c r="D4544" s="37">
        <v>7.2629999999999999</v>
      </c>
      <c r="E4544" s="33">
        <f t="shared" si="147"/>
        <v>4.5945625074201475E-2</v>
      </c>
    </row>
    <row r="4545" spans="1:5" x14ac:dyDescent="0.25">
      <c r="A4545" s="41">
        <v>43655</v>
      </c>
      <c r="B4545" s="29">
        <v>176.57</v>
      </c>
      <c r="C4545" s="37">
        <f t="shared" si="146"/>
        <v>29.428333333333335</v>
      </c>
      <c r="D4545" s="37">
        <v>7.2629999999999999</v>
      </c>
      <c r="E4545" s="33">
        <f t="shared" si="147"/>
        <v>2.0998864926220465E-3</v>
      </c>
    </row>
    <row r="4546" spans="1:5" x14ac:dyDescent="0.25">
      <c r="A4546" s="41">
        <v>43655</v>
      </c>
      <c r="B4546" s="29">
        <v>178.99</v>
      </c>
      <c r="C4546" s="37">
        <f t="shared" si="146"/>
        <v>29.831666666666667</v>
      </c>
      <c r="D4546" s="37">
        <v>7.2629999999999999</v>
      </c>
      <c r="E4546" s="33">
        <f t="shared" si="147"/>
        <v>1.3705612504955632E-2</v>
      </c>
    </row>
    <row r="4547" spans="1:5" x14ac:dyDescent="0.25">
      <c r="A4547" s="41">
        <v>43655</v>
      </c>
      <c r="B4547" s="29">
        <v>179.07</v>
      </c>
      <c r="C4547" s="37">
        <f t="shared" ref="C4547:C4610" si="148">(B4547*100/600)</f>
        <v>29.844999999999999</v>
      </c>
      <c r="D4547" s="37">
        <v>7.2629999999999999</v>
      </c>
      <c r="E4547" s="33">
        <f t="shared" si="147"/>
        <v>4.4695234370626335E-4</v>
      </c>
    </row>
    <row r="4548" spans="1:5" x14ac:dyDescent="0.25">
      <c r="A4548" s="41">
        <v>43655</v>
      </c>
      <c r="B4548" s="29">
        <v>179.72</v>
      </c>
      <c r="C4548" s="37">
        <f t="shared" si="148"/>
        <v>29.953333333333333</v>
      </c>
      <c r="D4548" s="37">
        <v>7.2629999999999999</v>
      </c>
      <c r="E4548" s="33">
        <f t="shared" ref="E4548:E4611" si="149">(B4548-B4547)/B4547</f>
        <v>3.6298654157592321E-3</v>
      </c>
    </row>
    <row r="4549" spans="1:5" x14ac:dyDescent="0.25">
      <c r="A4549" s="41">
        <v>43655</v>
      </c>
      <c r="B4549" s="29">
        <v>179.69</v>
      </c>
      <c r="C4549" s="37">
        <f t="shared" si="148"/>
        <v>29.948333333333334</v>
      </c>
      <c r="D4549" s="37">
        <v>7.2629999999999999</v>
      </c>
      <c r="E4549" s="33">
        <f t="shared" si="149"/>
        <v>-1.669263298464341E-4</v>
      </c>
    </row>
    <row r="4550" spans="1:5" x14ac:dyDescent="0.25">
      <c r="A4550" s="41">
        <v>43655</v>
      </c>
      <c r="B4550" s="29">
        <v>179.66</v>
      </c>
      <c r="C4550" s="37">
        <f t="shared" si="148"/>
        <v>29.943333333333332</v>
      </c>
      <c r="D4550" s="37">
        <v>7.2629999999999999</v>
      </c>
      <c r="E4550" s="33">
        <f t="shared" si="149"/>
        <v>-1.6695419889810862E-4</v>
      </c>
    </row>
    <row r="4551" spans="1:5" x14ac:dyDescent="0.25">
      <c r="A4551" s="41">
        <v>43655</v>
      </c>
      <c r="B4551" s="29">
        <v>179.65</v>
      </c>
      <c r="C4551" s="37">
        <f t="shared" si="148"/>
        <v>29.941666666666666</v>
      </c>
      <c r="D4551" s="37">
        <v>7.2629999999999999</v>
      </c>
      <c r="E4551" s="33">
        <f t="shared" si="149"/>
        <v>-5.5660692418963074E-5</v>
      </c>
    </row>
    <row r="4552" spans="1:5" x14ac:dyDescent="0.25">
      <c r="A4552" s="41">
        <v>43655</v>
      </c>
      <c r="B4552" s="29">
        <v>179.95</v>
      </c>
      <c r="C4552" s="37">
        <f t="shared" si="148"/>
        <v>29.991666666666667</v>
      </c>
      <c r="D4552" s="37">
        <v>7.2629999999999999</v>
      </c>
      <c r="E4552" s="33">
        <f t="shared" si="149"/>
        <v>1.6699137211243136E-3</v>
      </c>
    </row>
    <row r="4553" spans="1:5" x14ac:dyDescent="0.25">
      <c r="A4553" s="41">
        <v>43655</v>
      </c>
      <c r="B4553" s="29">
        <v>179.98</v>
      </c>
      <c r="C4553" s="37">
        <f t="shared" si="148"/>
        <v>29.996666666666666</v>
      </c>
      <c r="D4553" s="37">
        <v>7.2629999999999999</v>
      </c>
      <c r="E4553" s="33">
        <f t="shared" si="149"/>
        <v>1.6671297582662484E-4</v>
      </c>
    </row>
    <row r="4554" spans="1:5" x14ac:dyDescent="0.25">
      <c r="A4554" s="41">
        <v>43655</v>
      </c>
      <c r="B4554" s="29">
        <v>180.01</v>
      </c>
      <c r="C4554" s="37">
        <f t="shared" si="148"/>
        <v>30.001666666666665</v>
      </c>
      <c r="D4554" s="37">
        <v>7.2629999999999999</v>
      </c>
      <c r="E4554" s="33">
        <f t="shared" si="149"/>
        <v>1.6668518724303333E-4</v>
      </c>
    </row>
    <row r="4555" spans="1:5" x14ac:dyDescent="0.25">
      <c r="A4555" s="41">
        <v>43655</v>
      </c>
      <c r="B4555" s="29">
        <v>180.04</v>
      </c>
      <c r="C4555" s="37">
        <f t="shared" si="148"/>
        <v>30.006666666666668</v>
      </c>
      <c r="D4555" s="37">
        <v>7.2629999999999999</v>
      </c>
      <c r="E4555" s="33">
        <f t="shared" si="149"/>
        <v>1.6665740792178846E-4</v>
      </c>
    </row>
    <row r="4556" spans="1:5" x14ac:dyDescent="0.25">
      <c r="A4556" s="41">
        <v>43655</v>
      </c>
      <c r="B4556" s="29">
        <v>182.37</v>
      </c>
      <c r="C4556" s="37">
        <f t="shared" si="148"/>
        <v>30.395</v>
      </c>
      <c r="D4556" s="37">
        <v>7.2629999999999999</v>
      </c>
      <c r="E4556" s="33">
        <f t="shared" si="149"/>
        <v>1.2941568540324442E-2</v>
      </c>
    </row>
    <row r="4557" spans="1:5" x14ac:dyDescent="0.25">
      <c r="A4557" s="41">
        <v>43655</v>
      </c>
      <c r="B4557" s="29">
        <v>181.05</v>
      </c>
      <c r="C4557" s="37">
        <f t="shared" si="148"/>
        <v>30.175000000000001</v>
      </c>
      <c r="D4557" s="37">
        <v>7.2629999999999999</v>
      </c>
      <c r="E4557" s="33">
        <f t="shared" si="149"/>
        <v>-7.238032571146533E-3</v>
      </c>
    </row>
    <row r="4558" spans="1:5" x14ac:dyDescent="0.25">
      <c r="A4558" s="41">
        <v>43655</v>
      </c>
      <c r="B4558" s="29">
        <v>180.06</v>
      </c>
      <c r="C4558" s="37">
        <f t="shared" si="148"/>
        <v>30.01</v>
      </c>
      <c r="D4558" s="37">
        <v>7.2629999999999999</v>
      </c>
      <c r="E4558" s="33">
        <f t="shared" si="149"/>
        <v>-5.4681027340514167E-3</v>
      </c>
    </row>
    <row r="4559" spans="1:5" x14ac:dyDescent="0.25">
      <c r="A4559" s="41">
        <v>43655</v>
      </c>
      <c r="B4559" s="29">
        <v>180.05</v>
      </c>
      <c r="C4559" s="37">
        <f t="shared" si="148"/>
        <v>30.008333333333333</v>
      </c>
      <c r="D4559" s="37">
        <v>7.2629999999999999</v>
      </c>
      <c r="E4559" s="33">
        <f t="shared" si="149"/>
        <v>-5.5537043207769103E-5</v>
      </c>
    </row>
    <row r="4560" spans="1:5" x14ac:dyDescent="0.25">
      <c r="A4560" s="41">
        <v>43655</v>
      </c>
      <c r="B4560" s="29">
        <v>179.33</v>
      </c>
      <c r="C4560" s="37">
        <f t="shared" si="148"/>
        <v>29.888333333333332</v>
      </c>
      <c r="D4560" s="37">
        <v>7.2629999999999999</v>
      </c>
      <c r="E4560" s="33">
        <f t="shared" si="149"/>
        <v>-3.9988891974451473E-3</v>
      </c>
    </row>
    <row r="4561" spans="1:5" x14ac:dyDescent="0.25">
      <c r="A4561" s="41">
        <v>43655</v>
      </c>
      <c r="B4561" s="29">
        <v>179.01</v>
      </c>
      <c r="C4561" s="37">
        <f t="shared" si="148"/>
        <v>29.835000000000001</v>
      </c>
      <c r="D4561" s="37">
        <v>7.2629999999999999</v>
      </c>
      <c r="E4561" s="33">
        <f t="shared" si="149"/>
        <v>-1.7844197847544838E-3</v>
      </c>
    </row>
    <row r="4562" spans="1:5" x14ac:dyDescent="0.25">
      <c r="A4562" s="41">
        <v>43656</v>
      </c>
      <c r="B4562" s="29">
        <v>177.63</v>
      </c>
      <c r="C4562" s="37">
        <f t="shared" si="148"/>
        <v>29.605</v>
      </c>
      <c r="D4562" s="37">
        <v>6.694</v>
      </c>
      <c r="E4562" s="33">
        <f t="shared" si="149"/>
        <v>-7.7090665325959193E-3</v>
      </c>
    </row>
    <row r="4563" spans="1:5" x14ac:dyDescent="0.25">
      <c r="A4563" s="41">
        <v>43656</v>
      </c>
      <c r="B4563" s="29">
        <v>176.35</v>
      </c>
      <c r="C4563" s="37">
        <f t="shared" si="148"/>
        <v>29.391666666666666</v>
      </c>
      <c r="D4563" s="37">
        <v>6.694</v>
      </c>
      <c r="E4563" s="33">
        <f t="shared" si="149"/>
        <v>-7.2059899791701914E-3</v>
      </c>
    </row>
    <row r="4564" spans="1:5" x14ac:dyDescent="0.25">
      <c r="A4564" s="41">
        <v>43656</v>
      </c>
      <c r="B4564" s="29">
        <v>175.88</v>
      </c>
      <c r="C4564" s="37">
        <f t="shared" si="148"/>
        <v>29.313333333333333</v>
      </c>
      <c r="D4564" s="37">
        <v>6.694</v>
      </c>
      <c r="E4564" s="33">
        <f t="shared" si="149"/>
        <v>-2.6651545222568691E-3</v>
      </c>
    </row>
    <row r="4565" spans="1:5" x14ac:dyDescent="0.25">
      <c r="A4565" s="41">
        <v>43656</v>
      </c>
      <c r="B4565" s="29">
        <v>175.36</v>
      </c>
      <c r="C4565" s="37">
        <f t="shared" si="148"/>
        <v>29.226666666666667</v>
      </c>
      <c r="D4565" s="37">
        <v>6.694</v>
      </c>
      <c r="E4565" s="33">
        <f t="shared" si="149"/>
        <v>-2.9565612917897533E-3</v>
      </c>
    </row>
    <row r="4566" spans="1:5" x14ac:dyDescent="0.25">
      <c r="A4566" s="41">
        <v>43656</v>
      </c>
      <c r="B4566" s="29">
        <v>175.43</v>
      </c>
      <c r="C4566" s="37">
        <f t="shared" si="148"/>
        <v>29.238333333333333</v>
      </c>
      <c r="D4566" s="37">
        <v>6.694</v>
      </c>
      <c r="E4566" s="33">
        <f t="shared" si="149"/>
        <v>3.991788321167494E-4</v>
      </c>
    </row>
    <row r="4567" spans="1:5" x14ac:dyDescent="0.25">
      <c r="A4567" s="41">
        <v>43656</v>
      </c>
      <c r="B4567" s="29">
        <v>176.74</v>
      </c>
      <c r="C4567" s="37">
        <f t="shared" si="148"/>
        <v>29.456666666666667</v>
      </c>
      <c r="D4567" s="37">
        <v>6.694</v>
      </c>
      <c r="E4567" s="33">
        <f t="shared" si="149"/>
        <v>7.4673659009291578E-3</v>
      </c>
    </row>
    <row r="4568" spans="1:5" x14ac:dyDescent="0.25">
      <c r="A4568" s="41">
        <v>43656</v>
      </c>
      <c r="B4568" s="29">
        <v>177.83</v>
      </c>
      <c r="C4568" s="37">
        <f t="shared" si="148"/>
        <v>29.638333333333332</v>
      </c>
      <c r="D4568" s="37">
        <v>6.694</v>
      </c>
      <c r="E4568" s="33">
        <f t="shared" si="149"/>
        <v>6.1672513296367739E-3</v>
      </c>
    </row>
    <row r="4569" spans="1:5" x14ac:dyDescent="0.25">
      <c r="A4569" s="41">
        <v>43656</v>
      </c>
      <c r="B4569" s="29">
        <v>179.31</v>
      </c>
      <c r="C4569" s="37">
        <f t="shared" si="148"/>
        <v>29.885000000000002</v>
      </c>
      <c r="D4569" s="37">
        <v>6.694</v>
      </c>
      <c r="E4569" s="33">
        <f t="shared" si="149"/>
        <v>8.322555249395432E-3</v>
      </c>
    </row>
    <row r="4570" spans="1:5" x14ac:dyDescent="0.25">
      <c r="A4570" s="41">
        <v>43656</v>
      </c>
      <c r="B4570" s="29">
        <v>181.33</v>
      </c>
      <c r="C4570" s="37">
        <f t="shared" si="148"/>
        <v>30.221666666666668</v>
      </c>
      <c r="D4570" s="37">
        <v>6.694</v>
      </c>
      <c r="E4570" s="33">
        <f t="shared" si="149"/>
        <v>1.1265406279627518E-2</v>
      </c>
    </row>
    <row r="4571" spans="1:5" x14ac:dyDescent="0.25">
      <c r="A4571" s="41">
        <v>43656</v>
      </c>
      <c r="B4571" s="29">
        <v>181.6</v>
      </c>
      <c r="C4571" s="37">
        <f t="shared" si="148"/>
        <v>30.266666666666666</v>
      </c>
      <c r="D4571" s="37">
        <v>6.694</v>
      </c>
      <c r="E4571" s="33">
        <f t="shared" si="149"/>
        <v>1.4889979595212144E-3</v>
      </c>
    </row>
    <row r="4572" spans="1:5" x14ac:dyDescent="0.25">
      <c r="A4572" s="41">
        <v>43656</v>
      </c>
      <c r="B4572" s="29">
        <v>183.26</v>
      </c>
      <c r="C4572" s="37">
        <f t="shared" si="148"/>
        <v>30.543333333333333</v>
      </c>
      <c r="D4572" s="37">
        <v>6.694</v>
      </c>
      <c r="E4572" s="33">
        <f t="shared" si="149"/>
        <v>9.1409691629955759E-3</v>
      </c>
    </row>
    <row r="4573" spans="1:5" x14ac:dyDescent="0.25">
      <c r="A4573" s="41">
        <v>43656</v>
      </c>
      <c r="B4573" s="29">
        <v>183.98</v>
      </c>
      <c r="C4573" s="37">
        <f t="shared" si="148"/>
        <v>30.663333333333334</v>
      </c>
      <c r="D4573" s="37">
        <v>6.694</v>
      </c>
      <c r="E4573" s="33">
        <f t="shared" si="149"/>
        <v>3.9288442649787125E-3</v>
      </c>
    </row>
    <row r="4574" spans="1:5" x14ac:dyDescent="0.25">
      <c r="A4574" s="41">
        <v>43656</v>
      </c>
      <c r="B4574" s="29">
        <v>183.16</v>
      </c>
      <c r="C4574" s="37">
        <f t="shared" si="148"/>
        <v>30.526666666666667</v>
      </c>
      <c r="D4574" s="37">
        <v>6.694</v>
      </c>
      <c r="E4574" s="33">
        <f t="shared" si="149"/>
        <v>-4.4570061963256505E-3</v>
      </c>
    </row>
    <row r="4575" spans="1:5" x14ac:dyDescent="0.25">
      <c r="A4575" s="41">
        <v>43656</v>
      </c>
      <c r="B4575" s="29">
        <v>184.19</v>
      </c>
      <c r="C4575" s="37">
        <f t="shared" si="148"/>
        <v>30.698333333333334</v>
      </c>
      <c r="D4575" s="37">
        <v>6.694</v>
      </c>
      <c r="E4575" s="33">
        <f t="shared" si="149"/>
        <v>5.6234985804760928E-3</v>
      </c>
    </row>
    <row r="4576" spans="1:5" x14ac:dyDescent="0.25">
      <c r="A4576" s="41">
        <v>43656</v>
      </c>
      <c r="B4576" s="29">
        <v>184.57</v>
      </c>
      <c r="C4576" s="37">
        <f t="shared" si="148"/>
        <v>30.761666666666667</v>
      </c>
      <c r="D4576" s="37">
        <v>6.694</v>
      </c>
      <c r="E4576" s="33">
        <f t="shared" si="149"/>
        <v>2.0630870296975703E-3</v>
      </c>
    </row>
    <row r="4577" spans="1:5" x14ac:dyDescent="0.25">
      <c r="A4577" s="41">
        <v>43656</v>
      </c>
      <c r="B4577" s="29">
        <v>184.56</v>
      </c>
      <c r="C4577" s="37">
        <f t="shared" si="148"/>
        <v>30.76</v>
      </c>
      <c r="D4577" s="37">
        <v>6.694</v>
      </c>
      <c r="E4577" s="33">
        <f t="shared" si="149"/>
        <v>-5.4179985913154391E-5</v>
      </c>
    </row>
    <row r="4578" spans="1:5" x14ac:dyDescent="0.25">
      <c r="A4578" s="41">
        <v>43656</v>
      </c>
      <c r="B4578" s="29">
        <v>184.55</v>
      </c>
      <c r="C4578" s="37">
        <f t="shared" si="148"/>
        <v>30.758333333333333</v>
      </c>
      <c r="D4578" s="37">
        <v>6.694</v>
      </c>
      <c r="E4578" s="33">
        <f t="shared" si="149"/>
        <v>-5.4182921543080327E-5</v>
      </c>
    </row>
    <row r="4579" spans="1:5" x14ac:dyDescent="0.25">
      <c r="A4579" s="41">
        <v>43656</v>
      </c>
      <c r="B4579" s="29">
        <v>183.93</v>
      </c>
      <c r="C4579" s="37">
        <f t="shared" si="148"/>
        <v>30.655000000000001</v>
      </c>
      <c r="D4579" s="37">
        <v>6.694</v>
      </c>
      <c r="E4579" s="33">
        <f t="shared" si="149"/>
        <v>-3.3595231644541019E-3</v>
      </c>
    </row>
    <row r="4580" spans="1:5" x14ac:dyDescent="0.25">
      <c r="A4580" s="41">
        <v>43656</v>
      </c>
      <c r="B4580" s="29">
        <v>185.12</v>
      </c>
      <c r="C4580" s="37">
        <f t="shared" si="148"/>
        <v>30.853333333333332</v>
      </c>
      <c r="D4580" s="37">
        <v>6.694</v>
      </c>
      <c r="E4580" s="33">
        <f t="shared" si="149"/>
        <v>6.4698526613385402E-3</v>
      </c>
    </row>
    <row r="4581" spans="1:5" x14ac:dyDescent="0.25">
      <c r="A4581" s="41">
        <v>43656</v>
      </c>
      <c r="B4581" s="29">
        <v>184.51</v>
      </c>
      <c r="C4581" s="37">
        <f t="shared" si="148"/>
        <v>30.751666666666665</v>
      </c>
      <c r="D4581" s="37">
        <v>6.694</v>
      </c>
      <c r="E4581" s="33">
        <f t="shared" si="149"/>
        <v>-3.2951598962835654E-3</v>
      </c>
    </row>
    <row r="4582" spans="1:5" x14ac:dyDescent="0.25">
      <c r="A4582" s="41">
        <v>43656</v>
      </c>
      <c r="B4582" s="29">
        <v>183.55</v>
      </c>
      <c r="C4582" s="37">
        <f t="shared" si="148"/>
        <v>30.591666666666665</v>
      </c>
      <c r="D4582" s="37">
        <v>6.694</v>
      </c>
      <c r="E4582" s="33">
        <f t="shared" si="149"/>
        <v>-5.2029700287246194E-3</v>
      </c>
    </row>
    <row r="4583" spans="1:5" x14ac:dyDescent="0.25">
      <c r="A4583" s="41">
        <v>43656</v>
      </c>
      <c r="B4583" s="29">
        <v>183</v>
      </c>
      <c r="C4583" s="37">
        <f t="shared" si="148"/>
        <v>30.5</v>
      </c>
      <c r="D4583" s="37">
        <v>6.694</v>
      </c>
      <c r="E4583" s="33">
        <f t="shared" si="149"/>
        <v>-2.9964587305911813E-3</v>
      </c>
    </row>
    <row r="4584" spans="1:5" x14ac:dyDescent="0.25">
      <c r="A4584" s="41">
        <v>43656</v>
      </c>
      <c r="B4584" s="29">
        <v>181.76</v>
      </c>
      <c r="C4584" s="37">
        <f t="shared" si="148"/>
        <v>30.293333333333333</v>
      </c>
      <c r="D4584" s="37">
        <v>6.694</v>
      </c>
      <c r="E4584" s="33">
        <f t="shared" si="149"/>
        <v>-6.7759562841530549E-3</v>
      </c>
    </row>
    <row r="4585" spans="1:5" x14ac:dyDescent="0.25">
      <c r="A4585" s="41">
        <v>43656</v>
      </c>
      <c r="B4585" s="29">
        <v>181.02</v>
      </c>
      <c r="C4585" s="37">
        <f t="shared" si="148"/>
        <v>30.17</v>
      </c>
      <c r="D4585" s="37">
        <v>6.694</v>
      </c>
      <c r="E4585" s="33">
        <f t="shared" si="149"/>
        <v>-4.0713028169013024E-3</v>
      </c>
    </row>
    <row r="4586" spans="1:5" x14ac:dyDescent="0.25">
      <c r="A4586" s="41">
        <v>43657</v>
      </c>
      <c r="B4586" s="29">
        <v>176.76</v>
      </c>
      <c r="C4586" s="37">
        <f t="shared" si="148"/>
        <v>29.46</v>
      </c>
      <c r="D4586" s="37">
        <v>6.1790000000000003</v>
      </c>
      <c r="E4586" s="33">
        <f t="shared" si="149"/>
        <v>-2.3533311236327584E-2</v>
      </c>
    </row>
    <row r="4587" spans="1:5" x14ac:dyDescent="0.25">
      <c r="A4587" s="41">
        <v>43657</v>
      </c>
      <c r="B4587" s="29">
        <v>175.09</v>
      </c>
      <c r="C4587" s="37">
        <f t="shared" si="148"/>
        <v>29.181666666666668</v>
      </c>
      <c r="D4587" s="37">
        <v>6.1790000000000003</v>
      </c>
      <c r="E4587" s="33">
        <f t="shared" si="149"/>
        <v>-9.4478388775740413E-3</v>
      </c>
    </row>
    <row r="4588" spans="1:5" x14ac:dyDescent="0.25">
      <c r="A4588" s="41">
        <v>43657</v>
      </c>
      <c r="B4588" s="29">
        <v>175.09</v>
      </c>
      <c r="C4588" s="37">
        <f t="shared" si="148"/>
        <v>29.181666666666668</v>
      </c>
      <c r="D4588" s="37">
        <v>6.1790000000000003</v>
      </c>
      <c r="E4588" s="33">
        <f t="shared" si="149"/>
        <v>0</v>
      </c>
    </row>
    <row r="4589" spans="1:5" x14ac:dyDescent="0.25">
      <c r="A4589" s="41">
        <v>43657</v>
      </c>
      <c r="B4589" s="29">
        <v>175.09</v>
      </c>
      <c r="C4589" s="37">
        <f t="shared" si="148"/>
        <v>29.181666666666668</v>
      </c>
      <c r="D4589" s="37">
        <v>6.1790000000000003</v>
      </c>
      <c r="E4589" s="33">
        <f t="shared" si="149"/>
        <v>0</v>
      </c>
    </row>
    <row r="4590" spans="1:5" x14ac:dyDescent="0.25">
      <c r="A4590" s="41">
        <v>43657</v>
      </c>
      <c r="B4590" s="29">
        <v>175.09</v>
      </c>
      <c r="C4590" s="37">
        <f t="shared" si="148"/>
        <v>29.181666666666668</v>
      </c>
      <c r="D4590" s="37">
        <v>6.1790000000000003</v>
      </c>
      <c r="E4590" s="33">
        <f t="shared" si="149"/>
        <v>0</v>
      </c>
    </row>
    <row r="4591" spans="1:5" x14ac:dyDescent="0.25">
      <c r="A4591" s="41">
        <v>43657</v>
      </c>
      <c r="B4591" s="29">
        <v>175.12</v>
      </c>
      <c r="C4591" s="37">
        <f t="shared" si="148"/>
        <v>29.186666666666667</v>
      </c>
      <c r="D4591" s="37">
        <v>6.1790000000000003</v>
      </c>
      <c r="E4591" s="33">
        <f t="shared" si="149"/>
        <v>1.7134045348107338E-4</v>
      </c>
    </row>
    <row r="4592" spans="1:5" x14ac:dyDescent="0.25">
      <c r="A4592" s="41">
        <v>43657</v>
      </c>
      <c r="B4592" s="29">
        <v>176.62</v>
      </c>
      <c r="C4592" s="37">
        <f t="shared" si="148"/>
        <v>29.436666666666667</v>
      </c>
      <c r="D4592" s="37">
        <v>6.1790000000000003</v>
      </c>
      <c r="E4592" s="33">
        <f t="shared" si="149"/>
        <v>8.5655550479671085E-3</v>
      </c>
    </row>
    <row r="4593" spans="1:5" x14ac:dyDescent="0.25">
      <c r="A4593" s="41">
        <v>43657</v>
      </c>
      <c r="B4593" s="29">
        <v>179.25</v>
      </c>
      <c r="C4593" s="37">
        <f t="shared" si="148"/>
        <v>29.875</v>
      </c>
      <c r="D4593" s="37">
        <v>6.1790000000000003</v>
      </c>
      <c r="E4593" s="33">
        <f t="shared" si="149"/>
        <v>1.4890725852111852E-2</v>
      </c>
    </row>
    <row r="4594" spans="1:5" x14ac:dyDescent="0.25">
      <c r="A4594" s="41">
        <v>43657</v>
      </c>
      <c r="B4594" s="29">
        <v>180.93</v>
      </c>
      <c r="C4594" s="37">
        <f t="shared" si="148"/>
        <v>30.155000000000001</v>
      </c>
      <c r="D4594" s="37">
        <v>6.1790000000000003</v>
      </c>
      <c r="E4594" s="33">
        <f t="shared" si="149"/>
        <v>9.3723849372385325E-3</v>
      </c>
    </row>
    <row r="4595" spans="1:5" x14ac:dyDescent="0.25">
      <c r="A4595" s="41">
        <v>43657</v>
      </c>
      <c r="B4595" s="29">
        <v>181.33</v>
      </c>
      <c r="C4595" s="37">
        <f t="shared" si="148"/>
        <v>30.221666666666668</v>
      </c>
      <c r="D4595" s="37">
        <v>6.1790000000000003</v>
      </c>
      <c r="E4595" s="33">
        <f t="shared" si="149"/>
        <v>2.2107997568120582E-3</v>
      </c>
    </row>
    <row r="4596" spans="1:5" x14ac:dyDescent="0.25">
      <c r="A4596" s="41">
        <v>43657</v>
      </c>
      <c r="B4596" s="29">
        <v>183.43</v>
      </c>
      <c r="C4596" s="37">
        <f t="shared" si="148"/>
        <v>30.571666666666665</v>
      </c>
      <c r="D4596" s="37">
        <v>6.1790000000000003</v>
      </c>
      <c r="E4596" s="33">
        <f t="shared" si="149"/>
        <v>1.1581095240721305E-2</v>
      </c>
    </row>
    <row r="4597" spans="1:5" x14ac:dyDescent="0.25">
      <c r="A4597" s="41">
        <v>43657</v>
      </c>
      <c r="B4597" s="29">
        <v>183.82</v>
      </c>
      <c r="C4597" s="37">
        <f t="shared" si="148"/>
        <v>30.636666666666667</v>
      </c>
      <c r="D4597" s="37">
        <v>6.1790000000000003</v>
      </c>
      <c r="E4597" s="33">
        <f t="shared" si="149"/>
        <v>2.126151665485397E-3</v>
      </c>
    </row>
    <row r="4598" spans="1:5" x14ac:dyDescent="0.25">
      <c r="A4598" s="41">
        <v>43657</v>
      </c>
      <c r="B4598" s="29">
        <v>182.66</v>
      </c>
      <c r="C4598" s="37">
        <f t="shared" si="148"/>
        <v>30.443333333333332</v>
      </c>
      <c r="D4598" s="37">
        <v>6.1790000000000003</v>
      </c>
      <c r="E4598" s="33">
        <f t="shared" si="149"/>
        <v>-6.3105211620062924E-3</v>
      </c>
    </row>
    <row r="4599" spans="1:5" x14ac:dyDescent="0.25">
      <c r="A4599" s="41">
        <v>43657</v>
      </c>
      <c r="B4599" s="29">
        <v>183.85</v>
      </c>
      <c r="C4599" s="37">
        <f t="shared" si="148"/>
        <v>30.641666666666666</v>
      </c>
      <c r="D4599" s="37">
        <v>6.1790000000000003</v>
      </c>
      <c r="E4599" s="33">
        <f t="shared" si="149"/>
        <v>6.5148363078944361E-3</v>
      </c>
    </row>
    <row r="4600" spans="1:5" x14ac:dyDescent="0.25">
      <c r="A4600" s="41">
        <v>43657</v>
      </c>
      <c r="B4600" s="29">
        <v>184.25</v>
      </c>
      <c r="C4600" s="37">
        <f t="shared" si="148"/>
        <v>30.708333333333332</v>
      </c>
      <c r="D4600" s="37">
        <v>6.1790000000000003</v>
      </c>
      <c r="E4600" s="33">
        <f t="shared" si="149"/>
        <v>2.1756867011150705E-3</v>
      </c>
    </row>
    <row r="4601" spans="1:5" x14ac:dyDescent="0.25">
      <c r="A4601" s="41">
        <v>43657</v>
      </c>
      <c r="B4601" s="29">
        <v>184.24</v>
      </c>
      <c r="C4601" s="37">
        <f t="shared" si="148"/>
        <v>30.706666666666667</v>
      </c>
      <c r="D4601" s="37">
        <v>6.1790000000000003</v>
      </c>
      <c r="E4601" s="33">
        <f t="shared" si="149"/>
        <v>-5.427408412478103E-5</v>
      </c>
    </row>
    <row r="4602" spans="1:5" x14ac:dyDescent="0.25">
      <c r="A4602" s="41">
        <v>43657</v>
      </c>
      <c r="B4602" s="29">
        <v>184.28</v>
      </c>
      <c r="C4602" s="37">
        <f t="shared" si="148"/>
        <v>30.713333333333335</v>
      </c>
      <c r="D4602" s="37">
        <v>6.1790000000000003</v>
      </c>
      <c r="E4602" s="33">
        <f t="shared" si="149"/>
        <v>2.1710811984363896E-4</v>
      </c>
    </row>
    <row r="4603" spans="1:5" x14ac:dyDescent="0.25">
      <c r="A4603" s="41">
        <v>43657</v>
      </c>
      <c r="B4603" s="29">
        <v>182.99</v>
      </c>
      <c r="C4603" s="37">
        <f t="shared" si="148"/>
        <v>30.498333333333335</v>
      </c>
      <c r="D4603" s="37">
        <v>6.1790000000000003</v>
      </c>
      <c r="E4603" s="33">
        <f t="shared" si="149"/>
        <v>-7.0002170609940965E-3</v>
      </c>
    </row>
    <row r="4604" spans="1:5" x14ac:dyDescent="0.25">
      <c r="A4604" s="41">
        <v>43657</v>
      </c>
      <c r="B4604" s="29">
        <v>185.43</v>
      </c>
      <c r="C4604" s="37">
        <f t="shared" si="148"/>
        <v>30.905000000000001</v>
      </c>
      <c r="D4604" s="37">
        <v>6.1790000000000003</v>
      </c>
      <c r="E4604" s="33">
        <f t="shared" si="149"/>
        <v>1.3334061970599474E-2</v>
      </c>
    </row>
    <row r="4605" spans="1:5" x14ac:dyDescent="0.25">
      <c r="A4605" s="41">
        <v>43657</v>
      </c>
      <c r="B4605" s="29">
        <v>184.19</v>
      </c>
      <c r="C4605" s="37">
        <f t="shared" si="148"/>
        <v>30.698333333333334</v>
      </c>
      <c r="D4605" s="37">
        <v>6.1790000000000003</v>
      </c>
      <c r="E4605" s="33">
        <f t="shared" si="149"/>
        <v>-6.6871595750418438E-3</v>
      </c>
    </row>
    <row r="4606" spans="1:5" x14ac:dyDescent="0.25">
      <c r="A4606" s="41">
        <v>43657</v>
      </c>
      <c r="B4606" s="29">
        <v>182.66</v>
      </c>
      <c r="C4606" s="37">
        <f t="shared" si="148"/>
        <v>30.443333333333332</v>
      </c>
      <c r="D4606" s="37">
        <v>6.1790000000000003</v>
      </c>
      <c r="E4606" s="33">
        <f t="shared" si="149"/>
        <v>-8.3066398827297966E-3</v>
      </c>
    </row>
    <row r="4607" spans="1:5" x14ac:dyDescent="0.25">
      <c r="A4607" s="41">
        <v>43657</v>
      </c>
      <c r="B4607" s="29">
        <v>182.05</v>
      </c>
      <c r="C4607" s="37">
        <f t="shared" si="148"/>
        <v>30.341666666666665</v>
      </c>
      <c r="D4607" s="37">
        <v>6.1790000000000003</v>
      </c>
      <c r="E4607" s="33">
        <f t="shared" si="149"/>
        <v>-3.339537939340771E-3</v>
      </c>
    </row>
    <row r="4608" spans="1:5" x14ac:dyDescent="0.25">
      <c r="A4608" s="41">
        <v>43657</v>
      </c>
      <c r="B4608" s="29">
        <v>180.97</v>
      </c>
      <c r="C4608" s="37">
        <f t="shared" si="148"/>
        <v>30.161666666666665</v>
      </c>
      <c r="D4608" s="37">
        <v>6.1790000000000003</v>
      </c>
      <c r="E4608" s="33">
        <f t="shared" si="149"/>
        <v>-5.932436143916575E-3</v>
      </c>
    </row>
    <row r="4609" spans="1:5" x14ac:dyDescent="0.25">
      <c r="A4609" s="41">
        <v>43657</v>
      </c>
      <c r="B4609" s="29">
        <v>180.35</v>
      </c>
      <c r="C4609" s="37">
        <f t="shared" si="148"/>
        <v>30.058333333333334</v>
      </c>
      <c r="D4609" s="37">
        <v>6.1790000000000003</v>
      </c>
      <c r="E4609" s="33">
        <f t="shared" si="149"/>
        <v>-3.4259822069956599E-3</v>
      </c>
    </row>
    <row r="4610" spans="1:5" x14ac:dyDescent="0.25">
      <c r="A4610" s="41">
        <v>43658</v>
      </c>
      <c r="B4610" s="29">
        <v>177.47</v>
      </c>
      <c r="C4610" s="37">
        <f t="shared" si="148"/>
        <v>29.578333333333333</v>
      </c>
      <c r="D4610" s="37">
        <v>5.7720000000000002</v>
      </c>
      <c r="E4610" s="33">
        <f t="shared" si="149"/>
        <v>-1.5968949265317414E-2</v>
      </c>
    </row>
    <row r="4611" spans="1:5" x14ac:dyDescent="0.25">
      <c r="A4611" s="41">
        <v>43658</v>
      </c>
      <c r="B4611" s="29">
        <v>175.93</v>
      </c>
      <c r="C4611" s="37">
        <f t="shared" ref="C4611:C4674" si="150">(B4611*100/600)</f>
        <v>29.321666666666665</v>
      </c>
      <c r="D4611" s="37">
        <v>5.7720000000000002</v>
      </c>
      <c r="E4611" s="33">
        <f t="shared" si="149"/>
        <v>-8.6775229616272726E-3</v>
      </c>
    </row>
    <row r="4612" spans="1:5" x14ac:dyDescent="0.25">
      <c r="A4612" s="41">
        <v>43658</v>
      </c>
      <c r="B4612" s="29">
        <v>175.4</v>
      </c>
      <c r="C4612" s="37">
        <f t="shared" si="150"/>
        <v>29.233333333333334</v>
      </c>
      <c r="D4612" s="37">
        <v>5.7720000000000002</v>
      </c>
      <c r="E4612" s="33">
        <f t="shared" ref="E4612:E4675" si="151">(B4612-B4611)/B4611</f>
        <v>-3.0125618143579894E-3</v>
      </c>
    </row>
    <row r="4613" spans="1:5" x14ac:dyDescent="0.25">
      <c r="A4613" s="41">
        <v>43658</v>
      </c>
      <c r="B4613" s="29">
        <v>175.13</v>
      </c>
      <c r="C4613" s="37">
        <f t="shared" si="150"/>
        <v>29.188333333333333</v>
      </c>
      <c r="D4613" s="37">
        <v>5.7720000000000002</v>
      </c>
      <c r="E4613" s="33">
        <f t="shared" si="151"/>
        <v>-1.5393386545040492E-3</v>
      </c>
    </row>
    <row r="4614" spans="1:5" x14ac:dyDescent="0.25">
      <c r="A4614" s="41">
        <v>43658</v>
      </c>
      <c r="B4614" s="29">
        <v>175.13</v>
      </c>
      <c r="C4614" s="37">
        <f t="shared" si="150"/>
        <v>29.188333333333333</v>
      </c>
      <c r="D4614" s="37">
        <v>5.7720000000000002</v>
      </c>
      <c r="E4614" s="33">
        <f t="shared" si="151"/>
        <v>0</v>
      </c>
    </row>
    <row r="4615" spans="1:5" x14ac:dyDescent="0.25">
      <c r="A4615" s="41">
        <v>43658</v>
      </c>
      <c r="B4615" s="29">
        <v>175.46</v>
      </c>
      <c r="C4615" s="37">
        <f t="shared" si="150"/>
        <v>29.243333333333332</v>
      </c>
      <c r="D4615" s="37">
        <v>5.7720000000000002</v>
      </c>
      <c r="E4615" s="33">
        <f t="shared" si="151"/>
        <v>1.8843145092217926E-3</v>
      </c>
    </row>
    <row r="4616" spans="1:5" x14ac:dyDescent="0.25">
      <c r="A4616" s="41">
        <v>43658</v>
      </c>
      <c r="B4616" s="29">
        <v>177.29</v>
      </c>
      <c r="C4616" s="37">
        <f t="shared" si="150"/>
        <v>29.548333333333332</v>
      </c>
      <c r="D4616" s="37">
        <v>5.7720000000000002</v>
      </c>
      <c r="E4616" s="33">
        <f t="shared" si="151"/>
        <v>1.0429727573235974E-2</v>
      </c>
    </row>
    <row r="4617" spans="1:5" x14ac:dyDescent="0.25">
      <c r="A4617" s="41">
        <v>43658</v>
      </c>
      <c r="B4617" s="29">
        <v>178.41</v>
      </c>
      <c r="C4617" s="37">
        <f t="shared" si="150"/>
        <v>29.734999999999999</v>
      </c>
      <c r="D4617" s="37">
        <v>5.7720000000000002</v>
      </c>
      <c r="E4617" s="33">
        <f t="shared" si="151"/>
        <v>6.3173331829206644E-3</v>
      </c>
    </row>
    <row r="4618" spans="1:5" x14ac:dyDescent="0.25">
      <c r="A4618" s="41">
        <v>43658</v>
      </c>
      <c r="B4618" s="29">
        <v>180.46</v>
      </c>
      <c r="C4618" s="37">
        <f t="shared" si="150"/>
        <v>30.076666666666668</v>
      </c>
      <c r="D4618" s="37">
        <v>5.7720000000000002</v>
      </c>
      <c r="E4618" s="33">
        <f t="shared" si="151"/>
        <v>1.1490387310128421E-2</v>
      </c>
    </row>
    <row r="4619" spans="1:5" x14ac:dyDescent="0.25">
      <c r="A4619" s="41">
        <v>43658</v>
      </c>
      <c r="B4619" s="29">
        <v>180.89</v>
      </c>
      <c r="C4619" s="37">
        <f t="shared" si="150"/>
        <v>30.148333333333333</v>
      </c>
      <c r="D4619" s="37">
        <v>5.7720000000000002</v>
      </c>
      <c r="E4619" s="33">
        <f t="shared" si="151"/>
        <v>2.3827995123571893E-3</v>
      </c>
    </row>
    <row r="4620" spans="1:5" x14ac:dyDescent="0.25">
      <c r="A4620" s="41">
        <v>43658</v>
      </c>
      <c r="B4620" s="29">
        <v>181.76</v>
      </c>
      <c r="C4620" s="37">
        <f t="shared" si="150"/>
        <v>30.293333333333333</v>
      </c>
      <c r="D4620" s="37">
        <v>5.7720000000000002</v>
      </c>
      <c r="E4620" s="33">
        <f t="shared" si="151"/>
        <v>4.809552766874922E-3</v>
      </c>
    </row>
    <row r="4621" spans="1:5" x14ac:dyDescent="0.25">
      <c r="A4621" s="41">
        <v>43658</v>
      </c>
      <c r="B4621" s="29">
        <v>181.73</v>
      </c>
      <c r="C4621" s="37">
        <f t="shared" si="150"/>
        <v>30.288333333333334</v>
      </c>
      <c r="D4621" s="37">
        <v>5.7720000000000002</v>
      </c>
      <c r="E4621" s="33">
        <f t="shared" si="151"/>
        <v>-1.6505281690141471E-4</v>
      </c>
    </row>
    <row r="4622" spans="1:5" x14ac:dyDescent="0.25">
      <c r="A4622" s="41">
        <v>43658</v>
      </c>
      <c r="B4622" s="29">
        <v>181.69</v>
      </c>
      <c r="C4622" s="37">
        <f t="shared" si="150"/>
        <v>30.281666666666666</v>
      </c>
      <c r="D4622" s="37">
        <v>5.7720000000000002</v>
      </c>
      <c r="E4622" s="33">
        <f t="shared" si="151"/>
        <v>-2.2010675177456691E-4</v>
      </c>
    </row>
    <row r="4623" spans="1:5" x14ac:dyDescent="0.25">
      <c r="A4623" s="41">
        <v>43658</v>
      </c>
      <c r="B4623" s="29">
        <v>182.27</v>
      </c>
      <c r="C4623" s="37">
        <f t="shared" si="150"/>
        <v>30.378333333333334</v>
      </c>
      <c r="D4623" s="37">
        <v>5.7720000000000002</v>
      </c>
      <c r="E4623" s="33">
        <f t="shared" si="151"/>
        <v>3.1922505366283917E-3</v>
      </c>
    </row>
    <row r="4624" spans="1:5" x14ac:dyDescent="0.25">
      <c r="A4624" s="41">
        <v>43658</v>
      </c>
      <c r="B4624" s="29">
        <v>182.82</v>
      </c>
      <c r="C4624" s="37">
        <f t="shared" si="150"/>
        <v>30.47</v>
      </c>
      <c r="D4624" s="37">
        <v>5.7720000000000002</v>
      </c>
      <c r="E4624" s="33">
        <f t="shared" si="151"/>
        <v>3.0175015087506606E-3</v>
      </c>
    </row>
    <row r="4625" spans="1:5" x14ac:dyDescent="0.25">
      <c r="A4625" s="41">
        <v>43658</v>
      </c>
      <c r="B4625" s="29">
        <v>182.79</v>
      </c>
      <c r="C4625" s="37">
        <f t="shared" si="150"/>
        <v>30.465</v>
      </c>
      <c r="D4625" s="37">
        <v>5.7720000000000002</v>
      </c>
      <c r="E4625" s="33">
        <f t="shared" si="151"/>
        <v>-1.6409583196587429E-4</v>
      </c>
    </row>
    <row r="4626" spans="1:5" x14ac:dyDescent="0.25">
      <c r="A4626" s="41">
        <v>43658</v>
      </c>
      <c r="B4626" s="29">
        <v>182.76</v>
      </c>
      <c r="C4626" s="37">
        <f t="shared" si="150"/>
        <v>30.46</v>
      </c>
      <c r="D4626" s="37">
        <v>5.7720000000000002</v>
      </c>
      <c r="E4626" s="33">
        <f t="shared" si="151"/>
        <v>-1.6412276382734908E-4</v>
      </c>
    </row>
    <row r="4627" spans="1:5" x14ac:dyDescent="0.25">
      <c r="A4627" s="41">
        <v>43658</v>
      </c>
      <c r="B4627" s="29">
        <v>182.72</v>
      </c>
      <c r="C4627" s="37">
        <f t="shared" si="150"/>
        <v>30.453333333333333</v>
      </c>
      <c r="D4627" s="37">
        <v>5.7720000000000002</v>
      </c>
      <c r="E4627" s="33">
        <f t="shared" si="151"/>
        <v>-2.1886627270733226E-4</v>
      </c>
    </row>
    <row r="4628" spans="1:5" x14ac:dyDescent="0.25">
      <c r="A4628" s="41">
        <v>43658</v>
      </c>
      <c r="B4628" s="29">
        <v>184.86</v>
      </c>
      <c r="C4628" s="37">
        <f t="shared" si="150"/>
        <v>30.81</v>
      </c>
      <c r="D4628" s="37">
        <v>5.7720000000000002</v>
      </c>
      <c r="E4628" s="33">
        <f t="shared" si="151"/>
        <v>1.1711908931698855E-2</v>
      </c>
    </row>
    <row r="4629" spans="1:5" x14ac:dyDescent="0.25">
      <c r="A4629" s="41">
        <v>43658</v>
      </c>
      <c r="B4629" s="29">
        <v>183.65</v>
      </c>
      <c r="C4629" s="37">
        <f t="shared" si="150"/>
        <v>30.608333333333334</v>
      </c>
      <c r="D4629" s="37">
        <v>5.7720000000000002</v>
      </c>
      <c r="E4629" s="33">
        <f t="shared" si="151"/>
        <v>-6.5454938872660821E-3</v>
      </c>
    </row>
    <row r="4630" spans="1:5" x14ac:dyDescent="0.25">
      <c r="A4630" s="41">
        <v>43658</v>
      </c>
      <c r="B4630" s="29">
        <v>182.62</v>
      </c>
      <c r="C4630" s="37">
        <f t="shared" si="150"/>
        <v>30.436666666666667</v>
      </c>
      <c r="D4630" s="37">
        <v>5.7720000000000002</v>
      </c>
      <c r="E4630" s="33">
        <f t="shared" si="151"/>
        <v>-5.6084944187312887E-3</v>
      </c>
    </row>
    <row r="4631" spans="1:5" x14ac:dyDescent="0.25">
      <c r="A4631" s="41">
        <v>43658</v>
      </c>
      <c r="B4631" s="29">
        <v>182.59</v>
      </c>
      <c r="C4631" s="37">
        <f t="shared" si="150"/>
        <v>30.431666666666668</v>
      </c>
      <c r="D4631" s="37">
        <v>5.7720000000000002</v>
      </c>
      <c r="E4631" s="33">
        <f t="shared" si="151"/>
        <v>-1.6427554484722996E-4</v>
      </c>
    </row>
    <row r="4632" spans="1:5" x14ac:dyDescent="0.25">
      <c r="A4632" s="41">
        <v>43658</v>
      </c>
      <c r="B4632" s="29">
        <v>181.45</v>
      </c>
      <c r="C4632" s="37">
        <f t="shared" si="150"/>
        <v>30.241666666666667</v>
      </c>
      <c r="D4632" s="37">
        <v>5.7720000000000002</v>
      </c>
      <c r="E4632" s="33">
        <f t="shared" si="151"/>
        <v>-6.2434963579605391E-3</v>
      </c>
    </row>
    <row r="4633" spans="1:5" x14ac:dyDescent="0.25">
      <c r="A4633" s="41">
        <v>43658</v>
      </c>
      <c r="B4633" s="29">
        <v>179.98</v>
      </c>
      <c r="C4633" s="37">
        <f t="shared" si="150"/>
        <v>29.996666666666666</v>
      </c>
      <c r="D4633" s="37">
        <v>5.7720000000000002</v>
      </c>
      <c r="E4633" s="33">
        <f t="shared" si="151"/>
        <v>-8.101405345825291E-3</v>
      </c>
    </row>
    <row r="4634" spans="1:5" x14ac:dyDescent="0.25">
      <c r="A4634" s="41">
        <v>43659</v>
      </c>
      <c r="B4634" s="29">
        <v>176.44</v>
      </c>
      <c r="C4634" s="37">
        <f t="shared" si="150"/>
        <v>29.406666666666666</v>
      </c>
      <c r="D4634" s="37">
        <v>5.4710000000000001</v>
      </c>
      <c r="E4634" s="33">
        <f t="shared" si="151"/>
        <v>-1.9668852094677142E-2</v>
      </c>
    </row>
    <row r="4635" spans="1:5" x14ac:dyDescent="0.25">
      <c r="A4635" s="41">
        <v>43659</v>
      </c>
      <c r="B4635" s="29">
        <v>176.41</v>
      </c>
      <c r="C4635" s="37">
        <f t="shared" si="150"/>
        <v>29.401666666666667</v>
      </c>
      <c r="D4635" s="37">
        <v>5.4710000000000001</v>
      </c>
      <c r="E4635" s="33">
        <f t="shared" si="151"/>
        <v>-1.7002947177511413E-4</v>
      </c>
    </row>
    <row r="4636" spans="1:5" x14ac:dyDescent="0.25">
      <c r="A4636" s="41">
        <v>43659</v>
      </c>
      <c r="B4636" s="29">
        <v>176.09</v>
      </c>
      <c r="C4636" s="37">
        <f t="shared" si="150"/>
        <v>29.348333333333333</v>
      </c>
      <c r="D4636" s="37">
        <v>5.4710000000000001</v>
      </c>
      <c r="E4636" s="33">
        <f t="shared" si="151"/>
        <v>-1.8139561249361895E-3</v>
      </c>
    </row>
    <row r="4637" spans="1:5" x14ac:dyDescent="0.25">
      <c r="A4637" s="41">
        <v>43659</v>
      </c>
      <c r="B4637" s="29">
        <v>175.55</v>
      </c>
      <c r="C4637" s="37">
        <f t="shared" si="150"/>
        <v>29.258333333333333</v>
      </c>
      <c r="D4637" s="37">
        <v>5.4710000000000001</v>
      </c>
      <c r="E4637" s="33">
        <f t="shared" si="151"/>
        <v>-3.0666136634674998E-3</v>
      </c>
    </row>
    <row r="4638" spans="1:5" x14ac:dyDescent="0.25">
      <c r="A4638" s="41">
        <v>43659</v>
      </c>
      <c r="B4638" s="29">
        <v>175.55</v>
      </c>
      <c r="C4638" s="37">
        <f t="shared" si="150"/>
        <v>29.258333333333333</v>
      </c>
      <c r="D4638" s="37">
        <v>5.4710000000000001</v>
      </c>
      <c r="E4638" s="33">
        <f t="shared" si="151"/>
        <v>0</v>
      </c>
    </row>
    <row r="4639" spans="1:5" x14ac:dyDescent="0.25">
      <c r="A4639" s="41">
        <v>43659</v>
      </c>
      <c r="B4639" s="29">
        <v>175.95</v>
      </c>
      <c r="C4639" s="37">
        <f t="shared" si="150"/>
        <v>29.324999999999999</v>
      </c>
      <c r="D4639" s="37">
        <v>5.4710000000000001</v>
      </c>
      <c r="E4639" s="33">
        <f t="shared" si="151"/>
        <v>2.2785531187694517E-3</v>
      </c>
    </row>
    <row r="4640" spans="1:5" x14ac:dyDescent="0.25">
      <c r="A4640" s="41">
        <v>43659</v>
      </c>
      <c r="B4640" s="29">
        <v>176.26</v>
      </c>
      <c r="C4640" s="37">
        <f t="shared" si="150"/>
        <v>29.376666666666665</v>
      </c>
      <c r="D4640" s="37">
        <v>5.4710000000000001</v>
      </c>
      <c r="E4640" s="33">
        <f t="shared" si="151"/>
        <v>1.7618641659562506E-3</v>
      </c>
    </row>
    <row r="4641" spans="1:5" x14ac:dyDescent="0.25">
      <c r="A4641" s="41">
        <v>43659</v>
      </c>
      <c r="B4641" s="29">
        <v>176.23</v>
      </c>
      <c r="C4641" s="37">
        <f t="shared" si="150"/>
        <v>29.371666666666666</v>
      </c>
      <c r="D4641" s="37">
        <v>5.4710000000000001</v>
      </c>
      <c r="E4641" s="33">
        <f t="shared" si="151"/>
        <v>-1.70203109043465E-4</v>
      </c>
    </row>
    <row r="4642" spans="1:5" x14ac:dyDescent="0.25">
      <c r="A4642" s="41">
        <v>43659</v>
      </c>
      <c r="B4642" s="29">
        <v>176.26</v>
      </c>
      <c r="C4642" s="37">
        <f t="shared" si="150"/>
        <v>29.376666666666665</v>
      </c>
      <c r="D4642" s="37">
        <v>5.4710000000000001</v>
      </c>
      <c r="E4642" s="33">
        <f t="shared" si="151"/>
        <v>1.7023208307326301E-4</v>
      </c>
    </row>
    <row r="4643" spans="1:5" x14ac:dyDescent="0.25">
      <c r="A4643" s="41">
        <v>43659</v>
      </c>
      <c r="B4643" s="29">
        <v>176.76</v>
      </c>
      <c r="C4643" s="37">
        <f t="shared" si="150"/>
        <v>29.46</v>
      </c>
      <c r="D4643" s="37">
        <v>5.4710000000000001</v>
      </c>
      <c r="E4643" s="33">
        <f t="shared" si="151"/>
        <v>2.8367184840576423E-3</v>
      </c>
    </row>
    <row r="4644" spans="1:5" x14ac:dyDescent="0.25">
      <c r="A4644" s="41">
        <v>43659</v>
      </c>
      <c r="B4644" s="29">
        <v>176.79</v>
      </c>
      <c r="C4644" s="37">
        <f t="shared" si="150"/>
        <v>29.465</v>
      </c>
      <c r="D4644" s="37">
        <v>5.4710000000000001</v>
      </c>
      <c r="E4644" s="33">
        <f t="shared" si="151"/>
        <v>1.6972165648337372E-4</v>
      </c>
    </row>
    <row r="4645" spans="1:5" x14ac:dyDescent="0.25">
      <c r="A4645" s="41">
        <v>43659</v>
      </c>
      <c r="B4645" s="29">
        <v>176.94</v>
      </c>
      <c r="C4645" s="37">
        <f t="shared" si="150"/>
        <v>29.49</v>
      </c>
      <c r="D4645" s="37">
        <v>5.4710000000000001</v>
      </c>
      <c r="E4645" s="33">
        <f t="shared" si="151"/>
        <v>8.4846427965385872E-4</v>
      </c>
    </row>
    <row r="4646" spans="1:5" x14ac:dyDescent="0.25">
      <c r="A4646" s="41">
        <v>43659</v>
      </c>
      <c r="B4646" s="29">
        <v>176.95</v>
      </c>
      <c r="C4646" s="37">
        <f t="shared" si="150"/>
        <v>29.491666666666667</v>
      </c>
      <c r="D4646" s="37">
        <v>5.4710000000000001</v>
      </c>
      <c r="E4646" s="33">
        <f t="shared" si="151"/>
        <v>5.6516333220249264E-5</v>
      </c>
    </row>
    <row r="4647" spans="1:5" x14ac:dyDescent="0.25">
      <c r="A4647" s="41">
        <v>43659</v>
      </c>
      <c r="B4647" s="29">
        <v>177.08</v>
      </c>
      <c r="C4647" s="37">
        <f t="shared" si="150"/>
        <v>29.513333333333332</v>
      </c>
      <c r="D4647" s="37">
        <v>5.4710000000000001</v>
      </c>
      <c r="E4647" s="33">
        <f t="shared" si="151"/>
        <v>7.3467081096368399E-4</v>
      </c>
    </row>
    <row r="4648" spans="1:5" x14ac:dyDescent="0.25">
      <c r="A4648" s="41">
        <v>43659</v>
      </c>
      <c r="B4648" s="29">
        <v>176.93</v>
      </c>
      <c r="C4648" s="37">
        <f t="shared" si="150"/>
        <v>29.488333333333333</v>
      </c>
      <c r="D4648" s="37">
        <v>5.4710000000000001</v>
      </c>
      <c r="E4648" s="33">
        <f t="shared" si="151"/>
        <v>-8.4707476846626194E-4</v>
      </c>
    </row>
    <row r="4649" spans="1:5" x14ac:dyDescent="0.25">
      <c r="A4649" s="41">
        <v>43659</v>
      </c>
      <c r="B4649" s="29">
        <v>176.94</v>
      </c>
      <c r="C4649" s="37">
        <f t="shared" si="150"/>
        <v>29.49</v>
      </c>
      <c r="D4649" s="37">
        <v>5.4710000000000001</v>
      </c>
      <c r="E4649" s="33">
        <f t="shared" si="151"/>
        <v>5.6519527496698718E-5</v>
      </c>
    </row>
    <row r="4650" spans="1:5" x14ac:dyDescent="0.25">
      <c r="A4650" s="41">
        <v>43659</v>
      </c>
      <c r="B4650" s="29">
        <v>177.16</v>
      </c>
      <c r="C4650" s="37">
        <f t="shared" si="150"/>
        <v>29.526666666666667</v>
      </c>
      <c r="D4650" s="37">
        <v>5.4710000000000001</v>
      </c>
      <c r="E4650" s="33">
        <f t="shared" si="151"/>
        <v>1.2433593308466082E-3</v>
      </c>
    </row>
    <row r="4651" spans="1:5" x14ac:dyDescent="0.25">
      <c r="A4651" s="41">
        <v>43659</v>
      </c>
      <c r="B4651" s="29">
        <v>177.9</v>
      </c>
      <c r="C4651" s="37">
        <f t="shared" si="150"/>
        <v>29.65</v>
      </c>
      <c r="D4651" s="37">
        <v>5.4710000000000001</v>
      </c>
      <c r="E4651" s="33">
        <f t="shared" si="151"/>
        <v>4.1770151275683509E-3</v>
      </c>
    </row>
    <row r="4652" spans="1:5" x14ac:dyDescent="0.25">
      <c r="A4652" s="41">
        <v>43659</v>
      </c>
      <c r="B4652" s="29">
        <v>180.09</v>
      </c>
      <c r="C4652" s="37">
        <f t="shared" si="150"/>
        <v>30.015000000000001</v>
      </c>
      <c r="D4652" s="37">
        <v>5.4710000000000001</v>
      </c>
      <c r="E4652" s="33">
        <f t="shared" si="151"/>
        <v>1.2310286677908924E-2</v>
      </c>
    </row>
    <row r="4653" spans="1:5" x14ac:dyDescent="0.25">
      <c r="A4653" s="41">
        <v>43659</v>
      </c>
      <c r="B4653" s="29">
        <v>178.97</v>
      </c>
      <c r="C4653" s="37">
        <f t="shared" si="150"/>
        <v>29.828333333333333</v>
      </c>
      <c r="D4653" s="37">
        <v>5.4710000000000001</v>
      </c>
      <c r="E4653" s="33">
        <f t="shared" si="151"/>
        <v>-6.2191126658893026E-3</v>
      </c>
    </row>
    <row r="4654" spans="1:5" x14ac:dyDescent="0.25">
      <c r="A4654" s="41">
        <v>43659</v>
      </c>
      <c r="B4654" s="29">
        <v>178.07</v>
      </c>
      <c r="C4654" s="37">
        <f t="shared" si="150"/>
        <v>29.678333333333335</v>
      </c>
      <c r="D4654" s="37">
        <v>5.4710000000000001</v>
      </c>
      <c r="E4654" s="33">
        <f t="shared" si="151"/>
        <v>-5.0287757724758655E-3</v>
      </c>
    </row>
    <row r="4655" spans="1:5" x14ac:dyDescent="0.25">
      <c r="A4655" s="41">
        <v>43659</v>
      </c>
      <c r="B4655" s="29">
        <v>177.75</v>
      </c>
      <c r="C4655" s="37">
        <f t="shared" si="150"/>
        <v>29.625</v>
      </c>
      <c r="D4655" s="37">
        <v>5.4710000000000001</v>
      </c>
      <c r="E4655" s="33">
        <f t="shared" si="151"/>
        <v>-1.7970461054641052E-3</v>
      </c>
    </row>
    <row r="4656" spans="1:5" x14ac:dyDescent="0.25">
      <c r="A4656" s="41">
        <v>43659</v>
      </c>
      <c r="B4656" s="29">
        <v>176.79</v>
      </c>
      <c r="C4656" s="37">
        <f t="shared" si="150"/>
        <v>29.465</v>
      </c>
      <c r="D4656" s="37">
        <v>5.4710000000000001</v>
      </c>
      <c r="E4656" s="33">
        <f t="shared" si="151"/>
        <v>-5.4008438818565849E-3</v>
      </c>
    </row>
    <row r="4657" spans="1:5" x14ac:dyDescent="0.25">
      <c r="A4657" s="41">
        <v>43659</v>
      </c>
      <c r="B4657" s="29">
        <v>175.84</v>
      </c>
      <c r="C4657" s="37">
        <f t="shared" si="150"/>
        <v>29.306666666666668</v>
      </c>
      <c r="D4657" s="37">
        <v>5.4710000000000001</v>
      </c>
      <c r="E4657" s="33">
        <f t="shared" si="151"/>
        <v>-5.3736071044741705E-3</v>
      </c>
    </row>
    <row r="4658" spans="1:5" x14ac:dyDescent="0.25">
      <c r="A4658" s="41">
        <v>43660</v>
      </c>
      <c r="B4658" s="29">
        <v>170.3</v>
      </c>
      <c r="C4658" s="37">
        <f t="shared" si="150"/>
        <v>28.383333333333333</v>
      </c>
      <c r="D4658" s="37">
        <v>5.306</v>
      </c>
      <c r="E4658" s="33">
        <f t="shared" si="151"/>
        <v>-3.1505914467697863E-2</v>
      </c>
    </row>
    <row r="4659" spans="1:5" x14ac:dyDescent="0.25">
      <c r="A4659" s="41">
        <v>43660</v>
      </c>
      <c r="B4659" s="29">
        <v>170.27</v>
      </c>
      <c r="C4659" s="37">
        <f t="shared" si="150"/>
        <v>28.378333333333334</v>
      </c>
      <c r="D4659" s="37">
        <v>5.306</v>
      </c>
      <c r="E4659" s="33">
        <f t="shared" si="151"/>
        <v>-1.7615971814445764E-4</v>
      </c>
    </row>
    <row r="4660" spans="1:5" x14ac:dyDescent="0.25">
      <c r="A4660" s="41">
        <v>43660</v>
      </c>
      <c r="B4660" s="29">
        <v>170.2</v>
      </c>
      <c r="C4660" s="37">
        <f t="shared" si="150"/>
        <v>28.366666666666667</v>
      </c>
      <c r="D4660" s="37">
        <v>5.306</v>
      </c>
      <c r="E4660" s="33">
        <f t="shared" si="151"/>
        <v>-4.1111176366959298E-4</v>
      </c>
    </row>
    <row r="4661" spans="1:5" x14ac:dyDescent="0.25">
      <c r="A4661" s="41">
        <v>43660</v>
      </c>
      <c r="B4661" s="29">
        <v>169.59</v>
      </c>
      <c r="C4661" s="37">
        <f t="shared" si="150"/>
        <v>28.265000000000001</v>
      </c>
      <c r="D4661" s="37">
        <v>5.306</v>
      </c>
      <c r="E4661" s="33">
        <f t="shared" si="151"/>
        <v>-3.5840188014100191E-3</v>
      </c>
    </row>
    <row r="4662" spans="1:5" x14ac:dyDescent="0.25">
      <c r="A4662" s="41">
        <v>43660</v>
      </c>
      <c r="B4662" s="29">
        <v>169.42</v>
      </c>
      <c r="C4662" s="37">
        <f t="shared" si="150"/>
        <v>28.236666666666668</v>
      </c>
      <c r="D4662" s="37">
        <v>5.306</v>
      </c>
      <c r="E4662" s="33">
        <f t="shared" si="151"/>
        <v>-1.0024175953771797E-3</v>
      </c>
    </row>
    <row r="4663" spans="1:5" x14ac:dyDescent="0.25">
      <c r="A4663" s="41">
        <v>43660</v>
      </c>
      <c r="B4663" s="29">
        <v>169.58</v>
      </c>
      <c r="C4663" s="37">
        <f t="shared" si="150"/>
        <v>28.263333333333332</v>
      </c>
      <c r="D4663" s="37">
        <v>5.306</v>
      </c>
      <c r="E4663" s="33">
        <f t="shared" si="151"/>
        <v>9.4439853618241666E-4</v>
      </c>
    </row>
    <row r="4664" spans="1:5" x14ac:dyDescent="0.25">
      <c r="A4664" s="41">
        <v>43660</v>
      </c>
      <c r="B4664" s="29">
        <v>169.74</v>
      </c>
      <c r="C4664" s="37">
        <f t="shared" si="150"/>
        <v>28.29</v>
      </c>
      <c r="D4664" s="37">
        <v>5.306</v>
      </c>
      <c r="E4664" s="33">
        <f t="shared" si="151"/>
        <v>9.4350748909067443E-4</v>
      </c>
    </row>
    <row r="4665" spans="1:5" x14ac:dyDescent="0.25">
      <c r="A4665" s="41">
        <v>43660</v>
      </c>
      <c r="B4665" s="29">
        <v>169.74</v>
      </c>
      <c r="C4665" s="37">
        <f t="shared" si="150"/>
        <v>28.29</v>
      </c>
      <c r="D4665" s="37">
        <v>5.306</v>
      </c>
      <c r="E4665" s="33">
        <f t="shared" si="151"/>
        <v>0</v>
      </c>
    </row>
    <row r="4666" spans="1:5" x14ac:dyDescent="0.25">
      <c r="A4666" s="41">
        <v>43660</v>
      </c>
      <c r="B4666" s="29">
        <v>170.07</v>
      </c>
      <c r="C4666" s="37">
        <f t="shared" si="150"/>
        <v>28.344999999999999</v>
      </c>
      <c r="D4666" s="37">
        <v>5.306</v>
      </c>
      <c r="E4666" s="33">
        <f t="shared" si="151"/>
        <v>1.9441498762812776E-3</v>
      </c>
    </row>
    <row r="4667" spans="1:5" x14ac:dyDescent="0.25">
      <c r="A4667" s="41">
        <v>43660</v>
      </c>
      <c r="B4667" s="29">
        <v>170.68</v>
      </c>
      <c r="C4667" s="37">
        <f t="shared" si="150"/>
        <v>28.446666666666665</v>
      </c>
      <c r="D4667" s="37">
        <v>5.306</v>
      </c>
      <c r="E4667" s="33">
        <f t="shared" si="151"/>
        <v>3.5867583936027144E-3</v>
      </c>
    </row>
    <row r="4668" spans="1:5" x14ac:dyDescent="0.25">
      <c r="A4668" s="41">
        <v>43660</v>
      </c>
      <c r="B4668" s="29">
        <v>172.54</v>
      </c>
      <c r="C4668" s="37">
        <f t="shared" si="150"/>
        <v>28.756666666666668</v>
      </c>
      <c r="D4668" s="37">
        <v>5.306</v>
      </c>
      <c r="E4668" s="33">
        <f t="shared" si="151"/>
        <v>1.0897586126083813E-2</v>
      </c>
    </row>
    <row r="4669" spans="1:5" x14ac:dyDescent="0.25">
      <c r="A4669" s="41">
        <v>43660</v>
      </c>
      <c r="B4669" s="29">
        <v>174.15</v>
      </c>
      <c r="C4669" s="37">
        <f t="shared" si="150"/>
        <v>29.024999999999999</v>
      </c>
      <c r="D4669" s="37">
        <v>5.306</v>
      </c>
      <c r="E4669" s="33">
        <f t="shared" si="151"/>
        <v>9.3311695838646912E-3</v>
      </c>
    </row>
    <row r="4670" spans="1:5" x14ac:dyDescent="0.25">
      <c r="A4670" s="41">
        <v>43660</v>
      </c>
      <c r="B4670" s="29">
        <v>174.18</v>
      </c>
      <c r="C4670" s="37">
        <f t="shared" si="150"/>
        <v>29.03</v>
      </c>
      <c r="D4670" s="37">
        <v>5.306</v>
      </c>
      <c r="E4670" s="33">
        <f t="shared" si="151"/>
        <v>1.7226528854436484E-4</v>
      </c>
    </row>
    <row r="4671" spans="1:5" x14ac:dyDescent="0.25">
      <c r="A4671" s="41">
        <v>43660</v>
      </c>
      <c r="B4671" s="29">
        <v>174.18</v>
      </c>
      <c r="C4671" s="37">
        <f t="shared" si="150"/>
        <v>29.03</v>
      </c>
      <c r="D4671" s="37">
        <v>5.306</v>
      </c>
      <c r="E4671" s="33">
        <f t="shared" si="151"/>
        <v>0</v>
      </c>
    </row>
    <row r="4672" spans="1:5" x14ac:dyDescent="0.25">
      <c r="A4672" s="41">
        <v>43660</v>
      </c>
      <c r="B4672" s="29">
        <v>174.18</v>
      </c>
      <c r="C4672" s="37">
        <f t="shared" si="150"/>
        <v>29.03</v>
      </c>
      <c r="D4672" s="37">
        <v>5.306</v>
      </c>
      <c r="E4672" s="33">
        <f t="shared" si="151"/>
        <v>0</v>
      </c>
    </row>
    <row r="4673" spans="1:5" x14ac:dyDescent="0.25">
      <c r="A4673" s="41">
        <v>43660</v>
      </c>
      <c r="B4673" s="29">
        <v>174.18</v>
      </c>
      <c r="C4673" s="37">
        <f t="shared" si="150"/>
        <v>29.03</v>
      </c>
      <c r="D4673" s="37">
        <v>5.306</v>
      </c>
      <c r="E4673" s="33">
        <f t="shared" si="151"/>
        <v>0</v>
      </c>
    </row>
    <row r="4674" spans="1:5" x14ac:dyDescent="0.25">
      <c r="A4674" s="41">
        <v>43660</v>
      </c>
      <c r="B4674" s="29">
        <v>175.46</v>
      </c>
      <c r="C4674" s="37">
        <f t="shared" si="150"/>
        <v>29.243333333333332</v>
      </c>
      <c r="D4674" s="37">
        <v>5.306</v>
      </c>
      <c r="E4674" s="33">
        <f t="shared" si="151"/>
        <v>7.348719715237117E-3</v>
      </c>
    </row>
    <row r="4675" spans="1:5" x14ac:dyDescent="0.25">
      <c r="A4675" s="41">
        <v>43660</v>
      </c>
      <c r="B4675" s="29">
        <v>177.15</v>
      </c>
      <c r="C4675" s="37">
        <f t="shared" ref="C4675:C4738" si="152">(B4675*100/600)</f>
        <v>29.524999999999999</v>
      </c>
      <c r="D4675" s="37">
        <v>5.306</v>
      </c>
      <c r="E4675" s="33">
        <f t="shared" si="151"/>
        <v>9.6318249173600688E-3</v>
      </c>
    </row>
    <row r="4676" spans="1:5" x14ac:dyDescent="0.25">
      <c r="A4676" s="41">
        <v>43660</v>
      </c>
      <c r="B4676" s="29">
        <v>178.9</v>
      </c>
      <c r="C4676" s="37">
        <f t="shared" si="152"/>
        <v>29.816666666666666</v>
      </c>
      <c r="D4676" s="37">
        <v>5.306</v>
      </c>
      <c r="E4676" s="33">
        <f t="shared" ref="E4676:E4739" si="153">(B4676-B4675)/B4675</f>
        <v>9.8786339260513688E-3</v>
      </c>
    </row>
    <row r="4677" spans="1:5" x14ac:dyDescent="0.25">
      <c r="A4677" s="41">
        <v>43660</v>
      </c>
      <c r="B4677" s="29">
        <v>178.62</v>
      </c>
      <c r="C4677" s="37">
        <f t="shared" si="152"/>
        <v>29.77</v>
      </c>
      <c r="D4677" s="37">
        <v>5.306</v>
      </c>
      <c r="E4677" s="33">
        <f t="shared" si="153"/>
        <v>-1.565120178870884E-3</v>
      </c>
    </row>
    <row r="4678" spans="1:5" x14ac:dyDescent="0.25">
      <c r="A4678" s="41">
        <v>43660</v>
      </c>
      <c r="B4678" s="29">
        <v>177.68</v>
      </c>
      <c r="C4678" s="37">
        <f t="shared" si="152"/>
        <v>29.613333333333333</v>
      </c>
      <c r="D4678" s="37">
        <v>5.306</v>
      </c>
      <c r="E4678" s="33">
        <f t="shared" si="153"/>
        <v>-5.2625685813458608E-3</v>
      </c>
    </row>
    <row r="4679" spans="1:5" x14ac:dyDescent="0.25">
      <c r="A4679" s="41">
        <v>43660</v>
      </c>
      <c r="B4679" s="29">
        <v>177.25</v>
      </c>
      <c r="C4679" s="37">
        <f t="shared" si="152"/>
        <v>29.541666666666668</v>
      </c>
      <c r="D4679" s="37">
        <v>5.306</v>
      </c>
      <c r="E4679" s="33">
        <f t="shared" si="153"/>
        <v>-2.4200810445745543E-3</v>
      </c>
    </row>
    <row r="4680" spans="1:5" x14ac:dyDescent="0.25">
      <c r="A4680" s="41">
        <v>43660</v>
      </c>
      <c r="B4680" s="29">
        <v>176.93</v>
      </c>
      <c r="C4680" s="37">
        <f t="shared" si="152"/>
        <v>29.488333333333333</v>
      </c>
      <c r="D4680" s="37">
        <v>5.306</v>
      </c>
      <c r="E4680" s="33">
        <f t="shared" si="153"/>
        <v>-1.8053596614950251E-3</v>
      </c>
    </row>
    <row r="4681" spans="1:5" x14ac:dyDescent="0.25">
      <c r="A4681" s="41">
        <v>43660</v>
      </c>
      <c r="B4681" s="29">
        <v>175.3</v>
      </c>
      <c r="C4681" s="37">
        <f t="shared" si="152"/>
        <v>29.216666666666665</v>
      </c>
      <c r="D4681" s="37">
        <v>5.306</v>
      </c>
      <c r="E4681" s="33">
        <f t="shared" si="153"/>
        <v>-9.2126829819702445E-3</v>
      </c>
    </row>
    <row r="4682" spans="1:5" x14ac:dyDescent="0.25">
      <c r="A4682" s="41">
        <v>43661</v>
      </c>
      <c r="B4682" s="29">
        <v>173.83</v>
      </c>
      <c r="C4682" s="37">
        <f t="shared" si="152"/>
        <v>28.971666666666668</v>
      </c>
      <c r="D4682" s="37">
        <v>5.2560000000000002</v>
      </c>
      <c r="E4682" s="33">
        <f t="shared" si="153"/>
        <v>-8.3856246434683337E-3</v>
      </c>
    </row>
    <row r="4683" spans="1:5" x14ac:dyDescent="0.25">
      <c r="A4683" s="41">
        <v>43661</v>
      </c>
      <c r="B4683" s="29">
        <v>173.32</v>
      </c>
      <c r="C4683" s="37">
        <f t="shared" si="152"/>
        <v>28.886666666666667</v>
      </c>
      <c r="D4683" s="37">
        <v>5.2560000000000002</v>
      </c>
      <c r="E4683" s="33">
        <f t="shared" si="153"/>
        <v>-2.9339009376978618E-3</v>
      </c>
    </row>
    <row r="4684" spans="1:5" x14ac:dyDescent="0.25">
      <c r="A4684" s="41">
        <v>43661</v>
      </c>
      <c r="B4684" s="29">
        <v>173.3</v>
      </c>
      <c r="C4684" s="37">
        <f t="shared" si="152"/>
        <v>28.883333333333333</v>
      </c>
      <c r="D4684" s="37">
        <v>5.2560000000000002</v>
      </c>
      <c r="E4684" s="33">
        <f t="shared" si="153"/>
        <v>-1.1539349180695714E-4</v>
      </c>
    </row>
    <row r="4685" spans="1:5" x14ac:dyDescent="0.25">
      <c r="A4685" s="41">
        <v>43661</v>
      </c>
      <c r="B4685" s="29">
        <v>173.46</v>
      </c>
      <c r="C4685" s="37">
        <f t="shared" si="152"/>
        <v>28.91</v>
      </c>
      <c r="D4685" s="37">
        <v>5.2560000000000002</v>
      </c>
      <c r="E4685" s="33">
        <f t="shared" si="153"/>
        <v>9.2325447201382904E-4</v>
      </c>
    </row>
    <row r="4686" spans="1:5" x14ac:dyDescent="0.25">
      <c r="A4686" s="41">
        <v>43661</v>
      </c>
      <c r="B4686" s="29">
        <v>173.97</v>
      </c>
      <c r="C4686" s="37">
        <f t="shared" si="152"/>
        <v>28.995000000000001</v>
      </c>
      <c r="D4686" s="37">
        <v>5.2560000000000002</v>
      </c>
      <c r="E4686" s="33">
        <f t="shared" si="153"/>
        <v>2.9401591144932022E-3</v>
      </c>
    </row>
    <row r="4687" spans="1:5" x14ac:dyDescent="0.25">
      <c r="A4687" s="41">
        <v>43661</v>
      </c>
      <c r="B4687" s="29">
        <v>175.7</v>
      </c>
      <c r="C4687" s="37">
        <f t="shared" si="152"/>
        <v>29.283333333333335</v>
      </c>
      <c r="D4687" s="37">
        <v>5.2560000000000002</v>
      </c>
      <c r="E4687" s="33">
        <f t="shared" si="153"/>
        <v>9.9442432603321831E-3</v>
      </c>
    </row>
    <row r="4688" spans="1:5" x14ac:dyDescent="0.25">
      <c r="A4688" s="41">
        <v>43661</v>
      </c>
      <c r="B4688" s="29">
        <v>176.78</v>
      </c>
      <c r="C4688" s="37">
        <f t="shared" si="152"/>
        <v>29.463333333333335</v>
      </c>
      <c r="D4688" s="37">
        <v>5.2560000000000002</v>
      </c>
      <c r="E4688" s="33">
        <f t="shared" si="153"/>
        <v>6.1468412066022346E-3</v>
      </c>
    </row>
    <row r="4689" spans="1:5" x14ac:dyDescent="0.25">
      <c r="A4689" s="41">
        <v>43661</v>
      </c>
      <c r="B4689" s="29">
        <v>177.26</v>
      </c>
      <c r="C4689" s="37">
        <f t="shared" si="152"/>
        <v>29.543333333333333</v>
      </c>
      <c r="D4689" s="37">
        <v>5.2560000000000002</v>
      </c>
      <c r="E4689" s="33">
        <f t="shared" si="153"/>
        <v>2.7152392804615328E-3</v>
      </c>
    </row>
    <row r="4690" spans="1:5" x14ac:dyDescent="0.25">
      <c r="A4690" s="41">
        <v>43661</v>
      </c>
      <c r="B4690" s="29">
        <v>178.92</v>
      </c>
      <c r="C4690" s="37">
        <f t="shared" si="152"/>
        <v>29.82</v>
      </c>
      <c r="D4690" s="37">
        <v>5.2560000000000002</v>
      </c>
      <c r="E4690" s="33">
        <f t="shared" si="153"/>
        <v>9.3647749069163747E-3</v>
      </c>
    </row>
    <row r="4691" spans="1:5" x14ac:dyDescent="0.25">
      <c r="A4691" s="41">
        <v>43661</v>
      </c>
      <c r="B4691" s="29">
        <v>179.26</v>
      </c>
      <c r="C4691" s="37">
        <f t="shared" si="152"/>
        <v>29.876666666666665</v>
      </c>
      <c r="D4691" s="37">
        <v>5.2560000000000002</v>
      </c>
      <c r="E4691" s="33">
        <f t="shared" si="153"/>
        <v>1.9002906326850181E-3</v>
      </c>
    </row>
    <row r="4692" spans="1:5" x14ac:dyDescent="0.25">
      <c r="A4692" s="41">
        <v>43661</v>
      </c>
      <c r="B4692" s="29">
        <v>179.38</v>
      </c>
      <c r="C4692" s="37">
        <f t="shared" si="152"/>
        <v>29.896666666666668</v>
      </c>
      <c r="D4692" s="37">
        <v>5.2560000000000002</v>
      </c>
      <c r="E4692" s="33">
        <f t="shared" si="153"/>
        <v>6.6941872141026754E-4</v>
      </c>
    </row>
    <row r="4693" spans="1:5" x14ac:dyDescent="0.25">
      <c r="A4693" s="41">
        <v>43661</v>
      </c>
      <c r="B4693" s="29">
        <v>179.41</v>
      </c>
      <c r="C4693" s="37">
        <f t="shared" si="152"/>
        <v>29.901666666666667</v>
      </c>
      <c r="D4693" s="37">
        <v>5.2560000000000002</v>
      </c>
      <c r="E4693" s="33">
        <f t="shared" si="153"/>
        <v>1.6724272494147139E-4</v>
      </c>
    </row>
    <row r="4694" spans="1:5" x14ac:dyDescent="0.25">
      <c r="A4694" s="41">
        <v>43661</v>
      </c>
      <c r="B4694" s="29">
        <v>179.38</v>
      </c>
      <c r="C4694" s="37">
        <f t="shared" si="152"/>
        <v>29.896666666666668</v>
      </c>
      <c r="D4694" s="37">
        <v>5.2560000000000002</v>
      </c>
      <c r="E4694" s="33">
        <f t="shared" si="153"/>
        <v>-1.6721475948944394E-4</v>
      </c>
    </row>
    <row r="4695" spans="1:5" x14ac:dyDescent="0.25">
      <c r="A4695" s="41">
        <v>43661</v>
      </c>
      <c r="B4695" s="29">
        <v>179.63</v>
      </c>
      <c r="C4695" s="37">
        <f t="shared" si="152"/>
        <v>29.938333333333333</v>
      </c>
      <c r="D4695" s="37">
        <v>5.2560000000000002</v>
      </c>
      <c r="E4695" s="33">
        <f t="shared" si="153"/>
        <v>1.3936893745122088E-3</v>
      </c>
    </row>
    <row r="4696" spans="1:5" x14ac:dyDescent="0.25">
      <c r="A4696" s="41">
        <v>43661</v>
      </c>
      <c r="B4696" s="29">
        <v>179.63</v>
      </c>
      <c r="C4696" s="37">
        <f t="shared" si="152"/>
        <v>29.938333333333333</v>
      </c>
      <c r="D4696" s="37">
        <v>5.2560000000000002</v>
      </c>
      <c r="E4696" s="33">
        <f t="shared" si="153"/>
        <v>0</v>
      </c>
    </row>
    <row r="4697" spans="1:5" x14ac:dyDescent="0.25">
      <c r="A4697" s="41">
        <v>43661</v>
      </c>
      <c r="B4697" s="29">
        <v>179.61</v>
      </c>
      <c r="C4697" s="37">
        <f t="shared" si="152"/>
        <v>29.934999999999999</v>
      </c>
      <c r="D4697" s="37">
        <v>5.2560000000000002</v>
      </c>
      <c r="E4697" s="33">
        <f t="shared" si="153"/>
        <v>-1.1133997661850365E-4</v>
      </c>
    </row>
    <row r="4698" spans="1:5" x14ac:dyDescent="0.25">
      <c r="A4698" s="41">
        <v>43661</v>
      </c>
      <c r="B4698" s="29">
        <v>179.59</v>
      </c>
      <c r="C4698" s="37">
        <f t="shared" si="152"/>
        <v>29.931666666666668</v>
      </c>
      <c r="D4698" s="37">
        <v>5.2560000000000002</v>
      </c>
      <c r="E4698" s="33">
        <f t="shared" si="153"/>
        <v>-1.1135237458944507E-4</v>
      </c>
    </row>
    <row r="4699" spans="1:5" x14ac:dyDescent="0.25">
      <c r="A4699" s="41">
        <v>43661</v>
      </c>
      <c r="B4699" s="29">
        <v>179.56</v>
      </c>
      <c r="C4699" s="37">
        <f t="shared" si="152"/>
        <v>29.926666666666666</v>
      </c>
      <c r="D4699" s="37">
        <v>5.2560000000000002</v>
      </c>
      <c r="E4699" s="33">
        <f t="shared" si="153"/>
        <v>-1.6704716298235502E-4</v>
      </c>
    </row>
    <row r="4700" spans="1:5" x14ac:dyDescent="0.25">
      <c r="A4700" s="41">
        <v>43661</v>
      </c>
      <c r="B4700" s="29">
        <v>180.63</v>
      </c>
      <c r="C4700" s="37">
        <f t="shared" si="152"/>
        <v>30.105</v>
      </c>
      <c r="D4700" s="37">
        <v>5.2560000000000002</v>
      </c>
      <c r="E4700" s="33">
        <f t="shared" si="153"/>
        <v>5.959010915571359E-3</v>
      </c>
    </row>
    <row r="4701" spans="1:5" x14ac:dyDescent="0.25">
      <c r="A4701" s="41">
        <v>43661</v>
      </c>
      <c r="B4701" s="29">
        <v>179.65</v>
      </c>
      <c r="C4701" s="37">
        <f t="shared" si="152"/>
        <v>29.941666666666666</v>
      </c>
      <c r="D4701" s="37">
        <v>5.2560000000000002</v>
      </c>
      <c r="E4701" s="33">
        <f t="shared" si="153"/>
        <v>-5.4254553507168783E-3</v>
      </c>
    </row>
    <row r="4702" spans="1:5" x14ac:dyDescent="0.25">
      <c r="A4702" s="41">
        <v>43661</v>
      </c>
      <c r="B4702" s="29">
        <v>179.4</v>
      </c>
      <c r="C4702" s="37">
        <f t="shared" si="152"/>
        <v>29.9</v>
      </c>
      <c r="D4702" s="37">
        <v>5.2560000000000002</v>
      </c>
      <c r="E4702" s="33">
        <f t="shared" si="153"/>
        <v>-1.3915947676036737E-3</v>
      </c>
    </row>
    <row r="4703" spans="1:5" x14ac:dyDescent="0.25">
      <c r="A4703" s="41">
        <v>43661</v>
      </c>
      <c r="B4703" s="29">
        <v>179.38</v>
      </c>
      <c r="C4703" s="37">
        <f t="shared" si="152"/>
        <v>29.896666666666668</v>
      </c>
      <c r="D4703" s="37">
        <v>5.2560000000000002</v>
      </c>
      <c r="E4703" s="33">
        <f t="shared" si="153"/>
        <v>-1.1148272017842938E-4</v>
      </c>
    </row>
    <row r="4704" spans="1:5" x14ac:dyDescent="0.25">
      <c r="A4704" s="41">
        <v>43661</v>
      </c>
      <c r="B4704" s="29">
        <v>179.04</v>
      </c>
      <c r="C4704" s="37">
        <f t="shared" si="152"/>
        <v>29.84</v>
      </c>
      <c r="D4704" s="37">
        <v>5.2560000000000002</v>
      </c>
      <c r="E4704" s="33">
        <f t="shared" si="153"/>
        <v>-1.895417549336623E-3</v>
      </c>
    </row>
    <row r="4705" spans="1:5" x14ac:dyDescent="0.25">
      <c r="A4705" s="41">
        <v>43661</v>
      </c>
      <c r="B4705" s="29">
        <v>178.38</v>
      </c>
      <c r="C4705" s="37">
        <f t="shared" si="152"/>
        <v>29.73</v>
      </c>
      <c r="D4705" s="37">
        <v>5.2560000000000002</v>
      </c>
      <c r="E4705" s="33">
        <f t="shared" si="153"/>
        <v>-3.6863270777479705E-3</v>
      </c>
    </row>
    <row r="4706" spans="1:5" x14ac:dyDescent="0.25">
      <c r="A4706" s="41">
        <v>43662</v>
      </c>
      <c r="B4706" s="29">
        <v>176.59</v>
      </c>
      <c r="C4706" s="37">
        <f t="shared" si="152"/>
        <v>29.431666666666668</v>
      </c>
      <c r="D4706" s="37">
        <v>5.1879999999999997</v>
      </c>
      <c r="E4706" s="33">
        <f t="shared" si="153"/>
        <v>-1.0034757259782442E-2</v>
      </c>
    </row>
    <row r="4707" spans="1:5" x14ac:dyDescent="0.25">
      <c r="A4707" s="41">
        <v>43662</v>
      </c>
      <c r="B4707" s="29">
        <v>176.37</v>
      </c>
      <c r="C4707" s="37">
        <f t="shared" si="152"/>
        <v>29.395</v>
      </c>
      <c r="D4707" s="37">
        <v>5.1879999999999997</v>
      </c>
      <c r="E4707" s="33">
        <f t="shared" si="153"/>
        <v>-1.245823659323851E-3</v>
      </c>
    </row>
    <row r="4708" spans="1:5" x14ac:dyDescent="0.25">
      <c r="A4708" s="41">
        <v>43662</v>
      </c>
      <c r="B4708" s="29">
        <v>176.37</v>
      </c>
      <c r="C4708" s="37">
        <f t="shared" si="152"/>
        <v>29.395</v>
      </c>
      <c r="D4708" s="37">
        <v>5.1879999999999997</v>
      </c>
      <c r="E4708" s="33">
        <f t="shared" si="153"/>
        <v>0</v>
      </c>
    </row>
    <row r="4709" spans="1:5" x14ac:dyDescent="0.25">
      <c r="A4709" s="41">
        <v>43662</v>
      </c>
      <c r="B4709" s="29">
        <v>176.36</v>
      </c>
      <c r="C4709" s="37">
        <f t="shared" si="152"/>
        <v>29.393333333333334</v>
      </c>
      <c r="D4709" s="37">
        <v>5.1879999999999997</v>
      </c>
      <c r="E4709" s="33">
        <f t="shared" si="153"/>
        <v>-5.6698985088115353E-5</v>
      </c>
    </row>
    <row r="4710" spans="1:5" x14ac:dyDescent="0.25">
      <c r="A4710" s="41">
        <v>43662</v>
      </c>
      <c r="B4710" s="29">
        <v>176.36</v>
      </c>
      <c r="C4710" s="37">
        <f t="shared" si="152"/>
        <v>29.393333333333334</v>
      </c>
      <c r="D4710" s="37">
        <v>5.1879999999999997</v>
      </c>
      <c r="E4710" s="33">
        <f t="shared" si="153"/>
        <v>0</v>
      </c>
    </row>
    <row r="4711" spans="1:5" x14ac:dyDescent="0.25">
      <c r="A4711" s="41">
        <v>43662</v>
      </c>
      <c r="B4711" s="29">
        <v>176.55</v>
      </c>
      <c r="C4711" s="37">
        <f t="shared" si="152"/>
        <v>29.425000000000001</v>
      </c>
      <c r="D4711" s="37">
        <v>5.1879999999999997</v>
      </c>
      <c r="E4711" s="33">
        <f t="shared" si="153"/>
        <v>1.0773418008618604E-3</v>
      </c>
    </row>
    <row r="4712" spans="1:5" x14ac:dyDescent="0.25">
      <c r="A4712" s="41">
        <v>43662</v>
      </c>
      <c r="B4712" s="29">
        <v>177.94</v>
      </c>
      <c r="C4712" s="37">
        <f t="shared" si="152"/>
        <v>29.656666666666666</v>
      </c>
      <c r="D4712" s="37">
        <v>5.1879999999999997</v>
      </c>
      <c r="E4712" s="33">
        <f t="shared" si="153"/>
        <v>7.873123760974151E-3</v>
      </c>
    </row>
    <row r="4713" spans="1:5" x14ac:dyDescent="0.25">
      <c r="A4713" s="41">
        <v>43662</v>
      </c>
      <c r="B4713" s="29">
        <v>178.89</v>
      </c>
      <c r="C4713" s="37">
        <f t="shared" si="152"/>
        <v>29.815000000000001</v>
      </c>
      <c r="D4713" s="37">
        <v>5.1879999999999997</v>
      </c>
      <c r="E4713" s="33">
        <f t="shared" si="153"/>
        <v>5.3388782735752987E-3</v>
      </c>
    </row>
    <row r="4714" spans="1:5" x14ac:dyDescent="0.25">
      <c r="A4714" s="41">
        <v>43662</v>
      </c>
      <c r="B4714" s="29">
        <v>179.94</v>
      </c>
      <c r="C4714" s="37">
        <f t="shared" si="152"/>
        <v>29.99</v>
      </c>
      <c r="D4714" s="37">
        <v>5.1879999999999997</v>
      </c>
      <c r="E4714" s="33">
        <f t="shared" si="153"/>
        <v>5.8695287606909917E-3</v>
      </c>
    </row>
    <row r="4715" spans="1:5" x14ac:dyDescent="0.25">
      <c r="A4715" s="41">
        <v>43662</v>
      </c>
      <c r="B4715" s="29">
        <v>180.11</v>
      </c>
      <c r="C4715" s="37">
        <f t="shared" si="152"/>
        <v>30.018333333333334</v>
      </c>
      <c r="D4715" s="37">
        <v>5.1879999999999997</v>
      </c>
      <c r="E4715" s="33">
        <f t="shared" si="153"/>
        <v>9.4475936423261042E-4</v>
      </c>
    </row>
    <row r="4716" spans="1:5" x14ac:dyDescent="0.25">
      <c r="A4716" s="41">
        <v>43662</v>
      </c>
      <c r="B4716" s="29">
        <v>180.39</v>
      </c>
      <c r="C4716" s="37">
        <f t="shared" si="152"/>
        <v>30.065000000000001</v>
      </c>
      <c r="D4716" s="37">
        <v>5.1879999999999997</v>
      </c>
      <c r="E4716" s="33">
        <f t="shared" si="153"/>
        <v>1.5546055188494403E-3</v>
      </c>
    </row>
    <row r="4717" spans="1:5" x14ac:dyDescent="0.25">
      <c r="A4717" s="41">
        <v>43662</v>
      </c>
      <c r="B4717" s="29">
        <v>180.36</v>
      </c>
      <c r="C4717" s="37">
        <f t="shared" si="152"/>
        <v>30.06</v>
      </c>
      <c r="D4717" s="37">
        <v>5.1879999999999997</v>
      </c>
      <c r="E4717" s="33">
        <f t="shared" si="153"/>
        <v>-1.6630633627126069E-4</v>
      </c>
    </row>
    <row r="4718" spans="1:5" x14ac:dyDescent="0.25">
      <c r="A4718" s="41">
        <v>43662</v>
      </c>
      <c r="B4718" s="29">
        <v>180.3</v>
      </c>
      <c r="C4718" s="37">
        <f t="shared" si="152"/>
        <v>30.05</v>
      </c>
      <c r="D4718" s="37">
        <v>5.1879999999999997</v>
      </c>
      <c r="E4718" s="33">
        <f t="shared" si="153"/>
        <v>-3.3266799733866861E-4</v>
      </c>
    </row>
    <row r="4719" spans="1:5" x14ac:dyDescent="0.25">
      <c r="A4719" s="41">
        <v>43662</v>
      </c>
      <c r="B4719" s="29">
        <v>180.3</v>
      </c>
      <c r="C4719" s="37">
        <f t="shared" si="152"/>
        <v>30.05</v>
      </c>
      <c r="D4719" s="37">
        <v>5.1879999999999997</v>
      </c>
      <c r="E4719" s="33">
        <f t="shared" si="153"/>
        <v>0</v>
      </c>
    </row>
    <row r="4720" spans="1:5" x14ac:dyDescent="0.25">
      <c r="A4720" s="41">
        <v>43662</v>
      </c>
      <c r="B4720" s="29">
        <v>180.27</v>
      </c>
      <c r="C4720" s="37">
        <f t="shared" si="152"/>
        <v>30.045000000000002</v>
      </c>
      <c r="D4720" s="37">
        <v>5.1879999999999997</v>
      </c>
      <c r="E4720" s="33">
        <f t="shared" si="153"/>
        <v>-1.6638935108153707E-4</v>
      </c>
    </row>
    <row r="4721" spans="1:5" x14ac:dyDescent="0.25">
      <c r="A4721" s="41">
        <v>43662</v>
      </c>
      <c r="B4721" s="29">
        <v>180.28</v>
      </c>
      <c r="C4721" s="37">
        <f t="shared" si="152"/>
        <v>30.046666666666667</v>
      </c>
      <c r="D4721" s="37">
        <v>5.1879999999999997</v>
      </c>
      <c r="E4721" s="33">
        <f t="shared" si="153"/>
        <v>5.5472347034952594E-5</v>
      </c>
    </row>
    <row r="4722" spans="1:5" x14ac:dyDescent="0.25">
      <c r="A4722" s="41">
        <v>43662</v>
      </c>
      <c r="B4722" s="29">
        <v>180.27</v>
      </c>
      <c r="C4722" s="37">
        <f t="shared" si="152"/>
        <v>30.045000000000002</v>
      </c>
      <c r="D4722" s="37">
        <v>5.1879999999999997</v>
      </c>
      <c r="E4722" s="33">
        <f t="shared" si="153"/>
        <v>-5.5469270024356032E-5</v>
      </c>
    </row>
    <row r="4723" spans="1:5" x14ac:dyDescent="0.25">
      <c r="A4723" s="41">
        <v>43662</v>
      </c>
      <c r="B4723" s="29">
        <v>180.24</v>
      </c>
      <c r="C4723" s="37">
        <f t="shared" si="152"/>
        <v>30.04</v>
      </c>
      <c r="D4723" s="37">
        <v>5.1879999999999997</v>
      </c>
      <c r="E4723" s="33">
        <f t="shared" si="153"/>
        <v>-1.6641704110501544E-4</v>
      </c>
    </row>
    <row r="4724" spans="1:5" x14ac:dyDescent="0.25">
      <c r="A4724" s="41">
        <v>43662</v>
      </c>
      <c r="B4724" s="29">
        <v>181.17</v>
      </c>
      <c r="C4724" s="37">
        <f t="shared" si="152"/>
        <v>30.195</v>
      </c>
      <c r="D4724" s="37">
        <v>5.1879999999999997</v>
      </c>
      <c r="E4724" s="33">
        <f t="shared" si="153"/>
        <v>5.1597869507322364E-3</v>
      </c>
    </row>
    <row r="4725" spans="1:5" x14ac:dyDescent="0.25">
      <c r="A4725" s="41">
        <v>43662</v>
      </c>
      <c r="B4725" s="29">
        <v>180.47</v>
      </c>
      <c r="C4725" s="37">
        <f t="shared" si="152"/>
        <v>30.078333333333333</v>
      </c>
      <c r="D4725" s="37">
        <v>5.1879999999999997</v>
      </c>
      <c r="E4725" s="33">
        <f t="shared" si="153"/>
        <v>-3.8637743555775717E-3</v>
      </c>
    </row>
    <row r="4726" spans="1:5" x14ac:dyDescent="0.25">
      <c r="A4726" s="41">
        <v>43662</v>
      </c>
      <c r="B4726" s="29">
        <v>180.16</v>
      </c>
      <c r="C4726" s="37">
        <f t="shared" si="152"/>
        <v>30.026666666666667</v>
      </c>
      <c r="D4726" s="37">
        <v>5.1879999999999997</v>
      </c>
      <c r="E4726" s="33">
        <f t="shared" si="153"/>
        <v>-1.7177370200033373E-3</v>
      </c>
    </row>
    <row r="4727" spans="1:5" x14ac:dyDescent="0.25">
      <c r="A4727" s="41">
        <v>43662</v>
      </c>
      <c r="B4727" s="29">
        <v>180.05</v>
      </c>
      <c r="C4727" s="37">
        <f t="shared" si="152"/>
        <v>30.008333333333333</v>
      </c>
      <c r="D4727" s="37">
        <v>5.1879999999999997</v>
      </c>
      <c r="E4727" s="33">
        <f t="shared" si="153"/>
        <v>-6.1056838365888778E-4</v>
      </c>
    </row>
    <row r="4728" spans="1:5" x14ac:dyDescent="0.25">
      <c r="A4728" s="41">
        <v>43662</v>
      </c>
      <c r="B4728" s="29">
        <v>179.94</v>
      </c>
      <c r="C4728" s="37">
        <f t="shared" si="152"/>
        <v>29.99</v>
      </c>
      <c r="D4728" s="37">
        <v>5.1879999999999997</v>
      </c>
      <c r="E4728" s="33">
        <f t="shared" si="153"/>
        <v>-6.109414051653076E-4</v>
      </c>
    </row>
    <row r="4729" spans="1:5" x14ac:dyDescent="0.25">
      <c r="A4729" s="41">
        <v>43662</v>
      </c>
      <c r="B4729" s="29">
        <v>179.37</v>
      </c>
      <c r="C4729" s="37">
        <f t="shared" si="152"/>
        <v>29.895</v>
      </c>
      <c r="D4729" s="37">
        <v>5.1879999999999997</v>
      </c>
      <c r="E4729" s="33">
        <f t="shared" si="153"/>
        <v>-3.1677225741913594E-3</v>
      </c>
    </row>
    <row r="4730" spans="1:5" x14ac:dyDescent="0.25">
      <c r="A4730" s="41">
        <v>43663</v>
      </c>
      <c r="B4730" s="29">
        <v>178.41</v>
      </c>
      <c r="C4730" s="37">
        <f t="shared" si="152"/>
        <v>29.734999999999999</v>
      </c>
      <c r="D4730" s="37">
        <v>5.0469999999999997</v>
      </c>
      <c r="E4730" s="33">
        <f t="shared" si="153"/>
        <v>-5.3520655628031882E-3</v>
      </c>
    </row>
    <row r="4731" spans="1:5" x14ac:dyDescent="0.25">
      <c r="A4731" s="41">
        <v>43663</v>
      </c>
      <c r="B4731" s="29">
        <v>177.28</v>
      </c>
      <c r="C4731" s="37">
        <f t="shared" si="152"/>
        <v>29.546666666666667</v>
      </c>
      <c r="D4731" s="37">
        <v>5.0469999999999997</v>
      </c>
      <c r="E4731" s="33">
        <f t="shared" si="153"/>
        <v>-6.3337256880219468E-3</v>
      </c>
    </row>
    <row r="4732" spans="1:5" x14ac:dyDescent="0.25">
      <c r="A4732" s="41">
        <v>43663</v>
      </c>
      <c r="B4732" s="29">
        <v>177.17</v>
      </c>
      <c r="C4732" s="37">
        <f t="shared" si="152"/>
        <v>29.528333333333332</v>
      </c>
      <c r="D4732" s="37">
        <v>5.0469999999999997</v>
      </c>
      <c r="E4732" s="33">
        <f t="shared" si="153"/>
        <v>-6.2048736462101553E-4</v>
      </c>
    </row>
    <row r="4733" spans="1:5" x14ac:dyDescent="0.25">
      <c r="A4733" s="41">
        <v>43663</v>
      </c>
      <c r="B4733" s="29">
        <v>177.13</v>
      </c>
      <c r="C4733" s="37">
        <f t="shared" si="152"/>
        <v>29.521666666666668</v>
      </c>
      <c r="D4733" s="37">
        <v>5.0469999999999997</v>
      </c>
      <c r="E4733" s="33">
        <f t="shared" si="153"/>
        <v>-2.2577185753791298E-4</v>
      </c>
    </row>
    <row r="4734" spans="1:5" x14ac:dyDescent="0.25">
      <c r="A4734" s="41">
        <v>43663</v>
      </c>
      <c r="B4734" s="29">
        <v>177.12</v>
      </c>
      <c r="C4734" s="37">
        <f t="shared" si="152"/>
        <v>29.52</v>
      </c>
      <c r="D4734" s="37">
        <v>5.0469999999999997</v>
      </c>
      <c r="E4734" s="33">
        <f t="shared" si="153"/>
        <v>-5.6455710495065234E-5</v>
      </c>
    </row>
    <row r="4735" spans="1:5" x14ac:dyDescent="0.25">
      <c r="A4735" s="41">
        <v>43663</v>
      </c>
      <c r="B4735" s="29">
        <v>177.4</v>
      </c>
      <c r="C4735" s="37">
        <f t="shared" si="152"/>
        <v>29.566666666666666</v>
      </c>
      <c r="D4735" s="37">
        <v>5.0469999999999997</v>
      </c>
      <c r="E4735" s="33">
        <f t="shared" si="153"/>
        <v>1.5808491418247579E-3</v>
      </c>
    </row>
    <row r="4736" spans="1:5" x14ac:dyDescent="0.25">
      <c r="A4736" s="41">
        <v>43663</v>
      </c>
      <c r="B4736" s="29">
        <v>178.23</v>
      </c>
      <c r="C4736" s="37">
        <f t="shared" si="152"/>
        <v>29.704999999999998</v>
      </c>
      <c r="D4736" s="37">
        <v>5.0469999999999997</v>
      </c>
      <c r="E4736" s="33">
        <f t="shared" si="153"/>
        <v>4.6786922209694701E-3</v>
      </c>
    </row>
    <row r="4737" spans="1:5" x14ac:dyDescent="0.25">
      <c r="A4737" s="41">
        <v>43663</v>
      </c>
      <c r="B4737" s="29">
        <v>179.67</v>
      </c>
      <c r="C4737" s="37">
        <f t="shared" si="152"/>
        <v>29.945</v>
      </c>
      <c r="D4737" s="37">
        <v>5.0469999999999997</v>
      </c>
      <c r="E4737" s="33">
        <f t="shared" si="153"/>
        <v>8.0794479043931871E-3</v>
      </c>
    </row>
    <row r="4738" spans="1:5" x14ac:dyDescent="0.25">
      <c r="A4738" s="41">
        <v>43663</v>
      </c>
      <c r="B4738" s="29">
        <v>180.41</v>
      </c>
      <c r="C4738" s="37">
        <f t="shared" si="152"/>
        <v>30.068333333333332</v>
      </c>
      <c r="D4738" s="37">
        <v>5.0469999999999997</v>
      </c>
      <c r="E4738" s="33">
        <f t="shared" si="153"/>
        <v>4.1186619914287811E-3</v>
      </c>
    </row>
    <row r="4739" spans="1:5" x14ac:dyDescent="0.25">
      <c r="A4739" s="41">
        <v>43663</v>
      </c>
      <c r="B4739" s="29">
        <v>180.69</v>
      </c>
      <c r="C4739" s="37">
        <f t="shared" ref="C4739:C4802" si="154">(B4739*100/600)</f>
        <v>30.114999999999998</v>
      </c>
      <c r="D4739" s="37">
        <v>5.0469999999999997</v>
      </c>
      <c r="E4739" s="33">
        <f t="shared" si="153"/>
        <v>1.5520203979823798E-3</v>
      </c>
    </row>
    <row r="4740" spans="1:5" x14ac:dyDescent="0.25">
      <c r="A4740" s="41">
        <v>43663</v>
      </c>
      <c r="B4740" s="29">
        <v>180.93</v>
      </c>
      <c r="C4740" s="37">
        <f t="shared" si="154"/>
        <v>30.155000000000001</v>
      </c>
      <c r="D4740" s="37">
        <v>5.0469999999999997</v>
      </c>
      <c r="E4740" s="33">
        <f t="shared" ref="E4740:E4803" si="155">(B4740-B4739)/B4739</f>
        <v>1.3282417399967297E-3</v>
      </c>
    </row>
    <row r="4741" spans="1:5" x14ac:dyDescent="0.25">
      <c r="A4741" s="41">
        <v>43663</v>
      </c>
      <c r="B4741" s="29">
        <v>180.9</v>
      </c>
      <c r="C4741" s="37">
        <f t="shared" si="154"/>
        <v>30.15</v>
      </c>
      <c r="D4741" s="37">
        <v>5.0469999999999997</v>
      </c>
      <c r="E4741" s="33">
        <f t="shared" si="155"/>
        <v>-1.6580998176090827E-4</v>
      </c>
    </row>
    <row r="4742" spans="1:5" x14ac:dyDescent="0.25">
      <c r="A4742" s="41">
        <v>43663</v>
      </c>
      <c r="B4742" s="29">
        <v>180.82</v>
      </c>
      <c r="C4742" s="37">
        <f t="shared" si="154"/>
        <v>30.136666666666667</v>
      </c>
      <c r="D4742" s="37">
        <v>5.0469999999999997</v>
      </c>
      <c r="E4742" s="33">
        <f t="shared" si="155"/>
        <v>-4.4223327805424271E-4</v>
      </c>
    </row>
    <row r="4743" spans="1:5" x14ac:dyDescent="0.25">
      <c r="A4743" s="41">
        <v>43663</v>
      </c>
      <c r="B4743" s="29">
        <v>180.83</v>
      </c>
      <c r="C4743" s="37">
        <f t="shared" si="154"/>
        <v>30.138333333333332</v>
      </c>
      <c r="D4743" s="37">
        <v>5.0469999999999997</v>
      </c>
      <c r="E4743" s="33">
        <f t="shared" si="155"/>
        <v>5.5303616856649306E-5</v>
      </c>
    </row>
    <row r="4744" spans="1:5" x14ac:dyDescent="0.25">
      <c r="A4744" s="41">
        <v>43663</v>
      </c>
      <c r="B4744" s="29">
        <v>180.94</v>
      </c>
      <c r="C4744" s="37">
        <f t="shared" si="154"/>
        <v>30.156666666666666</v>
      </c>
      <c r="D4744" s="37">
        <v>5.0469999999999997</v>
      </c>
      <c r="E4744" s="33">
        <f t="shared" si="155"/>
        <v>6.0830614389197155E-4</v>
      </c>
    </row>
    <row r="4745" spans="1:5" x14ac:dyDescent="0.25">
      <c r="A4745" s="41">
        <v>43663</v>
      </c>
      <c r="B4745" s="29">
        <v>180.94</v>
      </c>
      <c r="C4745" s="37">
        <f t="shared" si="154"/>
        <v>30.156666666666666</v>
      </c>
      <c r="D4745" s="37">
        <v>5.0469999999999997</v>
      </c>
      <c r="E4745" s="33">
        <f t="shared" si="155"/>
        <v>0</v>
      </c>
    </row>
    <row r="4746" spans="1:5" x14ac:dyDescent="0.25">
      <c r="A4746" s="41">
        <v>43663</v>
      </c>
      <c r="B4746" s="29">
        <v>181.08</v>
      </c>
      <c r="C4746" s="37">
        <f t="shared" si="154"/>
        <v>30.18</v>
      </c>
      <c r="D4746" s="37">
        <v>5.0469999999999997</v>
      </c>
      <c r="E4746" s="33">
        <f t="shared" si="155"/>
        <v>7.7373715043669048E-4</v>
      </c>
    </row>
    <row r="4747" spans="1:5" x14ac:dyDescent="0.25">
      <c r="A4747" s="41">
        <v>43663</v>
      </c>
      <c r="B4747" s="29">
        <v>181.08</v>
      </c>
      <c r="C4747" s="37">
        <f t="shared" si="154"/>
        <v>30.18</v>
      </c>
      <c r="D4747" s="37">
        <v>5.0469999999999997</v>
      </c>
      <c r="E4747" s="33">
        <f t="shared" si="155"/>
        <v>0</v>
      </c>
    </row>
    <row r="4748" spans="1:5" x14ac:dyDescent="0.25">
      <c r="A4748" s="41">
        <v>43663</v>
      </c>
      <c r="B4748" s="29">
        <v>183.49</v>
      </c>
      <c r="C4748" s="37">
        <f t="shared" si="154"/>
        <v>30.581666666666667</v>
      </c>
      <c r="D4748" s="37">
        <v>5.0469999999999997</v>
      </c>
      <c r="E4748" s="33">
        <f t="shared" si="155"/>
        <v>1.3309034680804044E-2</v>
      </c>
    </row>
    <row r="4749" spans="1:5" x14ac:dyDescent="0.25">
      <c r="A4749" s="41">
        <v>43663</v>
      </c>
      <c r="B4749" s="29">
        <v>181.94</v>
      </c>
      <c r="C4749" s="37">
        <f t="shared" si="154"/>
        <v>30.323333333333334</v>
      </c>
      <c r="D4749" s="37">
        <v>5.0469999999999997</v>
      </c>
      <c r="E4749" s="33">
        <f t="shared" si="155"/>
        <v>-8.4473268298000514E-3</v>
      </c>
    </row>
    <row r="4750" spans="1:5" x14ac:dyDescent="0.25">
      <c r="A4750" s="41">
        <v>43663</v>
      </c>
      <c r="B4750" s="29">
        <v>181.11</v>
      </c>
      <c r="C4750" s="37">
        <f t="shared" si="154"/>
        <v>30.184999999999999</v>
      </c>
      <c r="D4750" s="37">
        <v>5.0469999999999997</v>
      </c>
      <c r="E4750" s="33">
        <f t="shared" si="155"/>
        <v>-4.5619434978563488E-3</v>
      </c>
    </row>
    <row r="4751" spans="1:5" x14ac:dyDescent="0.25">
      <c r="A4751" s="41">
        <v>43663</v>
      </c>
      <c r="B4751" s="29">
        <v>180.68</v>
      </c>
      <c r="C4751" s="37">
        <f t="shared" si="154"/>
        <v>30.113333333333333</v>
      </c>
      <c r="D4751" s="37">
        <v>5.0469999999999997</v>
      </c>
      <c r="E4751" s="33">
        <f t="shared" si="155"/>
        <v>-2.3742476947711711E-3</v>
      </c>
    </row>
    <row r="4752" spans="1:5" x14ac:dyDescent="0.25">
      <c r="A4752" s="41">
        <v>43663</v>
      </c>
      <c r="B4752" s="29">
        <v>180.54</v>
      </c>
      <c r="C4752" s="37">
        <f t="shared" si="154"/>
        <v>30.09</v>
      </c>
      <c r="D4752" s="37">
        <v>5.0469999999999997</v>
      </c>
      <c r="E4752" s="33">
        <f t="shared" si="155"/>
        <v>-7.7485056453406446E-4</v>
      </c>
    </row>
    <row r="4753" spans="1:5" x14ac:dyDescent="0.25">
      <c r="A4753" s="41">
        <v>43663</v>
      </c>
      <c r="B4753" s="29">
        <v>179.93</v>
      </c>
      <c r="C4753" s="37">
        <f t="shared" si="154"/>
        <v>29.988333333333333</v>
      </c>
      <c r="D4753" s="37">
        <v>5.0469999999999997</v>
      </c>
      <c r="E4753" s="33">
        <f t="shared" si="155"/>
        <v>-3.3787526309958195E-3</v>
      </c>
    </row>
    <row r="4754" spans="1:5" x14ac:dyDescent="0.25">
      <c r="A4754" s="41">
        <v>43664</v>
      </c>
      <c r="B4754" s="29">
        <v>174.65</v>
      </c>
      <c r="C4754" s="37">
        <f t="shared" si="154"/>
        <v>29.108333333333334</v>
      </c>
      <c r="D4754" s="37">
        <v>4.8789999999999996</v>
      </c>
      <c r="E4754" s="33">
        <f t="shared" si="155"/>
        <v>-2.9344745178680604E-2</v>
      </c>
    </row>
    <row r="4755" spans="1:5" x14ac:dyDescent="0.25">
      <c r="A4755" s="41">
        <v>43664</v>
      </c>
      <c r="B4755" s="29">
        <v>172.74</v>
      </c>
      <c r="C4755" s="37">
        <f t="shared" si="154"/>
        <v>28.79</v>
      </c>
      <c r="D4755" s="37">
        <v>4.8789999999999996</v>
      </c>
      <c r="E4755" s="33">
        <f t="shared" si="155"/>
        <v>-1.0936158030346387E-2</v>
      </c>
    </row>
    <row r="4756" spans="1:5" x14ac:dyDescent="0.25">
      <c r="A4756" s="41">
        <v>43664</v>
      </c>
      <c r="B4756" s="29">
        <v>172.33</v>
      </c>
      <c r="C4756" s="37">
        <f t="shared" si="154"/>
        <v>28.721666666666668</v>
      </c>
      <c r="D4756" s="37">
        <v>4.8789999999999996</v>
      </c>
      <c r="E4756" s="33">
        <f t="shared" si="155"/>
        <v>-2.3735093203658478E-3</v>
      </c>
    </row>
    <row r="4757" spans="1:5" x14ac:dyDescent="0.25">
      <c r="A4757" s="41">
        <v>43664</v>
      </c>
      <c r="B4757" s="29">
        <v>172.49</v>
      </c>
      <c r="C4757" s="37">
        <f t="shared" si="154"/>
        <v>28.748333333333335</v>
      </c>
      <c r="D4757" s="37">
        <v>4.8789999999999996</v>
      </c>
      <c r="E4757" s="33">
        <f t="shared" si="155"/>
        <v>9.2845122729644626E-4</v>
      </c>
    </row>
    <row r="4758" spans="1:5" x14ac:dyDescent="0.25">
      <c r="A4758" s="41">
        <v>43664</v>
      </c>
      <c r="B4758" s="29">
        <v>172.74</v>
      </c>
      <c r="C4758" s="37">
        <f t="shared" si="154"/>
        <v>28.79</v>
      </c>
      <c r="D4758" s="37">
        <v>4.8789999999999996</v>
      </c>
      <c r="E4758" s="33">
        <f t="shared" si="155"/>
        <v>1.4493593831526464E-3</v>
      </c>
    </row>
    <row r="4759" spans="1:5" x14ac:dyDescent="0.25">
      <c r="A4759" s="41">
        <v>43664</v>
      </c>
      <c r="B4759" s="29">
        <v>174.45</v>
      </c>
      <c r="C4759" s="37">
        <f t="shared" si="154"/>
        <v>29.074999999999999</v>
      </c>
      <c r="D4759" s="37">
        <v>4.8789999999999996</v>
      </c>
      <c r="E4759" s="33">
        <f t="shared" si="155"/>
        <v>9.8992705800624026E-3</v>
      </c>
    </row>
    <row r="4760" spans="1:5" x14ac:dyDescent="0.25">
      <c r="A4760" s="41">
        <v>43664</v>
      </c>
      <c r="B4760" s="29">
        <v>176.19</v>
      </c>
      <c r="C4760" s="37">
        <f t="shared" si="154"/>
        <v>29.364999999999998</v>
      </c>
      <c r="D4760" s="37">
        <v>4.8789999999999996</v>
      </c>
      <c r="E4760" s="33">
        <f t="shared" si="155"/>
        <v>9.9742046431642827E-3</v>
      </c>
    </row>
    <row r="4761" spans="1:5" x14ac:dyDescent="0.25">
      <c r="A4761" s="41">
        <v>43664</v>
      </c>
      <c r="B4761" s="29">
        <v>177.34</v>
      </c>
      <c r="C4761" s="37">
        <f t="shared" si="154"/>
        <v>29.556666666666668</v>
      </c>
      <c r="D4761" s="37">
        <v>4.8789999999999996</v>
      </c>
      <c r="E4761" s="33">
        <f t="shared" si="155"/>
        <v>6.5270446676883231E-3</v>
      </c>
    </row>
    <row r="4762" spans="1:5" x14ac:dyDescent="0.25">
      <c r="A4762" s="41">
        <v>43664</v>
      </c>
      <c r="B4762" s="29">
        <v>178.28</v>
      </c>
      <c r="C4762" s="37">
        <f t="shared" si="154"/>
        <v>29.713333333333335</v>
      </c>
      <c r="D4762" s="37">
        <v>4.8789999999999996</v>
      </c>
      <c r="E4762" s="33">
        <f t="shared" si="155"/>
        <v>5.3005526108040922E-3</v>
      </c>
    </row>
    <row r="4763" spans="1:5" x14ac:dyDescent="0.25">
      <c r="A4763" s="41">
        <v>43664</v>
      </c>
      <c r="B4763" s="29">
        <v>178.36</v>
      </c>
      <c r="C4763" s="37">
        <f t="shared" si="154"/>
        <v>29.726666666666667</v>
      </c>
      <c r="D4763" s="37">
        <v>4.8789999999999996</v>
      </c>
      <c r="E4763" s="33">
        <f t="shared" si="155"/>
        <v>4.4873233116453056E-4</v>
      </c>
    </row>
    <row r="4764" spans="1:5" x14ac:dyDescent="0.25">
      <c r="A4764" s="41">
        <v>43664</v>
      </c>
      <c r="B4764" s="29">
        <v>179.32</v>
      </c>
      <c r="C4764" s="37">
        <f t="shared" si="154"/>
        <v>29.886666666666667</v>
      </c>
      <c r="D4764" s="37">
        <v>4.8789999999999996</v>
      </c>
      <c r="E4764" s="33">
        <f t="shared" si="155"/>
        <v>5.3823727293113898E-3</v>
      </c>
    </row>
    <row r="4765" spans="1:5" x14ac:dyDescent="0.25">
      <c r="A4765" s="41">
        <v>43664</v>
      </c>
      <c r="B4765" s="29">
        <v>179.35</v>
      </c>
      <c r="C4765" s="37">
        <f t="shared" si="154"/>
        <v>29.891666666666666</v>
      </c>
      <c r="D4765" s="37">
        <v>4.8789999999999996</v>
      </c>
      <c r="E4765" s="33">
        <f t="shared" si="155"/>
        <v>1.672986839170262E-4</v>
      </c>
    </row>
    <row r="4766" spans="1:5" x14ac:dyDescent="0.25">
      <c r="A4766" s="41">
        <v>43664</v>
      </c>
      <c r="B4766" s="29">
        <v>179.32</v>
      </c>
      <c r="C4766" s="37">
        <f t="shared" si="154"/>
        <v>29.886666666666667</v>
      </c>
      <c r="D4766" s="37">
        <v>4.8789999999999996</v>
      </c>
      <c r="E4766" s="33">
        <f t="shared" si="155"/>
        <v>-1.6727069974910029E-4</v>
      </c>
    </row>
    <row r="4767" spans="1:5" x14ac:dyDescent="0.25">
      <c r="A4767" s="41">
        <v>43664</v>
      </c>
      <c r="B4767" s="29">
        <v>179.42</v>
      </c>
      <c r="C4767" s="37">
        <f t="shared" si="154"/>
        <v>29.903333333333332</v>
      </c>
      <c r="D4767" s="37">
        <v>4.8789999999999996</v>
      </c>
      <c r="E4767" s="33">
        <f t="shared" si="155"/>
        <v>5.5766227972336784E-4</v>
      </c>
    </row>
    <row r="4768" spans="1:5" x14ac:dyDescent="0.25">
      <c r="A4768" s="41">
        <v>43664</v>
      </c>
      <c r="B4768" s="29">
        <v>179.45</v>
      </c>
      <c r="C4768" s="37">
        <f t="shared" si="154"/>
        <v>29.908333333333335</v>
      </c>
      <c r="D4768" s="37">
        <v>4.8789999999999996</v>
      </c>
      <c r="E4768" s="33">
        <f t="shared" si="155"/>
        <v>1.672054397503129E-4</v>
      </c>
    </row>
    <row r="4769" spans="1:5" x14ac:dyDescent="0.25">
      <c r="A4769" s="41">
        <v>43664</v>
      </c>
      <c r="B4769" s="29">
        <v>179.61</v>
      </c>
      <c r="C4769" s="37">
        <f t="shared" si="154"/>
        <v>29.934999999999999</v>
      </c>
      <c r="D4769" s="37">
        <v>4.8789999999999996</v>
      </c>
      <c r="E4769" s="33">
        <f t="shared" si="155"/>
        <v>8.9161326274742275E-4</v>
      </c>
    </row>
    <row r="4770" spans="1:5" x14ac:dyDescent="0.25">
      <c r="A4770" s="41">
        <v>43664</v>
      </c>
      <c r="B4770" s="29">
        <v>179.58</v>
      </c>
      <c r="C4770" s="37">
        <f t="shared" si="154"/>
        <v>29.93</v>
      </c>
      <c r="D4770" s="37">
        <v>4.8789999999999996</v>
      </c>
      <c r="E4770" s="33">
        <f t="shared" si="155"/>
        <v>-1.6702856188408849E-4</v>
      </c>
    </row>
    <row r="4771" spans="1:5" x14ac:dyDescent="0.25">
      <c r="A4771" s="41">
        <v>43664</v>
      </c>
      <c r="B4771" s="29">
        <v>179.55</v>
      </c>
      <c r="C4771" s="37">
        <f t="shared" si="154"/>
        <v>29.925000000000001</v>
      </c>
      <c r="D4771" s="37">
        <v>4.8789999999999996</v>
      </c>
      <c r="E4771" s="33">
        <f t="shared" si="155"/>
        <v>-1.6705646508520511E-4</v>
      </c>
    </row>
    <row r="4772" spans="1:5" x14ac:dyDescent="0.25">
      <c r="A4772" s="41">
        <v>43664</v>
      </c>
      <c r="B4772" s="29">
        <v>180.6</v>
      </c>
      <c r="C4772" s="37">
        <f t="shared" si="154"/>
        <v>30.1</v>
      </c>
      <c r="D4772" s="37">
        <v>4.8789999999999996</v>
      </c>
      <c r="E4772" s="33">
        <f t="shared" si="155"/>
        <v>5.8479532163741733E-3</v>
      </c>
    </row>
    <row r="4773" spans="1:5" x14ac:dyDescent="0.25">
      <c r="A4773" s="41">
        <v>43664</v>
      </c>
      <c r="B4773" s="29">
        <v>179.9</v>
      </c>
      <c r="C4773" s="37">
        <f t="shared" si="154"/>
        <v>29.983333333333334</v>
      </c>
      <c r="D4773" s="37">
        <v>4.8789999999999996</v>
      </c>
      <c r="E4773" s="33">
        <f t="shared" si="155"/>
        <v>-3.8759689922479991E-3</v>
      </c>
    </row>
    <row r="4774" spans="1:5" x14ac:dyDescent="0.25">
      <c r="A4774" s="41">
        <v>43664</v>
      </c>
      <c r="B4774" s="29">
        <v>179.45</v>
      </c>
      <c r="C4774" s="37">
        <f t="shared" si="154"/>
        <v>29.908333333333335</v>
      </c>
      <c r="D4774" s="37">
        <v>4.8789999999999996</v>
      </c>
      <c r="E4774" s="33">
        <f t="shared" si="155"/>
        <v>-2.5013896609228296E-3</v>
      </c>
    </row>
    <row r="4775" spans="1:5" x14ac:dyDescent="0.25">
      <c r="A4775" s="41">
        <v>43664</v>
      </c>
      <c r="B4775" s="29">
        <v>179.34</v>
      </c>
      <c r="C4775" s="37">
        <f t="shared" si="154"/>
        <v>29.89</v>
      </c>
      <c r="D4775" s="37">
        <v>4.8789999999999996</v>
      </c>
      <c r="E4775" s="33">
        <f t="shared" si="155"/>
        <v>-6.1298411813867496E-4</v>
      </c>
    </row>
    <row r="4776" spans="1:5" x14ac:dyDescent="0.25">
      <c r="A4776" s="41">
        <v>43664</v>
      </c>
      <c r="B4776" s="29">
        <v>179.14</v>
      </c>
      <c r="C4776" s="37">
        <f t="shared" si="154"/>
        <v>29.856666666666666</v>
      </c>
      <c r="D4776" s="37">
        <v>4.8789999999999996</v>
      </c>
      <c r="E4776" s="33">
        <f t="shared" si="155"/>
        <v>-1.1152001784321237E-3</v>
      </c>
    </row>
    <row r="4777" spans="1:5" x14ac:dyDescent="0.25">
      <c r="A4777" s="41">
        <v>43664</v>
      </c>
      <c r="B4777" s="29">
        <v>177.46</v>
      </c>
      <c r="C4777" s="37">
        <f t="shared" si="154"/>
        <v>29.576666666666668</v>
      </c>
      <c r="D4777" s="37">
        <v>4.8789999999999996</v>
      </c>
      <c r="E4777" s="33">
        <f t="shared" si="155"/>
        <v>-9.3781400022327713E-3</v>
      </c>
    </row>
    <row r="4778" spans="1:5" x14ac:dyDescent="0.25">
      <c r="A4778" s="41">
        <v>43665</v>
      </c>
      <c r="B4778" s="29">
        <v>175.53</v>
      </c>
      <c r="C4778" s="37">
        <f t="shared" si="154"/>
        <v>29.254999999999999</v>
      </c>
      <c r="D4778" s="37">
        <v>4.7249999999999996</v>
      </c>
      <c r="E4778" s="33">
        <f t="shared" si="155"/>
        <v>-1.0875690296404861E-2</v>
      </c>
    </row>
    <row r="4779" spans="1:5" x14ac:dyDescent="0.25">
      <c r="A4779" s="41">
        <v>43665</v>
      </c>
      <c r="B4779" s="29">
        <v>173.38</v>
      </c>
      <c r="C4779" s="37">
        <f t="shared" si="154"/>
        <v>28.896666666666668</v>
      </c>
      <c r="D4779" s="37">
        <v>4.7249999999999996</v>
      </c>
      <c r="E4779" s="33">
        <f t="shared" si="155"/>
        <v>-1.2248618469777279E-2</v>
      </c>
    </row>
    <row r="4780" spans="1:5" x14ac:dyDescent="0.25">
      <c r="A4780" s="41">
        <v>43665</v>
      </c>
      <c r="B4780" s="29">
        <v>172.49</v>
      </c>
      <c r="C4780" s="37">
        <f t="shared" si="154"/>
        <v>28.748333333333335</v>
      </c>
      <c r="D4780" s="37">
        <v>4.7249999999999996</v>
      </c>
      <c r="E4780" s="33">
        <f t="shared" si="155"/>
        <v>-5.133233360249085E-3</v>
      </c>
    </row>
    <row r="4781" spans="1:5" x14ac:dyDescent="0.25">
      <c r="A4781" s="41">
        <v>43665</v>
      </c>
      <c r="B4781" s="29">
        <v>172.49</v>
      </c>
      <c r="C4781" s="37">
        <f t="shared" si="154"/>
        <v>28.748333333333335</v>
      </c>
      <c r="D4781" s="37">
        <v>4.7249999999999996</v>
      </c>
      <c r="E4781" s="33">
        <f t="shared" si="155"/>
        <v>0</v>
      </c>
    </row>
    <row r="4782" spans="1:5" x14ac:dyDescent="0.25">
      <c r="A4782" s="41">
        <v>43665</v>
      </c>
      <c r="B4782" s="29">
        <v>172.49</v>
      </c>
      <c r="C4782" s="37">
        <f t="shared" si="154"/>
        <v>28.748333333333335</v>
      </c>
      <c r="D4782" s="37">
        <v>4.7249999999999996</v>
      </c>
      <c r="E4782" s="33">
        <f t="shared" si="155"/>
        <v>0</v>
      </c>
    </row>
    <row r="4783" spans="1:5" x14ac:dyDescent="0.25">
      <c r="A4783" s="41">
        <v>43665</v>
      </c>
      <c r="B4783" s="29">
        <v>173.71</v>
      </c>
      <c r="C4783" s="37">
        <f t="shared" si="154"/>
        <v>28.951666666666668</v>
      </c>
      <c r="D4783" s="37">
        <v>4.7249999999999996</v>
      </c>
      <c r="E4783" s="33">
        <f t="shared" si="155"/>
        <v>7.072873789784908E-3</v>
      </c>
    </row>
    <row r="4784" spans="1:5" x14ac:dyDescent="0.25">
      <c r="A4784" s="41">
        <v>43665</v>
      </c>
      <c r="B4784" s="29">
        <v>175.35</v>
      </c>
      <c r="C4784" s="37">
        <f t="shared" si="154"/>
        <v>29.225000000000001</v>
      </c>
      <c r="D4784" s="37">
        <v>4.7249999999999996</v>
      </c>
      <c r="E4784" s="33">
        <f t="shared" si="155"/>
        <v>9.441022393644501E-3</v>
      </c>
    </row>
    <row r="4785" spans="1:5" x14ac:dyDescent="0.25">
      <c r="A4785" s="41">
        <v>43665</v>
      </c>
      <c r="B4785" s="29">
        <v>176.57</v>
      </c>
      <c r="C4785" s="37">
        <f t="shared" si="154"/>
        <v>29.428333333333335</v>
      </c>
      <c r="D4785" s="37">
        <v>4.7249999999999996</v>
      </c>
      <c r="E4785" s="33">
        <f t="shared" si="155"/>
        <v>6.957513544339885E-3</v>
      </c>
    </row>
    <row r="4786" spans="1:5" x14ac:dyDescent="0.25">
      <c r="A4786" s="41">
        <v>43665</v>
      </c>
      <c r="B4786" s="29">
        <v>177.99</v>
      </c>
      <c r="C4786" s="37">
        <f t="shared" si="154"/>
        <v>29.664999999999999</v>
      </c>
      <c r="D4786" s="37">
        <v>4.7249999999999996</v>
      </c>
      <c r="E4786" s="33">
        <f t="shared" si="155"/>
        <v>8.0421362632384658E-3</v>
      </c>
    </row>
    <row r="4787" spans="1:5" x14ac:dyDescent="0.25">
      <c r="A4787" s="41">
        <v>43665</v>
      </c>
      <c r="B4787" s="29">
        <v>178.85</v>
      </c>
      <c r="C4787" s="37">
        <f t="shared" si="154"/>
        <v>29.808333333333334</v>
      </c>
      <c r="D4787" s="37">
        <v>4.7249999999999996</v>
      </c>
      <c r="E4787" s="33">
        <f t="shared" si="155"/>
        <v>4.8317321197819266E-3</v>
      </c>
    </row>
    <row r="4788" spans="1:5" x14ac:dyDescent="0.25">
      <c r="A4788" s="41">
        <v>43665</v>
      </c>
      <c r="B4788" s="29">
        <v>179.37</v>
      </c>
      <c r="C4788" s="37">
        <f t="shared" si="154"/>
        <v>29.895</v>
      </c>
      <c r="D4788" s="37">
        <v>4.7249999999999996</v>
      </c>
      <c r="E4788" s="33">
        <f t="shared" si="155"/>
        <v>2.9074643556053132E-3</v>
      </c>
    </row>
    <row r="4789" spans="1:5" x14ac:dyDescent="0.25">
      <c r="A4789" s="41">
        <v>43665</v>
      </c>
      <c r="B4789" s="29">
        <v>179.39</v>
      </c>
      <c r="C4789" s="37">
        <f t="shared" si="154"/>
        <v>29.898333333333333</v>
      </c>
      <c r="D4789" s="37">
        <v>4.7249999999999996</v>
      </c>
      <c r="E4789" s="33">
        <f t="shared" si="155"/>
        <v>1.1150136589163076E-4</v>
      </c>
    </row>
    <row r="4790" spans="1:5" x14ac:dyDescent="0.25">
      <c r="A4790" s="41">
        <v>43665</v>
      </c>
      <c r="B4790" s="29">
        <v>179.35</v>
      </c>
      <c r="C4790" s="37">
        <f t="shared" si="154"/>
        <v>29.891666666666666</v>
      </c>
      <c r="D4790" s="37">
        <v>4.7249999999999996</v>
      </c>
      <c r="E4790" s="33">
        <f t="shared" si="155"/>
        <v>-2.229778694464131E-4</v>
      </c>
    </row>
    <row r="4791" spans="1:5" x14ac:dyDescent="0.25">
      <c r="A4791" s="41">
        <v>43665</v>
      </c>
      <c r="B4791" s="29">
        <v>179.41</v>
      </c>
      <c r="C4791" s="37">
        <f t="shared" si="154"/>
        <v>29.901666666666667</v>
      </c>
      <c r="D4791" s="37">
        <v>4.7249999999999996</v>
      </c>
      <c r="E4791" s="33">
        <f t="shared" si="155"/>
        <v>3.3454139949820057E-4</v>
      </c>
    </row>
    <row r="4792" spans="1:5" x14ac:dyDescent="0.25">
      <c r="A4792" s="41">
        <v>43665</v>
      </c>
      <c r="B4792" s="29">
        <v>180.01</v>
      </c>
      <c r="C4792" s="37">
        <f t="shared" si="154"/>
        <v>30.001666666666665</v>
      </c>
      <c r="D4792" s="37">
        <v>4.7249999999999996</v>
      </c>
      <c r="E4792" s="33">
        <f t="shared" si="155"/>
        <v>3.3442951897887205E-3</v>
      </c>
    </row>
    <row r="4793" spans="1:5" x14ac:dyDescent="0.25">
      <c r="A4793" s="41">
        <v>43665</v>
      </c>
      <c r="B4793" s="29">
        <v>180.18</v>
      </c>
      <c r="C4793" s="37">
        <f t="shared" si="154"/>
        <v>30.03</v>
      </c>
      <c r="D4793" s="37">
        <v>4.7249999999999996</v>
      </c>
      <c r="E4793" s="33">
        <f t="shared" si="155"/>
        <v>9.4439197822352046E-4</v>
      </c>
    </row>
    <row r="4794" spans="1:5" x14ac:dyDescent="0.25">
      <c r="A4794" s="41">
        <v>43665</v>
      </c>
      <c r="B4794" s="29">
        <v>180.15</v>
      </c>
      <c r="C4794" s="37">
        <f t="shared" si="154"/>
        <v>30.024999999999999</v>
      </c>
      <c r="D4794" s="37">
        <v>4.7249999999999996</v>
      </c>
      <c r="E4794" s="33">
        <f t="shared" si="155"/>
        <v>-1.6650016650017282E-4</v>
      </c>
    </row>
    <row r="4795" spans="1:5" x14ac:dyDescent="0.25">
      <c r="A4795" s="41">
        <v>43665</v>
      </c>
      <c r="B4795" s="29">
        <v>180.16</v>
      </c>
      <c r="C4795" s="37">
        <f t="shared" si="154"/>
        <v>30.026666666666667</v>
      </c>
      <c r="D4795" s="37">
        <v>4.7249999999999996</v>
      </c>
      <c r="E4795" s="33">
        <f t="shared" si="155"/>
        <v>5.5509297807332248E-5</v>
      </c>
    </row>
    <row r="4796" spans="1:5" x14ac:dyDescent="0.25">
      <c r="A4796" s="41">
        <v>43665</v>
      </c>
      <c r="B4796" s="29">
        <v>181.39</v>
      </c>
      <c r="C4796" s="37">
        <f t="shared" si="154"/>
        <v>30.231666666666666</v>
      </c>
      <c r="D4796" s="37">
        <v>4.7249999999999996</v>
      </c>
      <c r="E4796" s="33">
        <f t="shared" si="155"/>
        <v>6.8272646536411512E-3</v>
      </c>
    </row>
    <row r="4797" spans="1:5" x14ac:dyDescent="0.25">
      <c r="A4797" s="41">
        <v>43665</v>
      </c>
      <c r="B4797" s="29">
        <v>180.43</v>
      </c>
      <c r="C4797" s="37">
        <f t="shared" si="154"/>
        <v>30.071666666666665</v>
      </c>
      <c r="D4797" s="37">
        <v>4.7249999999999996</v>
      </c>
      <c r="E4797" s="33">
        <f t="shared" si="155"/>
        <v>-5.2924637521361683E-3</v>
      </c>
    </row>
    <row r="4798" spans="1:5" x14ac:dyDescent="0.25">
      <c r="A4798" s="41">
        <v>43665</v>
      </c>
      <c r="B4798" s="29">
        <v>180.06</v>
      </c>
      <c r="C4798" s="37">
        <f t="shared" si="154"/>
        <v>30.01</v>
      </c>
      <c r="D4798" s="37">
        <v>4.7249999999999996</v>
      </c>
      <c r="E4798" s="33">
        <f t="shared" si="155"/>
        <v>-2.0506567643961897E-3</v>
      </c>
    </row>
    <row r="4799" spans="1:5" x14ac:dyDescent="0.25">
      <c r="A4799" s="41">
        <v>43665</v>
      </c>
      <c r="B4799" s="29">
        <v>179.87</v>
      </c>
      <c r="C4799" s="37">
        <f t="shared" si="154"/>
        <v>29.978333333333332</v>
      </c>
      <c r="D4799" s="37">
        <v>4.7249999999999996</v>
      </c>
      <c r="E4799" s="33">
        <f t="shared" si="155"/>
        <v>-1.05520382094856E-3</v>
      </c>
    </row>
    <row r="4800" spans="1:5" x14ac:dyDescent="0.25">
      <c r="A4800" s="41">
        <v>43665</v>
      </c>
      <c r="B4800" s="29">
        <v>179.05</v>
      </c>
      <c r="C4800" s="37">
        <f t="shared" si="154"/>
        <v>29.841666666666665</v>
      </c>
      <c r="D4800" s="37">
        <v>4.7249999999999996</v>
      </c>
      <c r="E4800" s="33">
        <f t="shared" si="155"/>
        <v>-4.5588480569299667E-3</v>
      </c>
    </row>
    <row r="4801" spans="1:5" x14ac:dyDescent="0.25">
      <c r="A4801" s="41">
        <v>43665</v>
      </c>
      <c r="B4801" s="29">
        <v>177.7</v>
      </c>
      <c r="C4801" s="37">
        <f t="shared" si="154"/>
        <v>29.616666666666667</v>
      </c>
      <c r="D4801" s="37">
        <v>4.7249999999999996</v>
      </c>
      <c r="E4801" s="33">
        <f t="shared" si="155"/>
        <v>-7.5397933538119107E-3</v>
      </c>
    </row>
    <row r="4802" spans="1:5" x14ac:dyDescent="0.25">
      <c r="A4802" s="41">
        <v>43666</v>
      </c>
      <c r="B4802" s="29">
        <v>183.16</v>
      </c>
      <c r="C4802" s="37">
        <f t="shared" si="154"/>
        <v>30.526666666666667</v>
      </c>
      <c r="D4802" s="37">
        <v>4.601</v>
      </c>
      <c r="E4802" s="33">
        <f t="shared" si="155"/>
        <v>3.0725942599887496E-2</v>
      </c>
    </row>
    <row r="4803" spans="1:5" x14ac:dyDescent="0.25">
      <c r="A4803" s="41">
        <v>43666</v>
      </c>
      <c r="B4803" s="29">
        <v>183.13</v>
      </c>
      <c r="C4803" s="37">
        <f t="shared" ref="C4803:C4866" si="156">(B4803*100/600)</f>
        <v>30.521666666666668</v>
      </c>
      <c r="D4803" s="37">
        <v>4.601</v>
      </c>
      <c r="E4803" s="33">
        <f t="shared" si="155"/>
        <v>-1.6379122079057182E-4</v>
      </c>
    </row>
    <row r="4804" spans="1:5" x14ac:dyDescent="0.25">
      <c r="A4804" s="41">
        <v>43666</v>
      </c>
      <c r="B4804" s="29">
        <v>183.1</v>
      </c>
      <c r="C4804" s="37">
        <f t="shared" si="156"/>
        <v>30.516666666666666</v>
      </c>
      <c r="D4804" s="37">
        <v>4.601</v>
      </c>
      <c r="E4804" s="33">
        <f t="shared" ref="E4804:E4867" si="157">(B4804-B4803)/B4803</f>
        <v>-1.6381805274941921E-4</v>
      </c>
    </row>
    <row r="4805" spans="1:5" x14ac:dyDescent="0.25">
      <c r="A4805" s="41">
        <v>43666</v>
      </c>
      <c r="B4805" s="29">
        <v>183.01</v>
      </c>
      <c r="C4805" s="37">
        <f t="shared" si="156"/>
        <v>30.501666666666665</v>
      </c>
      <c r="D4805" s="37">
        <v>4.601</v>
      </c>
      <c r="E4805" s="33">
        <f t="shared" si="157"/>
        <v>-4.9153468050247627E-4</v>
      </c>
    </row>
    <row r="4806" spans="1:5" x14ac:dyDescent="0.25">
      <c r="A4806" s="41">
        <v>43666</v>
      </c>
      <c r="B4806" s="29">
        <v>183</v>
      </c>
      <c r="C4806" s="37">
        <f t="shared" si="156"/>
        <v>30.5</v>
      </c>
      <c r="D4806" s="37">
        <v>4.601</v>
      </c>
      <c r="E4806" s="33">
        <f t="shared" si="157"/>
        <v>-5.4641822851160623E-5</v>
      </c>
    </row>
    <row r="4807" spans="1:5" x14ac:dyDescent="0.25">
      <c r="A4807" s="41">
        <v>43666</v>
      </c>
      <c r="B4807" s="29">
        <v>183</v>
      </c>
      <c r="C4807" s="37">
        <f t="shared" si="156"/>
        <v>30.5</v>
      </c>
      <c r="D4807" s="37">
        <v>4.601</v>
      </c>
      <c r="E4807" s="33">
        <f t="shared" si="157"/>
        <v>0</v>
      </c>
    </row>
    <row r="4808" spans="1:5" x14ac:dyDescent="0.25">
      <c r="A4808" s="41">
        <v>43666</v>
      </c>
      <c r="B4808" s="29">
        <v>182.97</v>
      </c>
      <c r="C4808" s="37">
        <f t="shared" si="156"/>
        <v>30.495000000000001</v>
      </c>
      <c r="D4808" s="37">
        <v>4.601</v>
      </c>
      <c r="E4808" s="33">
        <f t="shared" si="157"/>
        <v>-1.639344262295144E-4</v>
      </c>
    </row>
    <row r="4809" spans="1:5" x14ac:dyDescent="0.25">
      <c r="A4809" s="41">
        <v>43666</v>
      </c>
      <c r="B4809" s="29">
        <v>182.94</v>
      </c>
      <c r="C4809" s="37">
        <f t="shared" si="156"/>
        <v>30.49</v>
      </c>
      <c r="D4809" s="37">
        <v>4.601</v>
      </c>
      <c r="E4809" s="33">
        <f t="shared" si="157"/>
        <v>-1.6396130513199507E-4</v>
      </c>
    </row>
    <row r="4810" spans="1:5" x14ac:dyDescent="0.25">
      <c r="A4810" s="41">
        <v>43666</v>
      </c>
      <c r="B4810" s="29">
        <v>183.51</v>
      </c>
      <c r="C4810" s="37">
        <f t="shared" si="156"/>
        <v>30.585000000000001</v>
      </c>
      <c r="D4810" s="37">
        <v>4.601</v>
      </c>
      <c r="E4810" s="33">
        <f t="shared" si="157"/>
        <v>3.1157756641521438E-3</v>
      </c>
    </row>
    <row r="4811" spans="1:5" x14ac:dyDescent="0.25">
      <c r="A4811" s="41">
        <v>43666</v>
      </c>
      <c r="B4811" s="29">
        <v>184.27</v>
      </c>
      <c r="C4811" s="37">
        <f t="shared" si="156"/>
        <v>30.711666666666666</v>
      </c>
      <c r="D4811" s="37">
        <v>4.601</v>
      </c>
      <c r="E4811" s="33">
        <f t="shared" si="157"/>
        <v>4.1414636804534867E-3</v>
      </c>
    </row>
    <row r="4812" spans="1:5" x14ac:dyDescent="0.25">
      <c r="A4812" s="41">
        <v>43666</v>
      </c>
      <c r="B4812" s="29">
        <v>184.38</v>
      </c>
      <c r="C4812" s="37">
        <f t="shared" si="156"/>
        <v>30.73</v>
      </c>
      <c r="D4812" s="37">
        <v>4.601</v>
      </c>
      <c r="E4812" s="33">
        <f t="shared" si="157"/>
        <v>5.9695012753017431E-4</v>
      </c>
    </row>
    <row r="4813" spans="1:5" x14ac:dyDescent="0.25">
      <c r="A4813" s="41">
        <v>43666</v>
      </c>
      <c r="B4813" s="29">
        <v>184.38</v>
      </c>
      <c r="C4813" s="37">
        <f t="shared" si="156"/>
        <v>30.73</v>
      </c>
      <c r="D4813" s="37">
        <v>4.601</v>
      </c>
      <c r="E4813" s="33">
        <f t="shared" si="157"/>
        <v>0</v>
      </c>
    </row>
    <row r="4814" spans="1:5" x14ac:dyDescent="0.25">
      <c r="A4814" s="41">
        <v>43666</v>
      </c>
      <c r="B4814" s="29">
        <v>184.38</v>
      </c>
      <c r="C4814" s="37">
        <f t="shared" si="156"/>
        <v>30.73</v>
      </c>
      <c r="D4814" s="37">
        <v>4.601</v>
      </c>
      <c r="E4814" s="33">
        <f t="shared" si="157"/>
        <v>0</v>
      </c>
    </row>
    <row r="4815" spans="1:5" x14ac:dyDescent="0.25">
      <c r="A4815" s="41">
        <v>43666</v>
      </c>
      <c r="B4815" s="29">
        <v>184.38</v>
      </c>
      <c r="C4815" s="37">
        <f t="shared" si="156"/>
        <v>30.73</v>
      </c>
      <c r="D4815" s="37">
        <v>4.601</v>
      </c>
      <c r="E4815" s="33">
        <f t="shared" si="157"/>
        <v>0</v>
      </c>
    </row>
    <row r="4816" spans="1:5" x14ac:dyDescent="0.25">
      <c r="A4816" s="41">
        <v>43666</v>
      </c>
      <c r="B4816" s="29">
        <v>184.38</v>
      </c>
      <c r="C4816" s="37">
        <f t="shared" si="156"/>
        <v>30.73</v>
      </c>
      <c r="D4816" s="37">
        <v>4.601</v>
      </c>
      <c r="E4816" s="33">
        <f t="shared" si="157"/>
        <v>0</v>
      </c>
    </row>
    <row r="4817" spans="1:5" x14ac:dyDescent="0.25">
      <c r="A4817" s="41">
        <v>43666</v>
      </c>
      <c r="B4817" s="29">
        <v>184.38</v>
      </c>
      <c r="C4817" s="37">
        <f t="shared" si="156"/>
        <v>30.73</v>
      </c>
      <c r="D4817" s="37">
        <v>4.601</v>
      </c>
      <c r="E4817" s="33">
        <f t="shared" si="157"/>
        <v>0</v>
      </c>
    </row>
    <row r="4818" spans="1:5" x14ac:dyDescent="0.25">
      <c r="A4818" s="41">
        <v>43666</v>
      </c>
      <c r="B4818" s="29">
        <v>184.39</v>
      </c>
      <c r="C4818" s="37">
        <f t="shared" si="156"/>
        <v>30.731666666666666</v>
      </c>
      <c r="D4818" s="37">
        <v>4.601</v>
      </c>
      <c r="E4818" s="33">
        <f t="shared" si="157"/>
        <v>5.4235817333717896E-5</v>
      </c>
    </row>
    <row r="4819" spans="1:5" x14ac:dyDescent="0.25">
      <c r="A4819" s="41">
        <v>43666</v>
      </c>
      <c r="B4819" s="29">
        <v>184.85</v>
      </c>
      <c r="C4819" s="37">
        <f t="shared" si="156"/>
        <v>30.808333333333334</v>
      </c>
      <c r="D4819" s="37">
        <v>4.601</v>
      </c>
      <c r="E4819" s="33">
        <f t="shared" si="157"/>
        <v>2.4947122945930258E-3</v>
      </c>
    </row>
    <row r="4820" spans="1:5" x14ac:dyDescent="0.25">
      <c r="A4820" s="41">
        <v>43666</v>
      </c>
      <c r="B4820" s="29">
        <v>187.84</v>
      </c>
      <c r="C4820" s="37">
        <f t="shared" si="156"/>
        <v>31.306666666666668</v>
      </c>
      <c r="D4820" s="37">
        <v>4.601</v>
      </c>
      <c r="E4820" s="33">
        <f t="shared" si="157"/>
        <v>1.6175277251825854E-2</v>
      </c>
    </row>
    <row r="4821" spans="1:5" x14ac:dyDescent="0.25">
      <c r="A4821" s="41">
        <v>43666</v>
      </c>
      <c r="B4821" s="29">
        <v>186.56</v>
      </c>
      <c r="C4821" s="37">
        <f t="shared" si="156"/>
        <v>31.093333333333334</v>
      </c>
      <c r="D4821" s="37">
        <v>4.601</v>
      </c>
      <c r="E4821" s="33">
        <f t="shared" si="157"/>
        <v>-6.8143100511073315E-3</v>
      </c>
    </row>
    <row r="4822" spans="1:5" x14ac:dyDescent="0.25">
      <c r="A4822" s="41">
        <v>43666</v>
      </c>
      <c r="B4822" s="29">
        <v>184.85</v>
      </c>
      <c r="C4822" s="37">
        <f t="shared" si="156"/>
        <v>30.808333333333334</v>
      </c>
      <c r="D4822" s="37">
        <v>4.601</v>
      </c>
      <c r="E4822" s="33">
        <f t="shared" si="157"/>
        <v>-9.1659519725557879E-3</v>
      </c>
    </row>
    <row r="4823" spans="1:5" x14ac:dyDescent="0.25">
      <c r="A4823" s="41">
        <v>43666</v>
      </c>
      <c r="B4823" s="29">
        <v>184.61</v>
      </c>
      <c r="C4823" s="37">
        <f t="shared" si="156"/>
        <v>30.768333333333334</v>
      </c>
      <c r="D4823" s="37">
        <v>4.601</v>
      </c>
      <c r="E4823" s="33">
        <f t="shared" si="157"/>
        <v>-1.2983500135243747E-3</v>
      </c>
    </row>
    <row r="4824" spans="1:5" x14ac:dyDescent="0.25">
      <c r="A4824" s="41">
        <v>43666</v>
      </c>
      <c r="B4824" s="29">
        <v>184.01</v>
      </c>
      <c r="C4824" s="37">
        <f t="shared" si="156"/>
        <v>30.668333333333333</v>
      </c>
      <c r="D4824" s="37">
        <v>4.601</v>
      </c>
      <c r="E4824" s="33">
        <f t="shared" si="157"/>
        <v>-3.2500947944316271E-3</v>
      </c>
    </row>
    <row r="4825" spans="1:5" x14ac:dyDescent="0.25">
      <c r="A4825" s="41">
        <v>43666</v>
      </c>
      <c r="B4825" s="29">
        <v>183.21</v>
      </c>
      <c r="C4825" s="37">
        <f t="shared" si="156"/>
        <v>30.535</v>
      </c>
      <c r="D4825" s="37">
        <v>4.601</v>
      </c>
      <c r="E4825" s="33">
        <f t="shared" si="157"/>
        <v>-4.3475898049018151E-3</v>
      </c>
    </row>
    <row r="4826" spans="1:5" x14ac:dyDescent="0.25">
      <c r="A4826" s="41">
        <v>43667</v>
      </c>
      <c r="B4826" s="29">
        <v>180.66</v>
      </c>
      <c r="C4826" s="37">
        <f t="shared" si="156"/>
        <v>30.11</v>
      </c>
      <c r="D4826" s="37">
        <v>4.4950000000000001</v>
      </c>
      <c r="E4826" s="33">
        <f t="shared" si="157"/>
        <v>-1.3918454232847613E-2</v>
      </c>
    </row>
    <row r="4827" spans="1:5" x14ac:dyDescent="0.25">
      <c r="A4827" s="41">
        <v>43667</v>
      </c>
      <c r="B4827" s="29">
        <v>180.63</v>
      </c>
      <c r="C4827" s="37">
        <f t="shared" si="156"/>
        <v>30.105</v>
      </c>
      <c r="D4827" s="37">
        <v>4.4950000000000001</v>
      </c>
      <c r="E4827" s="33">
        <f t="shared" si="157"/>
        <v>-1.6605778811026867E-4</v>
      </c>
    </row>
    <row r="4828" spans="1:5" x14ac:dyDescent="0.25">
      <c r="A4828" s="41">
        <v>43667</v>
      </c>
      <c r="B4828" s="29">
        <v>180.3</v>
      </c>
      <c r="C4828" s="37">
        <f t="shared" si="156"/>
        <v>30.05</v>
      </c>
      <c r="D4828" s="37">
        <v>4.4950000000000001</v>
      </c>
      <c r="E4828" s="33">
        <f t="shared" si="157"/>
        <v>-1.8269390466699002E-3</v>
      </c>
    </row>
    <row r="4829" spans="1:5" x14ac:dyDescent="0.25">
      <c r="A4829" s="41">
        <v>43667</v>
      </c>
      <c r="B4829" s="29">
        <v>178.13</v>
      </c>
      <c r="C4829" s="37">
        <f t="shared" si="156"/>
        <v>29.688333333333333</v>
      </c>
      <c r="D4829" s="37">
        <v>4.4950000000000001</v>
      </c>
      <c r="E4829" s="33">
        <f t="shared" si="157"/>
        <v>-1.2035496394897481E-2</v>
      </c>
    </row>
    <row r="4830" spans="1:5" x14ac:dyDescent="0.25">
      <c r="A4830" s="41">
        <v>43667</v>
      </c>
      <c r="B4830" s="29">
        <v>176.95</v>
      </c>
      <c r="C4830" s="37">
        <f t="shared" si="156"/>
        <v>29.491666666666667</v>
      </c>
      <c r="D4830" s="37">
        <v>4.4950000000000001</v>
      </c>
      <c r="E4830" s="33">
        <f t="shared" si="157"/>
        <v>-6.6243754561275854E-3</v>
      </c>
    </row>
    <row r="4831" spans="1:5" x14ac:dyDescent="0.25">
      <c r="A4831" s="41">
        <v>43667</v>
      </c>
      <c r="B4831" s="29">
        <v>176.95</v>
      </c>
      <c r="C4831" s="37">
        <f t="shared" si="156"/>
        <v>29.491666666666667</v>
      </c>
      <c r="D4831" s="37">
        <v>4.4950000000000001</v>
      </c>
      <c r="E4831" s="33">
        <f t="shared" si="157"/>
        <v>0</v>
      </c>
    </row>
    <row r="4832" spans="1:5" x14ac:dyDescent="0.25">
      <c r="A4832" s="41">
        <v>43667</v>
      </c>
      <c r="B4832" s="29">
        <v>176.54</v>
      </c>
      <c r="C4832" s="37">
        <f t="shared" si="156"/>
        <v>29.423333333333332</v>
      </c>
      <c r="D4832" s="37">
        <v>4.4950000000000001</v>
      </c>
      <c r="E4832" s="33">
        <f t="shared" si="157"/>
        <v>-2.3170387115004046E-3</v>
      </c>
    </row>
    <row r="4833" spans="1:5" x14ac:dyDescent="0.25">
      <c r="A4833" s="41">
        <v>43667</v>
      </c>
      <c r="B4833" s="29">
        <v>176.53</v>
      </c>
      <c r="C4833" s="37">
        <f t="shared" si="156"/>
        <v>29.421666666666667</v>
      </c>
      <c r="D4833" s="37">
        <v>4.4950000000000001</v>
      </c>
      <c r="E4833" s="33">
        <f t="shared" si="157"/>
        <v>-5.664438654124224E-5</v>
      </c>
    </row>
    <row r="4834" spans="1:5" x14ac:dyDescent="0.25">
      <c r="A4834" s="41">
        <v>43667</v>
      </c>
      <c r="B4834" s="29">
        <v>180.3</v>
      </c>
      <c r="C4834" s="37">
        <f t="shared" si="156"/>
        <v>30.05</v>
      </c>
      <c r="D4834" s="37">
        <v>4.4950000000000001</v>
      </c>
      <c r="E4834" s="33">
        <f t="shared" si="157"/>
        <v>2.1356143431711383E-2</v>
      </c>
    </row>
    <row r="4835" spans="1:5" x14ac:dyDescent="0.25">
      <c r="A4835" s="41">
        <v>43667</v>
      </c>
      <c r="B4835" s="29">
        <v>180.38</v>
      </c>
      <c r="C4835" s="37">
        <f t="shared" si="156"/>
        <v>30.063333333333333</v>
      </c>
      <c r="D4835" s="37">
        <v>4.4950000000000001</v>
      </c>
      <c r="E4835" s="33">
        <f t="shared" si="157"/>
        <v>4.4370493621732714E-4</v>
      </c>
    </row>
    <row r="4836" spans="1:5" x14ac:dyDescent="0.25">
      <c r="A4836" s="41">
        <v>43667</v>
      </c>
      <c r="B4836" s="29">
        <v>180.38</v>
      </c>
      <c r="C4836" s="37">
        <f t="shared" si="156"/>
        <v>30.063333333333333</v>
      </c>
      <c r="D4836" s="37">
        <v>4.4950000000000001</v>
      </c>
      <c r="E4836" s="33">
        <f t="shared" si="157"/>
        <v>0</v>
      </c>
    </row>
    <row r="4837" spans="1:5" x14ac:dyDescent="0.25">
      <c r="A4837" s="41">
        <v>43667</v>
      </c>
      <c r="B4837" s="29">
        <v>180.66</v>
      </c>
      <c r="C4837" s="37">
        <f t="shared" si="156"/>
        <v>30.11</v>
      </c>
      <c r="D4837" s="37">
        <v>4.4950000000000001</v>
      </c>
      <c r="E4837" s="33">
        <f t="shared" si="157"/>
        <v>1.5522785231178687E-3</v>
      </c>
    </row>
    <row r="4838" spans="1:5" x14ac:dyDescent="0.25">
      <c r="A4838" s="41">
        <v>43667</v>
      </c>
      <c r="B4838" s="29">
        <v>180.66</v>
      </c>
      <c r="C4838" s="37">
        <f t="shared" si="156"/>
        <v>30.11</v>
      </c>
      <c r="D4838" s="37">
        <v>4.4950000000000001</v>
      </c>
      <c r="E4838" s="33">
        <f t="shared" si="157"/>
        <v>0</v>
      </c>
    </row>
    <row r="4839" spans="1:5" x14ac:dyDescent="0.25">
      <c r="A4839" s="41">
        <v>43667</v>
      </c>
      <c r="B4839" s="29">
        <v>180.76</v>
      </c>
      <c r="C4839" s="37">
        <f t="shared" si="156"/>
        <v>30.126666666666665</v>
      </c>
      <c r="D4839" s="37">
        <v>4.4950000000000001</v>
      </c>
      <c r="E4839" s="33">
        <f t="shared" si="157"/>
        <v>5.5352596036750982E-4</v>
      </c>
    </row>
    <row r="4840" spans="1:5" x14ac:dyDescent="0.25">
      <c r="A4840" s="41">
        <v>43667</v>
      </c>
      <c r="B4840" s="29">
        <v>180.76</v>
      </c>
      <c r="C4840" s="37">
        <f t="shared" si="156"/>
        <v>30.126666666666665</v>
      </c>
      <c r="D4840" s="37">
        <v>4.4950000000000001</v>
      </c>
      <c r="E4840" s="33">
        <f t="shared" si="157"/>
        <v>0</v>
      </c>
    </row>
    <row r="4841" spans="1:5" x14ac:dyDescent="0.25">
      <c r="A4841" s="41">
        <v>43667</v>
      </c>
      <c r="B4841" s="29">
        <v>180.77</v>
      </c>
      <c r="C4841" s="37">
        <f t="shared" si="156"/>
        <v>30.128333333333334</v>
      </c>
      <c r="D4841" s="37">
        <v>4.4950000000000001</v>
      </c>
      <c r="E4841" s="33">
        <f t="shared" si="157"/>
        <v>5.5321973888135244E-5</v>
      </c>
    </row>
    <row r="4842" spans="1:5" x14ac:dyDescent="0.25">
      <c r="A4842" s="41">
        <v>43667</v>
      </c>
      <c r="B4842" s="29">
        <v>183.04</v>
      </c>
      <c r="C4842" s="37">
        <f t="shared" si="156"/>
        <v>30.506666666666668</v>
      </c>
      <c r="D4842" s="37">
        <v>4.4950000000000001</v>
      </c>
      <c r="E4842" s="33">
        <f t="shared" si="157"/>
        <v>1.2557393372794058E-2</v>
      </c>
    </row>
    <row r="4843" spans="1:5" x14ac:dyDescent="0.25">
      <c r="A4843" s="41">
        <v>43667</v>
      </c>
      <c r="B4843" s="29">
        <v>184.38</v>
      </c>
      <c r="C4843" s="37">
        <f t="shared" si="156"/>
        <v>30.73</v>
      </c>
      <c r="D4843" s="37">
        <v>4.4950000000000001</v>
      </c>
      <c r="E4843" s="33">
        <f t="shared" si="157"/>
        <v>7.3208041958042151E-3</v>
      </c>
    </row>
    <row r="4844" spans="1:5" x14ac:dyDescent="0.25">
      <c r="A4844" s="41">
        <v>43667</v>
      </c>
      <c r="B4844" s="29">
        <v>185.95</v>
      </c>
      <c r="C4844" s="37">
        <f t="shared" si="156"/>
        <v>30.991666666666667</v>
      </c>
      <c r="D4844" s="37">
        <v>4.4950000000000001</v>
      </c>
      <c r="E4844" s="33">
        <f t="shared" si="157"/>
        <v>8.5150233214014159E-3</v>
      </c>
    </row>
    <row r="4845" spans="1:5" x14ac:dyDescent="0.25">
      <c r="A4845" s="41">
        <v>43667</v>
      </c>
      <c r="B4845" s="29">
        <v>185.28</v>
      </c>
      <c r="C4845" s="37">
        <f t="shared" si="156"/>
        <v>30.88</v>
      </c>
      <c r="D4845" s="37">
        <v>4.4950000000000001</v>
      </c>
      <c r="E4845" s="33">
        <f t="shared" si="157"/>
        <v>-3.6031191180424175E-3</v>
      </c>
    </row>
    <row r="4846" spans="1:5" x14ac:dyDescent="0.25">
      <c r="A4846" s="41">
        <v>43667</v>
      </c>
      <c r="B4846" s="29">
        <v>184.53</v>
      </c>
      <c r="C4846" s="37">
        <f t="shared" si="156"/>
        <v>30.754999999999999</v>
      </c>
      <c r="D4846" s="37">
        <v>4.4950000000000001</v>
      </c>
      <c r="E4846" s="33">
        <f t="shared" si="157"/>
        <v>-4.047927461139896E-3</v>
      </c>
    </row>
    <row r="4847" spans="1:5" x14ac:dyDescent="0.25">
      <c r="A4847" s="41">
        <v>43667</v>
      </c>
      <c r="B4847" s="29">
        <v>184.44</v>
      </c>
      <c r="C4847" s="37">
        <f t="shared" si="156"/>
        <v>30.74</v>
      </c>
      <c r="D4847" s="37">
        <v>4.4950000000000001</v>
      </c>
      <c r="E4847" s="33">
        <f t="shared" si="157"/>
        <v>-4.8772557307756684E-4</v>
      </c>
    </row>
    <row r="4848" spans="1:5" x14ac:dyDescent="0.25">
      <c r="A4848" s="41">
        <v>43667</v>
      </c>
      <c r="B4848" s="29">
        <v>184.15</v>
      </c>
      <c r="C4848" s="37">
        <f t="shared" si="156"/>
        <v>30.691666666666666</v>
      </c>
      <c r="D4848" s="37">
        <v>4.4950000000000001</v>
      </c>
      <c r="E4848" s="33">
        <f t="shared" si="157"/>
        <v>-1.5723270440251142E-3</v>
      </c>
    </row>
    <row r="4849" spans="1:5" x14ac:dyDescent="0.25">
      <c r="A4849" s="41">
        <v>43667</v>
      </c>
      <c r="B4849" s="29">
        <v>182.8</v>
      </c>
      <c r="C4849" s="37">
        <f t="shared" si="156"/>
        <v>30.466666666666665</v>
      </c>
      <c r="D4849" s="37">
        <v>4.4950000000000001</v>
      </c>
      <c r="E4849" s="33">
        <f t="shared" si="157"/>
        <v>-7.3309801792017064E-3</v>
      </c>
    </row>
    <row r="4850" spans="1:5" x14ac:dyDescent="0.25">
      <c r="A4850" s="41">
        <v>43668</v>
      </c>
      <c r="B4850" s="29">
        <v>183.09</v>
      </c>
      <c r="C4850" s="37">
        <f t="shared" si="156"/>
        <v>30.515000000000001</v>
      </c>
      <c r="D4850" s="37">
        <v>4.4219999999999997</v>
      </c>
      <c r="E4850" s="33">
        <f t="shared" si="157"/>
        <v>1.5864332603938295E-3</v>
      </c>
    </row>
    <row r="4851" spans="1:5" x14ac:dyDescent="0.25">
      <c r="A4851" s="41">
        <v>43668</v>
      </c>
      <c r="B4851" s="29">
        <v>182.09</v>
      </c>
      <c r="C4851" s="37">
        <f t="shared" si="156"/>
        <v>30.348333333333333</v>
      </c>
      <c r="D4851" s="37">
        <v>4.4219999999999997</v>
      </c>
      <c r="E4851" s="33">
        <f t="shared" si="157"/>
        <v>-5.4617947457534545E-3</v>
      </c>
    </row>
    <row r="4852" spans="1:5" x14ac:dyDescent="0.25">
      <c r="A4852" s="41">
        <v>43668</v>
      </c>
      <c r="B4852" s="29">
        <v>181.55</v>
      </c>
      <c r="C4852" s="37">
        <f t="shared" si="156"/>
        <v>30.258333333333333</v>
      </c>
      <c r="D4852" s="37">
        <v>4.4219999999999997</v>
      </c>
      <c r="E4852" s="33">
        <f t="shared" si="157"/>
        <v>-2.965566478115174E-3</v>
      </c>
    </row>
    <row r="4853" spans="1:5" x14ac:dyDescent="0.25">
      <c r="A4853" s="41">
        <v>43668</v>
      </c>
      <c r="B4853" s="29">
        <v>181.64</v>
      </c>
      <c r="C4853" s="37">
        <f t="shared" si="156"/>
        <v>30.273333333333333</v>
      </c>
      <c r="D4853" s="37">
        <v>4.4219999999999997</v>
      </c>
      <c r="E4853" s="33">
        <f t="shared" si="157"/>
        <v>4.9573120352506184E-4</v>
      </c>
    </row>
    <row r="4854" spans="1:5" x14ac:dyDescent="0.25">
      <c r="A4854" s="41">
        <v>43668</v>
      </c>
      <c r="B4854" s="29">
        <v>181.88</v>
      </c>
      <c r="C4854" s="37">
        <f t="shared" si="156"/>
        <v>30.313333333333333</v>
      </c>
      <c r="D4854" s="37">
        <v>4.4219999999999997</v>
      </c>
      <c r="E4854" s="33">
        <f t="shared" si="157"/>
        <v>1.3212948689716422E-3</v>
      </c>
    </row>
    <row r="4855" spans="1:5" x14ac:dyDescent="0.25">
      <c r="A4855" s="41">
        <v>43668</v>
      </c>
      <c r="B4855" s="29">
        <v>183.75</v>
      </c>
      <c r="C4855" s="37">
        <f t="shared" si="156"/>
        <v>30.625</v>
      </c>
      <c r="D4855" s="37">
        <v>4.4219999999999997</v>
      </c>
      <c r="E4855" s="33">
        <f t="shared" si="157"/>
        <v>1.0281504288541922E-2</v>
      </c>
    </row>
    <row r="4856" spans="1:5" x14ac:dyDescent="0.25">
      <c r="A4856" s="41">
        <v>43668</v>
      </c>
      <c r="B4856" s="29">
        <v>184.96</v>
      </c>
      <c r="C4856" s="37">
        <f t="shared" si="156"/>
        <v>30.826666666666668</v>
      </c>
      <c r="D4856" s="37">
        <v>4.4219999999999997</v>
      </c>
      <c r="E4856" s="33">
        <f t="shared" si="157"/>
        <v>6.5850340136054857E-3</v>
      </c>
    </row>
    <row r="4857" spans="1:5" x14ac:dyDescent="0.25">
      <c r="A4857" s="41">
        <v>43668</v>
      </c>
      <c r="B4857" s="29">
        <v>185.52</v>
      </c>
      <c r="C4857" s="37">
        <f t="shared" si="156"/>
        <v>30.92</v>
      </c>
      <c r="D4857" s="37">
        <v>4.4219999999999997</v>
      </c>
      <c r="E4857" s="33">
        <f t="shared" si="157"/>
        <v>3.0276816608996661E-3</v>
      </c>
    </row>
    <row r="4858" spans="1:5" x14ac:dyDescent="0.25">
      <c r="A4858" s="41">
        <v>43668</v>
      </c>
      <c r="B4858" s="29">
        <v>187.43</v>
      </c>
      <c r="C4858" s="37">
        <f t="shared" si="156"/>
        <v>31.238333333333333</v>
      </c>
      <c r="D4858" s="37">
        <v>4.4219999999999997</v>
      </c>
      <c r="E4858" s="33">
        <f t="shared" si="157"/>
        <v>1.0295385942216453E-2</v>
      </c>
    </row>
    <row r="4859" spans="1:5" x14ac:dyDescent="0.25">
      <c r="A4859" s="41">
        <v>43668</v>
      </c>
      <c r="B4859" s="29">
        <v>187.47</v>
      </c>
      <c r="C4859" s="37">
        <f t="shared" si="156"/>
        <v>31.245000000000001</v>
      </c>
      <c r="D4859" s="37">
        <v>4.4219999999999997</v>
      </c>
      <c r="E4859" s="33">
        <f t="shared" si="157"/>
        <v>2.1341300752276605E-4</v>
      </c>
    </row>
    <row r="4860" spans="1:5" x14ac:dyDescent="0.25">
      <c r="A4860" s="41">
        <v>43668</v>
      </c>
      <c r="B4860" s="29">
        <v>187.47</v>
      </c>
      <c r="C4860" s="37">
        <f t="shared" si="156"/>
        <v>31.245000000000001</v>
      </c>
      <c r="D4860" s="37">
        <v>4.4219999999999997</v>
      </c>
      <c r="E4860" s="33">
        <f t="shared" si="157"/>
        <v>0</v>
      </c>
    </row>
    <row r="4861" spans="1:5" x14ac:dyDescent="0.25">
      <c r="A4861" s="41">
        <v>43668</v>
      </c>
      <c r="B4861" s="29">
        <v>187.49</v>
      </c>
      <c r="C4861" s="37">
        <f t="shared" si="156"/>
        <v>31.248333333333335</v>
      </c>
      <c r="D4861" s="37">
        <v>4.4219999999999997</v>
      </c>
      <c r="E4861" s="33">
        <f t="shared" si="157"/>
        <v>1.0668373606449155E-4</v>
      </c>
    </row>
    <row r="4862" spans="1:5" x14ac:dyDescent="0.25">
      <c r="A4862" s="41">
        <v>43668</v>
      </c>
      <c r="B4862" s="29">
        <v>187.47</v>
      </c>
      <c r="C4862" s="37">
        <f t="shared" si="156"/>
        <v>31.245000000000001</v>
      </c>
      <c r="D4862" s="37">
        <v>4.4219999999999997</v>
      </c>
      <c r="E4862" s="33">
        <f t="shared" si="157"/>
        <v>-1.0667235585903371E-4</v>
      </c>
    </row>
    <row r="4863" spans="1:5" x14ac:dyDescent="0.25">
      <c r="A4863" s="41">
        <v>43668</v>
      </c>
      <c r="B4863" s="29">
        <v>187.48</v>
      </c>
      <c r="C4863" s="37">
        <f t="shared" si="156"/>
        <v>31.246666666666666</v>
      </c>
      <c r="D4863" s="37">
        <v>4.4219999999999997</v>
      </c>
      <c r="E4863" s="33">
        <f t="shared" si="157"/>
        <v>5.3341868032169977E-5</v>
      </c>
    </row>
    <row r="4864" spans="1:5" x14ac:dyDescent="0.25">
      <c r="A4864" s="41">
        <v>43668</v>
      </c>
      <c r="B4864" s="29">
        <v>187.49</v>
      </c>
      <c r="C4864" s="37">
        <f t="shared" si="156"/>
        <v>31.248333333333335</v>
      </c>
      <c r="D4864" s="37">
        <v>4.4219999999999997</v>
      </c>
      <c r="E4864" s="33">
        <f t="shared" si="157"/>
        <v>5.3339022829204861E-5</v>
      </c>
    </row>
    <row r="4865" spans="1:5" x14ac:dyDescent="0.25">
      <c r="A4865" s="41">
        <v>43668</v>
      </c>
      <c r="B4865" s="29">
        <v>187.5</v>
      </c>
      <c r="C4865" s="37">
        <f t="shared" si="156"/>
        <v>31.25</v>
      </c>
      <c r="D4865" s="37">
        <v>4.4219999999999997</v>
      </c>
      <c r="E4865" s="33">
        <f t="shared" si="157"/>
        <v>5.3336177929441064E-5</v>
      </c>
    </row>
    <row r="4866" spans="1:5" x14ac:dyDescent="0.25">
      <c r="A4866" s="41">
        <v>43668</v>
      </c>
      <c r="B4866" s="29">
        <v>187.52</v>
      </c>
      <c r="C4866" s="37">
        <f t="shared" si="156"/>
        <v>31.253333333333334</v>
      </c>
      <c r="D4866" s="37">
        <v>4.4219999999999997</v>
      </c>
      <c r="E4866" s="33">
        <f t="shared" si="157"/>
        <v>1.0666666666672124E-4</v>
      </c>
    </row>
    <row r="4867" spans="1:5" x14ac:dyDescent="0.25">
      <c r="A4867" s="41">
        <v>43668</v>
      </c>
      <c r="B4867" s="29">
        <v>187.55</v>
      </c>
      <c r="C4867" s="37">
        <f t="shared" ref="C4867:C4930" si="158">(B4867*100/600)</f>
        <v>31.258333333333333</v>
      </c>
      <c r="D4867" s="37">
        <v>4.4219999999999997</v>
      </c>
      <c r="E4867" s="33">
        <f t="shared" si="157"/>
        <v>1.5998293515358968E-4</v>
      </c>
    </row>
    <row r="4868" spans="1:5" x14ac:dyDescent="0.25">
      <c r="A4868" s="41">
        <v>43668</v>
      </c>
      <c r="B4868" s="29">
        <v>188.33</v>
      </c>
      <c r="C4868" s="37">
        <f t="shared" si="158"/>
        <v>31.388333333333332</v>
      </c>
      <c r="D4868" s="37">
        <v>4.4219999999999997</v>
      </c>
      <c r="E4868" s="33">
        <f t="shared" ref="E4868:E4931" si="159">(B4868-B4867)/B4867</f>
        <v>4.1588909624100294E-3</v>
      </c>
    </row>
    <row r="4869" spans="1:5" x14ac:dyDescent="0.25">
      <c r="A4869" s="41">
        <v>43668</v>
      </c>
      <c r="B4869" s="29">
        <v>187.61</v>
      </c>
      <c r="C4869" s="37">
        <f t="shared" si="158"/>
        <v>31.268333333333334</v>
      </c>
      <c r="D4869" s="37">
        <v>4.4219999999999997</v>
      </c>
      <c r="E4869" s="33">
        <f t="shared" si="159"/>
        <v>-3.823076514628571E-3</v>
      </c>
    </row>
    <row r="4870" spans="1:5" x14ac:dyDescent="0.25">
      <c r="A4870" s="41">
        <v>43668</v>
      </c>
      <c r="B4870" s="29">
        <v>187.45</v>
      </c>
      <c r="C4870" s="37">
        <f t="shared" si="158"/>
        <v>31.241666666666667</v>
      </c>
      <c r="D4870" s="37">
        <v>4.4219999999999997</v>
      </c>
      <c r="E4870" s="33">
        <f t="shared" si="159"/>
        <v>-8.5283300463741274E-4</v>
      </c>
    </row>
    <row r="4871" spans="1:5" x14ac:dyDescent="0.25">
      <c r="A4871" s="41">
        <v>43668</v>
      </c>
      <c r="B4871" s="29">
        <v>187.24</v>
      </c>
      <c r="C4871" s="37">
        <f t="shared" si="158"/>
        <v>31.206666666666667</v>
      </c>
      <c r="D4871" s="37">
        <v>4.4219999999999997</v>
      </c>
      <c r="E4871" s="33">
        <f t="shared" si="159"/>
        <v>-1.1202987463322463E-3</v>
      </c>
    </row>
    <row r="4872" spans="1:5" x14ac:dyDescent="0.25">
      <c r="A4872" s="41">
        <v>43668</v>
      </c>
      <c r="B4872" s="29">
        <v>187.19</v>
      </c>
      <c r="C4872" s="37">
        <f t="shared" si="158"/>
        <v>31.198333333333334</v>
      </c>
      <c r="D4872" s="37">
        <v>4.4219999999999997</v>
      </c>
      <c r="E4872" s="33">
        <f t="shared" si="159"/>
        <v>-2.6703695791503615E-4</v>
      </c>
    </row>
    <row r="4873" spans="1:5" x14ac:dyDescent="0.25">
      <c r="A4873" s="41">
        <v>43668</v>
      </c>
      <c r="B4873" s="29">
        <v>186.66</v>
      </c>
      <c r="C4873" s="37">
        <f t="shared" si="158"/>
        <v>31.11</v>
      </c>
      <c r="D4873" s="37">
        <v>4.4219999999999997</v>
      </c>
      <c r="E4873" s="33">
        <f t="shared" si="159"/>
        <v>-2.8313478284096435E-3</v>
      </c>
    </row>
    <row r="4874" spans="1:5" x14ac:dyDescent="0.25">
      <c r="A4874" s="41">
        <v>43669</v>
      </c>
      <c r="B4874" s="29">
        <v>184.31</v>
      </c>
      <c r="C4874" s="37">
        <f t="shared" si="158"/>
        <v>30.718333333333334</v>
      </c>
      <c r="D4874" s="37">
        <v>4.71</v>
      </c>
      <c r="E4874" s="33">
        <f t="shared" si="159"/>
        <v>-1.2589735347690959E-2</v>
      </c>
    </row>
    <row r="4875" spans="1:5" x14ac:dyDescent="0.25">
      <c r="A4875" s="41">
        <v>43669</v>
      </c>
      <c r="B4875" s="29">
        <v>183.67</v>
      </c>
      <c r="C4875" s="37">
        <f t="shared" si="158"/>
        <v>30.611666666666668</v>
      </c>
      <c r="D4875" s="37">
        <v>4.71</v>
      </c>
      <c r="E4875" s="33">
        <f t="shared" si="159"/>
        <v>-3.472410612555015E-3</v>
      </c>
    </row>
    <row r="4876" spans="1:5" x14ac:dyDescent="0.25">
      <c r="A4876" s="41">
        <v>43669</v>
      </c>
      <c r="B4876" s="29">
        <v>182.8</v>
      </c>
      <c r="C4876" s="37">
        <f t="shared" si="158"/>
        <v>30.466666666666665</v>
      </c>
      <c r="D4876" s="37">
        <v>4.71</v>
      </c>
      <c r="E4876" s="33">
        <f t="shared" si="159"/>
        <v>-4.7367561387269353E-3</v>
      </c>
    </row>
    <row r="4877" spans="1:5" x14ac:dyDescent="0.25">
      <c r="A4877" s="41">
        <v>43669</v>
      </c>
      <c r="B4877" s="29">
        <v>182.96</v>
      </c>
      <c r="C4877" s="37">
        <f t="shared" si="158"/>
        <v>30.493333333333332</v>
      </c>
      <c r="D4877" s="37">
        <v>4.71</v>
      </c>
      <c r="E4877" s="33">
        <f t="shared" si="159"/>
        <v>8.7527352297591125E-4</v>
      </c>
    </row>
    <row r="4878" spans="1:5" x14ac:dyDescent="0.25">
      <c r="A4878" s="41">
        <v>43669</v>
      </c>
      <c r="B4878" s="29">
        <v>183.13</v>
      </c>
      <c r="C4878" s="37">
        <f t="shared" si="158"/>
        <v>30.521666666666668</v>
      </c>
      <c r="D4878" s="37">
        <v>4.71</v>
      </c>
      <c r="E4878" s="33">
        <f t="shared" si="159"/>
        <v>9.2916484477474583E-4</v>
      </c>
    </row>
    <row r="4879" spans="1:5" x14ac:dyDescent="0.25">
      <c r="A4879" s="41">
        <v>43669</v>
      </c>
      <c r="B4879" s="29">
        <v>184.03</v>
      </c>
      <c r="C4879" s="37">
        <f t="shared" si="158"/>
        <v>30.671666666666667</v>
      </c>
      <c r="D4879" s="37">
        <v>4.71</v>
      </c>
      <c r="E4879" s="33">
        <f t="shared" si="159"/>
        <v>4.9145415824824205E-3</v>
      </c>
    </row>
    <row r="4880" spans="1:5" x14ac:dyDescent="0.25">
      <c r="A4880" s="41">
        <v>43669</v>
      </c>
      <c r="B4880" s="29">
        <v>184.48</v>
      </c>
      <c r="C4880" s="37">
        <f t="shared" si="158"/>
        <v>30.746666666666666</v>
      </c>
      <c r="D4880" s="37">
        <v>4.71</v>
      </c>
      <c r="E4880" s="33">
        <f t="shared" si="159"/>
        <v>2.445253491278534E-3</v>
      </c>
    </row>
    <row r="4881" spans="1:5" x14ac:dyDescent="0.25">
      <c r="A4881" s="41">
        <v>43669</v>
      </c>
      <c r="B4881" s="29">
        <v>185.52</v>
      </c>
      <c r="C4881" s="37">
        <f t="shared" si="158"/>
        <v>30.92</v>
      </c>
      <c r="D4881" s="37">
        <v>4.71</v>
      </c>
      <c r="E4881" s="33">
        <f t="shared" si="159"/>
        <v>5.6374674761492877E-3</v>
      </c>
    </row>
    <row r="4882" spans="1:5" x14ac:dyDescent="0.25">
      <c r="A4882" s="41">
        <v>43669</v>
      </c>
      <c r="B4882" s="29">
        <v>187.24</v>
      </c>
      <c r="C4882" s="37">
        <f t="shared" si="158"/>
        <v>31.206666666666667</v>
      </c>
      <c r="D4882" s="37">
        <v>4.71</v>
      </c>
      <c r="E4882" s="33">
        <f t="shared" si="159"/>
        <v>9.271237602414828E-3</v>
      </c>
    </row>
    <row r="4883" spans="1:5" x14ac:dyDescent="0.25">
      <c r="A4883" s="41">
        <v>43669</v>
      </c>
      <c r="B4883" s="29">
        <v>187.5</v>
      </c>
      <c r="C4883" s="37">
        <f t="shared" si="158"/>
        <v>31.25</v>
      </c>
      <c r="D4883" s="37">
        <v>4.71</v>
      </c>
      <c r="E4883" s="33">
        <f t="shared" si="159"/>
        <v>1.3885921811578237E-3</v>
      </c>
    </row>
    <row r="4884" spans="1:5" x14ac:dyDescent="0.25">
      <c r="A4884" s="41">
        <v>43669</v>
      </c>
      <c r="B4884" s="29">
        <v>187.54</v>
      </c>
      <c r="C4884" s="37">
        <f t="shared" si="158"/>
        <v>31.256666666666668</v>
      </c>
      <c r="D4884" s="37">
        <v>4.71</v>
      </c>
      <c r="E4884" s="33">
        <f t="shared" si="159"/>
        <v>2.1333333333329089E-4</v>
      </c>
    </row>
    <row r="4885" spans="1:5" x14ac:dyDescent="0.25">
      <c r="A4885" s="41">
        <v>43669</v>
      </c>
      <c r="B4885" s="29">
        <v>187.58</v>
      </c>
      <c r="C4885" s="37">
        <f t="shared" si="158"/>
        <v>31.263333333333332</v>
      </c>
      <c r="D4885" s="37">
        <v>4.71</v>
      </c>
      <c r="E4885" s="33">
        <f t="shared" si="159"/>
        <v>2.1328783192929755E-4</v>
      </c>
    </row>
    <row r="4886" spans="1:5" x14ac:dyDescent="0.25">
      <c r="A4886" s="41">
        <v>43669</v>
      </c>
      <c r="B4886" s="29">
        <v>187.5</v>
      </c>
      <c r="C4886" s="37">
        <f t="shared" si="158"/>
        <v>31.25</v>
      </c>
      <c r="D4886" s="37">
        <v>4.71</v>
      </c>
      <c r="E4886" s="33">
        <f t="shared" si="159"/>
        <v>-4.2648469986145913E-4</v>
      </c>
    </row>
    <row r="4887" spans="1:5" x14ac:dyDescent="0.25">
      <c r="A4887" s="41">
        <v>43669</v>
      </c>
      <c r="B4887" s="29">
        <v>188.08</v>
      </c>
      <c r="C4887" s="37">
        <f t="shared" si="158"/>
        <v>31.346666666666668</v>
      </c>
      <c r="D4887" s="37">
        <v>4.71</v>
      </c>
      <c r="E4887" s="33">
        <f t="shared" si="159"/>
        <v>3.0933333333334001E-3</v>
      </c>
    </row>
    <row r="4888" spans="1:5" x14ac:dyDescent="0.25">
      <c r="A4888" s="41">
        <v>43669</v>
      </c>
      <c r="B4888" s="29">
        <v>188.31</v>
      </c>
      <c r="C4888" s="37">
        <f t="shared" si="158"/>
        <v>31.385000000000002</v>
      </c>
      <c r="D4888" s="37">
        <v>4.71</v>
      </c>
      <c r="E4888" s="33">
        <f t="shared" si="159"/>
        <v>1.2228838792002858E-3</v>
      </c>
    </row>
    <row r="4889" spans="1:5" x14ac:dyDescent="0.25">
      <c r="A4889" s="41">
        <v>43669</v>
      </c>
      <c r="B4889" s="29">
        <v>188.34</v>
      </c>
      <c r="C4889" s="37">
        <f t="shared" si="158"/>
        <v>31.39</v>
      </c>
      <c r="D4889" s="37">
        <v>4.71</v>
      </c>
      <c r="E4889" s="33">
        <f t="shared" si="159"/>
        <v>1.5931177314004109E-4</v>
      </c>
    </row>
    <row r="4890" spans="1:5" x14ac:dyDescent="0.25">
      <c r="A4890" s="41">
        <v>43669</v>
      </c>
      <c r="B4890" s="29">
        <v>188.3</v>
      </c>
      <c r="C4890" s="37">
        <f t="shared" si="158"/>
        <v>31.383333333333333</v>
      </c>
      <c r="D4890" s="37">
        <v>4.71</v>
      </c>
      <c r="E4890" s="33">
        <f t="shared" si="159"/>
        <v>-2.1238186258889266E-4</v>
      </c>
    </row>
    <row r="4891" spans="1:5" x14ac:dyDescent="0.25">
      <c r="A4891" s="41">
        <v>43669</v>
      </c>
      <c r="B4891" s="29">
        <v>188.27</v>
      </c>
      <c r="C4891" s="37">
        <f t="shared" si="158"/>
        <v>31.378333333333334</v>
      </c>
      <c r="D4891" s="37">
        <v>4.71</v>
      </c>
      <c r="E4891" s="33">
        <f t="shared" si="159"/>
        <v>-1.5932023366968209E-4</v>
      </c>
    </row>
    <row r="4892" spans="1:5" x14ac:dyDescent="0.25">
      <c r="A4892" s="41">
        <v>43669</v>
      </c>
      <c r="B4892" s="29">
        <v>188.69</v>
      </c>
      <c r="C4892" s="37">
        <f t="shared" si="158"/>
        <v>31.448333333333334</v>
      </c>
      <c r="D4892" s="37">
        <v>4.71</v>
      </c>
      <c r="E4892" s="33">
        <f t="shared" si="159"/>
        <v>2.2308386891166277E-3</v>
      </c>
    </row>
    <row r="4893" spans="1:5" x14ac:dyDescent="0.25">
      <c r="A4893" s="41">
        <v>43669</v>
      </c>
      <c r="B4893" s="29">
        <v>188.31</v>
      </c>
      <c r="C4893" s="37">
        <f t="shared" si="158"/>
        <v>31.385000000000002</v>
      </c>
      <c r="D4893" s="37">
        <v>4.71</v>
      </c>
      <c r="E4893" s="33">
        <f t="shared" si="159"/>
        <v>-2.013885208543089E-3</v>
      </c>
    </row>
    <row r="4894" spans="1:5" x14ac:dyDescent="0.25">
      <c r="A4894" s="41">
        <v>43669</v>
      </c>
      <c r="B4894" s="29">
        <v>188.17</v>
      </c>
      <c r="C4894" s="37">
        <f t="shared" si="158"/>
        <v>31.361666666666668</v>
      </c>
      <c r="D4894" s="37">
        <v>4.71</v>
      </c>
      <c r="E4894" s="33">
        <f t="shared" si="159"/>
        <v>-7.4345494132024208E-4</v>
      </c>
    </row>
    <row r="4895" spans="1:5" x14ac:dyDescent="0.25">
      <c r="A4895" s="41">
        <v>43669</v>
      </c>
      <c r="B4895" s="29">
        <v>188.14</v>
      </c>
      <c r="C4895" s="37">
        <f t="shared" si="158"/>
        <v>31.356666666666666</v>
      </c>
      <c r="D4895" s="37">
        <v>4.71</v>
      </c>
      <c r="E4895" s="33">
        <f t="shared" si="159"/>
        <v>-1.5943030238614624E-4</v>
      </c>
    </row>
    <row r="4896" spans="1:5" x14ac:dyDescent="0.25">
      <c r="A4896" s="41">
        <v>43669</v>
      </c>
      <c r="B4896" s="29">
        <v>187.1</v>
      </c>
      <c r="C4896" s="37">
        <f t="shared" si="158"/>
        <v>31.183333333333334</v>
      </c>
      <c r="D4896" s="37">
        <v>4.71</v>
      </c>
      <c r="E4896" s="33">
        <f t="shared" si="159"/>
        <v>-5.5277984479642399E-3</v>
      </c>
    </row>
    <row r="4897" spans="1:5" x14ac:dyDescent="0.25">
      <c r="A4897" s="41">
        <v>43669</v>
      </c>
      <c r="B4897" s="29">
        <v>186.1</v>
      </c>
      <c r="C4897" s="37">
        <f t="shared" si="158"/>
        <v>31.016666666666666</v>
      </c>
      <c r="D4897" s="37">
        <v>4.71</v>
      </c>
      <c r="E4897" s="33">
        <f t="shared" si="159"/>
        <v>-5.3447354355959384E-3</v>
      </c>
    </row>
    <row r="4898" spans="1:5" x14ac:dyDescent="0.25">
      <c r="A4898" s="41">
        <v>43670</v>
      </c>
      <c r="B4898" s="29">
        <v>184.65</v>
      </c>
      <c r="C4898" s="37">
        <f t="shared" si="158"/>
        <v>30.774999999999999</v>
      </c>
      <c r="D4898" s="37">
        <v>6.5990000000000002</v>
      </c>
      <c r="E4898" s="33">
        <f t="shared" si="159"/>
        <v>-7.7915099408919324E-3</v>
      </c>
    </row>
    <row r="4899" spans="1:5" x14ac:dyDescent="0.25">
      <c r="A4899" s="41">
        <v>43670</v>
      </c>
      <c r="B4899" s="29">
        <v>183.92</v>
      </c>
      <c r="C4899" s="37">
        <f t="shared" si="158"/>
        <v>30.653333333333332</v>
      </c>
      <c r="D4899" s="37">
        <v>6.5990000000000002</v>
      </c>
      <c r="E4899" s="33">
        <f t="shared" si="159"/>
        <v>-3.9534253994043768E-3</v>
      </c>
    </row>
    <row r="4900" spans="1:5" x14ac:dyDescent="0.25">
      <c r="A4900" s="41">
        <v>43670</v>
      </c>
      <c r="B4900" s="29">
        <v>183.23</v>
      </c>
      <c r="C4900" s="37">
        <f t="shared" si="158"/>
        <v>30.538333333333334</v>
      </c>
      <c r="D4900" s="37">
        <v>6.5990000000000002</v>
      </c>
      <c r="E4900" s="33">
        <f t="shared" si="159"/>
        <v>-3.7516311439756297E-3</v>
      </c>
    </row>
    <row r="4901" spans="1:5" x14ac:dyDescent="0.25">
      <c r="A4901" s="41">
        <v>43670</v>
      </c>
      <c r="B4901" s="29">
        <v>183.18</v>
      </c>
      <c r="C4901" s="37">
        <f t="shared" si="158"/>
        <v>30.53</v>
      </c>
      <c r="D4901" s="37">
        <v>6.5990000000000002</v>
      </c>
      <c r="E4901" s="33">
        <f t="shared" si="159"/>
        <v>-2.7288107842592888E-4</v>
      </c>
    </row>
    <row r="4902" spans="1:5" x14ac:dyDescent="0.25">
      <c r="A4902" s="41">
        <v>43670</v>
      </c>
      <c r="B4902" s="29">
        <v>183.14</v>
      </c>
      <c r="C4902" s="37">
        <f t="shared" si="158"/>
        <v>30.523333333333333</v>
      </c>
      <c r="D4902" s="37">
        <v>6.5990000000000002</v>
      </c>
      <c r="E4902" s="33">
        <f t="shared" si="159"/>
        <v>-2.1836445026760816E-4</v>
      </c>
    </row>
    <row r="4903" spans="1:5" x14ac:dyDescent="0.25">
      <c r="A4903" s="41">
        <v>43670</v>
      </c>
      <c r="B4903" s="29">
        <v>183.32</v>
      </c>
      <c r="C4903" s="37">
        <f t="shared" si="158"/>
        <v>30.553333333333335</v>
      </c>
      <c r="D4903" s="37">
        <v>6.5990000000000002</v>
      </c>
      <c r="E4903" s="33">
        <f t="shared" si="159"/>
        <v>9.8285464671839478E-4</v>
      </c>
    </row>
    <row r="4904" spans="1:5" x14ac:dyDescent="0.25">
      <c r="A4904" s="41">
        <v>43670</v>
      </c>
      <c r="B4904" s="29">
        <v>184.59</v>
      </c>
      <c r="C4904" s="37">
        <f t="shared" si="158"/>
        <v>30.765000000000001</v>
      </c>
      <c r="D4904" s="37">
        <v>6.5990000000000002</v>
      </c>
      <c r="E4904" s="33">
        <f t="shared" si="159"/>
        <v>6.9277765655684611E-3</v>
      </c>
    </row>
    <row r="4905" spans="1:5" x14ac:dyDescent="0.25">
      <c r="A4905" s="41">
        <v>43670</v>
      </c>
      <c r="B4905" s="29">
        <v>185.35</v>
      </c>
      <c r="C4905" s="37">
        <f t="shared" si="158"/>
        <v>30.891666666666666</v>
      </c>
      <c r="D4905" s="37">
        <v>6.5990000000000002</v>
      </c>
      <c r="E4905" s="33">
        <f t="shared" si="159"/>
        <v>4.1172327861747167E-3</v>
      </c>
    </row>
    <row r="4906" spans="1:5" x14ac:dyDescent="0.25">
      <c r="A4906" s="41">
        <v>43670</v>
      </c>
      <c r="B4906" s="29">
        <v>186.76</v>
      </c>
      <c r="C4906" s="37">
        <f t="shared" si="158"/>
        <v>31.126666666666665</v>
      </c>
      <c r="D4906" s="37">
        <v>6.5990000000000002</v>
      </c>
      <c r="E4906" s="33">
        <f t="shared" si="159"/>
        <v>7.6072295656865211E-3</v>
      </c>
    </row>
    <row r="4907" spans="1:5" x14ac:dyDescent="0.25">
      <c r="A4907" s="41">
        <v>43670</v>
      </c>
      <c r="B4907" s="29">
        <v>187.48</v>
      </c>
      <c r="C4907" s="37">
        <f t="shared" si="158"/>
        <v>31.246666666666666</v>
      </c>
      <c r="D4907" s="37">
        <v>6.5990000000000002</v>
      </c>
      <c r="E4907" s="33">
        <f t="shared" si="159"/>
        <v>3.8552152495180923E-3</v>
      </c>
    </row>
    <row r="4908" spans="1:5" x14ac:dyDescent="0.25">
      <c r="A4908" s="41">
        <v>43670</v>
      </c>
      <c r="B4908" s="29">
        <v>188.81</v>
      </c>
      <c r="C4908" s="37">
        <f t="shared" si="158"/>
        <v>31.468333333333334</v>
      </c>
      <c r="D4908" s="37">
        <v>6.5990000000000002</v>
      </c>
      <c r="E4908" s="33">
        <f t="shared" si="159"/>
        <v>7.0940900362706028E-3</v>
      </c>
    </row>
    <row r="4909" spans="1:5" x14ac:dyDescent="0.25">
      <c r="A4909" s="41">
        <v>43670</v>
      </c>
      <c r="B4909" s="29">
        <v>188.92</v>
      </c>
      <c r="C4909" s="37">
        <f t="shared" si="158"/>
        <v>31.486666666666668</v>
      </c>
      <c r="D4909" s="37">
        <v>6.5990000000000002</v>
      </c>
      <c r="E4909" s="33">
        <f t="shared" si="159"/>
        <v>5.8259626079119333E-4</v>
      </c>
    </row>
    <row r="4910" spans="1:5" x14ac:dyDescent="0.25">
      <c r="A4910" s="41">
        <v>43670</v>
      </c>
      <c r="B4910" s="29">
        <v>188.68</v>
      </c>
      <c r="C4910" s="37">
        <f t="shared" si="158"/>
        <v>31.446666666666665</v>
      </c>
      <c r="D4910" s="37">
        <v>6.5990000000000002</v>
      </c>
      <c r="E4910" s="33">
        <f t="shared" si="159"/>
        <v>-1.2703789964004907E-3</v>
      </c>
    </row>
    <row r="4911" spans="1:5" x14ac:dyDescent="0.25">
      <c r="A4911" s="41">
        <v>43670</v>
      </c>
      <c r="B4911" s="29">
        <v>188.86</v>
      </c>
      <c r="C4911" s="37">
        <f t="shared" si="158"/>
        <v>31.476666666666667</v>
      </c>
      <c r="D4911" s="37">
        <v>6.5990000000000002</v>
      </c>
      <c r="E4911" s="33">
        <f t="shared" si="159"/>
        <v>9.539961840153001E-4</v>
      </c>
    </row>
    <row r="4912" spans="1:5" x14ac:dyDescent="0.25">
      <c r="A4912" s="41">
        <v>43670</v>
      </c>
      <c r="B4912" s="29">
        <v>188.93</v>
      </c>
      <c r="C4912" s="37">
        <f t="shared" si="158"/>
        <v>31.488333333333333</v>
      </c>
      <c r="D4912" s="37">
        <v>6.5990000000000002</v>
      </c>
      <c r="E4912" s="33">
        <f t="shared" si="159"/>
        <v>3.7064492216453023E-4</v>
      </c>
    </row>
    <row r="4913" spans="1:5" x14ac:dyDescent="0.25">
      <c r="A4913" s="41">
        <v>43670</v>
      </c>
      <c r="B4913" s="29">
        <v>189.39</v>
      </c>
      <c r="C4913" s="37">
        <f t="shared" si="158"/>
        <v>31.565000000000001</v>
      </c>
      <c r="D4913" s="37">
        <v>6.5990000000000002</v>
      </c>
      <c r="E4913" s="33">
        <f t="shared" si="159"/>
        <v>2.4347641983802439E-3</v>
      </c>
    </row>
    <row r="4914" spans="1:5" x14ac:dyDescent="0.25">
      <c r="A4914" s="41">
        <v>43670</v>
      </c>
      <c r="B4914" s="29">
        <v>189.69</v>
      </c>
      <c r="C4914" s="37">
        <f t="shared" si="158"/>
        <v>31.614999999999998</v>
      </c>
      <c r="D4914" s="37">
        <v>6.5990000000000002</v>
      </c>
      <c r="E4914" s="33">
        <f t="shared" si="159"/>
        <v>1.5840329478853761E-3</v>
      </c>
    </row>
    <row r="4915" spans="1:5" x14ac:dyDescent="0.25">
      <c r="A4915" s="41">
        <v>43670</v>
      </c>
      <c r="B4915" s="29">
        <v>189.73</v>
      </c>
      <c r="C4915" s="37">
        <f t="shared" si="158"/>
        <v>31.621666666666666</v>
      </c>
      <c r="D4915" s="37">
        <v>6.5990000000000002</v>
      </c>
      <c r="E4915" s="33">
        <f t="shared" si="159"/>
        <v>2.1087036744157331E-4</v>
      </c>
    </row>
    <row r="4916" spans="1:5" x14ac:dyDescent="0.25">
      <c r="A4916" s="41">
        <v>43670</v>
      </c>
      <c r="B4916" s="29">
        <v>190.73</v>
      </c>
      <c r="C4916" s="37">
        <f t="shared" si="158"/>
        <v>31.788333333333334</v>
      </c>
      <c r="D4916" s="37">
        <v>6.5990000000000002</v>
      </c>
      <c r="E4916" s="33">
        <f t="shared" si="159"/>
        <v>5.2706477626100253E-3</v>
      </c>
    </row>
    <row r="4917" spans="1:5" x14ac:dyDescent="0.25">
      <c r="A4917" s="41">
        <v>43670</v>
      </c>
      <c r="B4917" s="29">
        <v>189.73</v>
      </c>
      <c r="C4917" s="37">
        <f t="shared" si="158"/>
        <v>31.621666666666666</v>
      </c>
      <c r="D4917" s="37">
        <v>6.5990000000000002</v>
      </c>
      <c r="E4917" s="33">
        <f t="shared" si="159"/>
        <v>-5.2430136842657165E-3</v>
      </c>
    </row>
    <row r="4918" spans="1:5" x14ac:dyDescent="0.25">
      <c r="A4918" s="41">
        <v>43670</v>
      </c>
      <c r="B4918" s="29">
        <v>188.62</v>
      </c>
      <c r="C4918" s="37">
        <f t="shared" si="158"/>
        <v>31.436666666666667</v>
      </c>
      <c r="D4918" s="37">
        <v>6.5990000000000002</v>
      </c>
      <c r="E4918" s="33">
        <f t="shared" si="159"/>
        <v>-5.8504190164970502E-3</v>
      </c>
    </row>
    <row r="4919" spans="1:5" x14ac:dyDescent="0.25">
      <c r="A4919" s="41">
        <v>43670</v>
      </c>
      <c r="B4919" s="29">
        <v>188.59</v>
      </c>
      <c r="C4919" s="37">
        <f t="shared" si="158"/>
        <v>31.431666666666668</v>
      </c>
      <c r="D4919" s="37">
        <v>6.5990000000000002</v>
      </c>
      <c r="E4919" s="33">
        <f t="shared" si="159"/>
        <v>-1.5904994168169408E-4</v>
      </c>
    </row>
    <row r="4920" spans="1:5" x14ac:dyDescent="0.25">
      <c r="A4920" s="41">
        <v>43670</v>
      </c>
      <c r="B4920" s="29">
        <v>187.62</v>
      </c>
      <c r="C4920" s="37">
        <f t="shared" si="158"/>
        <v>31.27</v>
      </c>
      <c r="D4920" s="37">
        <v>6.5990000000000002</v>
      </c>
      <c r="E4920" s="33">
        <f t="shared" si="159"/>
        <v>-5.1434328437350808E-3</v>
      </c>
    </row>
    <row r="4921" spans="1:5" x14ac:dyDescent="0.25">
      <c r="A4921" s="41">
        <v>43670</v>
      </c>
      <c r="B4921" s="29">
        <v>186.05</v>
      </c>
      <c r="C4921" s="37">
        <f t="shared" si="158"/>
        <v>31.008333333333333</v>
      </c>
      <c r="D4921" s="37">
        <v>6.5990000000000002</v>
      </c>
      <c r="E4921" s="33">
        <f t="shared" si="159"/>
        <v>-8.3679778275236819E-3</v>
      </c>
    </row>
    <row r="4922" spans="1:5" x14ac:dyDescent="0.25">
      <c r="A4922" s="41">
        <v>43671</v>
      </c>
      <c r="B4922" s="29">
        <v>183.43</v>
      </c>
      <c r="C4922" s="37">
        <f t="shared" si="158"/>
        <v>30.571666666666665</v>
      </c>
      <c r="D4922" s="37">
        <v>5.5110000000000001</v>
      </c>
      <c r="E4922" s="33">
        <f t="shared" si="159"/>
        <v>-1.408223595807581E-2</v>
      </c>
    </row>
    <row r="4923" spans="1:5" x14ac:dyDescent="0.25">
      <c r="A4923" s="41">
        <v>43671</v>
      </c>
      <c r="B4923" s="29">
        <v>182.75</v>
      </c>
      <c r="C4923" s="37">
        <f t="shared" si="158"/>
        <v>30.458333333333332</v>
      </c>
      <c r="D4923" s="37">
        <v>5.5110000000000001</v>
      </c>
      <c r="E4923" s="33">
        <f t="shared" si="159"/>
        <v>-3.7071362372567561E-3</v>
      </c>
    </row>
    <row r="4924" spans="1:5" x14ac:dyDescent="0.25">
      <c r="A4924" s="41">
        <v>43671</v>
      </c>
      <c r="B4924" s="29">
        <v>182.39</v>
      </c>
      <c r="C4924" s="37">
        <f t="shared" si="158"/>
        <v>30.398333333333333</v>
      </c>
      <c r="D4924" s="37">
        <v>5.5110000000000001</v>
      </c>
      <c r="E4924" s="33">
        <f t="shared" si="159"/>
        <v>-1.9699042407661485E-3</v>
      </c>
    </row>
    <row r="4925" spans="1:5" x14ac:dyDescent="0.25">
      <c r="A4925" s="41">
        <v>43671</v>
      </c>
      <c r="B4925" s="29">
        <v>182.39</v>
      </c>
      <c r="C4925" s="37">
        <f t="shared" si="158"/>
        <v>30.398333333333333</v>
      </c>
      <c r="D4925" s="37">
        <v>5.5110000000000001</v>
      </c>
      <c r="E4925" s="33">
        <f t="shared" si="159"/>
        <v>0</v>
      </c>
    </row>
    <row r="4926" spans="1:5" x14ac:dyDescent="0.25">
      <c r="A4926" s="41">
        <v>43671</v>
      </c>
      <c r="B4926" s="29">
        <v>182.4</v>
      </c>
      <c r="C4926" s="37">
        <f t="shared" si="158"/>
        <v>30.4</v>
      </c>
      <c r="D4926" s="37">
        <v>5.5110000000000001</v>
      </c>
      <c r="E4926" s="33">
        <f t="shared" si="159"/>
        <v>5.4827567300944829E-5</v>
      </c>
    </row>
    <row r="4927" spans="1:5" x14ac:dyDescent="0.25">
      <c r="A4927" s="41">
        <v>43671</v>
      </c>
      <c r="B4927" s="29">
        <v>182.44</v>
      </c>
      <c r="C4927" s="37">
        <f t="shared" si="158"/>
        <v>30.406666666666666</v>
      </c>
      <c r="D4927" s="37">
        <v>5.5110000000000001</v>
      </c>
      <c r="E4927" s="33">
        <f t="shared" si="159"/>
        <v>2.1929824561399145E-4</v>
      </c>
    </row>
    <row r="4928" spans="1:5" x14ac:dyDescent="0.25">
      <c r="A4928" s="41">
        <v>43671</v>
      </c>
      <c r="B4928" s="29">
        <v>183.15</v>
      </c>
      <c r="C4928" s="37">
        <f t="shared" si="158"/>
        <v>30.524999999999999</v>
      </c>
      <c r="D4928" s="37">
        <v>5.5110000000000001</v>
      </c>
      <c r="E4928" s="33">
        <f t="shared" si="159"/>
        <v>3.8916904187678578E-3</v>
      </c>
    </row>
    <row r="4929" spans="1:5" x14ac:dyDescent="0.25">
      <c r="A4929" s="41">
        <v>43671</v>
      </c>
      <c r="B4929" s="29">
        <v>184.96</v>
      </c>
      <c r="C4929" s="37">
        <f t="shared" si="158"/>
        <v>30.826666666666668</v>
      </c>
      <c r="D4929" s="37">
        <v>5.5110000000000001</v>
      </c>
      <c r="E4929" s="33">
        <f t="shared" si="159"/>
        <v>9.8826098826098954E-3</v>
      </c>
    </row>
    <row r="4930" spans="1:5" x14ac:dyDescent="0.25">
      <c r="A4930" s="41">
        <v>43671</v>
      </c>
      <c r="B4930" s="29">
        <v>186.57</v>
      </c>
      <c r="C4930" s="37">
        <f t="shared" si="158"/>
        <v>31.094999999999999</v>
      </c>
      <c r="D4930" s="37">
        <v>5.5110000000000001</v>
      </c>
      <c r="E4930" s="33">
        <f t="shared" si="159"/>
        <v>8.7045847750864252E-3</v>
      </c>
    </row>
    <row r="4931" spans="1:5" x14ac:dyDescent="0.25">
      <c r="A4931" s="41">
        <v>43671</v>
      </c>
      <c r="B4931" s="29">
        <v>187.23</v>
      </c>
      <c r="C4931" s="37">
        <f t="shared" ref="C4931:C4994" si="160">(B4931*100/600)</f>
        <v>31.204999999999998</v>
      </c>
      <c r="D4931" s="37">
        <v>5.5110000000000001</v>
      </c>
      <c r="E4931" s="33">
        <f t="shared" si="159"/>
        <v>3.5375462292972963E-3</v>
      </c>
    </row>
    <row r="4932" spans="1:5" x14ac:dyDescent="0.25">
      <c r="A4932" s="41">
        <v>43671</v>
      </c>
      <c r="B4932" s="29">
        <v>187.31</v>
      </c>
      <c r="C4932" s="37">
        <f t="shared" si="160"/>
        <v>31.218333333333334</v>
      </c>
      <c r="D4932" s="37">
        <v>5.5110000000000001</v>
      </c>
      <c r="E4932" s="33">
        <f t="shared" ref="E4932:E4995" si="161">(B4932-B4931)/B4931</f>
        <v>4.2728195267859053E-4</v>
      </c>
    </row>
    <row r="4933" spans="1:5" x14ac:dyDescent="0.25">
      <c r="A4933" s="41">
        <v>43671</v>
      </c>
      <c r="B4933" s="29">
        <v>187.32</v>
      </c>
      <c r="C4933" s="37">
        <f t="shared" si="160"/>
        <v>31.22</v>
      </c>
      <c r="D4933" s="37">
        <v>5.5110000000000001</v>
      </c>
      <c r="E4933" s="33">
        <f t="shared" si="161"/>
        <v>5.3387432598317786E-5</v>
      </c>
    </row>
    <row r="4934" spans="1:5" x14ac:dyDescent="0.25">
      <c r="A4934" s="41">
        <v>43671</v>
      </c>
      <c r="B4934" s="29">
        <v>187.25</v>
      </c>
      <c r="C4934" s="37">
        <f t="shared" si="160"/>
        <v>31.208333333333332</v>
      </c>
      <c r="D4934" s="37">
        <v>5.5110000000000001</v>
      </c>
      <c r="E4934" s="33">
        <f t="shared" si="161"/>
        <v>-3.7369207772791575E-4</v>
      </c>
    </row>
    <row r="4935" spans="1:5" x14ac:dyDescent="0.25">
      <c r="A4935" s="41">
        <v>43671</v>
      </c>
      <c r="B4935" s="29">
        <v>187.32</v>
      </c>
      <c r="C4935" s="37">
        <f t="shared" si="160"/>
        <v>31.22</v>
      </c>
      <c r="D4935" s="37">
        <v>5.5110000000000001</v>
      </c>
      <c r="E4935" s="33">
        <f t="shared" si="161"/>
        <v>3.7383177570089813E-4</v>
      </c>
    </row>
    <row r="4936" spans="1:5" x14ac:dyDescent="0.25">
      <c r="A4936" s="41">
        <v>43671</v>
      </c>
      <c r="B4936" s="29">
        <v>187.65</v>
      </c>
      <c r="C4936" s="37">
        <f t="shared" si="160"/>
        <v>31.274999999999999</v>
      </c>
      <c r="D4936" s="37">
        <v>5.5110000000000001</v>
      </c>
      <c r="E4936" s="33">
        <f t="shared" si="161"/>
        <v>1.7616912235746984E-3</v>
      </c>
    </row>
    <row r="4937" spans="1:5" x14ac:dyDescent="0.25">
      <c r="A4937" s="41">
        <v>43671</v>
      </c>
      <c r="B4937" s="29">
        <v>187.62</v>
      </c>
      <c r="C4937" s="37">
        <f t="shared" si="160"/>
        <v>31.27</v>
      </c>
      <c r="D4937" s="37">
        <v>5.5110000000000001</v>
      </c>
      <c r="E4937" s="33">
        <f t="shared" si="161"/>
        <v>-1.5987210231815154E-4</v>
      </c>
    </row>
    <row r="4938" spans="1:5" x14ac:dyDescent="0.25">
      <c r="A4938" s="41">
        <v>43671</v>
      </c>
      <c r="B4938" s="29">
        <v>187.58</v>
      </c>
      <c r="C4938" s="37">
        <f t="shared" si="160"/>
        <v>31.263333333333332</v>
      </c>
      <c r="D4938" s="37">
        <v>5.5110000000000001</v>
      </c>
      <c r="E4938" s="33">
        <f t="shared" si="161"/>
        <v>-2.1319688732540263E-4</v>
      </c>
    </row>
    <row r="4939" spans="1:5" x14ac:dyDescent="0.25">
      <c r="A4939" s="41">
        <v>43671</v>
      </c>
      <c r="B4939" s="29">
        <v>187.58</v>
      </c>
      <c r="C4939" s="37">
        <f t="shared" si="160"/>
        <v>31.263333333333332</v>
      </c>
      <c r="D4939" s="37">
        <v>5.5110000000000001</v>
      </c>
      <c r="E4939" s="33">
        <f t="shared" si="161"/>
        <v>0</v>
      </c>
    </row>
    <row r="4940" spans="1:5" x14ac:dyDescent="0.25">
      <c r="A4940" s="41">
        <v>43671</v>
      </c>
      <c r="B4940" s="29">
        <v>189.25</v>
      </c>
      <c r="C4940" s="37">
        <f t="shared" si="160"/>
        <v>31.541666666666668</v>
      </c>
      <c r="D4940" s="37">
        <v>5.5110000000000001</v>
      </c>
      <c r="E4940" s="33">
        <f t="shared" si="161"/>
        <v>8.9028681096065005E-3</v>
      </c>
    </row>
    <row r="4941" spans="1:5" x14ac:dyDescent="0.25">
      <c r="A4941" s="41">
        <v>43671</v>
      </c>
      <c r="B4941" s="29">
        <v>188.2</v>
      </c>
      <c r="C4941" s="37">
        <f t="shared" si="160"/>
        <v>31.366666666666667</v>
      </c>
      <c r="D4941" s="37">
        <v>5.5110000000000001</v>
      </c>
      <c r="E4941" s="33">
        <f t="shared" si="161"/>
        <v>-5.5482166446499939E-3</v>
      </c>
    </row>
    <row r="4942" spans="1:5" x14ac:dyDescent="0.25">
      <c r="A4942" s="41">
        <v>43671</v>
      </c>
      <c r="B4942" s="29">
        <v>187.45</v>
      </c>
      <c r="C4942" s="37">
        <f t="shared" si="160"/>
        <v>31.241666666666667</v>
      </c>
      <c r="D4942" s="37">
        <v>5.5110000000000001</v>
      </c>
      <c r="E4942" s="33">
        <f t="shared" si="161"/>
        <v>-3.985122210414453E-3</v>
      </c>
    </row>
    <row r="4943" spans="1:5" x14ac:dyDescent="0.25">
      <c r="A4943" s="41">
        <v>43671</v>
      </c>
      <c r="B4943" s="29">
        <v>187.42</v>
      </c>
      <c r="C4943" s="37">
        <f t="shared" si="160"/>
        <v>31.236666666666668</v>
      </c>
      <c r="D4943" s="37">
        <v>5.5110000000000001</v>
      </c>
      <c r="E4943" s="33">
        <f t="shared" si="161"/>
        <v>-1.600426780474854E-4</v>
      </c>
    </row>
    <row r="4944" spans="1:5" x14ac:dyDescent="0.25">
      <c r="A4944" s="41">
        <v>43671</v>
      </c>
      <c r="B4944" s="29">
        <v>186.76</v>
      </c>
      <c r="C4944" s="37">
        <f t="shared" si="160"/>
        <v>31.126666666666665</v>
      </c>
      <c r="D4944" s="37">
        <v>5.5110000000000001</v>
      </c>
      <c r="E4944" s="33">
        <f t="shared" si="161"/>
        <v>-3.5215025077366163E-3</v>
      </c>
    </row>
    <row r="4945" spans="1:5" x14ac:dyDescent="0.25">
      <c r="A4945" s="41">
        <v>43671</v>
      </c>
      <c r="B4945" s="29">
        <v>184.89</v>
      </c>
      <c r="C4945" s="37">
        <f t="shared" si="160"/>
        <v>30.815000000000001</v>
      </c>
      <c r="D4945" s="37">
        <v>5.5110000000000001</v>
      </c>
      <c r="E4945" s="33">
        <f t="shared" si="161"/>
        <v>-1.0012850717498419E-2</v>
      </c>
    </row>
    <row r="4946" spans="1:5" x14ac:dyDescent="0.25">
      <c r="A4946" s="41">
        <v>43672</v>
      </c>
      <c r="B4946" s="29">
        <v>182.65</v>
      </c>
      <c r="C4946" s="37">
        <f t="shared" si="160"/>
        <v>30.441666666666666</v>
      </c>
      <c r="D4946" s="37">
        <v>4.8680000000000003</v>
      </c>
      <c r="E4946" s="33">
        <f t="shared" si="161"/>
        <v>-1.2115311807020288E-2</v>
      </c>
    </row>
    <row r="4947" spans="1:5" x14ac:dyDescent="0.25">
      <c r="A4947" s="41">
        <v>43672</v>
      </c>
      <c r="B4947" s="29">
        <v>182.58</v>
      </c>
      <c r="C4947" s="37">
        <f t="shared" si="160"/>
        <v>30.43</v>
      </c>
      <c r="D4947" s="37">
        <v>4.8680000000000003</v>
      </c>
      <c r="E4947" s="33">
        <f t="shared" si="161"/>
        <v>-3.8324664659180496E-4</v>
      </c>
    </row>
    <row r="4948" spans="1:5" x14ac:dyDescent="0.25">
      <c r="A4948" s="41">
        <v>43672</v>
      </c>
      <c r="B4948" s="29">
        <v>182.06</v>
      </c>
      <c r="C4948" s="37">
        <f t="shared" si="160"/>
        <v>30.343333333333334</v>
      </c>
      <c r="D4948" s="37">
        <v>4.8680000000000003</v>
      </c>
      <c r="E4948" s="33">
        <f t="shared" si="161"/>
        <v>-2.8480666009421088E-3</v>
      </c>
    </row>
    <row r="4949" spans="1:5" x14ac:dyDescent="0.25">
      <c r="A4949" s="41">
        <v>43672</v>
      </c>
      <c r="B4949" s="29">
        <v>181.99</v>
      </c>
      <c r="C4949" s="37">
        <f t="shared" si="160"/>
        <v>30.331666666666667</v>
      </c>
      <c r="D4949" s="37">
        <v>4.8680000000000003</v>
      </c>
      <c r="E4949" s="33">
        <f t="shared" si="161"/>
        <v>-3.8448863012190035E-4</v>
      </c>
    </row>
    <row r="4950" spans="1:5" x14ac:dyDescent="0.25">
      <c r="A4950" s="41">
        <v>43672</v>
      </c>
      <c r="B4950" s="29">
        <v>181.99</v>
      </c>
      <c r="C4950" s="37">
        <f t="shared" si="160"/>
        <v>30.331666666666667</v>
      </c>
      <c r="D4950" s="37">
        <v>4.8680000000000003</v>
      </c>
      <c r="E4950" s="33">
        <f t="shared" si="161"/>
        <v>0</v>
      </c>
    </row>
    <row r="4951" spans="1:5" x14ac:dyDescent="0.25">
      <c r="A4951" s="41">
        <v>43672</v>
      </c>
      <c r="B4951" s="29">
        <v>182.49</v>
      </c>
      <c r="C4951" s="37">
        <f t="shared" si="160"/>
        <v>30.414999999999999</v>
      </c>
      <c r="D4951" s="37">
        <v>4.8680000000000003</v>
      </c>
      <c r="E4951" s="33">
        <f t="shared" si="161"/>
        <v>2.7474037035001924E-3</v>
      </c>
    </row>
    <row r="4952" spans="1:5" x14ac:dyDescent="0.25">
      <c r="A4952" s="41">
        <v>43672</v>
      </c>
      <c r="B4952" s="29">
        <v>183.16</v>
      </c>
      <c r="C4952" s="37">
        <f t="shared" si="160"/>
        <v>30.526666666666667</v>
      </c>
      <c r="D4952" s="37">
        <v>4.8680000000000003</v>
      </c>
      <c r="E4952" s="33">
        <f t="shared" si="161"/>
        <v>3.6714340511808177E-3</v>
      </c>
    </row>
    <row r="4953" spans="1:5" x14ac:dyDescent="0.25">
      <c r="A4953" s="41">
        <v>43672</v>
      </c>
      <c r="B4953" s="29">
        <v>184.56</v>
      </c>
      <c r="C4953" s="37">
        <f t="shared" si="160"/>
        <v>30.76</v>
      </c>
      <c r="D4953" s="37">
        <v>4.8680000000000003</v>
      </c>
      <c r="E4953" s="33">
        <f t="shared" si="161"/>
        <v>7.6435903035597602E-3</v>
      </c>
    </row>
    <row r="4954" spans="1:5" x14ac:dyDescent="0.25">
      <c r="A4954" s="41">
        <v>43672</v>
      </c>
      <c r="B4954" s="29">
        <v>186.81</v>
      </c>
      <c r="C4954" s="37">
        <f t="shared" si="160"/>
        <v>31.135000000000002</v>
      </c>
      <c r="D4954" s="37">
        <v>4.8680000000000003</v>
      </c>
      <c r="E4954" s="33">
        <f t="shared" si="161"/>
        <v>1.2191157347204161E-2</v>
      </c>
    </row>
    <row r="4955" spans="1:5" x14ac:dyDescent="0.25">
      <c r="A4955" s="41">
        <v>43672</v>
      </c>
      <c r="B4955" s="29">
        <v>187.6</v>
      </c>
      <c r="C4955" s="37">
        <f t="shared" si="160"/>
        <v>31.266666666666666</v>
      </c>
      <c r="D4955" s="37">
        <v>4.8680000000000003</v>
      </c>
      <c r="E4955" s="33">
        <f t="shared" si="161"/>
        <v>4.2288956693966708E-3</v>
      </c>
    </row>
    <row r="4956" spans="1:5" x14ac:dyDescent="0.25">
      <c r="A4956" s="41">
        <v>43672</v>
      </c>
      <c r="B4956" s="29">
        <v>188.33</v>
      </c>
      <c r="C4956" s="37">
        <f t="shared" si="160"/>
        <v>31.388333333333332</v>
      </c>
      <c r="D4956" s="37">
        <v>4.8680000000000003</v>
      </c>
      <c r="E4956" s="33">
        <f t="shared" si="161"/>
        <v>3.8912579957357048E-3</v>
      </c>
    </row>
    <row r="4957" spans="1:5" x14ac:dyDescent="0.25">
      <c r="A4957" s="41">
        <v>43672</v>
      </c>
      <c r="B4957" s="29">
        <v>188.31</v>
      </c>
      <c r="C4957" s="37">
        <f t="shared" si="160"/>
        <v>31.385000000000002</v>
      </c>
      <c r="D4957" s="37">
        <v>4.8680000000000003</v>
      </c>
      <c r="E4957" s="33">
        <f t="shared" si="161"/>
        <v>-1.0619656985084815E-4</v>
      </c>
    </row>
    <row r="4958" spans="1:5" x14ac:dyDescent="0.25">
      <c r="A4958" s="41">
        <v>43672</v>
      </c>
      <c r="B4958" s="29">
        <v>187.66</v>
      </c>
      <c r="C4958" s="37">
        <f t="shared" si="160"/>
        <v>31.276666666666667</v>
      </c>
      <c r="D4958" s="37">
        <v>4.8680000000000003</v>
      </c>
      <c r="E4958" s="33">
        <f t="shared" si="161"/>
        <v>-3.4517550847007897E-3</v>
      </c>
    </row>
    <row r="4959" spans="1:5" x14ac:dyDescent="0.25">
      <c r="A4959" s="41">
        <v>43672</v>
      </c>
      <c r="B4959" s="29">
        <v>188.6</v>
      </c>
      <c r="C4959" s="37">
        <f t="shared" si="160"/>
        <v>31.433333333333334</v>
      </c>
      <c r="D4959" s="37">
        <v>4.8680000000000003</v>
      </c>
      <c r="E4959" s="33">
        <f t="shared" si="161"/>
        <v>5.0090589363742822E-3</v>
      </c>
    </row>
    <row r="4960" spans="1:5" x14ac:dyDescent="0.25">
      <c r="A4960" s="41">
        <v>43672</v>
      </c>
      <c r="B4960" s="29">
        <v>189.29</v>
      </c>
      <c r="C4960" s="37">
        <f t="shared" si="160"/>
        <v>31.548333333333332</v>
      </c>
      <c r="D4960" s="37">
        <v>4.8680000000000003</v>
      </c>
      <c r="E4960" s="33">
        <f t="shared" si="161"/>
        <v>3.6585365853658417E-3</v>
      </c>
    </row>
    <row r="4961" spans="1:5" x14ac:dyDescent="0.25">
      <c r="A4961" s="41">
        <v>43672</v>
      </c>
      <c r="B4961" s="29">
        <v>189.49</v>
      </c>
      <c r="C4961" s="37">
        <f t="shared" si="160"/>
        <v>31.581666666666667</v>
      </c>
      <c r="D4961" s="37">
        <v>4.8680000000000003</v>
      </c>
      <c r="E4961" s="33">
        <f t="shared" si="161"/>
        <v>1.0565798510223311E-3</v>
      </c>
    </row>
    <row r="4962" spans="1:5" x14ac:dyDescent="0.25">
      <c r="A4962" s="41">
        <v>43672</v>
      </c>
      <c r="B4962" s="29">
        <v>189.5</v>
      </c>
      <c r="C4962" s="37">
        <f t="shared" si="160"/>
        <v>31.583333333333332</v>
      </c>
      <c r="D4962" s="37">
        <v>4.8680000000000003</v>
      </c>
      <c r="E4962" s="33">
        <f t="shared" si="161"/>
        <v>5.2773233415963401E-5</v>
      </c>
    </row>
    <row r="4963" spans="1:5" x14ac:dyDescent="0.25">
      <c r="A4963" s="41">
        <v>43672</v>
      </c>
      <c r="B4963" s="29">
        <v>189.2</v>
      </c>
      <c r="C4963" s="37">
        <f t="shared" si="160"/>
        <v>31.533333333333335</v>
      </c>
      <c r="D4963" s="37">
        <v>4.8680000000000003</v>
      </c>
      <c r="E4963" s="33">
        <f t="shared" si="161"/>
        <v>-1.58311345646444E-3</v>
      </c>
    </row>
    <row r="4964" spans="1:5" x14ac:dyDescent="0.25">
      <c r="A4964" s="41">
        <v>43672</v>
      </c>
      <c r="B4964" s="29">
        <v>189.85</v>
      </c>
      <c r="C4964" s="37">
        <f t="shared" si="160"/>
        <v>31.641666666666666</v>
      </c>
      <c r="D4964" s="37">
        <v>4.8680000000000003</v>
      </c>
      <c r="E4964" s="33">
        <f t="shared" si="161"/>
        <v>3.4355179704017216E-3</v>
      </c>
    </row>
    <row r="4965" spans="1:5" x14ac:dyDescent="0.25">
      <c r="A4965" s="41">
        <v>43672</v>
      </c>
      <c r="B4965" s="29">
        <v>189.74</v>
      </c>
      <c r="C4965" s="37">
        <f t="shared" si="160"/>
        <v>31.623333333333335</v>
      </c>
      <c r="D4965" s="37">
        <v>4.8680000000000003</v>
      </c>
      <c r="E4965" s="33">
        <f t="shared" si="161"/>
        <v>-5.7940479325775728E-4</v>
      </c>
    </row>
    <row r="4966" spans="1:5" x14ac:dyDescent="0.25">
      <c r="A4966" s="41">
        <v>43672</v>
      </c>
      <c r="B4966" s="29">
        <v>188.93</v>
      </c>
      <c r="C4966" s="37">
        <f t="shared" si="160"/>
        <v>31.488333333333333</v>
      </c>
      <c r="D4966" s="37">
        <v>4.8680000000000003</v>
      </c>
      <c r="E4966" s="33">
        <f t="shared" si="161"/>
        <v>-4.2689996837778129E-3</v>
      </c>
    </row>
    <row r="4967" spans="1:5" x14ac:dyDescent="0.25">
      <c r="A4967" s="41">
        <v>43672</v>
      </c>
      <c r="B4967" s="29">
        <v>188.38</v>
      </c>
      <c r="C4967" s="37">
        <f t="shared" si="160"/>
        <v>31.396666666666668</v>
      </c>
      <c r="D4967" s="37">
        <v>4.8680000000000003</v>
      </c>
      <c r="E4967" s="33">
        <f t="shared" si="161"/>
        <v>-2.9111311067591774E-3</v>
      </c>
    </row>
    <row r="4968" spans="1:5" x14ac:dyDescent="0.25">
      <c r="A4968" s="41">
        <v>43672</v>
      </c>
      <c r="B4968" s="29">
        <v>187.08</v>
      </c>
      <c r="C4968" s="37">
        <f t="shared" si="160"/>
        <v>31.18</v>
      </c>
      <c r="D4968" s="37">
        <v>4.8680000000000003</v>
      </c>
      <c r="E4968" s="33">
        <f t="shared" si="161"/>
        <v>-6.9009448986091038E-3</v>
      </c>
    </row>
    <row r="4969" spans="1:5" x14ac:dyDescent="0.25">
      <c r="A4969" s="41">
        <v>43672</v>
      </c>
      <c r="B4969" s="29">
        <v>184.99</v>
      </c>
      <c r="C4969" s="37">
        <f t="shared" si="160"/>
        <v>30.831666666666667</v>
      </c>
      <c r="D4969" s="37">
        <v>4.8680000000000003</v>
      </c>
      <c r="E4969" s="33">
        <f t="shared" si="161"/>
        <v>-1.1171691255078059E-2</v>
      </c>
    </row>
    <row r="4970" spans="1:5" x14ac:dyDescent="0.25">
      <c r="A4970" s="41">
        <v>43673</v>
      </c>
      <c r="B4970" s="29">
        <v>222.69</v>
      </c>
      <c r="C4970" s="37">
        <f t="shared" si="160"/>
        <v>37.115000000000002</v>
      </c>
      <c r="D4970" s="37">
        <v>4.4349999999999996</v>
      </c>
      <c r="E4970" s="33">
        <f t="shared" si="161"/>
        <v>0.20379479971890366</v>
      </c>
    </row>
    <row r="4971" spans="1:5" x14ac:dyDescent="0.25">
      <c r="A4971" s="41">
        <v>43673</v>
      </c>
      <c r="B4971" s="29">
        <v>221.83</v>
      </c>
      <c r="C4971" s="37">
        <f t="shared" si="160"/>
        <v>36.971666666666664</v>
      </c>
      <c r="D4971" s="37">
        <v>4.4349999999999996</v>
      </c>
      <c r="E4971" s="33">
        <f t="shared" si="161"/>
        <v>-3.8618707620458269E-3</v>
      </c>
    </row>
    <row r="4972" spans="1:5" x14ac:dyDescent="0.25">
      <c r="A4972" s="41">
        <v>43673</v>
      </c>
      <c r="B4972" s="29">
        <v>220.32</v>
      </c>
      <c r="C4972" s="37">
        <f t="shared" si="160"/>
        <v>36.72</v>
      </c>
      <c r="D4972" s="37">
        <v>4.4349999999999996</v>
      </c>
      <c r="E4972" s="33">
        <f t="shared" si="161"/>
        <v>-6.80701438038146E-3</v>
      </c>
    </row>
    <row r="4973" spans="1:5" x14ac:dyDescent="0.25">
      <c r="A4973" s="41">
        <v>43673</v>
      </c>
      <c r="B4973" s="29">
        <v>219.14</v>
      </c>
      <c r="C4973" s="37">
        <f t="shared" si="160"/>
        <v>36.523333333333333</v>
      </c>
      <c r="D4973" s="37">
        <v>4.4349999999999996</v>
      </c>
      <c r="E4973" s="33">
        <f t="shared" si="161"/>
        <v>-5.3558460421205831E-3</v>
      </c>
    </row>
    <row r="4974" spans="1:5" x14ac:dyDescent="0.25">
      <c r="A4974" s="41">
        <v>43673</v>
      </c>
      <c r="B4974" s="29">
        <v>219.13</v>
      </c>
      <c r="C4974" s="37">
        <f t="shared" si="160"/>
        <v>36.521666666666668</v>
      </c>
      <c r="D4974" s="37">
        <v>4.4349999999999996</v>
      </c>
      <c r="E4974" s="33">
        <f t="shared" si="161"/>
        <v>-4.5632928721323837E-5</v>
      </c>
    </row>
    <row r="4975" spans="1:5" x14ac:dyDescent="0.25">
      <c r="A4975" s="41">
        <v>43673</v>
      </c>
      <c r="B4975" s="29">
        <v>219.14</v>
      </c>
      <c r="C4975" s="37">
        <f t="shared" si="160"/>
        <v>36.523333333333333</v>
      </c>
      <c r="D4975" s="37">
        <v>4.4349999999999996</v>
      </c>
      <c r="E4975" s="33">
        <f t="shared" si="161"/>
        <v>4.5635011180536232E-5</v>
      </c>
    </row>
    <row r="4976" spans="1:5" x14ac:dyDescent="0.25">
      <c r="A4976" s="41">
        <v>43673</v>
      </c>
      <c r="B4976" s="29">
        <v>220.32</v>
      </c>
      <c r="C4976" s="37">
        <f t="shared" si="160"/>
        <v>36.72</v>
      </c>
      <c r="D4976" s="37">
        <v>4.4349999999999996</v>
      </c>
      <c r="E4976" s="33">
        <f t="shared" si="161"/>
        <v>5.3846855891211409E-3</v>
      </c>
    </row>
    <row r="4977" spans="1:5" x14ac:dyDescent="0.25">
      <c r="A4977" s="41">
        <v>43673</v>
      </c>
      <c r="B4977" s="29">
        <v>220.89</v>
      </c>
      <c r="C4977" s="37">
        <f t="shared" si="160"/>
        <v>36.814999999999998</v>
      </c>
      <c r="D4977" s="37">
        <v>4.4349999999999996</v>
      </c>
      <c r="E4977" s="33">
        <f t="shared" si="161"/>
        <v>2.5871459694988799E-3</v>
      </c>
    </row>
    <row r="4978" spans="1:5" x14ac:dyDescent="0.25">
      <c r="A4978" s="41">
        <v>43673</v>
      </c>
      <c r="B4978" s="29">
        <v>222.28</v>
      </c>
      <c r="C4978" s="37">
        <f t="shared" si="160"/>
        <v>37.046666666666667</v>
      </c>
      <c r="D4978" s="37">
        <v>4.4349999999999996</v>
      </c>
      <c r="E4978" s="33">
        <f t="shared" si="161"/>
        <v>6.2927248856897771E-3</v>
      </c>
    </row>
    <row r="4979" spans="1:5" x14ac:dyDescent="0.25">
      <c r="A4979" s="41">
        <v>43673</v>
      </c>
      <c r="B4979" s="29">
        <v>222.51</v>
      </c>
      <c r="C4979" s="37">
        <f t="shared" si="160"/>
        <v>37.085000000000001</v>
      </c>
      <c r="D4979" s="37">
        <v>4.4349999999999996</v>
      </c>
      <c r="E4979" s="33">
        <f t="shared" si="161"/>
        <v>1.0347309699477675E-3</v>
      </c>
    </row>
    <row r="4980" spans="1:5" x14ac:dyDescent="0.25">
      <c r="A4980" s="41">
        <v>43673</v>
      </c>
      <c r="B4980" s="29">
        <v>222.47</v>
      </c>
      <c r="C4980" s="37">
        <f t="shared" si="160"/>
        <v>37.078333333333333</v>
      </c>
      <c r="D4980" s="37">
        <v>4.4349999999999996</v>
      </c>
      <c r="E4980" s="33">
        <f t="shared" si="161"/>
        <v>-1.797672014740553E-4</v>
      </c>
    </row>
    <row r="4981" spans="1:5" x14ac:dyDescent="0.25">
      <c r="A4981" s="41">
        <v>43673</v>
      </c>
      <c r="B4981" s="29">
        <v>222.43</v>
      </c>
      <c r="C4981" s="37">
        <f t="shared" si="160"/>
        <v>37.071666666666665</v>
      </c>
      <c r="D4981" s="37">
        <v>4.4349999999999996</v>
      </c>
      <c r="E4981" s="33">
        <f t="shared" si="161"/>
        <v>-1.7979952353122688E-4</v>
      </c>
    </row>
    <row r="4982" spans="1:5" x14ac:dyDescent="0.25">
      <c r="A4982" s="41">
        <v>43673</v>
      </c>
      <c r="B4982" s="29">
        <v>222.39</v>
      </c>
      <c r="C4982" s="37">
        <f t="shared" si="160"/>
        <v>37.064999999999998</v>
      </c>
      <c r="D4982" s="37">
        <v>4.4349999999999996</v>
      </c>
      <c r="E4982" s="33">
        <f t="shared" si="161"/>
        <v>-1.7983185721359737E-4</v>
      </c>
    </row>
    <row r="4983" spans="1:5" x14ac:dyDescent="0.25">
      <c r="A4983" s="41">
        <v>43673</v>
      </c>
      <c r="B4983" s="29">
        <v>222.36</v>
      </c>
      <c r="C4983" s="37">
        <f t="shared" si="160"/>
        <v>37.06</v>
      </c>
      <c r="D4983" s="37">
        <v>4.4349999999999996</v>
      </c>
      <c r="E4983" s="33">
        <f t="shared" si="161"/>
        <v>-1.3489815189519634E-4</v>
      </c>
    </row>
    <row r="4984" spans="1:5" x14ac:dyDescent="0.25">
      <c r="A4984" s="41">
        <v>43673</v>
      </c>
      <c r="B4984" s="29">
        <v>222.32</v>
      </c>
      <c r="C4984" s="37">
        <f t="shared" si="160"/>
        <v>37.053333333333335</v>
      </c>
      <c r="D4984" s="37">
        <v>4.4349999999999996</v>
      </c>
      <c r="E4984" s="33">
        <f t="shared" si="161"/>
        <v>-1.7988846914921956E-4</v>
      </c>
    </row>
    <row r="4985" spans="1:5" x14ac:dyDescent="0.25">
      <c r="A4985" s="41">
        <v>43673</v>
      </c>
      <c r="B4985" s="29">
        <v>222.28</v>
      </c>
      <c r="C4985" s="37">
        <f t="shared" si="160"/>
        <v>37.046666666666667</v>
      </c>
      <c r="D4985" s="37">
        <v>4.4349999999999996</v>
      </c>
      <c r="E4985" s="33">
        <f t="shared" si="161"/>
        <v>-1.7992083483263783E-4</v>
      </c>
    </row>
    <row r="4986" spans="1:5" x14ac:dyDescent="0.25">
      <c r="A4986" s="41">
        <v>43673</v>
      </c>
      <c r="B4986" s="29">
        <v>222.62</v>
      </c>
      <c r="C4986" s="37">
        <f t="shared" si="160"/>
        <v>37.103333333333332</v>
      </c>
      <c r="D4986" s="37">
        <v>4.4349999999999996</v>
      </c>
      <c r="E4986" s="33">
        <f t="shared" si="161"/>
        <v>1.529602303401131E-3</v>
      </c>
    </row>
    <row r="4987" spans="1:5" x14ac:dyDescent="0.25">
      <c r="A4987" s="41">
        <v>43673</v>
      </c>
      <c r="B4987" s="29">
        <v>224.62</v>
      </c>
      <c r="C4987" s="37">
        <f t="shared" si="160"/>
        <v>37.436666666666667</v>
      </c>
      <c r="D4987" s="37">
        <v>4.4349999999999996</v>
      </c>
      <c r="E4987" s="33">
        <f t="shared" si="161"/>
        <v>8.9839187853741793E-3</v>
      </c>
    </row>
    <row r="4988" spans="1:5" x14ac:dyDescent="0.25">
      <c r="A4988" s="41">
        <v>43673</v>
      </c>
      <c r="B4988" s="29">
        <v>226.5</v>
      </c>
      <c r="C4988" s="37">
        <f t="shared" si="160"/>
        <v>37.75</v>
      </c>
      <c r="D4988" s="37">
        <v>4.4349999999999996</v>
      </c>
      <c r="E4988" s="33">
        <f t="shared" si="161"/>
        <v>8.3696910337458623E-3</v>
      </c>
    </row>
    <row r="4989" spans="1:5" x14ac:dyDescent="0.25">
      <c r="A4989" s="41">
        <v>43673</v>
      </c>
      <c r="B4989" s="29">
        <v>225.92</v>
      </c>
      <c r="C4989" s="37">
        <f t="shared" si="160"/>
        <v>37.653333333333336</v>
      </c>
      <c r="D4989" s="37">
        <v>4.4349999999999996</v>
      </c>
      <c r="E4989" s="33">
        <f t="shared" si="161"/>
        <v>-2.5607064017660595E-3</v>
      </c>
    </row>
    <row r="4990" spans="1:5" x14ac:dyDescent="0.25">
      <c r="A4990" s="41">
        <v>43673</v>
      </c>
      <c r="B4990" s="29">
        <v>224.82</v>
      </c>
      <c r="C4990" s="37">
        <f t="shared" si="160"/>
        <v>37.47</v>
      </c>
      <c r="D4990" s="37">
        <v>4.4349999999999996</v>
      </c>
      <c r="E4990" s="33">
        <f t="shared" si="161"/>
        <v>-4.8689801699716463E-3</v>
      </c>
    </row>
    <row r="4991" spans="1:5" x14ac:dyDescent="0.25">
      <c r="A4991" s="41">
        <v>43673</v>
      </c>
      <c r="B4991" s="29">
        <v>222.99</v>
      </c>
      <c r="C4991" s="37">
        <f t="shared" si="160"/>
        <v>37.164999999999999</v>
      </c>
      <c r="D4991" s="37">
        <v>4.4349999999999996</v>
      </c>
      <c r="E4991" s="33">
        <f t="shared" si="161"/>
        <v>-8.1398452095008643E-3</v>
      </c>
    </row>
    <row r="4992" spans="1:5" x14ac:dyDescent="0.25">
      <c r="A4992" s="41">
        <v>43673</v>
      </c>
      <c r="B4992" s="29">
        <v>221.99</v>
      </c>
      <c r="C4992" s="37">
        <f t="shared" si="160"/>
        <v>36.998333333333335</v>
      </c>
      <c r="D4992" s="37">
        <v>4.4349999999999996</v>
      </c>
      <c r="E4992" s="33">
        <f t="shared" si="161"/>
        <v>-4.4845060316606126E-3</v>
      </c>
    </row>
    <row r="4993" spans="1:5" x14ac:dyDescent="0.25">
      <c r="A4993" s="41">
        <v>43673</v>
      </c>
      <c r="B4993" s="29">
        <v>221.26</v>
      </c>
      <c r="C4993" s="37">
        <f t="shared" si="160"/>
        <v>36.876666666666665</v>
      </c>
      <c r="D4993" s="37">
        <v>4.4349999999999996</v>
      </c>
      <c r="E4993" s="33">
        <f t="shared" si="161"/>
        <v>-3.288436416054859E-3</v>
      </c>
    </row>
    <row r="4994" spans="1:5" x14ac:dyDescent="0.25">
      <c r="A4994" s="41">
        <v>43674</v>
      </c>
      <c r="B4994" s="29">
        <v>216.98</v>
      </c>
      <c r="C4994" s="37">
        <f t="shared" si="160"/>
        <v>36.163333333333334</v>
      </c>
      <c r="D4994" s="37">
        <v>4.0720000000000001</v>
      </c>
      <c r="E4994" s="33">
        <f t="shared" si="161"/>
        <v>-1.9343758474193264E-2</v>
      </c>
    </row>
    <row r="4995" spans="1:5" x14ac:dyDescent="0.25">
      <c r="A4995" s="41">
        <v>43674</v>
      </c>
      <c r="B4995" s="29">
        <v>214.87</v>
      </c>
      <c r="C4995" s="37">
        <f t="shared" ref="C4995:C5058" si="162">(B4995*100/600)</f>
        <v>35.811666666666667</v>
      </c>
      <c r="D4995" s="37">
        <v>4.0720000000000001</v>
      </c>
      <c r="E4995" s="33">
        <f t="shared" si="161"/>
        <v>-9.7243985620793869E-3</v>
      </c>
    </row>
    <row r="4996" spans="1:5" x14ac:dyDescent="0.25">
      <c r="A4996" s="41">
        <v>43674</v>
      </c>
      <c r="B4996" s="29">
        <v>211.81</v>
      </c>
      <c r="C4996" s="37">
        <f t="shared" si="162"/>
        <v>35.301666666666669</v>
      </c>
      <c r="D4996" s="37">
        <v>4.0720000000000001</v>
      </c>
      <c r="E4996" s="33">
        <f t="shared" ref="E4996:E5059" si="163">(B4996-B4995)/B4995</f>
        <v>-1.4241169078977997E-2</v>
      </c>
    </row>
    <row r="4997" spans="1:5" x14ac:dyDescent="0.25">
      <c r="A4997" s="41">
        <v>43674</v>
      </c>
      <c r="B4997" s="29">
        <v>210.83</v>
      </c>
      <c r="C4997" s="37">
        <f t="shared" si="162"/>
        <v>35.138333333333335</v>
      </c>
      <c r="D4997" s="37">
        <v>4.0720000000000001</v>
      </c>
      <c r="E4997" s="33">
        <f t="shared" si="163"/>
        <v>-4.6267881591992343E-3</v>
      </c>
    </row>
    <row r="4998" spans="1:5" x14ac:dyDescent="0.25">
      <c r="A4998" s="41">
        <v>43674</v>
      </c>
      <c r="B4998" s="29">
        <v>208.85</v>
      </c>
      <c r="C4998" s="37">
        <f t="shared" si="162"/>
        <v>34.80833333333333</v>
      </c>
      <c r="D4998" s="37">
        <v>4.0720000000000001</v>
      </c>
      <c r="E4998" s="33">
        <f t="shared" si="163"/>
        <v>-9.3914528292938296E-3</v>
      </c>
    </row>
    <row r="4999" spans="1:5" x14ac:dyDescent="0.25">
      <c r="A4999" s="41">
        <v>43674</v>
      </c>
      <c r="B4999" s="29">
        <v>208.81</v>
      </c>
      <c r="C4999" s="37">
        <f t="shared" si="162"/>
        <v>34.801666666666669</v>
      </c>
      <c r="D4999" s="37">
        <v>4.0720000000000001</v>
      </c>
      <c r="E4999" s="33">
        <f t="shared" si="163"/>
        <v>-1.9152501795543234E-4</v>
      </c>
    </row>
    <row r="5000" spans="1:5" x14ac:dyDescent="0.25">
      <c r="A5000" s="41">
        <v>43674</v>
      </c>
      <c r="B5000" s="29">
        <v>207.98</v>
      </c>
      <c r="C5000" s="37">
        <f t="shared" si="162"/>
        <v>34.663333333333334</v>
      </c>
      <c r="D5000" s="37">
        <v>4.0720000000000001</v>
      </c>
      <c r="E5000" s="33">
        <f t="shared" si="163"/>
        <v>-3.97490541640732E-3</v>
      </c>
    </row>
    <row r="5001" spans="1:5" x14ac:dyDescent="0.25">
      <c r="A5001" s="41">
        <v>43674</v>
      </c>
      <c r="B5001" s="29">
        <v>207.03</v>
      </c>
      <c r="C5001" s="37">
        <f t="shared" si="162"/>
        <v>34.505000000000003</v>
      </c>
      <c r="D5001" s="37">
        <v>4.0720000000000001</v>
      </c>
      <c r="E5001" s="33">
        <f t="shared" si="163"/>
        <v>-4.5677468987402091E-3</v>
      </c>
    </row>
    <row r="5002" spans="1:5" x14ac:dyDescent="0.25">
      <c r="A5002" s="41">
        <v>43674</v>
      </c>
      <c r="B5002" s="29">
        <v>210.95</v>
      </c>
      <c r="C5002" s="37">
        <f t="shared" si="162"/>
        <v>35.158333333333331</v>
      </c>
      <c r="D5002" s="37">
        <v>4.0720000000000001</v>
      </c>
      <c r="E5002" s="33">
        <f t="shared" si="163"/>
        <v>1.8934453943872807E-2</v>
      </c>
    </row>
    <row r="5003" spans="1:5" x14ac:dyDescent="0.25">
      <c r="A5003" s="41">
        <v>43674</v>
      </c>
      <c r="B5003" s="29">
        <v>215.5</v>
      </c>
      <c r="C5003" s="37">
        <f t="shared" si="162"/>
        <v>35.916666666666664</v>
      </c>
      <c r="D5003" s="37">
        <v>4.0720000000000001</v>
      </c>
      <c r="E5003" s="33">
        <f t="shared" si="163"/>
        <v>2.1569092201943644E-2</v>
      </c>
    </row>
    <row r="5004" spans="1:5" x14ac:dyDescent="0.25">
      <c r="A5004" s="41">
        <v>43674</v>
      </c>
      <c r="B5004" s="29">
        <v>217.76</v>
      </c>
      <c r="C5004" s="37">
        <f t="shared" si="162"/>
        <v>36.293333333333337</v>
      </c>
      <c r="D5004" s="37">
        <v>4.0720000000000001</v>
      </c>
      <c r="E5004" s="33">
        <f t="shared" si="163"/>
        <v>1.0487238979118288E-2</v>
      </c>
    </row>
    <row r="5005" spans="1:5" x14ac:dyDescent="0.25">
      <c r="A5005" s="41">
        <v>43674</v>
      </c>
      <c r="B5005" s="29">
        <v>218.32</v>
      </c>
      <c r="C5005" s="37">
        <f t="shared" si="162"/>
        <v>36.386666666666663</v>
      </c>
      <c r="D5005" s="37">
        <v>4.0720000000000001</v>
      </c>
      <c r="E5005" s="33">
        <f t="shared" si="163"/>
        <v>2.5716385011021413E-3</v>
      </c>
    </row>
    <row r="5006" spans="1:5" x14ac:dyDescent="0.25">
      <c r="A5006" s="41">
        <v>43674</v>
      </c>
      <c r="B5006" s="29">
        <v>218.32</v>
      </c>
      <c r="C5006" s="37">
        <f t="shared" si="162"/>
        <v>36.386666666666663</v>
      </c>
      <c r="D5006" s="37">
        <v>4.0720000000000001</v>
      </c>
      <c r="E5006" s="33">
        <f t="shared" si="163"/>
        <v>0</v>
      </c>
    </row>
    <row r="5007" spans="1:5" x14ac:dyDescent="0.25">
      <c r="A5007" s="41">
        <v>43674</v>
      </c>
      <c r="B5007" s="29">
        <v>218.31</v>
      </c>
      <c r="C5007" s="37">
        <f t="shared" si="162"/>
        <v>36.384999999999998</v>
      </c>
      <c r="D5007" s="37">
        <v>4.0720000000000001</v>
      </c>
      <c r="E5007" s="33">
        <f t="shared" si="163"/>
        <v>-4.5804323928137166E-5</v>
      </c>
    </row>
    <row r="5008" spans="1:5" x14ac:dyDescent="0.25">
      <c r="A5008" s="41">
        <v>43674</v>
      </c>
      <c r="B5008" s="29">
        <v>218.3</v>
      </c>
      <c r="C5008" s="37">
        <f t="shared" si="162"/>
        <v>36.383333333333333</v>
      </c>
      <c r="D5008" s="37">
        <v>4.0720000000000001</v>
      </c>
      <c r="E5008" s="33">
        <f t="shared" si="163"/>
        <v>-4.5806422060331205E-5</v>
      </c>
    </row>
    <row r="5009" spans="1:5" x14ac:dyDescent="0.25">
      <c r="A5009" s="41">
        <v>43674</v>
      </c>
      <c r="B5009" s="29">
        <v>218.38</v>
      </c>
      <c r="C5009" s="37">
        <f t="shared" si="162"/>
        <v>36.396666666666668</v>
      </c>
      <c r="D5009" s="37">
        <v>4.0720000000000001</v>
      </c>
      <c r="E5009" s="33">
        <f t="shared" si="163"/>
        <v>3.6646816307825967E-4</v>
      </c>
    </row>
    <row r="5010" spans="1:5" x14ac:dyDescent="0.25">
      <c r="A5010" s="41">
        <v>43674</v>
      </c>
      <c r="B5010" s="29">
        <v>220.5</v>
      </c>
      <c r="C5010" s="37">
        <f t="shared" si="162"/>
        <v>36.75</v>
      </c>
      <c r="D5010" s="37">
        <v>4.0720000000000001</v>
      </c>
      <c r="E5010" s="33">
        <f t="shared" si="163"/>
        <v>9.7078487040938022E-3</v>
      </c>
    </row>
    <row r="5011" spans="1:5" x14ac:dyDescent="0.25">
      <c r="A5011" s="41">
        <v>43674</v>
      </c>
      <c r="B5011" s="29">
        <v>221.34</v>
      </c>
      <c r="C5011" s="37">
        <f t="shared" si="162"/>
        <v>36.89</v>
      </c>
      <c r="D5011" s="37">
        <v>4.0720000000000001</v>
      </c>
      <c r="E5011" s="33">
        <f t="shared" si="163"/>
        <v>3.8095238095238251E-3</v>
      </c>
    </row>
    <row r="5012" spans="1:5" x14ac:dyDescent="0.25">
      <c r="A5012" s="41">
        <v>43674</v>
      </c>
      <c r="B5012" s="29">
        <v>225.6</v>
      </c>
      <c r="C5012" s="37">
        <f t="shared" si="162"/>
        <v>37.6</v>
      </c>
      <c r="D5012" s="37">
        <v>4.0720000000000001</v>
      </c>
      <c r="E5012" s="33">
        <f t="shared" si="163"/>
        <v>1.92464082407156E-2</v>
      </c>
    </row>
    <row r="5013" spans="1:5" x14ac:dyDescent="0.25">
      <c r="A5013" s="41">
        <v>43674</v>
      </c>
      <c r="B5013" s="29">
        <v>224.48</v>
      </c>
      <c r="C5013" s="37">
        <f t="shared" si="162"/>
        <v>37.413333333333334</v>
      </c>
      <c r="D5013" s="37">
        <v>4.0720000000000001</v>
      </c>
      <c r="E5013" s="33">
        <f t="shared" si="163"/>
        <v>-4.9645390070922188E-3</v>
      </c>
    </row>
    <row r="5014" spans="1:5" x14ac:dyDescent="0.25">
      <c r="A5014" s="41">
        <v>43674</v>
      </c>
      <c r="B5014" s="29">
        <v>223.29</v>
      </c>
      <c r="C5014" s="37">
        <f t="shared" si="162"/>
        <v>37.215000000000003</v>
      </c>
      <c r="D5014" s="37">
        <v>4.0720000000000001</v>
      </c>
      <c r="E5014" s="33">
        <f t="shared" si="163"/>
        <v>-5.3011404133998475E-3</v>
      </c>
    </row>
    <row r="5015" spans="1:5" x14ac:dyDescent="0.25">
      <c r="A5015" s="41">
        <v>43674</v>
      </c>
      <c r="B5015" s="29">
        <v>222.2</v>
      </c>
      <c r="C5015" s="37">
        <f t="shared" si="162"/>
        <v>37.033333333333331</v>
      </c>
      <c r="D5015" s="37">
        <v>4.0720000000000001</v>
      </c>
      <c r="E5015" s="33">
        <f t="shared" si="163"/>
        <v>-4.8815441802140865E-3</v>
      </c>
    </row>
    <row r="5016" spans="1:5" x14ac:dyDescent="0.25">
      <c r="A5016" s="41">
        <v>43674</v>
      </c>
      <c r="B5016" s="29">
        <v>220.95</v>
      </c>
      <c r="C5016" s="37">
        <f t="shared" si="162"/>
        <v>36.825000000000003</v>
      </c>
      <c r="D5016" s="37">
        <v>4.0720000000000001</v>
      </c>
      <c r="E5016" s="33">
        <f t="shared" si="163"/>
        <v>-5.6255625562556255E-3</v>
      </c>
    </row>
    <row r="5017" spans="1:5" x14ac:dyDescent="0.25">
      <c r="A5017" s="41">
        <v>43674</v>
      </c>
      <c r="B5017" s="29">
        <v>220.91</v>
      </c>
      <c r="C5017" s="37">
        <f t="shared" si="162"/>
        <v>36.818333333333335</v>
      </c>
      <c r="D5017" s="37">
        <v>4.0720000000000001</v>
      </c>
      <c r="E5017" s="33">
        <f t="shared" si="163"/>
        <v>-1.8103643358222243E-4</v>
      </c>
    </row>
    <row r="5018" spans="1:5" x14ac:dyDescent="0.25">
      <c r="A5018" s="41">
        <v>43675</v>
      </c>
      <c r="B5018" s="29">
        <v>218.12</v>
      </c>
      <c r="C5018" s="37">
        <f t="shared" si="162"/>
        <v>36.353333333333332</v>
      </c>
      <c r="D5018" s="37">
        <v>3.8879999999999999</v>
      </c>
      <c r="E5018" s="33">
        <f t="shared" si="163"/>
        <v>-1.2629577656058993E-2</v>
      </c>
    </row>
    <row r="5019" spans="1:5" x14ac:dyDescent="0.25">
      <c r="A5019" s="41">
        <v>43675</v>
      </c>
      <c r="B5019" s="29">
        <v>213.97</v>
      </c>
      <c r="C5019" s="37">
        <f t="shared" si="162"/>
        <v>35.661666666666669</v>
      </c>
      <c r="D5019" s="37">
        <v>3.8879999999999999</v>
      </c>
      <c r="E5019" s="33">
        <f t="shared" si="163"/>
        <v>-1.9026224096827461E-2</v>
      </c>
    </row>
    <row r="5020" spans="1:5" x14ac:dyDescent="0.25">
      <c r="A5020" s="41">
        <v>43675</v>
      </c>
      <c r="B5020" s="29">
        <v>211.35</v>
      </c>
      <c r="C5020" s="37">
        <f t="shared" si="162"/>
        <v>35.225000000000001</v>
      </c>
      <c r="D5020" s="37">
        <v>3.8879999999999999</v>
      </c>
      <c r="E5020" s="33">
        <f t="shared" si="163"/>
        <v>-1.2244707201944219E-2</v>
      </c>
    </row>
    <row r="5021" spans="1:5" x14ac:dyDescent="0.25">
      <c r="A5021" s="41">
        <v>43675</v>
      </c>
      <c r="B5021" s="29">
        <v>211.35</v>
      </c>
      <c r="C5021" s="37">
        <f t="shared" si="162"/>
        <v>35.225000000000001</v>
      </c>
      <c r="D5021" s="37">
        <v>3.8879999999999999</v>
      </c>
      <c r="E5021" s="33">
        <f t="shared" si="163"/>
        <v>0</v>
      </c>
    </row>
    <row r="5022" spans="1:5" x14ac:dyDescent="0.25">
      <c r="A5022" s="41">
        <v>43675</v>
      </c>
      <c r="B5022" s="29">
        <v>214.82</v>
      </c>
      <c r="C5022" s="37">
        <f t="shared" si="162"/>
        <v>35.803333333333335</v>
      </c>
      <c r="D5022" s="37">
        <v>3.8879999999999999</v>
      </c>
      <c r="E5022" s="33">
        <f t="shared" si="163"/>
        <v>1.6418263543884547E-2</v>
      </c>
    </row>
    <row r="5023" spans="1:5" x14ac:dyDescent="0.25">
      <c r="A5023" s="41">
        <v>43675</v>
      </c>
      <c r="B5023" s="29">
        <v>220.56</v>
      </c>
      <c r="C5023" s="37">
        <f t="shared" si="162"/>
        <v>36.76</v>
      </c>
      <c r="D5023" s="37">
        <v>3.8879999999999999</v>
      </c>
      <c r="E5023" s="33">
        <f t="shared" si="163"/>
        <v>2.6720044688576527E-2</v>
      </c>
    </row>
    <row r="5024" spans="1:5" x14ac:dyDescent="0.25">
      <c r="A5024" s="41">
        <v>43675</v>
      </c>
      <c r="B5024" s="29">
        <v>223.8</v>
      </c>
      <c r="C5024" s="37">
        <f t="shared" si="162"/>
        <v>37.299999999999997</v>
      </c>
      <c r="D5024" s="37">
        <v>3.8879999999999999</v>
      </c>
      <c r="E5024" s="33">
        <f t="shared" si="163"/>
        <v>1.468988030467904E-2</v>
      </c>
    </row>
    <row r="5025" spans="1:5" x14ac:dyDescent="0.25">
      <c r="A5025" s="41">
        <v>43675</v>
      </c>
      <c r="B5025" s="29">
        <v>225.41</v>
      </c>
      <c r="C5025" s="37">
        <f t="shared" si="162"/>
        <v>37.568333333333335</v>
      </c>
      <c r="D5025" s="37">
        <v>3.8879999999999999</v>
      </c>
      <c r="E5025" s="33">
        <f t="shared" si="163"/>
        <v>7.1939231456657066E-3</v>
      </c>
    </row>
    <row r="5026" spans="1:5" x14ac:dyDescent="0.25">
      <c r="A5026" s="41">
        <v>43675</v>
      </c>
      <c r="B5026" s="29">
        <v>226.75</v>
      </c>
      <c r="C5026" s="37">
        <f t="shared" si="162"/>
        <v>37.791666666666664</v>
      </c>
      <c r="D5026" s="37">
        <v>3.8879999999999999</v>
      </c>
      <c r="E5026" s="33">
        <f t="shared" si="163"/>
        <v>5.9447229492924159E-3</v>
      </c>
    </row>
    <row r="5027" spans="1:5" x14ac:dyDescent="0.25">
      <c r="A5027" s="41">
        <v>43675</v>
      </c>
      <c r="B5027" s="29">
        <v>227.2</v>
      </c>
      <c r="C5027" s="37">
        <f t="shared" si="162"/>
        <v>37.866666666666667</v>
      </c>
      <c r="D5027" s="37">
        <v>3.8879999999999999</v>
      </c>
      <c r="E5027" s="33">
        <f t="shared" si="163"/>
        <v>1.9845644983461463E-3</v>
      </c>
    </row>
    <row r="5028" spans="1:5" x14ac:dyDescent="0.25">
      <c r="A5028" s="41">
        <v>43675</v>
      </c>
      <c r="B5028" s="29">
        <v>227.61</v>
      </c>
      <c r="C5028" s="37">
        <f t="shared" si="162"/>
        <v>37.935000000000002</v>
      </c>
      <c r="D5028" s="37">
        <v>3.8879999999999999</v>
      </c>
      <c r="E5028" s="33">
        <f t="shared" si="163"/>
        <v>1.8045774647888425E-3</v>
      </c>
    </row>
    <row r="5029" spans="1:5" x14ac:dyDescent="0.25">
      <c r="A5029" s="41">
        <v>43675</v>
      </c>
      <c r="B5029" s="29">
        <v>227.62</v>
      </c>
      <c r="C5029" s="37">
        <f t="shared" si="162"/>
        <v>37.936666666666667</v>
      </c>
      <c r="D5029" s="37">
        <v>3.8879999999999999</v>
      </c>
      <c r="E5029" s="33">
        <f t="shared" si="163"/>
        <v>4.3934800755638612E-5</v>
      </c>
    </row>
    <row r="5030" spans="1:5" x14ac:dyDescent="0.25">
      <c r="A5030" s="41">
        <v>43675</v>
      </c>
      <c r="B5030" s="29">
        <v>227.57</v>
      </c>
      <c r="C5030" s="37">
        <f t="shared" si="162"/>
        <v>37.928333333333335</v>
      </c>
      <c r="D5030" s="37">
        <v>3.8879999999999999</v>
      </c>
      <c r="E5030" s="33">
        <f t="shared" si="163"/>
        <v>-2.196643528688664E-4</v>
      </c>
    </row>
    <row r="5031" spans="1:5" x14ac:dyDescent="0.25">
      <c r="A5031" s="41">
        <v>43675</v>
      </c>
      <c r="B5031" s="29">
        <v>227.77</v>
      </c>
      <c r="C5031" s="37">
        <f t="shared" si="162"/>
        <v>37.961666666666666</v>
      </c>
      <c r="D5031" s="37">
        <v>3.8879999999999999</v>
      </c>
      <c r="E5031" s="33">
        <f t="shared" si="163"/>
        <v>8.788504635936945E-4</v>
      </c>
    </row>
    <row r="5032" spans="1:5" x14ac:dyDescent="0.25">
      <c r="A5032" s="41">
        <v>43675</v>
      </c>
      <c r="B5032" s="29">
        <v>227.81</v>
      </c>
      <c r="C5032" s="37">
        <f t="shared" si="162"/>
        <v>37.968333333333334</v>
      </c>
      <c r="D5032" s="37">
        <v>3.8879999999999999</v>
      </c>
      <c r="E5032" s="33">
        <f t="shared" si="163"/>
        <v>1.7561575273298521E-4</v>
      </c>
    </row>
    <row r="5033" spans="1:5" x14ac:dyDescent="0.25">
      <c r="A5033" s="41">
        <v>43675</v>
      </c>
      <c r="B5033" s="29">
        <v>227.84</v>
      </c>
      <c r="C5033" s="37">
        <f t="shared" si="162"/>
        <v>37.973333333333336</v>
      </c>
      <c r="D5033" s="37">
        <v>3.8879999999999999</v>
      </c>
      <c r="E5033" s="33">
        <f t="shared" si="163"/>
        <v>1.3168868794171079E-4</v>
      </c>
    </row>
    <row r="5034" spans="1:5" x14ac:dyDescent="0.25">
      <c r="A5034" s="41">
        <v>43675</v>
      </c>
      <c r="B5034" s="29">
        <v>227.82</v>
      </c>
      <c r="C5034" s="37">
        <f t="shared" si="162"/>
        <v>37.97</v>
      </c>
      <c r="D5034" s="37">
        <v>3.8879999999999999</v>
      </c>
      <c r="E5034" s="33">
        <f t="shared" si="163"/>
        <v>-8.7780898876449405E-5</v>
      </c>
    </row>
    <row r="5035" spans="1:5" x14ac:dyDescent="0.25">
      <c r="A5035" s="41">
        <v>43675</v>
      </c>
      <c r="B5035" s="29">
        <v>227.78</v>
      </c>
      <c r="C5035" s="37">
        <f t="shared" si="162"/>
        <v>37.963333333333331</v>
      </c>
      <c r="D5035" s="37">
        <v>3.8879999999999999</v>
      </c>
      <c r="E5035" s="33">
        <f t="shared" si="163"/>
        <v>-1.7557721007809693E-4</v>
      </c>
    </row>
    <row r="5036" spans="1:5" x14ac:dyDescent="0.25">
      <c r="A5036" s="41">
        <v>43675</v>
      </c>
      <c r="B5036" s="29">
        <v>227.81</v>
      </c>
      <c r="C5036" s="37">
        <f t="shared" si="162"/>
        <v>37.968333333333334</v>
      </c>
      <c r="D5036" s="37">
        <v>3.8879999999999999</v>
      </c>
      <c r="E5036" s="33">
        <f t="shared" si="163"/>
        <v>1.3170603213627684E-4</v>
      </c>
    </row>
    <row r="5037" spans="1:5" x14ac:dyDescent="0.25">
      <c r="A5037" s="41">
        <v>43675</v>
      </c>
      <c r="B5037" s="29">
        <v>227.77</v>
      </c>
      <c r="C5037" s="37">
        <f t="shared" si="162"/>
        <v>37.961666666666666</v>
      </c>
      <c r="D5037" s="37">
        <v>3.8879999999999999</v>
      </c>
      <c r="E5037" s="33">
        <f t="shared" si="163"/>
        <v>-1.755849172555728E-4</v>
      </c>
    </row>
    <row r="5038" spans="1:5" x14ac:dyDescent="0.25">
      <c r="A5038" s="41">
        <v>43675</v>
      </c>
      <c r="B5038" s="29">
        <v>227.73</v>
      </c>
      <c r="C5038" s="37">
        <f t="shared" si="162"/>
        <v>37.954999999999998</v>
      </c>
      <c r="D5038" s="37">
        <v>3.8879999999999999</v>
      </c>
      <c r="E5038" s="33">
        <f t="shared" si="163"/>
        <v>-1.7561575273310998E-4</v>
      </c>
    </row>
    <row r="5039" spans="1:5" x14ac:dyDescent="0.25">
      <c r="A5039" s="41">
        <v>43675</v>
      </c>
      <c r="B5039" s="29">
        <v>227.68</v>
      </c>
      <c r="C5039" s="37">
        <f t="shared" si="162"/>
        <v>37.946666666666665</v>
      </c>
      <c r="D5039" s="37">
        <v>3.8879999999999999</v>
      </c>
      <c r="E5039" s="33">
        <f t="shared" si="163"/>
        <v>-2.1955824880333266E-4</v>
      </c>
    </row>
    <row r="5040" spans="1:5" x14ac:dyDescent="0.25">
      <c r="A5040" s="41">
        <v>43675</v>
      </c>
      <c r="B5040" s="29">
        <v>227.59</v>
      </c>
      <c r="C5040" s="37">
        <f t="shared" si="162"/>
        <v>37.931666666666665</v>
      </c>
      <c r="D5040" s="37">
        <v>3.8879999999999999</v>
      </c>
      <c r="E5040" s="33">
        <f t="shared" si="163"/>
        <v>-3.9529163738581961E-4</v>
      </c>
    </row>
    <row r="5041" spans="1:5" x14ac:dyDescent="0.25">
      <c r="A5041" s="41">
        <v>43675</v>
      </c>
      <c r="B5041" s="29">
        <v>226.3</v>
      </c>
      <c r="C5041" s="37">
        <f t="shared" si="162"/>
        <v>37.716666666666669</v>
      </c>
      <c r="D5041" s="37">
        <v>3.8879999999999999</v>
      </c>
      <c r="E5041" s="33">
        <f t="shared" si="163"/>
        <v>-5.6680873500592824E-3</v>
      </c>
    </row>
    <row r="5042" spans="1:5" x14ac:dyDescent="0.25">
      <c r="A5042" s="41">
        <v>43676</v>
      </c>
      <c r="B5042" s="29">
        <v>222</v>
      </c>
      <c r="C5042" s="37">
        <f t="shared" si="162"/>
        <v>37</v>
      </c>
      <c r="D5042" s="37">
        <v>3.8</v>
      </c>
      <c r="E5042" s="33">
        <f t="shared" si="163"/>
        <v>-1.9001325673884274E-2</v>
      </c>
    </row>
    <row r="5043" spans="1:5" x14ac:dyDescent="0.25">
      <c r="A5043" s="41">
        <v>43676</v>
      </c>
      <c r="B5043" s="29">
        <v>221.07</v>
      </c>
      <c r="C5043" s="37">
        <f t="shared" si="162"/>
        <v>36.844999999999999</v>
      </c>
      <c r="D5043" s="37">
        <v>3.8</v>
      </c>
      <c r="E5043" s="33">
        <f t="shared" si="163"/>
        <v>-4.1891891891892201E-3</v>
      </c>
    </row>
    <row r="5044" spans="1:5" x14ac:dyDescent="0.25">
      <c r="A5044" s="41">
        <v>43676</v>
      </c>
      <c r="B5044" s="29">
        <v>219.89</v>
      </c>
      <c r="C5044" s="37">
        <f t="shared" si="162"/>
        <v>36.648333333333333</v>
      </c>
      <c r="D5044" s="37">
        <v>3.8</v>
      </c>
      <c r="E5044" s="33">
        <f t="shared" si="163"/>
        <v>-5.3376758492785399E-3</v>
      </c>
    </row>
    <row r="5045" spans="1:5" x14ac:dyDescent="0.25">
      <c r="A5045" s="41">
        <v>43676</v>
      </c>
      <c r="B5045" s="29">
        <v>219.89</v>
      </c>
      <c r="C5045" s="37">
        <f t="shared" si="162"/>
        <v>36.648333333333333</v>
      </c>
      <c r="D5045" s="37">
        <v>3.8</v>
      </c>
      <c r="E5045" s="33">
        <f t="shared" si="163"/>
        <v>0</v>
      </c>
    </row>
    <row r="5046" spans="1:5" x14ac:dyDescent="0.25">
      <c r="A5046" s="41">
        <v>43676</v>
      </c>
      <c r="B5046" s="29">
        <v>219.99</v>
      </c>
      <c r="C5046" s="37">
        <f t="shared" si="162"/>
        <v>36.664999999999999</v>
      </c>
      <c r="D5046" s="37">
        <v>3.8</v>
      </c>
      <c r="E5046" s="33">
        <f t="shared" si="163"/>
        <v>4.5477284096604093E-4</v>
      </c>
    </row>
    <row r="5047" spans="1:5" x14ac:dyDescent="0.25">
      <c r="A5047" s="41">
        <v>43676</v>
      </c>
      <c r="B5047" s="29">
        <v>221.99</v>
      </c>
      <c r="C5047" s="37">
        <f t="shared" si="162"/>
        <v>36.998333333333335</v>
      </c>
      <c r="D5047" s="37">
        <v>3.8</v>
      </c>
      <c r="E5047" s="33">
        <f t="shared" si="163"/>
        <v>9.0913223328333102E-3</v>
      </c>
    </row>
    <row r="5048" spans="1:5" x14ac:dyDescent="0.25">
      <c r="A5048" s="41">
        <v>43676</v>
      </c>
      <c r="B5048" s="29">
        <v>223.79</v>
      </c>
      <c r="C5048" s="37">
        <f t="shared" si="162"/>
        <v>37.298333333333332</v>
      </c>
      <c r="D5048" s="37">
        <v>3.8</v>
      </c>
      <c r="E5048" s="33">
        <f t="shared" si="163"/>
        <v>8.1084733546555373E-3</v>
      </c>
    </row>
    <row r="5049" spans="1:5" x14ac:dyDescent="0.25">
      <c r="A5049" s="41">
        <v>43676</v>
      </c>
      <c r="B5049" s="29">
        <v>224.81</v>
      </c>
      <c r="C5049" s="37">
        <f t="shared" si="162"/>
        <v>37.468333333333334</v>
      </c>
      <c r="D5049" s="37">
        <v>3.8</v>
      </c>
      <c r="E5049" s="33">
        <f t="shared" si="163"/>
        <v>4.5578444077036965E-3</v>
      </c>
    </row>
    <row r="5050" spans="1:5" x14ac:dyDescent="0.25">
      <c r="A5050" s="41">
        <v>43676</v>
      </c>
      <c r="B5050" s="29">
        <v>226.54</v>
      </c>
      <c r="C5050" s="37">
        <f t="shared" si="162"/>
        <v>37.756666666666668</v>
      </c>
      <c r="D5050" s="37">
        <v>3.8</v>
      </c>
      <c r="E5050" s="33">
        <f t="shared" si="163"/>
        <v>7.6953872158711349E-3</v>
      </c>
    </row>
    <row r="5051" spans="1:5" x14ac:dyDescent="0.25">
      <c r="A5051" s="41">
        <v>43676</v>
      </c>
      <c r="B5051" s="29">
        <v>226.94</v>
      </c>
      <c r="C5051" s="37">
        <f t="shared" si="162"/>
        <v>37.823333333333331</v>
      </c>
      <c r="D5051" s="37">
        <v>3.8</v>
      </c>
      <c r="E5051" s="33">
        <f t="shared" si="163"/>
        <v>1.7656925929195979E-3</v>
      </c>
    </row>
    <row r="5052" spans="1:5" x14ac:dyDescent="0.25">
      <c r="A5052" s="41">
        <v>43676</v>
      </c>
      <c r="B5052" s="29">
        <v>227.74</v>
      </c>
      <c r="C5052" s="37">
        <f t="shared" si="162"/>
        <v>37.956666666666663</v>
      </c>
      <c r="D5052" s="37">
        <v>3.8</v>
      </c>
      <c r="E5052" s="33">
        <f t="shared" si="163"/>
        <v>3.5251608354631681E-3</v>
      </c>
    </row>
    <row r="5053" spans="1:5" x14ac:dyDescent="0.25">
      <c r="A5053" s="41">
        <v>43676</v>
      </c>
      <c r="B5053" s="29">
        <v>227.7</v>
      </c>
      <c r="C5053" s="37">
        <f t="shared" si="162"/>
        <v>37.950000000000003</v>
      </c>
      <c r="D5053" s="37">
        <v>3.8</v>
      </c>
      <c r="E5053" s="33">
        <f t="shared" si="163"/>
        <v>-1.7563888644954977E-4</v>
      </c>
    </row>
    <row r="5054" spans="1:5" x14ac:dyDescent="0.25">
      <c r="A5054" s="41">
        <v>43676</v>
      </c>
      <c r="B5054" s="29">
        <v>227.5</v>
      </c>
      <c r="C5054" s="37">
        <f t="shared" si="162"/>
        <v>37.916666666666664</v>
      </c>
      <c r="D5054" s="37">
        <v>3.8</v>
      </c>
      <c r="E5054" s="33">
        <f t="shared" si="163"/>
        <v>-8.7834870443561112E-4</v>
      </c>
    </row>
    <row r="5055" spans="1:5" x14ac:dyDescent="0.25">
      <c r="A5055" s="41">
        <v>43676</v>
      </c>
      <c r="B5055" s="29">
        <v>227.84</v>
      </c>
      <c r="C5055" s="37">
        <f t="shared" si="162"/>
        <v>37.973333333333336</v>
      </c>
      <c r="D5055" s="37">
        <v>3.8</v>
      </c>
      <c r="E5055" s="33">
        <f t="shared" si="163"/>
        <v>1.4945054945055096E-3</v>
      </c>
    </row>
    <row r="5056" spans="1:5" x14ac:dyDescent="0.25">
      <c r="A5056" s="41">
        <v>43676</v>
      </c>
      <c r="B5056" s="29">
        <v>227.88</v>
      </c>
      <c r="C5056" s="37">
        <f t="shared" si="162"/>
        <v>37.979999999999997</v>
      </c>
      <c r="D5056" s="37">
        <v>3.8</v>
      </c>
      <c r="E5056" s="33">
        <f t="shared" si="163"/>
        <v>1.7556179775277405E-4</v>
      </c>
    </row>
    <row r="5057" spans="1:5" x14ac:dyDescent="0.25">
      <c r="A5057" s="41">
        <v>43676</v>
      </c>
      <c r="B5057" s="29">
        <v>227.88</v>
      </c>
      <c r="C5057" s="37">
        <f t="shared" si="162"/>
        <v>37.979999999999997</v>
      </c>
      <c r="D5057" s="37">
        <v>3.8</v>
      </c>
      <c r="E5057" s="33">
        <f t="shared" si="163"/>
        <v>0</v>
      </c>
    </row>
    <row r="5058" spans="1:5" x14ac:dyDescent="0.25">
      <c r="A5058" s="41">
        <v>43676</v>
      </c>
      <c r="B5058" s="29">
        <v>227.89</v>
      </c>
      <c r="C5058" s="37">
        <f t="shared" si="162"/>
        <v>37.981666666666669</v>
      </c>
      <c r="D5058" s="37">
        <v>3.8</v>
      </c>
      <c r="E5058" s="33">
        <f t="shared" si="163"/>
        <v>4.3882745304506341E-5</v>
      </c>
    </row>
    <row r="5059" spans="1:5" x14ac:dyDescent="0.25">
      <c r="A5059" s="41">
        <v>43676</v>
      </c>
      <c r="B5059" s="29">
        <v>227.89</v>
      </c>
      <c r="C5059" s="37">
        <f t="shared" ref="C5059:C5122" si="164">(B5059*100/600)</f>
        <v>37.981666666666669</v>
      </c>
      <c r="D5059" s="37">
        <v>3.8</v>
      </c>
      <c r="E5059" s="33">
        <f t="shared" si="163"/>
        <v>0</v>
      </c>
    </row>
    <row r="5060" spans="1:5" x14ac:dyDescent="0.25">
      <c r="A5060" s="41">
        <v>43676</v>
      </c>
      <c r="B5060" s="29">
        <v>228.08</v>
      </c>
      <c r="C5060" s="37">
        <f t="shared" si="164"/>
        <v>38.013333333333335</v>
      </c>
      <c r="D5060" s="37">
        <v>3.8</v>
      </c>
      <c r="E5060" s="33">
        <f t="shared" ref="E5060:E5123" si="165">(B5060-B5059)/B5059</f>
        <v>8.3373557418064048E-4</v>
      </c>
    </row>
    <row r="5061" spans="1:5" x14ac:dyDescent="0.25">
      <c r="A5061" s="41">
        <v>43676</v>
      </c>
      <c r="B5061" s="29">
        <v>227.96</v>
      </c>
      <c r="C5061" s="37">
        <f t="shared" si="164"/>
        <v>37.993333333333332</v>
      </c>
      <c r="D5061" s="37">
        <v>3.8</v>
      </c>
      <c r="E5061" s="33">
        <f t="shared" si="165"/>
        <v>-5.2613118204140885E-4</v>
      </c>
    </row>
    <row r="5062" spans="1:5" x14ac:dyDescent="0.25">
      <c r="A5062" s="41">
        <v>43676</v>
      </c>
      <c r="B5062" s="29">
        <v>227.89</v>
      </c>
      <c r="C5062" s="37">
        <f t="shared" si="164"/>
        <v>37.981666666666669</v>
      </c>
      <c r="D5062" s="37">
        <v>3.8</v>
      </c>
      <c r="E5062" s="33">
        <f t="shared" si="165"/>
        <v>-3.0707141603799612E-4</v>
      </c>
    </row>
    <row r="5063" spans="1:5" x14ac:dyDescent="0.25">
      <c r="A5063" s="41">
        <v>43676</v>
      </c>
      <c r="B5063" s="29">
        <v>227.82</v>
      </c>
      <c r="C5063" s="37">
        <f t="shared" si="164"/>
        <v>37.97</v>
      </c>
      <c r="D5063" s="37">
        <v>3.8</v>
      </c>
      <c r="E5063" s="33">
        <f t="shared" si="165"/>
        <v>-3.0716573785595323E-4</v>
      </c>
    </row>
    <row r="5064" spans="1:5" x14ac:dyDescent="0.25">
      <c r="A5064" s="41">
        <v>43676</v>
      </c>
      <c r="B5064" s="29">
        <v>227.26</v>
      </c>
      <c r="C5064" s="37">
        <f t="shared" si="164"/>
        <v>37.876666666666665</v>
      </c>
      <c r="D5064" s="37">
        <v>3.8</v>
      </c>
      <c r="E5064" s="33">
        <f t="shared" si="165"/>
        <v>-2.4580809410938561E-3</v>
      </c>
    </row>
    <row r="5065" spans="1:5" x14ac:dyDescent="0.25">
      <c r="A5065" s="41">
        <v>43676</v>
      </c>
      <c r="B5065" s="29">
        <v>225.68</v>
      </c>
      <c r="C5065" s="37">
        <f t="shared" si="164"/>
        <v>37.613333333333337</v>
      </c>
      <c r="D5065" s="37">
        <v>3.8</v>
      </c>
      <c r="E5065" s="33">
        <f t="shared" si="165"/>
        <v>-6.9523893338026234E-3</v>
      </c>
    </row>
    <row r="5066" spans="1:5" x14ac:dyDescent="0.25">
      <c r="A5066" s="41">
        <v>43677</v>
      </c>
      <c r="B5066" s="29">
        <v>223.4</v>
      </c>
      <c r="C5066" s="37">
        <f t="shared" si="164"/>
        <v>37.233333333333334</v>
      </c>
      <c r="D5066" s="37">
        <v>3.7549999999999999</v>
      </c>
      <c r="E5066" s="33">
        <f t="shared" si="165"/>
        <v>-1.0102800425381074E-2</v>
      </c>
    </row>
    <row r="5067" spans="1:5" x14ac:dyDescent="0.25">
      <c r="A5067" s="41">
        <v>43677</v>
      </c>
      <c r="B5067" s="29">
        <v>222.9</v>
      </c>
      <c r="C5067" s="37">
        <f t="shared" si="164"/>
        <v>37.15</v>
      </c>
      <c r="D5067" s="37">
        <v>3.7549999999999999</v>
      </c>
      <c r="E5067" s="33">
        <f t="shared" si="165"/>
        <v>-2.2381378692927483E-3</v>
      </c>
    </row>
    <row r="5068" spans="1:5" x14ac:dyDescent="0.25">
      <c r="A5068" s="41">
        <v>43677</v>
      </c>
      <c r="B5068" s="29">
        <v>222.09</v>
      </c>
      <c r="C5068" s="37">
        <f t="shared" si="164"/>
        <v>37.015000000000001</v>
      </c>
      <c r="D5068" s="37">
        <v>3.7549999999999999</v>
      </c>
      <c r="E5068" s="33">
        <f t="shared" si="165"/>
        <v>-3.6339165545087584E-3</v>
      </c>
    </row>
    <row r="5069" spans="1:5" x14ac:dyDescent="0.25">
      <c r="A5069" s="41">
        <v>43677</v>
      </c>
      <c r="B5069" s="29">
        <v>221.99</v>
      </c>
      <c r="C5069" s="37">
        <f t="shared" si="164"/>
        <v>36.998333333333335</v>
      </c>
      <c r="D5069" s="37">
        <v>3.7549999999999999</v>
      </c>
      <c r="E5069" s="33">
        <f t="shared" si="165"/>
        <v>-4.5026790940607103E-4</v>
      </c>
    </row>
    <row r="5070" spans="1:5" x14ac:dyDescent="0.25">
      <c r="A5070" s="41">
        <v>43677</v>
      </c>
      <c r="B5070" s="29">
        <v>222.09</v>
      </c>
      <c r="C5070" s="37">
        <f t="shared" si="164"/>
        <v>37.015000000000001</v>
      </c>
      <c r="D5070" s="37">
        <v>3.7549999999999999</v>
      </c>
      <c r="E5070" s="33">
        <f t="shared" si="165"/>
        <v>4.5047074192528631E-4</v>
      </c>
    </row>
    <row r="5071" spans="1:5" x14ac:dyDescent="0.25">
      <c r="A5071" s="41">
        <v>43677</v>
      </c>
      <c r="B5071" s="29">
        <v>223.11</v>
      </c>
      <c r="C5071" s="37">
        <f t="shared" si="164"/>
        <v>37.185000000000002</v>
      </c>
      <c r="D5071" s="37">
        <v>3.7549999999999999</v>
      </c>
      <c r="E5071" s="33">
        <f t="shared" si="165"/>
        <v>4.5927326759422314E-3</v>
      </c>
    </row>
    <row r="5072" spans="1:5" x14ac:dyDescent="0.25">
      <c r="A5072" s="41">
        <v>43677</v>
      </c>
      <c r="B5072" s="29">
        <v>224.15</v>
      </c>
      <c r="C5072" s="37">
        <f t="shared" si="164"/>
        <v>37.358333333333334</v>
      </c>
      <c r="D5072" s="37">
        <v>3.7549999999999999</v>
      </c>
      <c r="E5072" s="33">
        <f t="shared" si="165"/>
        <v>4.6613777957061177E-3</v>
      </c>
    </row>
    <row r="5073" spans="1:5" x14ac:dyDescent="0.25">
      <c r="A5073" s="41">
        <v>43677</v>
      </c>
      <c r="B5073" s="29">
        <v>225.19</v>
      </c>
      <c r="C5073" s="37">
        <f t="shared" si="164"/>
        <v>37.531666666666666</v>
      </c>
      <c r="D5073" s="37">
        <v>3.7549999999999999</v>
      </c>
      <c r="E5073" s="33">
        <f t="shared" si="165"/>
        <v>4.6397501672986487E-3</v>
      </c>
    </row>
    <row r="5074" spans="1:5" x14ac:dyDescent="0.25">
      <c r="A5074" s="41">
        <v>43677</v>
      </c>
      <c r="B5074" s="29">
        <v>226.81</v>
      </c>
      <c r="C5074" s="37">
        <f t="shared" si="164"/>
        <v>37.801666666666669</v>
      </c>
      <c r="D5074" s="37">
        <v>3.7549999999999999</v>
      </c>
      <c r="E5074" s="33">
        <f t="shared" si="165"/>
        <v>7.1939251298903349E-3</v>
      </c>
    </row>
    <row r="5075" spans="1:5" x14ac:dyDescent="0.25">
      <c r="A5075" s="41">
        <v>43677</v>
      </c>
      <c r="B5075" s="29">
        <v>227.43</v>
      </c>
      <c r="C5075" s="37">
        <f t="shared" si="164"/>
        <v>37.905000000000001</v>
      </c>
      <c r="D5075" s="37">
        <v>3.7549999999999999</v>
      </c>
      <c r="E5075" s="33">
        <f t="shared" si="165"/>
        <v>2.7335655394383164E-3</v>
      </c>
    </row>
    <row r="5076" spans="1:5" x14ac:dyDescent="0.25">
      <c r="A5076" s="41">
        <v>43677</v>
      </c>
      <c r="B5076" s="29">
        <v>227.47</v>
      </c>
      <c r="C5076" s="37">
        <f t="shared" si="164"/>
        <v>37.911666666666669</v>
      </c>
      <c r="D5076" s="37">
        <v>3.7549999999999999</v>
      </c>
      <c r="E5076" s="33">
        <f t="shared" si="165"/>
        <v>1.7587829222174753E-4</v>
      </c>
    </row>
    <row r="5077" spans="1:5" x14ac:dyDescent="0.25">
      <c r="A5077" s="41">
        <v>43677</v>
      </c>
      <c r="B5077" s="29">
        <v>227.5</v>
      </c>
      <c r="C5077" s="37">
        <f t="shared" si="164"/>
        <v>37.916666666666664</v>
      </c>
      <c r="D5077" s="37">
        <v>3.7549999999999999</v>
      </c>
      <c r="E5077" s="33">
        <f t="shared" si="165"/>
        <v>1.3188552336572355E-4</v>
      </c>
    </row>
    <row r="5078" spans="1:5" x14ac:dyDescent="0.25">
      <c r="A5078" s="41">
        <v>43677</v>
      </c>
      <c r="B5078" s="29">
        <v>227.46</v>
      </c>
      <c r="C5078" s="37">
        <f t="shared" si="164"/>
        <v>37.909999999999997</v>
      </c>
      <c r="D5078" s="37">
        <v>3.7549999999999999</v>
      </c>
      <c r="E5078" s="33">
        <f t="shared" si="165"/>
        <v>-1.7582417582414085E-4</v>
      </c>
    </row>
    <row r="5079" spans="1:5" x14ac:dyDescent="0.25">
      <c r="A5079" s="41">
        <v>43677</v>
      </c>
      <c r="B5079" s="29">
        <v>227.48</v>
      </c>
      <c r="C5079" s="37">
        <f t="shared" si="164"/>
        <v>37.913333333333334</v>
      </c>
      <c r="D5079" s="37">
        <v>3.7549999999999999</v>
      </c>
      <c r="E5079" s="33">
        <f t="shared" si="165"/>
        <v>8.7927547700614652E-5</v>
      </c>
    </row>
    <row r="5080" spans="1:5" x14ac:dyDescent="0.25">
      <c r="A5080" s="41">
        <v>43677</v>
      </c>
      <c r="B5080" s="29">
        <v>227.48</v>
      </c>
      <c r="C5080" s="37">
        <f t="shared" si="164"/>
        <v>37.913333333333334</v>
      </c>
      <c r="D5080" s="37">
        <v>3.7549999999999999</v>
      </c>
      <c r="E5080" s="33">
        <f t="shared" si="165"/>
        <v>0</v>
      </c>
    </row>
    <row r="5081" spans="1:5" x14ac:dyDescent="0.25">
      <c r="A5081" s="41">
        <v>43677</v>
      </c>
      <c r="B5081" s="29">
        <v>227.48</v>
      </c>
      <c r="C5081" s="37">
        <f t="shared" si="164"/>
        <v>37.913333333333334</v>
      </c>
      <c r="D5081" s="37">
        <v>3.7549999999999999</v>
      </c>
      <c r="E5081" s="33">
        <f t="shared" si="165"/>
        <v>0</v>
      </c>
    </row>
    <row r="5082" spans="1:5" x14ac:dyDescent="0.25">
      <c r="A5082" s="41">
        <v>43677</v>
      </c>
      <c r="B5082" s="29">
        <v>227.48</v>
      </c>
      <c r="C5082" s="37">
        <f t="shared" si="164"/>
        <v>37.913333333333334</v>
      </c>
      <c r="D5082" s="37">
        <v>3.7549999999999999</v>
      </c>
      <c r="E5082" s="33">
        <f t="shared" si="165"/>
        <v>0</v>
      </c>
    </row>
    <row r="5083" spans="1:5" x14ac:dyDescent="0.25">
      <c r="A5083" s="41">
        <v>43677</v>
      </c>
      <c r="B5083" s="29">
        <v>227.48</v>
      </c>
      <c r="C5083" s="37">
        <f t="shared" si="164"/>
        <v>37.913333333333334</v>
      </c>
      <c r="D5083" s="37">
        <v>3.7549999999999999</v>
      </c>
      <c r="E5083" s="33">
        <f t="shared" si="165"/>
        <v>0</v>
      </c>
    </row>
    <row r="5084" spans="1:5" x14ac:dyDescent="0.25">
      <c r="A5084" s="41">
        <v>43677</v>
      </c>
      <c r="B5084" s="29">
        <v>228.86</v>
      </c>
      <c r="C5084" s="37">
        <f t="shared" si="164"/>
        <v>38.143333333333331</v>
      </c>
      <c r="D5084" s="37">
        <v>3.7549999999999999</v>
      </c>
      <c r="E5084" s="33">
        <f t="shared" si="165"/>
        <v>6.0664673817479508E-3</v>
      </c>
    </row>
    <row r="5085" spans="1:5" x14ac:dyDescent="0.25">
      <c r="A5085" s="41">
        <v>43677</v>
      </c>
      <c r="B5085" s="29">
        <v>227.57</v>
      </c>
      <c r="C5085" s="37">
        <f t="shared" si="164"/>
        <v>37.928333333333335</v>
      </c>
      <c r="D5085" s="37">
        <v>3.7549999999999999</v>
      </c>
      <c r="E5085" s="33">
        <f t="shared" si="165"/>
        <v>-5.6366337498908519E-3</v>
      </c>
    </row>
    <row r="5086" spans="1:5" x14ac:dyDescent="0.25">
      <c r="A5086" s="41">
        <v>43677</v>
      </c>
      <c r="B5086" s="29">
        <v>227.49</v>
      </c>
      <c r="C5086" s="37">
        <f t="shared" si="164"/>
        <v>37.914999999999999</v>
      </c>
      <c r="D5086" s="37">
        <v>3.7549999999999999</v>
      </c>
      <c r="E5086" s="33">
        <f t="shared" si="165"/>
        <v>-3.5154018543737787E-4</v>
      </c>
    </row>
    <row r="5087" spans="1:5" x14ac:dyDescent="0.25">
      <c r="A5087" s="41">
        <v>43677</v>
      </c>
      <c r="B5087" s="29">
        <v>227.44</v>
      </c>
      <c r="C5087" s="37">
        <f t="shared" si="164"/>
        <v>37.906666666666666</v>
      </c>
      <c r="D5087" s="37">
        <v>3.7549999999999999</v>
      </c>
      <c r="E5087" s="33">
        <f t="shared" si="165"/>
        <v>-2.1978988087393452E-4</v>
      </c>
    </row>
    <row r="5088" spans="1:5" x14ac:dyDescent="0.25">
      <c r="A5088" s="41">
        <v>43677</v>
      </c>
      <c r="B5088" s="29">
        <v>227.2</v>
      </c>
      <c r="C5088" s="37">
        <f t="shared" si="164"/>
        <v>37.866666666666667</v>
      </c>
      <c r="D5088" s="37">
        <v>3.7549999999999999</v>
      </c>
      <c r="E5088" s="33">
        <f t="shared" si="165"/>
        <v>-1.0552233556103108E-3</v>
      </c>
    </row>
    <row r="5089" spans="1:5" x14ac:dyDescent="0.25">
      <c r="A5089" s="41">
        <v>43677</v>
      </c>
      <c r="B5089" s="29">
        <v>225.63</v>
      </c>
      <c r="C5089" s="37">
        <f t="shared" si="164"/>
        <v>37.604999999999997</v>
      </c>
      <c r="D5089" s="37">
        <v>3.7549999999999999</v>
      </c>
      <c r="E5089" s="33">
        <f t="shared" si="165"/>
        <v>-6.9102112676056038E-3</v>
      </c>
    </row>
    <row r="5090" spans="1:5" x14ac:dyDescent="0.25">
      <c r="A5090" s="41">
        <v>43678</v>
      </c>
      <c r="B5090" s="29">
        <v>223.45</v>
      </c>
      <c r="C5090" s="37">
        <f t="shared" si="164"/>
        <v>37.241666666666667</v>
      </c>
      <c r="D5090" s="37">
        <v>3.6989999999999998</v>
      </c>
      <c r="E5090" s="33">
        <f t="shared" si="165"/>
        <v>-9.6618357487923013E-3</v>
      </c>
    </row>
    <row r="5091" spans="1:5" x14ac:dyDescent="0.25">
      <c r="A5091" s="41">
        <v>43678</v>
      </c>
      <c r="B5091" s="29">
        <v>223</v>
      </c>
      <c r="C5091" s="37">
        <f t="shared" si="164"/>
        <v>37.166666666666664</v>
      </c>
      <c r="D5091" s="37">
        <v>3.6989999999999998</v>
      </c>
      <c r="E5091" s="33">
        <f t="shared" si="165"/>
        <v>-2.0138733497426209E-3</v>
      </c>
    </row>
    <row r="5092" spans="1:5" x14ac:dyDescent="0.25">
      <c r="A5092" s="41">
        <v>43678</v>
      </c>
      <c r="B5092" s="29">
        <v>222.92</v>
      </c>
      <c r="C5092" s="37">
        <f t="shared" si="164"/>
        <v>37.153333333333336</v>
      </c>
      <c r="D5092" s="37">
        <v>3.6989999999999998</v>
      </c>
      <c r="E5092" s="33">
        <f t="shared" si="165"/>
        <v>-3.5874439461889017E-4</v>
      </c>
    </row>
    <row r="5093" spans="1:5" x14ac:dyDescent="0.25">
      <c r="A5093" s="41">
        <v>43678</v>
      </c>
      <c r="B5093" s="29">
        <v>222.87</v>
      </c>
      <c r="C5093" s="37">
        <f t="shared" si="164"/>
        <v>37.145000000000003</v>
      </c>
      <c r="D5093" s="37">
        <v>3.6989999999999998</v>
      </c>
      <c r="E5093" s="33">
        <f t="shared" si="165"/>
        <v>-2.2429571146592028E-4</v>
      </c>
    </row>
    <row r="5094" spans="1:5" x14ac:dyDescent="0.25">
      <c r="A5094" s="41">
        <v>43678</v>
      </c>
      <c r="B5094" s="29">
        <v>222.82</v>
      </c>
      <c r="C5094" s="37">
        <f t="shared" si="164"/>
        <v>37.136666666666663</v>
      </c>
      <c r="D5094" s="37">
        <v>3.6989999999999998</v>
      </c>
      <c r="E5094" s="33">
        <f t="shared" si="165"/>
        <v>-2.2434603131875696E-4</v>
      </c>
    </row>
    <row r="5095" spans="1:5" x14ac:dyDescent="0.25">
      <c r="A5095" s="41">
        <v>43678</v>
      </c>
      <c r="B5095" s="29">
        <v>223.36</v>
      </c>
      <c r="C5095" s="37">
        <f t="shared" si="164"/>
        <v>37.226666666666667</v>
      </c>
      <c r="D5095" s="37">
        <v>3.6989999999999998</v>
      </c>
      <c r="E5095" s="33">
        <f t="shared" si="165"/>
        <v>2.4234808365497735E-3</v>
      </c>
    </row>
    <row r="5096" spans="1:5" x14ac:dyDescent="0.25">
      <c r="A5096" s="41">
        <v>43678</v>
      </c>
      <c r="B5096" s="29">
        <v>224.44</v>
      </c>
      <c r="C5096" s="37">
        <f t="shared" si="164"/>
        <v>37.406666666666666</v>
      </c>
      <c r="D5096" s="37">
        <v>3.6989999999999998</v>
      </c>
      <c r="E5096" s="33">
        <f t="shared" si="165"/>
        <v>4.8352435530085247E-3</v>
      </c>
    </row>
    <row r="5097" spans="1:5" x14ac:dyDescent="0.25">
      <c r="A5097" s="41">
        <v>43678</v>
      </c>
      <c r="B5097" s="29">
        <v>226.48</v>
      </c>
      <c r="C5097" s="37">
        <f t="shared" si="164"/>
        <v>37.74666666666667</v>
      </c>
      <c r="D5097" s="37">
        <v>3.6989999999999998</v>
      </c>
      <c r="E5097" s="33">
        <f t="shared" si="165"/>
        <v>9.0892888968098027E-3</v>
      </c>
    </row>
    <row r="5098" spans="1:5" x14ac:dyDescent="0.25">
      <c r="A5098" s="41">
        <v>43678</v>
      </c>
      <c r="B5098" s="29">
        <v>228.28</v>
      </c>
      <c r="C5098" s="37">
        <f t="shared" si="164"/>
        <v>38.046666666666667</v>
      </c>
      <c r="D5098" s="37">
        <v>3.6989999999999998</v>
      </c>
      <c r="E5098" s="33">
        <f t="shared" si="165"/>
        <v>7.9477216531261552E-3</v>
      </c>
    </row>
    <row r="5099" spans="1:5" x14ac:dyDescent="0.25">
      <c r="A5099" s="41">
        <v>43678</v>
      </c>
      <c r="B5099" s="29">
        <v>228.42</v>
      </c>
      <c r="C5099" s="37">
        <f t="shared" si="164"/>
        <v>38.07</v>
      </c>
      <c r="D5099" s="37">
        <v>3.6989999999999998</v>
      </c>
      <c r="E5099" s="33">
        <f t="shared" si="165"/>
        <v>6.1328193446638494E-4</v>
      </c>
    </row>
    <row r="5100" spans="1:5" x14ac:dyDescent="0.25">
      <c r="A5100" s="41">
        <v>43678</v>
      </c>
      <c r="B5100" s="29">
        <v>228.46</v>
      </c>
      <c r="C5100" s="37">
        <f t="shared" si="164"/>
        <v>38.076666666666668</v>
      </c>
      <c r="D5100" s="37">
        <v>3.6989999999999998</v>
      </c>
      <c r="E5100" s="33">
        <f t="shared" si="165"/>
        <v>1.7511601435960276E-4</v>
      </c>
    </row>
    <row r="5101" spans="1:5" x14ac:dyDescent="0.25">
      <c r="A5101" s="41">
        <v>43678</v>
      </c>
      <c r="B5101" s="29">
        <v>228.46</v>
      </c>
      <c r="C5101" s="37">
        <f t="shared" si="164"/>
        <v>38.076666666666668</v>
      </c>
      <c r="D5101" s="37">
        <v>3.6989999999999998</v>
      </c>
      <c r="E5101" s="33">
        <f t="shared" si="165"/>
        <v>0</v>
      </c>
    </row>
    <row r="5102" spans="1:5" x14ac:dyDescent="0.25">
      <c r="A5102" s="41">
        <v>43678</v>
      </c>
      <c r="B5102" s="29">
        <v>228.47</v>
      </c>
      <c r="C5102" s="37">
        <f t="shared" si="164"/>
        <v>38.078333333333333</v>
      </c>
      <c r="D5102" s="37">
        <v>3.6989999999999998</v>
      </c>
      <c r="E5102" s="33">
        <f t="shared" si="165"/>
        <v>4.3771338527492359E-5</v>
      </c>
    </row>
    <row r="5103" spans="1:5" x14ac:dyDescent="0.25">
      <c r="A5103" s="41">
        <v>43678</v>
      </c>
      <c r="B5103" s="29">
        <v>228.52</v>
      </c>
      <c r="C5103" s="37">
        <f t="shared" si="164"/>
        <v>38.086666666666666</v>
      </c>
      <c r="D5103" s="37">
        <v>3.6989999999999998</v>
      </c>
      <c r="E5103" s="33">
        <f t="shared" si="165"/>
        <v>2.1884711340662392E-4</v>
      </c>
    </row>
    <row r="5104" spans="1:5" x14ac:dyDescent="0.25">
      <c r="A5104" s="41">
        <v>43678</v>
      </c>
      <c r="B5104" s="29">
        <v>228.76</v>
      </c>
      <c r="C5104" s="37">
        <f t="shared" si="164"/>
        <v>38.126666666666665</v>
      </c>
      <c r="D5104" s="37">
        <v>3.6989999999999998</v>
      </c>
      <c r="E5104" s="33">
        <f t="shared" si="165"/>
        <v>1.0502363031681282E-3</v>
      </c>
    </row>
    <row r="5105" spans="1:5" x14ac:dyDescent="0.25">
      <c r="A5105" s="41">
        <v>43678</v>
      </c>
      <c r="B5105" s="29">
        <v>228.87</v>
      </c>
      <c r="C5105" s="37">
        <f t="shared" si="164"/>
        <v>38.145000000000003</v>
      </c>
      <c r="D5105" s="37">
        <v>3.6989999999999998</v>
      </c>
      <c r="E5105" s="33">
        <f t="shared" si="165"/>
        <v>4.8085329603083428E-4</v>
      </c>
    </row>
    <row r="5106" spans="1:5" x14ac:dyDescent="0.25">
      <c r="A5106" s="41">
        <v>43678</v>
      </c>
      <c r="B5106" s="29">
        <v>228.91</v>
      </c>
      <c r="C5106" s="37">
        <f t="shared" si="164"/>
        <v>38.151666666666664</v>
      </c>
      <c r="D5106" s="37">
        <v>3.6989999999999998</v>
      </c>
      <c r="E5106" s="33">
        <f t="shared" si="165"/>
        <v>1.7477170446101299E-4</v>
      </c>
    </row>
    <row r="5107" spans="1:5" x14ac:dyDescent="0.25">
      <c r="A5107" s="41">
        <v>43678</v>
      </c>
      <c r="B5107" s="29">
        <v>228.93</v>
      </c>
      <c r="C5107" s="37">
        <f t="shared" si="164"/>
        <v>38.155000000000001</v>
      </c>
      <c r="D5107" s="37">
        <v>3.6989999999999998</v>
      </c>
      <c r="E5107" s="33">
        <f t="shared" si="165"/>
        <v>8.737058232497589E-5</v>
      </c>
    </row>
    <row r="5108" spans="1:5" x14ac:dyDescent="0.25">
      <c r="A5108" s="41">
        <v>43678</v>
      </c>
      <c r="B5108" s="29">
        <v>231.62</v>
      </c>
      <c r="C5108" s="37">
        <f t="shared" si="164"/>
        <v>38.603333333333332</v>
      </c>
      <c r="D5108" s="37">
        <v>3.6989999999999998</v>
      </c>
      <c r="E5108" s="33">
        <f t="shared" si="165"/>
        <v>1.1750316690691468E-2</v>
      </c>
    </row>
    <row r="5109" spans="1:5" x14ac:dyDescent="0.25">
      <c r="A5109" s="41">
        <v>43678</v>
      </c>
      <c r="B5109" s="29">
        <v>229.8</v>
      </c>
      <c r="C5109" s="37">
        <f t="shared" si="164"/>
        <v>38.299999999999997</v>
      </c>
      <c r="D5109" s="37">
        <v>3.6989999999999998</v>
      </c>
      <c r="E5109" s="33">
        <f t="shared" si="165"/>
        <v>-7.85769795354457E-3</v>
      </c>
    </row>
    <row r="5110" spans="1:5" x14ac:dyDescent="0.25">
      <c r="A5110" s="41">
        <v>43678</v>
      </c>
      <c r="B5110" s="29">
        <v>228.83</v>
      </c>
      <c r="C5110" s="37">
        <f t="shared" si="164"/>
        <v>38.138333333333335</v>
      </c>
      <c r="D5110" s="37">
        <v>3.6989999999999998</v>
      </c>
      <c r="E5110" s="33">
        <f t="shared" si="165"/>
        <v>-4.2210617928633539E-3</v>
      </c>
    </row>
    <row r="5111" spans="1:5" x14ac:dyDescent="0.25">
      <c r="A5111" s="41">
        <v>43678</v>
      </c>
      <c r="B5111" s="29">
        <v>228.68</v>
      </c>
      <c r="C5111" s="37">
        <f t="shared" si="164"/>
        <v>38.113333333333337</v>
      </c>
      <c r="D5111" s="37">
        <v>3.6989999999999998</v>
      </c>
      <c r="E5111" s="33">
        <f t="shared" si="165"/>
        <v>-6.5550845605910797E-4</v>
      </c>
    </row>
    <row r="5112" spans="1:5" x14ac:dyDescent="0.25">
      <c r="A5112" s="41">
        <v>43678</v>
      </c>
      <c r="B5112" s="29">
        <v>228.4</v>
      </c>
      <c r="C5112" s="37">
        <f t="shared" si="164"/>
        <v>38.06666666666667</v>
      </c>
      <c r="D5112" s="37">
        <v>3.6989999999999998</v>
      </c>
      <c r="E5112" s="33">
        <f t="shared" si="165"/>
        <v>-1.2244184012594067E-3</v>
      </c>
    </row>
    <row r="5113" spans="1:5" x14ac:dyDescent="0.25">
      <c r="A5113" s="41">
        <v>43678</v>
      </c>
      <c r="B5113" s="29">
        <v>226.14</v>
      </c>
      <c r="C5113" s="37">
        <f t="shared" si="164"/>
        <v>37.69</v>
      </c>
      <c r="D5113" s="37">
        <v>3.6989999999999998</v>
      </c>
      <c r="E5113" s="33">
        <f t="shared" si="165"/>
        <v>-9.8949211908932536E-3</v>
      </c>
    </row>
    <row r="5114" spans="1:5" x14ac:dyDescent="0.25">
      <c r="A5114" s="41">
        <v>43679</v>
      </c>
      <c r="B5114" s="29">
        <v>221.54</v>
      </c>
      <c r="C5114" s="37">
        <f t="shared" si="164"/>
        <v>36.923333333333332</v>
      </c>
      <c r="D5114" s="37">
        <v>3.6840000000000002</v>
      </c>
      <c r="E5114" s="33">
        <f t="shared" si="165"/>
        <v>-2.0341381445122465E-2</v>
      </c>
    </row>
    <row r="5115" spans="1:5" x14ac:dyDescent="0.25">
      <c r="A5115" s="41">
        <v>43679</v>
      </c>
      <c r="B5115" s="29">
        <v>220.5</v>
      </c>
      <c r="C5115" s="37">
        <f t="shared" si="164"/>
        <v>36.75</v>
      </c>
      <c r="D5115" s="37">
        <v>3.6840000000000002</v>
      </c>
      <c r="E5115" s="33">
        <f t="shared" si="165"/>
        <v>-4.6944118443621565E-3</v>
      </c>
    </row>
    <row r="5116" spans="1:5" x14ac:dyDescent="0.25">
      <c r="A5116" s="41">
        <v>43679</v>
      </c>
      <c r="B5116" s="29">
        <v>219.18</v>
      </c>
      <c r="C5116" s="37">
        <f t="shared" si="164"/>
        <v>36.53</v>
      </c>
      <c r="D5116" s="37">
        <v>3.6840000000000002</v>
      </c>
      <c r="E5116" s="33">
        <f t="shared" si="165"/>
        <v>-5.9863945578230984E-3</v>
      </c>
    </row>
    <row r="5117" spans="1:5" x14ac:dyDescent="0.25">
      <c r="A5117" s="41">
        <v>43679</v>
      </c>
      <c r="B5117" s="29">
        <v>219.02</v>
      </c>
      <c r="C5117" s="37">
        <f t="shared" si="164"/>
        <v>36.50333333333333</v>
      </c>
      <c r="D5117" s="37">
        <v>3.6840000000000002</v>
      </c>
      <c r="E5117" s="33">
        <f t="shared" si="165"/>
        <v>-7.2999361255587458E-4</v>
      </c>
    </row>
    <row r="5118" spans="1:5" x14ac:dyDescent="0.25">
      <c r="A5118" s="41">
        <v>43679</v>
      </c>
      <c r="B5118" s="29">
        <v>219.28</v>
      </c>
      <c r="C5118" s="37">
        <f t="shared" si="164"/>
        <v>36.546666666666667</v>
      </c>
      <c r="D5118" s="37">
        <v>3.6840000000000002</v>
      </c>
      <c r="E5118" s="33">
        <f t="shared" si="165"/>
        <v>1.1871062003469587E-3</v>
      </c>
    </row>
    <row r="5119" spans="1:5" x14ac:dyDescent="0.25">
      <c r="A5119" s="41">
        <v>43679</v>
      </c>
      <c r="B5119" s="29">
        <v>221.38</v>
      </c>
      <c r="C5119" s="37">
        <f t="shared" si="164"/>
        <v>36.896666666666668</v>
      </c>
      <c r="D5119" s="37">
        <v>3.6840000000000002</v>
      </c>
      <c r="E5119" s="33">
        <f t="shared" si="165"/>
        <v>9.5767967894928602E-3</v>
      </c>
    </row>
    <row r="5120" spans="1:5" x14ac:dyDescent="0.25">
      <c r="A5120" s="41">
        <v>43679</v>
      </c>
      <c r="B5120" s="29">
        <v>223.32</v>
      </c>
      <c r="C5120" s="37">
        <f t="shared" si="164"/>
        <v>37.22</v>
      </c>
      <c r="D5120" s="37">
        <v>3.6840000000000002</v>
      </c>
      <c r="E5120" s="33">
        <f t="shared" si="165"/>
        <v>8.7632125756617486E-3</v>
      </c>
    </row>
    <row r="5121" spans="1:5" x14ac:dyDescent="0.25">
      <c r="A5121" s="41">
        <v>43679</v>
      </c>
      <c r="B5121" s="29">
        <v>224.96</v>
      </c>
      <c r="C5121" s="37">
        <f t="shared" si="164"/>
        <v>37.493333333333332</v>
      </c>
      <c r="D5121" s="37">
        <v>3.6840000000000002</v>
      </c>
      <c r="E5121" s="33">
        <f t="shared" si="165"/>
        <v>7.3437220132545888E-3</v>
      </c>
    </row>
    <row r="5122" spans="1:5" x14ac:dyDescent="0.25">
      <c r="A5122" s="41">
        <v>43679</v>
      </c>
      <c r="B5122" s="29">
        <v>226.98</v>
      </c>
      <c r="C5122" s="37">
        <f t="shared" si="164"/>
        <v>37.83</v>
      </c>
      <c r="D5122" s="37">
        <v>3.6840000000000002</v>
      </c>
      <c r="E5122" s="33">
        <f t="shared" si="165"/>
        <v>8.9793741109529777E-3</v>
      </c>
    </row>
    <row r="5123" spans="1:5" x14ac:dyDescent="0.25">
      <c r="A5123" s="41">
        <v>43679</v>
      </c>
      <c r="B5123" s="29">
        <v>228.1</v>
      </c>
      <c r="C5123" s="37">
        <f t="shared" ref="C5123:C5186" si="166">(B5123*100/600)</f>
        <v>38.016666666666666</v>
      </c>
      <c r="D5123" s="37">
        <v>3.6840000000000002</v>
      </c>
      <c r="E5123" s="33">
        <f t="shared" si="165"/>
        <v>4.934355449819388E-3</v>
      </c>
    </row>
    <row r="5124" spans="1:5" x14ac:dyDescent="0.25">
      <c r="A5124" s="41">
        <v>43679</v>
      </c>
      <c r="B5124" s="29">
        <v>228.32</v>
      </c>
      <c r="C5124" s="37">
        <f t="shared" si="166"/>
        <v>38.053333333333335</v>
      </c>
      <c r="D5124" s="37">
        <v>3.6840000000000002</v>
      </c>
      <c r="E5124" s="33">
        <f t="shared" ref="E5124:E5187" si="167">(B5124-B5123)/B5123</f>
        <v>9.6448925909688242E-4</v>
      </c>
    </row>
    <row r="5125" spans="1:5" x14ac:dyDescent="0.25">
      <c r="A5125" s="41">
        <v>43679</v>
      </c>
      <c r="B5125" s="29">
        <v>228.35</v>
      </c>
      <c r="C5125" s="37">
        <f t="shared" si="166"/>
        <v>38.05833333333333</v>
      </c>
      <c r="D5125" s="37">
        <v>3.6840000000000002</v>
      </c>
      <c r="E5125" s="33">
        <f t="shared" si="167"/>
        <v>1.313945339873911E-4</v>
      </c>
    </row>
    <row r="5126" spans="1:5" x14ac:dyDescent="0.25">
      <c r="A5126" s="41">
        <v>43679</v>
      </c>
      <c r="B5126" s="29">
        <v>228.32</v>
      </c>
      <c r="C5126" s="37">
        <f t="shared" si="166"/>
        <v>38.053333333333335</v>
      </c>
      <c r="D5126" s="37">
        <v>3.6840000000000002</v>
      </c>
      <c r="E5126" s="33">
        <f t="shared" si="167"/>
        <v>-1.3137727173199534E-4</v>
      </c>
    </row>
    <row r="5127" spans="1:5" x14ac:dyDescent="0.25">
      <c r="A5127" s="41">
        <v>43679</v>
      </c>
      <c r="B5127" s="29">
        <v>228.42</v>
      </c>
      <c r="C5127" s="37">
        <f t="shared" si="166"/>
        <v>38.07</v>
      </c>
      <c r="D5127" s="37">
        <v>3.6840000000000002</v>
      </c>
      <c r="E5127" s="33">
        <f t="shared" si="167"/>
        <v>4.3798177995792886E-4</v>
      </c>
    </row>
    <row r="5128" spans="1:5" x14ac:dyDescent="0.25">
      <c r="A5128" s="41">
        <v>43679</v>
      </c>
      <c r="B5128" s="29">
        <v>228.54</v>
      </c>
      <c r="C5128" s="37">
        <f t="shared" si="166"/>
        <v>38.090000000000003</v>
      </c>
      <c r="D5128" s="37">
        <v>3.6840000000000002</v>
      </c>
      <c r="E5128" s="33">
        <f t="shared" si="167"/>
        <v>5.2534804307855952E-4</v>
      </c>
    </row>
    <row r="5129" spans="1:5" x14ac:dyDescent="0.25">
      <c r="A5129" s="41">
        <v>43679</v>
      </c>
      <c r="B5129" s="29">
        <v>228.59</v>
      </c>
      <c r="C5129" s="37">
        <f t="shared" si="166"/>
        <v>38.098333333333336</v>
      </c>
      <c r="D5129" s="37">
        <v>3.6840000000000002</v>
      </c>
      <c r="E5129" s="33">
        <f t="shared" si="167"/>
        <v>2.1878008226136069E-4</v>
      </c>
    </row>
    <row r="5130" spans="1:5" x14ac:dyDescent="0.25">
      <c r="A5130" s="41">
        <v>43679</v>
      </c>
      <c r="B5130" s="29">
        <v>228.62</v>
      </c>
      <c r="C5130" s="37">
        <f t="shared" si="166"/>
        <v>38.103333333333332</v>
      </c>
      <c r="D5130" s="37">
        <v>3.6840000000000002</v>
      </c>
      <c r="E5130" s="33">
        <f t="shared" si="167"/>
        <v>1.3123933680388966E-4</v>
      </c>
    </row>
    <row r="5131" spans="1:5" x14ac:dyDescent="0.25">
      <c r="A5131" s="41">
        <v>43679</v>
      </c>
      <c r="B5131" s="29">
        <v>228.5</v>
      </c>
      <c r="C5131" s="37">
        <f t="shared" si="166"/>
        <v>38.083333333333336</v>
      </c>
      <c r="D5131" s="37">
        <v>3.6840000000000002</v>
      </c>
      <c r="E5131" s="33">
        <f t="shared" si="167"/>
        <v>-5.2488846120201445E-4</v>
      </c>
    </row>
    <row r="5132" spans="1:5" x14ac:dyDescent="0.25">
      <c r="A5132" s="41">
        <v>43679</v>
      </c>
      <c r="B5132" s="29">
        <v>229.16</v>
      </c>
      <c r="C5132" s="37">
        <f t="shared" si="166"/>
        <v>38.193333333333335</v>
      </c>
      <c r="D5132" s="37">
        <v>3.6840000000000002</v>
      </c>
      <c r="E5132" s="33">
        <f t="shared" si="167"/>
        <v>2.8884026258205542E-3</v>
      </c>
    </row>
    <row r="5133" spans="1:5" x14ac:dyDescent="0.25">
      <c r="A5133" s="41">
        <v>43679</v>
      </c>
      <c r="B5133" s="29">
        <v>228.8</v>
      </c>
      <c r="C5133" s="37">
        <f t="shared" si="166"/>
        <v>38.133333333333333</v>
      </c>
      <c r="D5133" s="37">
        <v>3.6840000000000002</v>
      </c>
      <c r="E5133" s="33">
        <f t="shared" si="167"/>
        <v>-1.5709547914120492E-3</v>
      </c>
    </row>
    <row r="5134" spans="1:5" x14ac:dyDescent="0.25">
      <c r="A5134" s="41">
        <v>43679</v>
      </c>
      <c r="B5134" s="29">
        <v>228.5</v>
      </c>
      <c r="C5134" s="37">
        <f t="shared" si="166"/>
        <v>38.083333333333336</v>
      </c>
      <c r="D5134" s="37">
        <v>3.6840000000000002</v>
      </c>
      <c r="E5134" s="33">
        <f t="shared" si="167"/>
        <v>-1.3111888111888609E-3</v>
      </c>
    </row>
    <row r="5135" spans="1:5" x14ac:dyDescent="0.25">
      <c r="A5135" s="41">
        <v>43679</v>
      </c>
      <c r="B5135" s="29">
        <v>228.27</v>
      </c>
      <c r="C5135" s="37">
        <f t="shared" si="166"/>
        <v>38.045000000000002</v>
      </c>
      <c r="D5135" s="37">
        <v>3.6840000000000002</v>
      </c>
      <c r="E5135" s="33">
        <f t="shared" si="167"/>
        <v>-1.0065645514222748E-3</v>
      </c>
    </row>
    <row r="5136" spans="1:5" x14ac:dyDescent="0.25">
      <c r="A5136" s="41">
        <v>43679</v>
      </c>
      <c r="B5136" s="29">
        <v>227.17</v>
      </c>
      <c r="C5136" s="37">
        <f t="shared" si="166"/>
        <v>37.861666666666665</v>
      </c>
      <c r="D5136" s="37">
        <v>3.6840000000000002</v>
      </c>
      <c r="E5136" s="33">
        <f t="shared" si="167"/>
        <v>-4.818854864853124E-3</v>
      </c>
    </row>
    <row r="5137" spans="1:5" x14ac:dyDescent="0.25">
      <c r="A5137" s="41">
        <v>43679</v>
      </c>
      <c r="B5137" s="29">
        <v>224.76</v>
      </c>
      <c r="C5137" s="37">
        <f t="shared" si="166"/>
        <v>37.46</v>
      </c>
      <c r="D5137" s="37">
        <v>3.6840000000000002</v>
      </c>
      <c r="E5137" s="33">
        <f t="shared" si="167"/>
        <v>-1.0608795175419275E-2</v>
      </c>
    </row>
    <row r="5138" spans="1:5" x14ac:dyDescent="0.25">
      <c r="A5138" s="41">
        <v>43680</v>
      </c>
      <c r="B5138" s="29">
        <v>234.78</v>
      </c>
      <c r="C5138" s="37">
        <f t="shared" si="166"/>
        <v>39.130000000000003</v>
      </c>
      <c r="D5138" s="37">
        <v>3.5720000000000001</v>
      </c>
      <c r="E5138" s="33">
        <f t="shared" si="167"/>
        <v>4.4580886278697322E-2</v>
      </c>
    </row>
    <row r="5139" spans="1:5" x14ac:dyDescent="0.25">
      <c r="A5139" s="41">
        <v>43680</v>
      </c>
      <c r="B5139" s="29">
        <v>232.44</v>
      </c>
      <c r="C5139" s="37">
        <f t="shared" si="166"/>
        <v>38.74</v>
      </c>
      <c r="D5139" s="37">
        <v>3.5720000000000001</v>
      </c>
      <c r="E5139" s="33">
        <f t="shared" si="167"/>
        <v>-9.9667774086378887E-3</v>
      </c>
    </row>
    <row r="5140" spans="1:5" x14ac:dyDescent="0.25">
      <c r="A5140" s="41">
        <v>43680</v>
      </c>
      <c r="B5140" s="29">
        <v>231.51</v>
      </c>
      <c r="C5140" s="37">
        <f t="shared" si="166"/>
        <v>38.585000000000001</v>
      </c>
      <c r="D5140" s="37">
        <v>3.5720000000000001</v>
      </c>
      <c r="E5140" s="33">
        <f t="shared" si="167"/>
        <v>-4.0010325245224869E-3</v>
      </c>
    </row>
    <row r="5141" spans="1:5" x14ac:dyDescent="0.25">
      <c r="A5141" s="41">
        <v>43680</v>
      </c>
      <c r="B5141" s="29">
        <v>231.5</v>
      </c>
      <c r="C5141" s="37">
        <f t="shared" si="166"/>
        <v>38.583333333333336</v>
      </c>
      <c r="D5141" s="37">
        <v>3.5720000000000001</v>
      </c>
      <c r="E5141" s="33">
        <f t="shared" si="167"/>
        <v>-4.3194678415579912E-5</v>
      </c>
    </row>
    <row r="5142" spans="1:5" x14ac:dyDescent="0.25">
      <c r="A5142" s="41">
        <v>43680</v>
      </c>
      <c r="B5142" s="29">
        <v>231.51</v>
      </c>
      <c r="C5142" s="37">
        <f t="shared" si="166"/>
        <v>38.585000000000001</v>
      </c>
      <c r="D5142" s="37">
        <v>3.5720000000000001</v>
      </c>
      <c r="E5142" s="33">
        <f t="shared" si="167"/>
        <v>4.3196544276418597E-5</v>
      </c>
    </row>
    <row r="5143" spans="1:5" x14ac:dyDescent="0.25">
      <c r="A5143" s="41">
        <v>43680</v>
      </c>
      <c r="B5143" s="29">
        <v>231.51</v>
      </c>
      <c r="C5143" s="37">
        <f t="shared" si="166"/>
        <v>38.585000000000001</v>
      </c>
      <c r="D5143" s="37">
        <v>3.5720000000000001</v>
      </c>
      <c r="E5143" s="33">
        <f t="shared" si="167"/>
        <v>0</v>
      </c>
    </row>
    <row r="5144" spans="1:5" x14ac:dyDescent="0.25">
      <c r="A5144" s="41">
        <v>43680</v>
      </c>
      <c r="B5144" s="29">
        <v>231.52</v>
      </c>
      <c r="C5144" s="37">
        <f t="shared" si="166"/>
        <v>38.586666666666666</v>
      </c>
      <c r="D5144" s="37">
        <v>3.5720000000000001</v>
      </c>
      <c r="E5144" s="33">
        <f t="shared" si="167"/>
        <v>4.3194678415702677E-5</v>
      </c>
    </row>
    <row r="5145" spans="1:5" x14ac:dyDescent="0.25">
      <c r="A5145" s="41">
        <v>43680</v>
      </c>
      <c r="B5145" s="29">
        <v>232.32</v>
      </c>
      <c r="C5145" s="37">
        <f t="shared" si="166"/>
        <v>38.72</v>
      </c>
      <c r="D5145" s="37">
        <v>3.5720000000000001</v>
      </c>
      <c r="E5145" s="33">
        <f t="shared" si="167"/>
        <v>3.4554250172770511E-3</v>
      </c>
    </row>
    <row r="5146" spans="1:5" x14ac:dyDescent="0.25">
      <c r="A5146" s="41">
        <v>43680</v>
      </c>
      <c r="B5146" s="29">
        <v>234.46</v>
      </c>
      <c r="C5146" s="37">
        <f t="shared" si="166"/>
        <v>39.076666666666668</v>
      </c>
      <c r="D5146" s="37">
        <v>3.5720000000000001</v>
      </c>
      <c r="E5146" s="33">
        <f t="shared" si="167"/>
        <v>9.2114325068871159E-3</v>
      </c>
    </row>
    <row r="5147" spans="1:5" x14ac:dyDescent="0.25">
      <c r="A5147" s="41">
        <v>43680</v>
      </c>
      <c r="B5147" s="29">
        <v>234.52</v>
      </c>
      <c r="C5147" s="37">
        <f t="shared" si="166"/>
        <v>39.086666666666666</v>
      </c>
      <c r="D5147" s="37">
        <v>3.5720000000000001</v>
      </c>
      <c r="E5147" s="33">
        <f t="shared" si="167"/>
        <v>2.5590719099207658E-4</v>
      </c>
    </row>
    <row r="5148" spans="1:5" x14ac:dyDescent="0.25">
      <c r="A5148" s="41">
        <v>43680</v>
      </c>
      <c r="B5148" s="29">
        <v>234.66</v>
      </c>
      <c r="C5148" s="37">
        <f t="shared" si="166"/>
        <v>39.11</v>
      </c>
      <c r="D5148" s="37">
        <v>3.5720000000000001</v>
      </c>
      <c r="E5148" s="33">
        <f t="shared" si="167"/>
        <v>5.9696401159809972E-4</v>
      </c>
    </row>
    <row r="5149" spans="1:5" x14ac:dyDescent="0.25">
      <c r="A5149" s="41">
        <v>43680</v>
      </c>
      <c r="B5149" s="29">
        <v>234.7</v>
      </c>
      <c r="C5149" s="37">
        <f t="shared" si="166"/>
        <v>39.116666666666667</v>
      </c>
      <c r="D5149" s="37">
        <v>3.5720000000000001</v>
      </c>
      <c r="E5149" s="33">
        <f t="shared" si="167"/>
        <v>1.7045938805076299E-4</v>
      </c>
    </row>
    <row r="5150" spans="1:5" x14ac:dyDescent="0.25">
      <c r="A5150" s="41">
        <v>43680</v>
      </c>
      <c r="B5150" s="29">
        <v>234.65</v>
      </c>
      <c r="C5150" s="37">
        <f t="shared" si="166"/>
        <v>39.108333333333334</v>
      </c>
      <c r="D5150" s="37">
        <v>3.5720000000000001</v>
      </c>
      <c r="E5150" s="33">
        <f t="shared" si="167"/>
        <v>-2.1303792074982083E-4</v>
      </c>
    </row>
    <row r="5151" spans="1:5" x14ac:dyDescent="0.25">
      <c r="A5151" s="41">
        <v>43680</v>
      </c>
      <c r="B5151" s="29">
        <v>234.66</v>
      </c>
      <c r="C5151" s="37">
        <f t="shared" si="166"/>
        <v>39.11</v>
      </c>
      <c r="D5151" s="37">
        <v>3.5720000000000001</v>
      </c>
      <c r="E5151" s="33">
        <f t="shared" si="167"/>
        <v>4.2616663115239314E-5</v>
      </c>
    </row>
    <row r="5152" spans="1:5" x14ac:dyDescent="0.25">
      <c r="A5152" s="41">
        <v>43680</v>
      </c>
      <c r="B5152" s="29">
        <v>234.62</v>
      </c>
      <c r="C5152" s="37">
        <f t="shared" si="166"/>
        <v>39.103333333333332</v>
      </c>
      <c r="D5152" s="37">
        <v>3.5720000000000001</v>
      </c>
      <c r="E5152" s="33">
        <f t="shared" si="167"/>
        <v>-1.7045938805076299E-4</v>
      </c>
    </row>
    <row r="5153" spans="1:5" x14ac:dyDescent="0.25">
      <c r="A5153" s="41">
        <v>43680</v>
      </c>
      <c r="B5153" s="29">
        <v>234.58</v>
      </c>
      <c r="C5153" s="37">
        <f t="shared" si="166"/>
        <v>39.096666666666664</v>
      </c>
      <c r="D5153" s="37">
        <v>3.5720000000000001</v>
      </c>
      <c r="E5153" s="33">
        <f t="shared" si="167"/>
        <v>-1.7048844940751871E-4</v>
      </c>
    </row>
    <row r="5154" spans="1:5" x14ac:dyDescent="0.25">
      <c r="A5154" s="41">
        <v>43680</v>
      </c>
      <c r="B5154" s="29">
        <v>234.61</v>
      </c>
      <c r="C5154" s="37">
        <f t="shared" si="166"/>
        <v>39.101666666666667</v>
      </c>
      <c r="D5154" s="37">
        <v>3.5720000000000001</v>
      </c>
      <c r="E5154" s="33">
        <f t="shared" si="167"/>
        <v>1.2788814050644187E-4</v>
      </c>
    </row>
    <row r="5155" spans="1:5" x14ac:dyDescent="0.25">
      <c r="A5155" s="41">
        <v>43680</v>
      </c>
      <c r="B5155" s="29">
        <v>236.27</v>
      </c>
      <c r="C5155" s="37">
        <f t="shared" si="166"/>
        <v>39.37833333333333</v>
      </c>
      <c r="D5155" s="37">
        <v>3.5720000000000001</v>
      </c>
      <c r="E5155" s="33">
        <f t="shared" si="167"/>
        <v>7.0755722262478005E-3</v>
      </c>
    </row>
    <row r="5156" spans="1:5" x14ac:dyDescent="0.25">
      <c r="A5156" s="41">
        <v>43680</v>
      </c>
      <c r="B5156" s="29">
        <v>238.8</v>
      </c>
      <c r="C5156" s="37">
        <f t="shared" si="166"/>
        <v>39.799999999999997</v>
      </c>
      <c r="D5156" s="37">
        <v>3.5720000000000001</v>
      </c>
      <c r="E5156" s="33">
        <f t="shared" si="167"/>
        <v>1.0708088204173197E-2</v>
      </c>
    </row>
    <row r="5157" spans="1:5" x14ac:dyDescent="0.25">
      <c r="A5157" s="41">
        <v>43680</v>
      </c>
      <c r="B5157" s="29">
        <v>238.54</v>
      </c>
      <c r="C5157" s="37">
        <f t="shared" si="166"/>
        <v>39.756666666666668</v>
      </c>
      <c r="D5157" s="37">
        <v>3.5720000000000001</v>
      </c>
      <c r="E5157" s="33">
        <f t="shared" si="167"/>
        <v>-1.0887772194305666E-3</v>
      </c>
    </row>
    <row r="5158" spans="1:5" x14ac:dyDescent="0.25">
      <c r="A5158" s="41">
        <v>43680</v>
      </c>
      <c r="B5158" s="29">
        <v>237.87</v>
      </c>
      <c r="C5158" s="37">
        <f t="shared" si="166"/>
        <v>39.645000000000003</v>
      </c>
      <c r="D5158" s="37">
        <v>3.5720000000000001</v>
      </c>
      <c r="E5158" s="33">
        <f t="shared" si="167"/>
        <v>-2.8087532489309446E-3</v>
      </c>
    </row>
    <row r="5159" spans="1:5" x14ac:dyDescent="0.25">
      <c r="A5159" s="41">
        <v>43680</v>
      </c>
      <c r="B5159" s="29">
        <v>236.58</v>
      </c>
      <c r="C5159" s="37">
        <f t="shared" si="166"/>
        <v>39.43</v>
      </c>
      <c r="D5159" s="37">
        <v>3.5720000000000001</v>
      </c>
      <c r="E5159" s="33">
        <f t="shared" si="167"/>
        <v>-5.4231302812460256E-3</v>
      </c>
    </row>
    <row r="5160" spans="1:5" x14ac:dyDescent="0.25">
      <c r="A5160" s="41">
        <v>43680</v>
      </c>
      <c r="B5160" s="29">
        <v>234.44</v>
      </c>
      <c r="C5160" s="37">
        <f t="shared" si="166"/>
        <v>39.073333333333331</v>
      </c>
      <c r="D5160" s="37">
        <v>3.5720000000000001</v>
      </c>
      <c r="E5160" s="33">
        <f t="shared" si="167"/>
        <v>-9.0455659819089294E-3</v>
      </c>
    </row>
    <row r="5161" spans="1:5" x14ac:dyDescent="0.25">
      <c r="A5161" s="41">
        <v>43680</v>
      </c>
      <c r="B5161" s="29">
        <v>233.86</v>
      </c>
      <c r="C5161" s="37">
        <f t="shared" si="166"/>
        <v>38.976666666666667</v>
      </c>
      <c r="D5161" s="37">
        <v>3.5720000000000001</v>
      </c>
      <c r="E5161" s="33">
        <f t="shared" si="167"/>
        <v>-2.4739805493942334E-3</v>
      </c>
    </row>
    <row r="5162" spans="1:5" x14ac:dyDescent="0.25">
      <c r="A5162" s="41">
        <v>43681</v>
      </c>
      <c r="B5162" s="29">
        <v>231.35</v>
      </c>
      <c r="C5162" s="37">
        <f t="shared" si="166"/>
        <v>38.55833333333333</v>
      </c>
      <c r="D5162" s="37">
        <v>3.5009999999999999</v>
      </c>
      <c r="E5162" s="33">
        <f t="shared" si="167"/>
        <v>-1.0732917129906865E-2</v>
      </c>
    </row>
    <row r="5163" spans="1:5" x14ac:dyDescent="0.25">
      <c r="A5163" s="41">
        <v>43681</v>
      </c>
      <c r="B5163" s="29">
        <v>231.35</v>
      </c>
      <c r="C5163" s="37">
        <f t="shared" si="166"/>
        <v>38.55833333333333</v>
      </c>
      <c r="D5163" s="37">
        <v>3.5009999999999999</v>
      </c>
      <c r="E5163" s="33">
        <f t="shared" si="167"/>
        <v>0</v>
      </c>
    </row>
    <row r="5164" spans="1:5" x14ac:dyDescent="0.25">
      <c r="A5164" s="41">
        <v>43681</v>
      </c>
      <c r="B5164" s="29">
        <v>231.35</v>
      </c>
      <c r="C5164" s="37">
        <f t="shared" si="166"/>
        <v>38.55833333333333</v>
      </c>
      <c r="D5164" s="37">
        <v>3.5009999999999999</v>
      </c>
      <c r="E5164" s="33">
        <f t="shared" si="167"/>
        <v>0</v>
      </c>
    </row>
    <row r="5165" spans="1:5" x14ac:dyDescent="0.25">
      <c r="A5165" s="41">
        <v>43681</v>
      </c>
      <c r="B5165" s="29">
        <v>231.35</v>
      </c>
      <c r="C5165" s="37">
        <f t="shared" si="166"/>
        <v>38.55833333333333</v>
      </c>
      <c r="D5165" s="37">
        <v>3.5009999999999999</v>
      </c>
      <c r="E5165" s="33">
        <f t="shared" si="167"/>
        <v>0</v>
      </c>
    </row>
    <row r="5166" spans="1:5" x14ac:dyDescent="0.25">
      <c r="A5166" s="41">
        <v>43681</v>
      </c>
      <c r="B5166" s="29">
        <v>231.35</v>
      </c>
      <c r="C5166" s="37">
        <f t="shared" si="166"/>
        <v>38.55833333333333</v>
      </c>
      <c r="D5166" s="37">
        <v>3.5009999999999999</v>
      </c>
      <c r="E5166" s="33">
        <f t="shared" si="167"/>
        <v>0</v>
      </c>
    </row>
    <row r="5167" spans="1:5" x14ac:dyDescent="0.25">
      <c r="A5167" s="41">
        <v>43681</v>
      </c>
      <c r="B5167" s="29">
        <v>231.35</v>
      </c>
      <c r="C5167" s="37">
        <f t="shared" si="166"/>
        <v>38.55833333333333</v>
      </c>
      <c r="D5167" s="37">
        <v>3.5009999999999999</v>
      </c>
      <c r="E5167" s="33">
        <f t="shared" si="167"/>
        <v>0</v>
      </c>
    </row>
    <row r="5168" spans="1:5" x14ac:dyDescent="0.25">
      <c r="A5168" s="41">
        <v>43681</v>
      </c>
      <c r="B5168" s="29">
        <v>231.35</v>
      </c>
      <c r="C5168" s="37">
        <f t="shared" si="166"/>
        <v>38.55833333333333</v>
      </c>
      <c r="D5168" s="37">
        <v>3.5009999999999999</v>
      </c>
      <c r="E5168" s="33">
        <f t="shared" si="167"/>
        <v>0</v>
      </c>
    </row>
    <row r="5169" spans="1:5" x14ac:dyDescent="0.25">
      <c r="A5169" s="41">
        <v>43681</v>
      </c>
      <c r="B5169" s="29">
        <v>231.35</v>
      </c>
      <c r="C5169" s="37">
        <f t="shared" si="166"/>
        <v>38.55833333333333</v>
      </c>
      <c r="D5169" s="37">
        <v>3.5009999999999999</v>
      </c>
      <c r="E5169" s="33">
        <f t="shared" si="167"/>
        <v>0</v>
      </c>
    </row>
    <row r="5170" spans="1:5" x14ac:dyDescent="0.25">
      <c r="A5170" s="41">
        <v>43681</v>
      </c>
      <c r="B5170" s="29">
        <v>231.35</v>
      </c>
      <c r="C5170" s="37">
        <f t="shared" si="166"/>
        <v>38.55833333333333</v>
      </c>
      <c r="D5170" s="37">
        <v>3.5009999999999999</v>
      </c>
      <c r="E5170" s="33">
        <f t="shared" si="167"/>
        <v>0</v>
      </c>
    </row>
    <row r="5171" spans="1:5" x14ac:dyDescent="0.25">
      <c r="A5171" s="41">
        <v>43681</v>
      </c>
      <c r="B5171" s="29">
        <v>231.35</v>
      </c>
      <c r="C5171" s="37">
        <f t="shared" si="166"/>
        <v>38.55833333333333</v>
      </c>
      <c r="D5171" s="37">
        <v>3.5009999999999999</v>
      </c>
      <c r="E5171" s="33">
        <f t="shared" si="167"/>
        <v>0</v>
      </c>
    </row>
    <row r="5172" spans="1:5" x14ac:dyDescent="0.25">
      <c r="A5172" s="41">
        <v>43681</v>
      </c>
      <c r="B5172" s="29">
        <v>231.35</v>
      </c>
      <c r="C5172" s="37">
        <f t="shared" si="166"/>
        <v>38.55833333333333</v>
      </c>
      <c r="D5172" s="37">
        <v>3.5009999999999999</v>
      </c>
      <c r="E5172" s="33">
        <f t="shared" si="167"/>
        <v>0</v>
      </c>
    </row>
    <row r="5173" spans="1:5" x14ac:dyDescent="0.25">
      <c r="A5173" s="41">
        <v>43681</v>
      </c>
      <c r="B5173" s="29">
        <v>231.35</v>
      </c>
      <c r="C5173" s="37">
        <f t="shared" si="166"/>
        <v>38.55833333333333</v>
      </c>
      <c r="D5173" s="37">
        <v>3.5009999999999999</v>
      </c>
      <c r="E5173" s="33">
        <f t="shared" si="167"/>
        <v>0</v>
      </c>
    </row>
    <row r="5174" spans="1:5" x14ac:dyDescent="0.25">
      <c r="A5174" s="41">
        <v>43681</v>
      </c>
      <c r="B5174" s="29">
        <v>231.35</v>
      </c>
      <c r="C5174" s="37">
        <f t="shared" si="166"/>
        <v>38.55833333333333</v>
      </c>
      <c r="D5174" s="37">
        <v>3.5009999999999999</v>
      </c>
      <c r="E5174" s="33">
        <f t="shared" si="167"/>
        <v>0</v>
      </c>
    </row>
    <row r="5175" spans="1:5" x14ac:dyDescent="0.25">
      <c r="A5175" s="41">
        <v>43681</v>
      </c>
      <c r="B5175" s="29">
        <v>231.35</v>
      </c>
      <c r="C5175" s="37">
        <f t="shared" si="166"/>
        <v>38.55833333333333</v>
      </c>
      <c r="D5175" s="37">
        <v>3.5009999999999999</v>
      </c>
      <c r="E5175" s="33">
        <f t="shared" si="167"/>
        <v>0</v>
      </c>
    </row>
    <row r="5176" spans="1:5" x14ac:dyDescent="0.25">
      <c r="A5176" s="41">
        <v>43681</v>
      </c>
      <c r="B5176" s="29">
        <v>231.35</v>
      </c>
      <c r="C5176" s="37">
        <f t="shared" si="166"/>
        <v>38.55833333333333</v>
      </c>
      <c r="D5176" s="37">
        <v>3.5009999999999999</v>
      </c>
      <c r="E5176" s="33">
        <f t="shared" si="167"/>
        <v>0</v>
      </c>
    </row>
    <row r="5177" spans="1:5" x14ac:dyDescent="0.25">
      <c r="A5177" s="41">
        <v>43681</v>
      </c>
      <c r="B5177" s="29">
        <v>231.35</v>
      </c>
      <c r="C5177" s="37">
        <f t="shared" si="166"/>
        <v>38.55833333333333</v>
      </c>
      <c r="D5177" s="37">
        <v>3.5009999999999999</v>
      </c>
      <c r="E5177" s="33">
        <f t="shared" si="167"/>
        <v>0</v>
      </c>
    </row>
    <row r="5178" spans="1:5" x14ac:dyDescent="0.25">
      <c r="A5178" s="41">
        <v>43681</v>
      </c>
      <c r="B5178" s="29">
        <v>231.35</v>
      </c>
      <c r="C5178" s="37">
        <f t="shared" si="166"/>
        <v>38.55833333333333</v>
      </c>
      <c r="D5178" s="37">
        <v>3.5009999999999999</v>
      </c>
      <c r="E5178" s="33">
        <f t="shared" si="167"/>
        <v>0</v>
      </c>
    </row>
    <row r="5179" spans="1:5" x14ac:dyDescent="0.25">
      <c r="A5179" s="41">
        <v>43681</v>
      </c>
      <c r="B5179" s="29">
        <v>237.07</v>
      </c>
      <c r="C5179" s="37">
        <f t="shared" si="166"/>
        <v>39.511666666666663</v>
      </c>
      <c r="D5179" s="37">
        <v>3.5009999999999999</v>
      </c>
      <c r="E5179" s="33">
        <f t="shared" si="167"/>
        <v>2.472444348389885E-2</v>
      </c>
    </row>
    <row r="5180" spans="1:5" x14ac:dyDescent="0.25">
      <c r="A5180" s="41">
        <v>43681</v>
      </c>
      <c r="B5180" s="29">
        <v>237.07</v>
      </c>
      <c r="C5180" s="37">
        <f t="shared" si="166"/>
        <v>39.511666666666663</v>
      </c>
      <c r="D5180" s="37">
        <v>3.5009999999999999</v>
      </c>
      <c r="E5180" s="33">
        <f t="shared" si="167"/>
        <v>0</v>
      </c>
    </row>
    <row r="5181" spans="1:5" x14ac:dyDescent="0.25">
      <c r="A5181" s="41">
        <v>43681</v>
      </c>
      <c r="B5181" s="29">
        <v>237.07</v>
      </c>
      <c r="C5181" s="37">
        <f t="shared" si="166"/>
        <v>39.511666666666663</v>
      </c>
      <c r="D5181" s="37">
        <v>3.5009999999999999</v>
      </c>
      <c r="E5181" s="33">
        <f t="shared" si="167"/>
        <v>0</v>
      </c>
    </row>
    <row r="5182" spans="1:5" x14ac:dyDescent="0.25">
      <c r="A5182" s="41">
        <v>43681</v>
      </c>
      <c r="B5182" s="29">
        <v>237.07</v>
      </c>
      <c r="C5182" s="37">
        <f t="shared" si="166"/>
        <v>39.511666666666663</v>
      </c>
      <c r="D5182" s="37">
        <v>3.5009999999999999</v>
      </c>
      <c r="E5182" s="33">
        <f t="shared" si="167"/>
        <v>0</v>
      </c>
    </row>
    <row r="5183" spans="1:5" x14ac:dyDescent="0.25">
      <c r="A5183" s="41">
        <v>43681</v>
      </c>
      <c r="B5183" s="29">
        <v>233.77</v>
      </c>
      <c r="C5183" s="37">
        <f t="shared" si="166"/>
        <v>38.961666666666666</v>
      </c>
      <c r="D5183" s="37">
        <v>3.5009999999999999</v>
      </c>
      <c r="E5183" s="33">
        <f t="shared" si="167"/>
        <v>-1.3919939258446801E-2</v>
      </c>
    </row>
    <row r="5184" spans="1:5" x14ac:dyDescent="0.25">
      <c r="A5184" s="41">
        <v>43681</v>
      </c>
      <c r="B5184" s="29">
        <v>233.77</v>
      </c>
      <c r="C5184" s="37">
        <f t="shared" si="166"/>
        <v>38.961666666666666</v>
      </c>
      <c r="D5184" s="37">
        <v>3.5009999999999999</v>
      </c>
      <c r="E5184" s="33">
        <f t="shared" si="167"/>
        <v>0</v>
      </c>
    </row>
    <row r="5185" spans="1:5" x14ac:dyDescent="0.25">
      <c r="A5185" s="41">
        <v>43681</v>
      </c>
      <c r="B5185" s="29">
        <v>233.77</v>
      </c>
      <c r="C5185" s="37">
        <f t="shared" si="166"/>
        <v>38.961666666666666</v>
      </c>
      <c r="D5185" s="37">
        <v>3.5009999999999999</v>
      </c>
      <c r="E5185" s="33">
        <f t="shared" si="167"/>
        <v>0</v>
      </c>
    </row>
    <row r="5186" spans="1:5" x14ac:dyDescent="0.25">
      <c r="A5186" s="41">
        <v>43682</v>
      </c>
      <c r="B5186" s="29">
        <v>228.42</v>
      </c>
      <c r="C5186" s="37">
        <f t="shared" si="166"/>
        <v>38.07</v>
      </c>
      <c r="D5186" s="37">
        <v>3.4350000000000001</v>
      </c>
      <c r="E5186" s="33">
        <f t="shared" si="167"/>
        <v>-2.2885742396372599E-2</v>
      </c>
    </row>
    <row r="5187" spans="1:5" x14ac:dyDescent="0.25">
      <c r="A5187" s="41">
        <v>43682</v>
      </c>
      <c r="B5187" s="29">
        <v>225.19</v>
      </c>
      <c r="C5187" s="37">
        <f t="shared" ref="C5187:C5250" si="168">(B5187*100/600)</f>
        <v>37.531666666666666</v>
      </c>
      <c r="D5187" s="37">
        <v>3.4350000000000001</v>
      </c>
      <c r="E5187" s="33">
        <f t="shared" si="167"/>
        <v>-1.4140618159530645E-2</v>
      </c>
    </row>
    <row r="5188" spans="1:5" x14ac:dyDescent="0.25">
      <c r="A5188" s="41">
        <v>43682</v>
      </c>
      <c r="B5188" s="29">
        <v>224.5</v>
      </c>
      <c r="C5188" s="37">
        <f t="shared" si="168"/>
        <v>37.416666666666664</v>
      </c>
      <c r="D5188" s="37">
        <v>3.4350000000000001</v>
      </c>
      <c r="E5188" s="33">
        <f t="shared" ref="E5188:E5251" si="169">(B5188-B5187)/B5187</f>
        <v>-3.0640792219903093E-3</v>
      </c>
    </row>
    <row r="5189" spans="1:5" x14ac:dyDescent="0.25">
      <c r="A5189" s="41">
        <v>43682</v>
      </c>
      <c r="B5189" s="29">
        <v>224.5</v>
      </c>
      <c r="C5189" s="37">
        <f t="shared" si="168"/>
        <v>37.416666666666664</v>
      </c>
      <c r="D5189" s="37">
        <v>3.4350000000000001</v>
      </c>
      <c r="E5189" s="33">
        <f t="shared" si="169"/>
        <v>0</v>
      </c>
    </row>
    <row r="5190" spans="1:5" x14ac:dyDescent="0.25">
      <c r="A5190" s="41">
        <v>43682</v>
      </c>
      <c r="B5190" s="29">
        <v>224.92</v>
      </c>
      <c r="C5190" s="37">
        <f t="shared" si="168"/>
        <v>37.486666666666665</v>
      </c>
      <c r="D5190" s="37">
        <v>3.4350000000000001</v>
      </c>
      <c r="E5190" s="33">
        <f t="shared" si="169"/>
        <v>1.8708240534520602E-3</v>
      </c>
    </row>
    <row r="5191" spans="1:5" x14ac:dyDescent="0.25">
      <c r="A5191" s="41">
        <v>43682</v>
      </c>
      <c r="B5191" s="29">
        <v>230.54</v>
      </c>
      <c r="C5191" s="37">
        <f t="shared" si="168"/>
        <v>38.423333333333332</v>
      </c>
      <c r="D5191" s="37">
        <v>3.4350000000000001</v>
      </c>
      <c r="E5191" s="33">
        <f t="shared" si="169"/>
        <v>2.4986661924239751E-2</v>
      </c>
    </row>
    <row r="5192" spans="1:5" x14ac:dyDescent="0.25">
      <c r="A5192" s="41">
        <v>43682</v>
      </c>
      <c r="B5192" s="29">
        <v>235.6</v>
      </c>
      <c r="C5192" s="37">
        <f t="shared" si="168"/>
        <v>39.266666666666666</v>
      </c>
      <c r="D5192" s="37">
        <v>3.4350000000000001</v>
      </c>
      <c r="E5192" s="33">
        <f t="shared" si="169"/>
        <v>2.1948468812353614E-2</v>
      </c>
    </row>
    <row r="5193" spans="1:5" x14ac:dyDescent="0.25">
      <c r="A5193" s="41">
        <v>43682</v>
      </c>
      <c r="B5193" s="29">
        <v>238.28</v>
      </c>
      <c r="C5193" s="37">
        <f t="shared" si="168"/>
        <v>39.713333333333331</v>
      </c>
      <c r="D5193" s="37">
        <v>3.4350000000000001</v>
      </c>
      <c r="E5193" s="33">
        <f t="shared" si="169"/>
        <v>1.1375212224108687E-2</v>
      </c>
    </row>
    <row r="5194" spans="1:5" x14ac:dyDescent="0.25">
      <c r="A5194" s="41">
        <v>43682</v>
      </c>
      <c r="B5194" s="29">
        <v>239.3</v>
      </c>
      <c r="C5194" s="37">
        <f t="shared" si="168"/>
        <v>39.883333333333333</v>
      </c>
      <c r="D5194" s="37">
        <v>3.4350000000000001</v>
      </c>
      <c r="E5194" s="33">
        <f t="shared" si="169"/>
        <v>4.2806781937217153E-3</v>
      </c>
    </row>
    <row r="5195" spans="1:5" x14ac:dyDescent="0.25">
      <c r="A5195" s="41">
        <v>43682</v>
      </c>
      <c r="B5195" s="29">
        <v>239.72</v>
      </c>
      <c r="C5195" s="37">
        <f t="shared" si="168"/>
        <v>39.953333333333333</v>
      </c>
      <c r="D5195" s="37">
        <v>3.4350000000000001</v>
      </c>
      <c r="E5195" s="33">
        <f t="shared" si="169"/>
        <v>1.7551190973672691E-3</v>
      </c>
    </row>
    <row r="5196" spans="1:5" x14ac:dyDescent="0.25">
      <c r="A5196" s="41">
        <v>43682</v>
      </c>
      <c r="B5196" s="29">
        <v>240.3</v>
      </c>
      <c r="C5196" s="37">
        <f t="shared" si="168"/>
        <v>40.049999999999997</v>
      </c>
      <c r="D5196" s="37">
        <v>3.4350000000000001</v>
      </c>
      <c r="E5196" s="33">
        <f t="shared" si="169"/>
        <v>2.4194894043050746E-3</v>
      </c>
    </row>
    <row r="5197" spans="1:5" x14ac:dyDescent="0.25">
      <c r="A5197" s="41">
        <v>43682</v>
      </c>
      <c r="B5197" s="29">
        <v>240.37</v>
      </c>
      <c r="C5197" s="37">
        <f t="shared" si="168"/>
        <v>40.061666666666667</v>
      </c>
      <c r="D5197" s="37">
        <v>3.4350000000000001</v>
      </c>
      <c r="E5197" s="33">
        <f t="shared" si="169"/>
        <v>2.9130253849352132E-4</v>
      </c>
    </row>
    <row r="5198" spans="1:5" x14ac:dyDescent="0.25">
      <c r="A5198" s="41">
        <v>43682</v>
      </c>
      <c r="B5198" s="29">
        <v>240.01</v>
      </c>
      <c r="C5198" s="37">
        <f t="shared" si="168"/>
        <v>40.001666666666665</v>
      </c>
      <c r="D5198" s="37">
        <v>3.4350000000000001</v>
      </c>
      <c r="E5198" s="33">
        <f t="shared" si="169"/>
        <v>-1.4976910596164815E-3</v>
      </c>
    </row>
    <row r="5199" spans="1:5" x14ac:dyDescent="0.25">
      <c r="A5199" s="41">
        <v>43682</v>
      </c>
      <c r="B5199" s="29">
        <v>240.46</v>
      </c>
      <c r="C5199" s="37">
        <f t="shared" si="168"/>
        <v>40.076666666666668</v>
      </c>
      <c r="D5199" s="37">
        <v>3.4350000000000001</v>
      </c>
      <c r="E5199" s="33">
        <f t="shared" si="169"/>
        <v>1.8749218782551438E-3</v>
      </c>
    </row>
    <row r="5200" spans="1:5" x14ac:dyDescent="0.25">
      <c r="A5200" s="41">
        <v>43682</v>
      </c>
      <c r="B5200" s="29">
        <v>240.63</v>
      </c>
      <c r="C5200" s="37">
        <f t="shared" si="168"/>
        <v>40.104999999999997</v>
      </c>
      <c r="D5200" s="37">
        <v>3.4350000000000001</v>
      </c>
      <c r="E5200" s="33">
        <f t="shared" si="169"/>
        <v>7.0697829160769983E-4</v>
      </c>
    </row>
    <row r="5201" spans="1:5" x14ac:dyDescent="0.25">
      <c r="A5201" s="41">
        <v>43682</v>
      </c>
      <c r="B5201" s="29">
        <v>240.72</v>
      </c>
      <c r="C5201" s="37">
        <f t="shared" si="168"/>
        <v>40.119999999999997</v>
      </c>
      <c r="D5201" s="37">
        <v>3.4350000000000001</v>
      </c>
      <c r="E5201" s="33">
        <f t="shared" si="169"/>
        <v>3.7401820221918887E-4</v>
      </c>
    </row>
    <row r="5202" spans="1:5" x14ac:dyDescent="0.25">
      <c r="A5202" s="41">
        <v>43682</v>
      </c>
      <c r="B5202" s="29">
        <v>240.74</v>
      </c>
      <c r="C5202" s="37">
        <f t="shared" si="168"/>
        <v>40.123333333333335</v>
      </c>
      <c r="D5202" s="37">
        <v>3.4350000000000001</v>
      </c>
      <c r="E5202" s="33">
        <f t="shared" si="169"/>
        <v>8.3084081090105652E-5</v>
      </c>
    </row>
    <row r="5203" spans="1:5" x14ac:dyDescent="0.25">
      <c r="A5203" s="41">
        <v>43682</v>
      </c>
      <c r="B5203" s="29">
        <v>240.79</v>
      </c>
      <c r="C5203" s="37">
        <f t="shared" si="168"/>
        <v>40.131666666666668</v>
      </c>
      <c r="D5203" s="37">
        <v>3.4350000000000001</v>
      </c>
      <c r="E5203" s="33">
        <f t="shared" si="169"/>
        <v>2.076929467474576E-4</v>
      </c>
    </row>
    <row r="5204" spans="1:5" x14ac:dyDescent="0.25">
      <c r="A5204" s="41">
        <v>43682</v>
      </c>
      <c r="B5204" s="29">
        <v>241.42</v>
      </c>
      <c r="C5204" s="37">
        <f t="shared" si="168"/>
        <v>40.236666666666665</v>
      </c>
      <c r="D5204" s="37">
        <v>3.4350000000000001</v>
      </c>
      <c r="E5204" s="33">
        <f t="shared" si="169"/>
        <v>2.6163877237426617E-3</v>
      </c>
    </row>
    <row r="5205" spans="1:5" x14ac:dyDescent="0.25">
      <c r="A5205" s="41">
        <v>43682</v>
      </c>
      <c r="B5205" s="29">
        <v>241.06</v>
      </c>
      <c r="C5205" s="37">
        <f t="shared" si="168"/>
        <v>40.176666666666669</v>
      </c>
      <c r="D5205" s="37">
        <v>3.4350000000000001</v>
      </c>
      <c r="E5205" s="33">
        <f t="shared" si="169"/>
        <v>-1.4911772015573906E-3</v>
      </c>
    </row>
    <row r="5206" spans="1:5" x14ac:dyDescent="0.25">
      <c r="A5206" s="41">
        <v>43682</v>
      </c>
      <c r="B5206" s="29">
        <v>240.89</v>
      </c>
      <c r="C5206" s="37">
        <f t="shared" si="168"/>
        <v>40.148333333333333</v>
      </c>
      <c r="D5206" s="37">
        <v>3.4350000000000001</v>
      </c>
      <c r="E5206" s="33">
        <f t="shared" si="169"/>
        <v>-7.0521861777157518E-4</v>
      </c>
    </row>
    <row r="5207" spans="1:5" x14ac:dyDescent="0.25">
      <c r="A5207" s="41">
        <v>43682</v>
      </c>
      <c r="B5207" s="29">
        <v>240.79</v>
      </c>
      <c r="C5207" s="37">
        <f t="shared" si="168"/>
        <v>40.131666666666668</v>
      </c>
      <c r="D5207" s="37">
        <v>3.4350000000000001</v>
      </c>
      <c r="E5207" s="33">
        <f t="shared" si="169"/>
        <v>-4.1512723649796308E-4</v>
      </c>
    </row>
    <row r="5208" spans="1:5" x14ac:dyDescent="0.25">
      <c r="A5208" s="41">
        <v>43682</v>
      </c>
      <c r="B5208" s="29">
        <v>240.22</v>
      </c>
      <c r="C5208" s="37">
        <f t="shared" si="168"/>
        <v>40.036666666666669</v>
      </c>
      <c r="D5208" s="37">
        <v>3.4350000000000001</v>
      </c>
      <c r="E5208" s="33">
        <f t="shared" si="169"/>
        <v>-2.3672079405290636E-3</v>
      </c>
    </row>
    <row r="5209" spans="1:5" x14ac:dyDescent="0.25">
      <c r="A5209" s="41">
        <v>43682</v>
      </c>
      <c r="B5209" s="29">
        <v>238.8</v>
      </c>
      <c r="C5209" s="37">
        <f t="shared" si="168"/>
        <v>39.799999999999997</v>
      </c>
      <c r="D5209" s="37">
        <v>3.4350000000000001</v>
      </c>
      <c r="E5209" s="33">
        <f t="shared" si="169"/>
        <v>-5.9112480226458557E-3</v>
      </c>
    </row>
    <row r="5210" spans="1:5" x14ac:dyDescent="0.25">
      <c r="A5210" s="41">
        <v>43683</v>
      </c>
      <c r="B5210" s="29">
        <v>235.34</v>
      </c>
      <c r="C5210" s="37">
        <f t="shared" si="168"/>
        <v>39.223333333333336</v>
      </c>
      <c r="D5210" s="37">
        <v>3.363</v>
      </c>
      <c r="E5210" s="33">
        <f t="shared" si="169"/>
        <v>-1.4489112227805728E-2</v>
      </c>
    </row>
    <row r="5211" spans="1:5" x14ac:dyDescent="0.25">
      <c r="A5211" s="41">
        <v>43683</v>
      </c>
      <c r="B5211" s="29">
        <v>235.34</v>
      </c>
      <c r="C5211" s="37">
        <f t="shared" si="168"/>
        <v>39.223333333333336</v>
      </c>
      <c r="D5211" s="37">
        <v>3.363</v>
      </c>
      <c r="E5211" s="33">
        <f t="shared" si="169"/>
        <v>0</v>
      </c>
    </row>
    <row r="5212" spans="1:5" x14ac:dyDescent="0.25">
      <c r="A5212" s="41">
        <v>43683</v>
      </c>
      <c r="B5212" s="29">
        <v>235.34</v>
      </c>
      <c r="C5212" s="37">
        <f t="shared" si="168"/>
        <v>39.223333333333336</v>
      </c>
      <c r="D5212" s="37">
        <v>3.363</v>
      </c>
      <c r="E5212" s="33">
        <f t="shared" si="169"/>
        <v>0</v>
      </c>
    </row>
    <row r="5213" spans="1:5" x14ac:dyDescent="0.25">
      <c r="A5213" s="41">
        <v>43683</v>
      </c>
      <c r="B5213" s="29">
        <v>235.34</v>
      </c>
      <c r="C5213" s="37">
        <f t="shared" si="168"/>
        <v>39.223333333333336</v>
      </c>
      <c r="D5213" s="37">
        <v>3.363</v>
      </c>
      <c r="E5213" s="33">
        <f t="shared" si="169"/>
        <v>0</v>
      </c>
    </row>
    <row r="5214" spans="1:5" x14ac:dyDescent="0.25">
      <c r="A5214" s="41">
        <v>43683</v>
      </c>
      <c r="B5214" s="29">
        <v>235.34</v>
      </c>
      <c r="C5214" s="37">
        <f t="shared" si="168"/>
        <v>39.223333333333336</v>
      </c>
      <c r="D5214" s="37">
        <v>3.363</v>
      </c>
      <c r="E5214" s="33">
        <f t="shared" si="169"/>
        <v>0</v>
      </c>
    </row>
    <row r="5215" spans="1:5" x14ac:dyDescent="0.25">
      <c r="A5215" s="41">
        <v>43683</v>
      </c>
      <c r="B5215" s="29">
        <v>235.34</v>
      </c>
      <c r="C5215" s="37">
        <f t="shared" si="168"/>
        <v>39.223333333333336</v>
      </c>
      <c r="D5215" s="37">
        <v>3.363</v>
      </c>
      <c r="E5215" s="33">
        <f t="shared" si="169"/>
        <v>0</v>
      </c>
    </row>
    <row r="5216" spans="1:5" x14ac:dyDescent="0.25">
      <c r="A5216" s="41">
        <v>43683</v>
      </c>
      <c r="B5216" s="29">
        <v>235.34</v>
      </c>
      <c r="C5216" s="37">
        <f t="shared" si="168"/>
        <v>39.223333333333336</v>
      </c>
      <c r="D5216" s="37">
        <v>3.363</v>
      </c>
      <c r="E5216" s="33">
        <f t="shared" si="169"/>
        <v>0</v>
      </c>
    </row>
    <row r="5217" spans="1:5" x14ac:dyDescent="0.25">
      <c r="A5217" s="41">
        <v>43683</v>
      </c>
      <c r="B5217" s="29">
        <v>239.45</v>
      </c>
      <c r="C5217" s="37">
        <f t="shared" si="168"/>
        <v>39.908333333333331</v>
      </c>
      <c r="D5217" s="37">
        <v>3.363</v>
      </c>
      <c r="E5217" s="33">
        <f t="shared" si="169"/>
        <v>1.7464094501572131E-2</v>
      </c>
    </row>
    <row r="5218" spans="1:5" x14ac:dyDescent="0.25">
      <c r="A5218" s="41">
        <v>43683</v>
      </c>
      <c r="B5218" s="29">
        <v>239.45</v>
      </c>
      <c r="C5218" s="37">
        <f t="shared" si="168"/>
        <v>39.908333333333331</v>
      </c>
      <c r="D5218" s="37">
        <v>3.363</v>
      </c>
      <c r="E5218" s="33">
        <f t="shared" si="169"/>
        <v>0</v>
      </c>
    </row>
    <row r="5219" spans="1:5" x14ac:dyDescent="0.25">
      <c r="A5219" s="41">
        <v>43683</v>
      </c>
      <c r="B5219" s="29">
        <v>239.45</v>
      </c>
      <c r="C5219" s="37">
        <f t="shared" si="168"/>
        <v>39.908333333333331</v>
      </c>
      <c r="D5219" s="37">
        <v>3.363</v>
      </c>
      <c r="E5219" s="33">
        <f t="shared" si="169"/>
        <v>0</v>
      </c>
    </row>
    <row r="5220" spans="1:5" x14ac:dyDescent="0.25">
      <c r="A5220" s="41">
        <v>43683</v>
      </c>
      <c r="B5220" s="29">
        <v>240.54</v>
      </c>
      <c r="C5220" s="37">
        <f t="shared" si="168"/>
        <v>40.090000000000003</v>
      </c>
      <c r="D5220" s="37">
        <v>3.363</v>
      </c>
      <c r="E5220" s="33">
        <f t="shared" si="169"/>
        <v>4.5520985591981766E-3</v>
      </c>
    </row>
    <row r="5221" spans="1:5" x14ac:dyDescent="0.25">
      <c r="A5221" s="41">
        <v>43683</v>
      </c>
      <c r="B5221" s="29">
        <v>240.54</v>
      </c>
      <c r="C5221" s="37">
        <f t="shared" si="168"/>
        <v>40.090000000000003</v>
      </c>
      <c r="D5221" s="37">
        <v>3.363</v>
      </c>
      <c r="E5221" s="33">
        <f t="shared" si="169"/>
        <v>0</v>
      </c>
    </row>
    <row r="5222" spans="1:5" x14ac:dyDescent="0.25">
      <c r="A5222" s="41">
        <v>43683</v>
      </c>
      <c r="B5222" s="29">
        <v>240.54</v>
      </c>
      <c r="C5222" s="37">
        <f t="shared" si="168"/>
        <v>40.090000000000003</v>
      </c>
      <c r="D5222" s="37">
        <v>3.363</v>
      </c>
      <c r="E5222" s="33">
        <f t="shared" si="169"/>
        <v>0</v>
      </c>
    </row>
    <row r="5223" spans="1:5" x14ac:dyDescent="0.25">
      <c r="A5223" s="41">
        <v>43683</v>
      </c>
      <c r="B5223" s="29">
        <v>240.54</v>
      </c>
      <c r="C5223" s="37">
        <f t="shared" si="168"/>
        <v>40.090000000000003</v>
      </c>
      <c r="D5223" s="37">
        <v>3.363</v>
      </c>
      <c r="E5223" s="33">
        <f t="shared" si="169"/>
        <v>0</v>
      </c>
    </row>
    <row r="5224" spans="1:5" x14ac:dyDescent="0.25">
      <c r="A5224" s="41">
        <v>43683</v>
      </c>
      <c r="B5224" s="29">
        <v>240.54</v>
      </c>
      <c r="C5224" s="37">
        <f t="shared" si="168"/>
        <v>40.090000000000003</v>
      </c>
      <c r="D5224" s="37">
        <v>3.363</v>
      </c>
      <c r="E5224" s="33">
        <f t="shared" si="169"/>
        <v>0</v>
      </c>
    </row>
    <row r="5225" spans="1:5" x14ac:dyDescent="0.25">
      <c r="A5225" s="41">
        <v>43683</v>
      </c>
      <c r="B5225" s="29">
        <v>240.54</v>
      </c>
      <c r="C5225" s="37">
        <f t="shared" si="168"/>
        <v>40.090000000000003</v>
      </c>
      <c r="D5225" s="37">
        <v>3.363</v>
      </c>
      <c r="E5225" s="33">
        <f t="shared" si="169"/>
        <v>0</v>
      </c>
    </row>
    <row r="5226" spans="1:5" x14ac:dyDescent="0.25">
      <c r="A5226" s="41">
        <v>43683</v>
      </c>
      <c r="B5226" s="29">
        <v>240.54</v>
      </c>
      <c r="C5226" s="37">
        <f t="shared" si="168"/>
        <v>40.090000000000003</v>
      </c>
      <c r="D5226" s="37">
        <v>3.363</v>
      </c>
      <c r="E5226" s="33">
        <f t="shared" si="169"/>
        <v>0</v>
      </c>
    </row>
    <row r="5227" spans="1:5" x14ac:dyDescent="0.25">
      <c r="A5227" s="41">
        <v>43683</v>
      </c>
      <c r="B5227" s="29">
        <v>240.54</v>
      </c>
      <c r="C5227" s="37">
        <f t="shared" si="168"/>
        <v>40.090000000000003</v>
      </c>
      <c r="D5227" s="37">
        <v>3.363</v>
      </c>
      <c r="E5227" s="33">
        <f t="shared" si="169"/>
        <v>0</v>
      </c>
    </row>
    <row r="5228" spans="1:5" x14ac:dyDescent="0.25">
      <c r="A5228" s="41">
        <v>43683</v>
      </c>
      <c r="B5228" s="29">
        <v>240.54</v>
      </c>
      <c r="C5228" s="37">
        <f t="shared" si="168"/>
        <v>40.090000000000003</v>
      </c>
      <c r="D5228" s="37">
        <v>3.363</v>
      </c>
      <c r="E5228" s="33">
        <f t="shared" si="169"/>
        <v>0</v>
      </c>
    </row>
    <row r="5229" spans="1:5" x14ac:dyDescent="0.25">
      <c r="A5229" s="41">
        <v>43683</v>
      </c>
      <c r="B5229" s="29">
        <v>240.54</v>
      </c>
      <c r="C5229" s="37">
        <f t="shared" si="168"/>
        <v>40.090000000000003</v>
      </c>
      <c r="D5229" s="37">
        <v>3.363</v>
      </c>
      <c r="E5229" s="33">
        <f t="shared" si="169"/>
        <v>0</v>
      </c>
    </row>
    <row r="5230" spans="1:5" x14ac:dyDescent="0.25">
      <c r="A5230" s="41">
        <v>43683</v>
      </c>
      <c r="B5230" s="29">
        <v>240.54</v>
      </c>
      <c r="C5230" s="37">
        <f t="shared" si="168"/>
        <v>40.090000000000003</v>
      </c>
      <c r="D5230" s="37">
        <v>3.363</v>
      </c>
      <c r="E5230" s="33">
        <f t="shared" si="169"/>
        <v>0</v>
      </c>
    </row>
    <row r="5231" spans="1:5" x14ac:dyDescent="0.25">
      <c r="A5231" s="41">
        <v>43683</v>
      </c>
      <c r="B5231" s="29">
        <v>240.06</v>
      </c>
      <c r="C5231" s="37">
        <f t="shared" si="168"/>
        <v>40.01</v>
      </c>
      <c r="D5231" s="37">
        <v>3.363</v>
      </c>
      <c r="E5231" s="33">
        <f t="shared" si="169"/>
        <v>-1.9955101022698504E-3</v>
      </c>
    </row>
    <row r="5232" spans="1:5" x14ac:dyDescent="0.25">
      <c r="A5232" s="41">
        <v>43683</v>
      </c>
      <c r="B5232" s="29">
        <v>240.06</v>
      </c>
      <c r="C5232" s="37">
        <f t="shared" si="168"/>
        <v>40.01</v>
      </c>
      <c r="D5232" s="37">
        <v>3.363</v>
      </c>
      <c r="E5232" s="33">
        <f t="shared" si="169"/>
        <v>0</v>
      </c>
    </row>
    <row r="5233" spans="1:5" x14ac:dyDescent="0.25">
      <c r="A5233" s="41">
        <v>43683</v>
      </c>
      <c r="B5233" s="29">
        <v>240.06</v>
      </c>
      <c r="C5233" s="37">
        <f t="shared" si="168"/>
        <v>40.01</v>
      </c>
      <c r="D5233" s="37">
        <v>3.363</v>
      </c>
      <c r="E5233" s="33">
        <f t="shared" si="169"/>
        <v>0</v>
      </c>
    </row>
    <row r="5234" spans="1:5" x14ac:dyDescent="0.25">
      <c r="A5234" s="41">
        <v>43684</v>
      </c>
      <c r="B5234" s="29">
        <v>236.64</v>
      </c>
      <c r="C5234" s="37">
        <f t="shared" si="168"/>
        <v>39.44</v>
      </c>
      <c r="D5234" s="37">
        <v>3.2130000000000001</v>
      </c>
      <c r="E5234" s="33">
        <f t="shared" si="169"/>
        <v>-1.4246438390402466E-2</v>
      </c>
    </row>
    <row r="5235" spans="1:5" x14ac:dyDescent="0.25">
      <c r="A5235" s="41">
        <v>43684</v>
      </c>
      <c r="B5235" s="29">
        <v>235.89</v>
      </c>
      <c r="C5235" s="37">
        <f t="shared" si="168"/>
        <v>39.314999999999998</v>
      </c>
      <c r="D5235" s="37">
        <v>3.2130000000000001</v>
      </c>
      <c r="E5235" s="33">
        <f t="shared" si="169"/>
        <v>-3.1693711967545643E-3</v>
      </c>
    </row>
    <row r="5236" spans="1:5" x14ac:dyDescent="0.25">
      <c r="A5236" s="41">
        <v>43684</v>
      </c>
      <c r="B5236" s="29">
        <v>233.97</v>
      </c>
      <c r="C5236" s="37">
        <f t="shared" si="168"/>
        <v>38.994999999999997</v>
      </c>
      <c r="D5236" s="37">
        <v>3.2130000000000001</v>
      </c>
      <c r="E5236" s="33">
        <f t="shared" si="169"/>
        <v>-8.1393870024163272E-3</v>
      </c>
    </row>
    <row r="5237" spans="1:5" x14ac:dyDescent="0.25">
      <c r="A5237" s="41">
        <v>43684</v>
      </c>
      <c r="B5237" s="29">
        <v>233.91</v>
      </c>
      <c r="C5237" s="37">
        <f t="shared" si="168"/>
        <v>38.984999999999999</v>
      </c>
      <c r="D5237" s="37">
        <v>3.2130000000000001</v>
      </c>
      <c r="E5237" s="33">
        <f t="shared" si="169"/>
        <v>-2.5644313373510396E-4</v>
      </c>
    </row>
    <row r="5238" spans="1:5" x14ac:dyDescent="0.25">
      <c r="A5238" s="41">
        <v>43684</v>
      </c>
      <c r="B5238" s="29">
        <v>234.08</v>
      </c>
      <c r="C5238" s="37">
        <f t="shared" si="168"/>
        <v>39.013333333333335</v>
      </c>
      <c r="D5238" s="37">
        <v>3.2130000000000001</v>
      </c>
      <c r="E5238" s="33">
        <f t="shared" si="169"/>
        <v>7.2677525544019464E-4</v>
      </c>
    </row>
    <row r="5239" spans="1:5" x14ac:dyDescent="0.25">
      <c r="A5239" s="41">
        <v>43684</v>
      </c>
      <c r="B5239" s="29">
        <v>236.63</v>
      </c>
      <c r="C5239" s="37">
        <f t="shared" si="168"/>
        <v>39.438333333333333</v>
      </c>
      <c r="D5239" s="37">
        <v>3.2130000000000001</v>
      </c>
      <c r="E5239" s="33">
        <f t="shared" si="169"/>
        <v>1.0893711551606214E-2</v>
      </c>
    </row>
    <row r="5240" spans="1:5" x14ac:dyDescent="0.25">
      <c r="A5240" s="41">
        <v>43684</v>
      </c>
      <c r="B5240" s="29">
        <v>237.8</v>
      </c>
      <c r="C5240" s="37">
        <f t="shared" si="168"/>
        <v>39.633333333333333</v>
      </c>
      <c r="D5240" s="37">
        <v>3.2130000000000001</v>
      </c>
      <c r="E5240" s="33">
        <f t="shared" si="169"/>
        <v>4.9444280099734438E-3</v>
      </c>
    </row>
    <row r="5241" spans="1:5" x14ac:dyDescent="0.25">
      <c r="A5241" s="41">
        <v>43684</v>
      </c>
      <c r="B5241" s="29">
        <v>238.76</v>
      </c>
      <c r="C5241" s="37">
        <f t="shared" si="168"/>
        <v>39.793333333333337</v>
      </c>
      <c r="D5241" s="37">
        <v>3.2130000000000001</v>
      </c>
      <c r="E5241" s="33">
        <f t="shared" si="169"/>
        <v>4.0370058873001663E-3</v>
      </c>
    </row>
    <row r="5242" spans="1:5" x14ac:dyDescent="0.25">
      <c r="A5242" s="41">
        <v>43684</v>
      </c>
      <c r="B5242" s="29">
        <v>240.12</v>
      </c>
      <c r="C5242" s="37">
        <f t="shared" si="168"/>
        <v>40.020000000000003</v>
      </c>
      <c r="D5242" s="37">
        <v>3.2130000000000001</v>
      </c>
      <c r="E5242" s="33">
        <f t="shared" si="169"/>
        <v>5.6960964985760332E-3</v>
      </c>
    </row>
    <row r="5243" spans="1:5" x14ac:dyDescent="0.25">
      <c r="A5243" s="41">
        <v>43684</v>
      </c>
      <c r="B5243" s="29">
        <v>240.81</v>
      </c>
      <c r="C5243" s="37">
        <f t="shared" si="168"/>
        <v>40.134999999999998</v>
      </c>
      <c r="D5243" s="37">
        <v>3.2130000000000001</v>
      </c>
      <c r="E5243" s="33">
        <f t="shared" si="169"/>
        <v>2.873563218390795E-3</v>
      </c>
    </row>
    <row r="5244" spans="1:5" x14ac:dyDescent="0.25">
      <c r="A5244" s="41">
        <v>43684</v>
      </c>
      <c r="B5244" s="29">
        <v>241.35</v>
      </c>
      <c r="C5244" s="37">
        <f t="shared" si="168"/>
        <v>40.225000000000001</v>
      </c>
      <c r="D5244" s="37">
        <v>3.2130000000000001</v>
      </c>
      <c r="E5244" s="33">
        <f t="shared" si="169"/>
        <v>2.2424317926996056E-3</v>
      </c>
    </row>
    <row r="5245" spans="1:5" x14ac:dyDescent="0.25">
      <c r="A5245" s="41">
        <v>43684</v>
      </c>
      <c r="B5245" s="29">
        <v>241.42</v>
      </c>
      <c r="C5245" s="37">
        <f t="shared" si="168"/>
        <v>40.236666666666665</v>
      </c>
      <c r="D5245" s="37">
        <v>3.2130000000000001</v>
      </c>
      <c r="E5245" s="33">
        <f t="shared" si="169"/>
        <v>2.9003521856222573E-4</v>
      </c>
    </row>
    <row r="5246" spans="1:5" x14ac:dyDescent="0.25">
      <c r="A5246" s="41">
        <v>43684</v>
      </c>
      <c r="B5246" s="29">
        <v>241.08</v>
      </c>
      <c r="C5246" s="37">
        <f t="shared" si="168"/>
        <v>40.18</v>
      </c>
      <c r="D5246" s="37">
        <v>3.2130000000000001</v>
      </c>
      <c r="E5246" s="33">
        <f t="shared" si="169"/>
        <v>-1.4083340236930454E-3</v>
      </c>
    </row>
    <row r="5247" spans="1:5" x14ac:dyDescent="0.25">
      <c r="A5247" s="41">
        <v>43684</v>
      </c>
      <c r="B5247" s="29">
        <v>241.48</v>
      </c>
      <c r="C5247" s="37">
        <f t="shared" si="168"/>
        <v>40.24666666666667</v>
      </c>
      <c r="D5247" s="37">
        <v>3.2130000000000001</v>
      </c>
      <c r="E5247" s="33">
        <f t="shared" si="169"/>
        <v>1.659200265471948E-3</v>
      </c>
    </row>
    <row r="5248" spans="1:5" x14ac:dyDescent="0.25">
      <c r="A5248" s="41">
        <v>43684</v>
      </c>
      <c r="B5248" s="29">
        <v>241.56</v>
      </c>
      <c r="C5248" s="37">
        <f t="shared" si="168"/>
        <v>40.26</v>
      </c>
      <c r="D5248" s="37">
        <v>3.2130000000000001</v>
      </c>
      <c r="E5248" s="33">
        <f t="shared" si="169"/>
        <v>3.3129037601462859E-4</v>
      </c>
    </row>
    <row r="5249" spans="1:5" x14ac:dyDescent="0.25">
      <c r="A5249" s="41">
        <v>43684</v>
      </c>
      <c r="B5249" s="29">
        <v>241.6</v>
      </c>
      <c r="C5249" s="37">
        <f t="shared" si="168"/>
        <v>40.266666666666666</v>
      </c>
      <c r="D5249" s="37">
        <v>3.2130000000000001</v>
      </c>
      <c r="E5249" s="33">
        <f t="shared" si="169"/>
        <v>1.6559032952472282E-4</v>
      </c>
    </row>
    <row r="5250" spans="1:5" x14ac:dyDescent="0.25">
      <c r="A5250" s="41">
        <v>43684</v>
      </c>
      <c r="B5250" s="29">
        <v>241.65</v>
      </c>
      <c r="C5250" s="37">
        <f t="shared" si="168"/>
        <v>40.274999999999999</v>
      </c>
      <c r="D5250" s="37">
        <v>3.2130000000000001</v>
      </c>
      <c r="E5250" s="33">
        <f t="shared" si="169"/>
        <v>2.0695364238415301E-4</v>
      </c>
    </row>
    <row r="5251" spans="1:5" x14ac:dyDescent="0.25">
      <c r="A5251" s="41">
        <v>43684</v>
      </c>
      <c r="B5251" s="29">
        <v>241.64</v>
      </c>
      <c r="C5251" s="37">
        <f t="shared" ref="C5251:C5314" si="170">(B5251*100/600)</f>
        <v>40.273333333333333</v>
      </c>
      <c r="D5251" s="37">
        <v>3.2130000000000001</v>
      </c>
      <c r="E5251" s="33">
        <f t="shared" si="169"/>
        <v>-4.13821642872722E-5</v>
      </c>
    </row>
    <row r="5252" spans="1:5" x14ac:dyDescent="0.25">
      <c r="A5252" s="41">
        <v>43684</v>
      </c>
      <c r="B5252" s="29">
        <v>244.32</v>
      </c>
      <c r="C5252" s="37">
        <f t="shared" si="170"/>
        <v>40.72</v>
      </c>
      <c r="D5252" s="37">
        <v>3.2130000000000001</v>
      </c>
      <c r="E5252" s="33">
        <f t="shared" ref="E5252:E5315" si="171">(B5252-B5251)/B5251</f>
        <v>1.1090878993544145E-2</v>
      </c>
    </row>
    <row r="5253" spans="1:5" x14ac:dyDescent="0.25">
      <c r="A5253" s="41">
        <v>43684</v>
      </c>
      <c r="B5253" s="29">
        <v>243.49</v>
      </c>
      <c r="C5253" s="37">
        <f t="shared" si="170"/>
        <v>40.581666666666663</v>
      </c>
      <c r="D5253" s="37">
        <v>3.2130000000000001</v>
      </c>
      <c r="E5253" s="33">
        <f t="shared" si="171"/>
        <v>-3.3971840209560582E-3</v>
      </c>
    </row>
    <row r="5254" spans="1:5" x14ac:dyDescent="0.25">
      <c r="A5254" s="41">
        <v>43684</v>
      </c>
      <c r="B5254" s="29">
        <v>241.91</v>
      </c>
      <c r="C5254" s="37">
        <f t="shared" si="170"/>
        <v>40.318333333333335</v>
      </c>
      <c r="D5254" s="37">
        <v>3.2130000000000001</v>
      </c>
      <c r="E5254" s="33">
        <f t="shared" si="171"/>
        <v>-6.488972853094634E-3</v>
      </c>
    </row>
    <row r="5255" spans="1:5" x14ac:dyDescent="0.25">
      <c r="A5255" s="41">
        <v>43684</v>
      </c>
      <c r="B5255" s="29">
        <v>241.48</v>
      </c>
      <c r="C5255" s="37">
        <f t="shared" si="170"/>
        <v>40.24666666666667</v>
      </c>
      <c r="D5255" s="37">
        <v>3.2130000000000001</v>
      </c>
      <c r="E5255" s="33">
        <f t="shared" si="171"/>
        <v>-1.7775205654995941E-3</v>
      </c>
    </row>
    <row r="5256" spans="1:5" x14ac:dyDescent="0.25">
      <c r="A5256" s="41">
        <v>43684</v>
      </c>
      <c r="B5256" s="29">
        <v>240.42</v>
      </c>
      <c r="C5256" s="37">
        <f t="shared" si="170"/>
        <v>40.07</v>
      </c>
      <c r="D5256" s="37">
        <v>3.2130000000000001</v>
      </c>
      <c r="E5256" s="33">
        <f t="shared" si="171"/>
        <v>-4.389597482193152E-3</v>
      </c>
    </row>
    <row r="5257" spans="1:5" x14ac:dyDescent="0.25">
      <c r="A5257" s="41">
        <v>43684</v>
      </c>
      <c r="B5257" s="29">
        <v>238.61</v>
      </c>
      <c r="C5257" s="37">
        <f t="shared" si="170"/>
        <v>39.768333333333331</v>
      </c>
      <c r="D5257" s="37">
        <v>3.2130000000000001</v>
      </c>
      <c r="E5257" s="33">
        <f t="shared" si="171"/>
        <v>-7.5284918060060475E-3</v>
      </c>
    </row>
    <row r="5258" spans="1:5" x14ac:dyDescent="0.25">
      <c r="A5258" s="41">
        <v>43685</v>
      </c>
      <c r="B5258" s="29">
        <v>235.67</v>
      </c>
      <c r="C5258" s="37">
        <f t="shared" si="170"/>
        <v>39.278333333333336</v>
      </c>
      <c r="D5258" s="37">
        <v>3.0939999999999999</v>
      </c>
      <c r="E5258" s="33">
        <f t="shared" si="171"/>
        <v>-1.2321361217048849E-2</v>
      </c>
    </row>
    <row r="5259" spans="1:5" x14ac:dyDescent="0.25">
      <c r="A5259" s="41">
        <v>43685</v>
      </c>
      <c r="B5259" s="29">
        <v>234.17</v>
      </c>
      <c r="C5259" s="37">
        <f t="shared" si="170"/>
        <v>39.028333333333336</v>
      </c>
      <c r="D5259" s="37">
        <v>3.0939999999999999</v>
      </c>
      <c r="E5259" s="33">
        <f t="shared" si="171"/>
        <v>-6.3648321805915052E-3</v>
      </c>
    </row>
    <row r="5260" spans="1:5" x14ac:dyDescent="0.25">
      <c r="A5260" s="41">
        <v>43685</v>
      </c>
      <c r="B5260" s="29">
        <v>233.61</v>
      </c>
      <c r="C5260" s="37">
        <f t="shared" si="170"/>
        <v>38.935000000000002</v>
      </c>
      <c r="D5260" s="37">
        <v>3.0939999999999999</v>
      </c>
      <c r="E5260" s="33">
        <f t="shared" si="171"/>
        <v>-2.3914250330955029E-3</v>
      </c>
    </row>
    <row r="5261" spans="1:5" x14ac:dyDescent="0.25">
      <c r="A5261" s="41">
        <v>43685</v>
      </c>
      <c r="B5261" s="29">
        <v>233.64</v>
      </c>
      <c r="C5261" s="37">
        <f t="shared" si="170"/>
        <v>38.94</v>
      </c>
      <c r="D5261" s="37">
        <v>3.0939999999999999</v>
      </c>
      <c r="E5261" s="33">
        <f t="shared" si="171"/>
        <v>1.2841916013857588E-4</v>
      </c>
    </row>
    <row r="5262" spans="1:5" x14ac:dyDescent="0.25">
      <c r="A5262" s="41">
        <v>43685</v>
      </c>
      <c r="B5262" s="29">
        <v>233.78</v>
      </c>
      <c r="C5262" s="37">
        <f t="shared" si="170"/>
        <v>38.963333333333331</v>
      </c>
      <c r="D5262" s="37">
        <v>3.0939999999999999</v>
      </c>
      <c r="E5262" s="33">
        <f t="shared" si="171"/>
        <v>5.9921246361930658E-4</v>
      </c>
    </row>
    <row r="5263" spans="1:5" x14ac:dyDescent="0.25">
      <c r="A5263" s="41">
        <v>43685</v>
      </c>
      <c r="B5263" s="29">
        <v>235.03</v>
      </c>
      <c r="C5263" s="37">
        <f t="shared" si="170"/>
        <v>39.171666666666667</v>
      </c>
      <c r="D5263" s="37">
        <v>3.0939999999999999</v>
      </c>
      <c r="E5263" s="33">
        <f t="shared" si="171"/>
        <v>5.3469073487894606E-3</v>
      </c>
    </row>
    <row r="5264" spans="1:5" x14ac:dyDescent="0.25">
      <c r="A5264" s="41">
        <v>43685</v>
      </c>
      <c r="B5264" s="29">
        <v>236.91</v>
      </c>
      <c r="C5264" s="37">
        <f t="shared" si="170"/>
        <v>39.484999999999999</v>
      </c>
      <c r="D5264" s="37">
        <v>3.0939999999999999</v>
      </c>
      <c r="E5264" s="33">
        <f t="shared" si="171"/>
        <v>7.9989788537633295E-3</v>
      </c>
    </row>
    <row r="5265" spans="1:5" x14ac:dyDescent="0.25">
      <c r="A5265" s="41">
        <v>43685</v>
      </c>
      <c r="B5265" s="29">
        <v>237.83</v>
      </c>
      <c r="C5265" s="37">
        <f t="shared" si="170"/>
        <v>39.638333333333335</v>
      </c>
      <c r="D5265" s="37">
        <v>3.0939999999999999</v>
      </c>
      <c r="E5265" s="33">
        <f t="shared" si="171"/>
        <v>3.8833312228273012E-3</v>
      </c>
    </row>
    <row r="5266" spans="1:5" x14ac:dyDescent="0.25">
      <c r="A5266" s="41">
        <v>43685</v>
      </c>
      <c r="B5266" s="29">
        <v>239.6</v>
      </c>
      <c r="C5266" s="37">
        <f t="shared" si="170"/>
        <v>39.93333333333333</v>
      </c>
      <c r="D5266" s="37">
        <v>3.0939999999999999</v>
      </c>
      <c r="E5266" s="33">
        <f t="shared" si="171"/>
        <v>7.4422907118529271E-3</v>
      </c>
    </row>
    <row r="5267" spans="1:5" x14ac:dyDescent="0.25">
      <c r="A5267" s="41">
        <v>43685</v>
      </c>
      <c r="B5267" s="29">
        <v>240.7</v>
      </c>
      <c r="C5267" s="37">
        <f t="shared" si="170"/>
        <v>40.116666666666667</v>
      </c>
      <c r="D5267" s="37">
        <v>3.0939999999999999</v>
      </c>
      <c r="E5267" s="33">
        <f t="shared" si="171"/>
        <v>4.5909849749582402E-3</v>
      </c>
    </row>
    <row r="5268" spans="1:5" x14ac:dyDescent="0.25">
      <c r="A5268" s="41">
        <v>43685</v>
      </c>
      <c r="B5268" s="29">
        <v>241.59</v>
      </c>
      <c r="C5268" s="37">
        <f t="shared" si="170"/>
        <v>40.265000000000001</v>
      </c>
      <c r="D5268" s="37">
        <v>3.0939999999999999</v>
      </c>
      <c r="E5268" s="33">
        <f t="shared" si="171"/>
        <v>3.6975488159535306E-3</v>
      </c>
    </row>
    <row r="5269" spans="1:5" x14ac:dyDescent="0.25">
      <c r="A5269" s="41">
        <v>43685</v>
      </c>
      <c r="B5269" s="29">
        <v>241.64</v>
      </c>
      <c r="C5269" s="37">
        <f t="shared" si="170"/>
        <v>40.273333333333333</v>
      </c>
      <c r="D5269" s="37">
        <v>3.0939999999999999</v>
      </c>
      <c r="E5269" s="33">
        <f t="shared" si="171"/>
        <v>2.0696220870062066E-4</v>
      </c>
    </row>
    <row r="5270" spans="1:5" x14ac:dyDescent="0.25">
      <c r="A5270" s="41">
        <v>43685</v>
      </c>
      <c r="B5270" s="29">
        <v>241.35</v>
      </c>
      <c r="C5270" s="37">
        <f t="shared" si="170"/>
        <v>40.225000000000001</v>
      </c>
      <c r="D5270" s="37">
        <v>3.0939999999999999</v>
      </c>
      <c r="E5270" s="33">
        <f t="shared" si="171"/>
        <v>-1.2001324284058603E-3</v>
      </c>
    </row>
    <row r="5271" spans="1:5" x14ac:dyDescent="0.25">
      <c r="A5271" s="41">
        <v>43685</v>
      </c>
      <c r="B5271" s="29">
        <v>241.68</v>
      </c>
      <c r="C5271" s="37">
        <f t="shared" si="170"/>
        <v>40.28</v>
      </c>
      <c r="D5271" s="37">
        <v>3.0939999999999999</v>
      </c>
      <c r="E5271" s="33">
        <f t="shared" si="171"/>
        <v>1.3673088875078207E-3</v>
      </c>
    </row>
    <row r="5272" spans="1:5" x14ac:dyDescent="0.25">
      <c r="A5272" s="41">
        <v>43685</v>
      </c>
      <c r="B5272" s="29">
        <v>242.34</v>
      </c>
      <c r="C5272" s="37">
        <f t="shared" si="170"/>
        <v>40.39</v>
      </c>
      <c r="D5272" s="37">
        <v>3.0939999999999999</v>
      </c>
      <c r="E5272" s="33">
        <f t="shared" si="171"/>
        <v>2.730883813306838E-3</v>
      </c>
    </row>
    <row r="5273" spans="1:5" x14ac:dyDescent="0.25">
      <c r="A5273" s="41">
        <v>43685</v>
      </c>
      <c r="B5273" s="29">
        <v>242.68</v>
      </c>
      <c r="C5273" s="37">
        <f t="shared" si="170"/>
        <v>40.446666666666665</v>
      </c>
      <c r="D5273" s="37">
        <v>3.0939999999999999</v>
      </c>
      <c r="E5273" s="33">
        <f t="shared" si="171"/>
        <v>1.4029875381695279E-3</v>
      </c>
    </row>
    <row r="5274" spans="1:5" x14ac:dyDescent="0.25">
      <c r="A5274" s="41">
        <v>43685</v>
      </c>
      <c r="B5274" s="29">
        <v>242.73</v>
      </c>
      <c r="C5274" s="37">
        <f t="shared" si="170"/>
        <v>40.454999999999998</v>
      </c>
      <c r="D5274" s="37">
        <v>3.0939999999999999</v>
      </c>
      <c r="E5274" s="33">
        <f t="shared" si="171"/>
        <v>2.0603263556940392E-4</v>
      </c>
    </row>
    <row r="5275" spans="1:5" x14ac:dyDescent="0.25">
      <c r="A5275" s="41">
        <v>43685</v>
      </c>
      <c r="B5275" s="29">
        <v>242.33</v>
      </c>
      <c r="C5275" s="37">
        <f t="shared" si="170"/>
        <v>40.388333333333335</v>
      </c>
      <c r="D5275" s="37">
        <v>3.0939999999999999</v>
      </c>
      <c r="E5275" s="33">
        <f t="shared" si="171"/>
        <v>-1.6479215589337011E-3</v>
      </c>
    </row>
    <row r="5276" spans="1:5" x14ac:dyDescent="0.25">
      <c r="A5276" s="41">
        <v>43685</v>
      </c>
      <c r="B5276" s="29">
        <v>245.12</v>
      </c>
      <c r="C5276" s="37">
        <f t="shared" si="170"/>
        <v>40.853333333333332</v>
      </c>
      <c r="D5276" s="37">
        <v>3.0939999999999999</v>
      </c>
      <c r="E5276" s="33">
        <f t="shared" si="171"/>
        <v>1.1513225766516699E-2</v>
      </c>
    </row>
    <row r="5277" spans="1:5" x14ac:dyDescent="0.25">
      <c r="A5277" s="41">
        <v>43685</v>
      </c>
      <c r="B5277" s="29">
        <v>243.76</v>
      </c>
      <c r="C5277" s="37">
        <f t="shared" si="170"/>
        <v>40.626666666666665</v>
      </c>
      <c r="D5277" s="37">
        <v>3.0939999999999999</v>
      </c>
      <c r="E5277" s="33">
        <f t="shared" si="171"/>
        <v>-5.5483028720627187E-3</v>
      </c>
    </row>
    <row r="5278" spans="1:5" x14ac:dyDescent="0.25">
      <c r="A5278" s="41">
        <v>43685</v>
      </c>
      <c r="B5278" s="29">
        <v>242.78</v>
      </c>
      <c r="C5278" s="37">
        <f t="shared" si="170"/>
        <v>40.463333333333331</v>
      </c>
      <c r="D5278" s="37">
        <v>3.0939999999999999</v>
      </c>
      <c r="E5278" s="33">
        <f t="shared" si="171"/>
        <v>-4.0203478831637258E-3</v>
      </c>
    </row>
    <row r="5279" spans="1:5" x14ac:dyDescent="0.25">
      <c r="A5279" s="41">
        <v>43685</v>
      </c>
      <c r="B5279" s="29">
        <v>242.32</v>
      </c>
      <c r="C5279" s="37">
        <f t="shared" si="170"/>
        <v>40.386666666666663</v>
      </c>
      <c r="D5279" s="37">
        <v>3.0939999999999999</v>
      </c>
      <c r="E5279" s="33">
        <f t="shared" si="171"/>
        <v>-1.8947194991350521E-3</v>
      </c>
    </row>
    <row r="5280" spans="1:5" x14ac:dyDescent="0.25">
      <c r="A5280" s="41">
        <v>43685</v>
      </c>
      <c r="B5280" s="29">
        <v>241.15</v>
      </c>
      <c r="C5280" s="37">
        <f t="shared" si="170"/>
        <v>40.19166666666667</v>
      </c>
      <c r="D5280" s="37">
        <v>3.0939999999999999</v>
      </c>
      <c r="E5280" s="33">
        <f t="shared" si="171"/>
        <v>-4.8283261802574591E-3</v>
      </c>
    </row>
    <row r="5281" spans="1:5" x14ac:dyDescent="0.25">
      <c r="A5281" s="41">
        <v>43685</v>
      </c>
      <c r="B5281" s="29">
        <v>238.4</v>
      </c>
      <c r="C5281" s="37">
        <f t="shared" si="170"/>
        <v>39.733333333333334</v>
      </c>
      <c r="D5281" s="37">
        <v>3.0939999999999999</v>
      </c>
      <c r="E5281" s="33">
        <f t="shared" si="171"/>
        <v>-1.1403690648973668E-2</v>
      </c>
    </row>
    <row r="5282" spans="1:5" x14ac:dyDescent="0.25">
      <c r="A5282" s="41">
        <v>43686</v>
      </c>
      <c r="B5282" s="29">
        <v>239.16</v>
      </c>
      <c r="C5282" s="37">
        <f t="shared" si="170"/>
        <v>39.86</v>
      </c>
      <c r="D5282" s="37">
        <v>3.0449999999999999</v>
      </c>
      <c r="E5282" s="33">
        <f t="shared" si="171"/>
        <v>3.1879194630872101E-3</v>
      </c>
    </row>
    <row r="5283" spans="1:5" x14ac:dyDescent="0.25">
      <c r="A5283" s="41">
        <v>43686</v>
      </c>
      <c r="B5283" s="29">
        <v>239.16</v>
      </c>
      <c r="C5283" s="37">
        <f t="shared" si="170"/>
        <v>39.86</v>
      </c>
      <c r="D5283" s="37">
        <v>3.0449999999999999</v>
      </c>
      <c r="E5283" s="33">
        <f t="shared" si="171"/>
        <v>0</v>
      </c>
    </row>
    <row r="5284" spans="1:5" x14ac:dyDescent="0.25">
      <c r="A5284" s="41">
        <v>43686</v>
      </c>
      <c r="B5284" s="29">
        <v>239.16</v>
      </c>
      <c r="C5284" s="37">
        <f t="shared" si="170"/>
        <v>39.86</v>
      </c>
      <c r="D5284" s="37">
        <v>3.0449999999999999</v>
      </c>
      <c r="E5284" s="33">
        <f t="shared" si="171"/>
        <v>0</v>
      </c>
    </row>
    <row r="5285" spans="1:5" x14ac:dyDescent="0.25">
      <c r="A5285" s="41">
        <v>43686</v>
      </c>
      <c r="B5285" s="29">
        <v>239.16</v>
      </c>
      <c r="C5285" s="37">
        <f t="shared" si="170"/>
        <v>39.86</v>
      </c>
      <c r="D5285" s="37">
        <v>3.0449999999999999</v>
      </c>
      <c r="E5285" s="33">
        <f t="shared" si="171"/>
        <v>0</v>
      </c>
    </row>
    <row r="5286" spans="1:5" x14ac:dyDescent="0.25">
      <c r="A5286" s="41">
        <v>43686</v>
      </c>
      <c r="B5286" s="29">
        <v>239.16</v>
      </c>
      <c r="C5286" s="37">
        <f t="shared" si="170"/>
        <v>39.86</v>
      </c>
      <c r="D5286" s="37">
        <v>3.0449999999999999</v>
      </c>
      <c r="E5286" s="33">
        <f t="shared" si="171"/>
        <v>0</v>
      </c>
    </row>
    <row r="5287" spans="1:5" x14ac:dyDescent="0.25">
      <c r="A5287" s="41">
        <v>43686</v>
      </c>
      <c r="B5287" s="29">
        <v>239.16</v>
      </c>
      <c r="C5287" s="37">
        <f t="shared" si="170"/>
        <v>39.86</v>
      </c>
      <c r="D5287" s="37">
        <v>3.0449999999999999</v>
      </c>
      <c r="E5287" s="33">
        <f t="shared" si="171"/>
        <v>0</v>
      </c>
    </row>
    <row r="5288" spans="1:5" x14ac:dyDescent="0.25">
      <c r="A5288" s="41">
        <v>43686</v>
      </c>
      <c r="B5288" s="29">
        <v>239.16</v>
      </c>
      <c r="C5288" s="37">
        <f t="shared" si="170"/>
        <v>39.86</v>
      </c>
      <c r="D5288" s="37">
        <v>3.0449999999999999</v>
      </c>
      <c r="E5288" s="33">
        <f t="shared" si="171"/>
        <v>0</v>
      </c>
    </row>
    <row r="5289" spans="1:5" x14ac:dyDescent="0.25">
      <c r="A5289" s="41">
        <v>43686</v>
      </c>
      <c r="B5289" s="29">
        <v>242.31</v>
      </c>
      <c r="C5289" s="37">
        <f t="shared" si="170"/>
        <v>40.384999999999998</v>
      </c>
      <c r="D5289" s="37">
        <v>3.0449999999999999</v>
      </c>
      <c r="E5289" s="33">
        <f t="shared" si="171"/>
        <v>1.3171098845960887E-2</v>
      </c>
    </row>
    <row r="5290" spans="1:5" x14ac:dyDescent="0.25">
      <c r="A5290" s="41">
        <v>43686</v>
      </c>
      <c r="B5290" s="29">
        <v>242.31</v>
      </c>
      <c r="C5290" s="37">
        <f t="shared" si="170"/>
        <v>40.384999999999998</v>
      </c>
      <c r="D5290" s="37">
        <v>3.0449999999999999</v>
      </c>
      <c r="E5290" s="33">
        <f t="shared" si="171"/>
        <v>0</v>
      </c>
    </row>
    <row r="5291" spans="1:5" x14ac:dyDescent="0.25">
      <c r="A5291" s="41">
        <v>43686</v>
      </c>
      <c r="B5291" s="29">
        <v>242.31</v>
      </c>
      <c r="C5291" s="37">
        <f t="shared" si="170"/>
        <v>40.384999999999998</v>
      </c>
      <c r="D5291" s="37">
        <v>3.0449999999999999</v>
      </c>
      <c r="E5291" s="33">
        <f t="shared" si="171"/>
        <v>0</v>
      </c>
    </row>
    <row r="5292" spans="1:5" x14ac:dyDescent="0.25">
      <c r="A5292" s="41">
        <v>43686</v>
      </c>
      <c r="B5292" s="29">
        <v>244.86</v>
      </c>
      <c r="C5292" s="37">
        <f t="shared" si="170"/>
        <v>40.81</v>
      </c>
      <c r="D5292" s="37">
        <v>3.0449999999999999</v>
      </c>
      <c r="E5292" s="33">
        <f t="shared" si="171"/>
        <v>1.0523709298006733E-2</v>
      </c>
    </row>
    <row r="5293" spans="1:5" x14ac:dyDescent="0.25">
      <c r="A5293" s="41">
        <v>43686</v>
      </c>
      <c r="B5293" s="29">
        <v>244.86</v>
      </c>
      <c r="C5293" s="37">
        <f t="shared" si="170"/>
        <v>40.81</v>
      </c>
      <c r="D5293" s="37">
        <v>3.0449999999999999</v>
      </c>
      <c r="E5293" s="33">
        <f t="shared" si="171"/>
        <v>0</v>
      </c>
    </row>
    <row r="5294" spans="1:5" x14ac:dyDescent="0.25">
      <c r="A5294" s="41">
        <v>43686</v>
      </c>
      <c r="B5294" s="29">
        <v>244.86</v>
      </c>
      <c r="C5294" s="37">
        <f t="shared" si="170"/>
        <v>40.81</v>
      </c>
      <c r="D5294" s="37">
        <v>3.0449999999999999</v>
      </c>
      <c r="E5294" s="33">
        <f t="shared" si="171"/>
        <v>0</v>
      </c>
    </row>
    <row r="5295" spans="1:5" x14ac:dyDescent="0.25">
      <c r="A5295" s="41">
        <v>43686</v>
      </c>
      <c r="B5295" s="29">
        <v>244.86</v>
      </c>
      <c r="C5295" s="37">
        <f t="shared" si="170"/>
        <v>40.81</v>
      </c>
      <c r="D5295" s="37">
        <v>3.0449999999999999</v>
      </c>
      <c r="E5295" s="33">
        <f t="shared" si="171"/>
        <v>0</v>
      </c>
    </row>
    <row r="5296" spans="1:5" x14ac:dyDescent="0.25">
      <c r="A5296" s="41">
        <v>43686</v>
      </c>
      <c r="B5296" s="29">
        <v>244.86</v>
      </c>
      <c r="C5296" s="37">
        <f t="shared" si="170"/>
        <v>40.81</v>
      </c>
      <c r="D5296" s="37">
        <v>3.0449999999999999</v>
      </c>
      <c r="E5296" s="33">
        <f t="shared" si="171"/>
        <v>0</v>
      </c>
    </row>
    <row r="5297" spans="1:5" x14ac:dyDescent="0.25">
      <c r="A5297" s="41">
        <v>43686</v>
      </c>
      <c r="B5297" s="29">
        <v>244.86</v>
      </c>
      <c r="C5297" s="37">
        <f t="shared" si="170"/>
        <v>40.81</v>
      </c>
      <c r="D5297" s="37">
        <v>3.0449999999999999</v>
      </c>
      <c r="E5297" s="33">
        <f t="shared" si="171"/>
        <v>0</v>
      </c>
    </row>
    <row r="5298" spans="1:5" x14ac:dyDescent="0.25">
      <c r="A5298" s="41">
        <v>43686</v>
      </c>
      <c r="B5298" s="29">
        <v>244.86</v>
      </c>
      <c r="C5298" s="37">
        <f t="shared" si="170"/>
        <v>40.81</v>
      </c>
      <c r="D5298" s="37">
        <v>3.0449999999999999</v>
      </c>
      <c r="E5298" s="33">
        <f t="shared" si="171"/>
        <v>0</v>
      </c>
    </row>
    <row r="5299" spans="1:5" x14ac:dyDescent="0.25">
      <c r="A5299" s="41">
        <v>43686</v>
      </c>
      <c r="B5299" s="29">
        <v>244.86</v>
      </c>
      <c r="C5299" s="37">
        <f t="shared" si="170"/>
        <v>40.81</v>
      </c>
      <c r="D5299" s="37">
        <v>3.0449999999999999</v>
      </c>
      <c r="E5299" s="33">
        <f t="shared" si="171"/>
        <v>0</v>
      </c>
    </row>
    <row r="5300" spans="1:5" x14ac:dyDescent="0.25">
      <c r="A5300" s="41">
        <v>43686</v>
      </c>
      <c r="B5300" s="29">
        <v>244.86</v>
      </c>
      <c r="C5300" s="37">
        <f t="shared" si="170"/>
        <v>40.81</v>
      </c>
      <c r="D5300" s="37">
        <v>3.0449999999999999</v>
      </c>
      <c r="E5300" s="33">
        <f t="shared" si="171"/>
        <v>0</v>
      </c>
    </row>
    <row r="5301" spans="1:5" x14ac:dyDescent="0.25">
      <c r="A5301" s="41">
        <v>43686</v>
      </c>
      <c r="B5301" s="29">
        <v>244.86</v>
      </c>
      <c r="C5301" s="37">
        <f t="shared" si="170"/>
        <v>40.81</v>
      </c>
      <c r="D5301" s="37">
        <v>3.0449999999999999</v>
      </c>
      <c r="E5301" s="33">
        <f t="shared" si="171"/>
        <v>0</v>
      </c>
    </row>
    <row r="5302" spans="1:5" x14ac:dyDescent="0.25">
      <c r="A5302" s="41">
        <v>43686</v>
      </c>
      <c r="B5302" s="29">
        <v>244.86</v>
      </c>
      <c r="C5302" s="37">
        <f t="shared" si="170"/>
        <v>40.81</v>
      </c>
      <c r="D5302" s="37">
        <v>3.0449999999999999</v>
      </c>
      <c r="E5302" s="33">
        <f t="shared" si="171"/>
        <v>0</v>
      </c>
    </row>
    <row r="5303" spans="1:5" x14ac:dyDescent="0.25">
      <c r="A5303" s="41">
        <v>43686</v>
      </c>
      <c r="B5303" s="29">
        <v>244.86</v>
      </c>
      <c r="C5303" s="37">
        <f t="shared" si="170"/>
        <v>40.81</v>
      </c>
      <c r="D5303" s="37">
        <v>3.0449999999999999</v>
      </c>
      <c r="E5303" s="33">
        <f t="shared" si="171"/>
        <v>0</v>
      </c>
    </row>
    <row r="5304" spans="1:5" x14ac:dyDescent="0.25">
      <c r="A5304" s="41">
        <v>43686</v>
      </c>
      <c r="B5304" s="29">
        <v>242.21</v>
      </c>
      <c r="C5304" s="37">
        <f t="shared" si="170"/>
        <v>40.368333333333332</v>
      </c>
      <c r="D5304" s="37">
        <v>3.0449999999999999</v>
      </c>
      <c r="E5304" s="33">
        <f t="shared" si="171"/>
        <v>-1.0822510822510845E-2</v>
      </c>
    </row>
    <row r="5305" spans="1:5" x14ac:dyDescent="0.25">
      <c r="A5305" s="41">
        <v>43686</v>
      </c>
      <c r="B5305" s="29">
        <v>242.21</v>
      </c>
      <c r="C5305" s="37">
        <f t="shared" si="170"/>
        <v>40.368333333333332</v>
      </c>
      <c r="D5305" s="37">
        <v>3.0449999999999999</v>
      </c>
      <c r="E5305" s="33">
        <f t="shared" si="171"/>
        <v>0</v>
      </c>
    </row>
    <row r="5306" spans="1:5" x14ac:dyDescent="0.25">
      <c r="A5306" s="41">
        <v>43687</v>
      </c>
      <c r="B5306" s="29">
        <v>231.32</v>
      </c>
      <c r="C5306" s="37">
        <f t="shared" si="170"/>
        <v>38.553333333333335</v>
      </c>
      <c r="D5306" s="37">
        <v>3.0009999999999999</v>
      </c>
      <c r="E5306" s="33">
        <f t="shared" si="171"/>
        <v>-4.4960984269848535E-2</v>
      </c>
    </row>
    <row r="5307" spans="1:5" x14ac:dyDescent="0.25">
      <c r="A5307" s="41">
        <v>43687</v>
      </c>
      <c r="B5307" s="29">
        <v>230.08</v>
      </c>
      <c r="C5307" s="37">
        <f t="shared" si="170"/>
        <v>38.346666666666664</v>
      </c>
      <c r="D5307" s="37">
        <v>3.0009999999999999</v>
      </c>
      <c r="E5307" s="33">
        <f t="shared" si="171"/>
        <v>-5.3605395123637418E-3</v>
      </c>
    </row>
    <row r="5308" spans="1:5" x14ac:dyDescent="0.25">
      <c r="A5308" s="41">
        <v>43687</v>
      </c>
      <c r="B5308" s="29">
        <v>229.12</v>
      </c>
      <c r="C5308" s="37">
        <f t="shared" si="170"/>
        <v>38.186666666666667</v>
      </c>
      <c r="D5308" s="37">
        <v>3.0009999999999999</v>
      </c>
      <c r="E5308" s="33">
        <f t="shared" si="171"/>
        <v>-4.1724617524339707E-3</v>
      </c>
    </row>
    <row r="5309" spans="1:5" x14ac:dyDescent="0.25">
      <c r="A5309" s="41">
        <v>43687</v>
      </c>
      <c r="B5309" s="29">
        <v>228.96</v>
      </c>
      <c r="C5309" s="37">
        <f t="shared" si="170"/>
        <v>38.159999999999997</v>
      </c>
      <c r="D5309" s="37">
        <v>3.0009999999999999</v>
      </c>
      <c r="E5309" s="33">
        <f t="shared" si="171"/>
        <v>-6.9832402234635378E-4</v>
      </c>
    </row>
    <row r="5310" spans="1:5" x14ac:dyDescent="0.25">
      <c r="A5310" s="41">
        <v>43687</v>
      </c>
      <c r="B5310" s="29">
        <v>228.97</v>
      </c>
      <c r="C5310" s="37">
        <f t="shared" si="170"/>
        <v>38.161666666666669</v>
      </c>
      <c r="D5310" s="37">
        <v>3.0009999999999999</v>
      </c>
      <c r="E5310" s="33">
        <f t="shared" si="171"/>
        <v>4.367575122288131E-5</v>
      </c>
    </row>
    <row r="5311" spans="1:5" x14ac:dyDescent="0.25">
      <c r="A5311" s="41">
        <v>43687</v>
      </c>
      <c r="B5311" s="29">
        <v>228.98</v>
      </c>
      <c r="C5311" s="37">
        <f t="shared" si="170"/>
        <v>38.163333333333334</v>
      </c>
      <c r="D5311" s="37">
        <v>3.0009999999999999</v>
      </c>
      <c r="E5311" s="33">
        <f t="shared" si="171"/>
        <v>4.3673843734947394E-5</v>
      </c>
    </row>
    <row r="5312" spans="1:5" x14ac:dyDescent="0.25">
      <c r="A5312" s="41">
        <v>43687</v>
      </c>
      <c r="B5312" s="29">
        <v>229</v>
      </c>
      <c r="C5312" s="37">
        <f t="shared" si="170"/>
        <v>38.166666666666664</v>
      </c>
      <c r="D5312" s="37">
        <v>3.0009999999999999</v>
      </c>
      <c r="E5312" s="33">
        <f t="shared" si="171"/>
        <v>8.7343872827365851E-5</v>
      </c>
    </row>
    <row r="5313" spans="1:5" x14ac:dyDescent="0.25">
      <c r="A5313" s="41">
        <v>43687</v>
      </c>
      <c r="B5313" s="29">
        <v>229.5</v>
      </c>
      <c r="C5313" s="37">
        <f t="shared" si="170"/>
        <v>38.25</v>
      </c>
      <c r="D5313" s="37">
        <v>3.0009999999999999</v>
      </c>
      <c r="E5313" s="33">
        <f t="shared" si="171"/>
        <v>2.1834061135371178E-3</v>
      </c>
    </row>
    <row r="5314" spans="1:5" x14ac:dyDescent="0.25">
      <c r="A5314" s="41">
        <v>43687</v>
      </c>
      <c r="B5314" s="29">
        <v>231.02</v>
      </c>
      <c r="C5314" s="37">
        <f t="shared" si="170"/>
        <v>38.50333333333333</v>
      </c>
      <c r="D5314" s="37">
        <v>3.0009999999999999</v>
      </c>
      <c r="E5314" s="33">
        <f t="shared" si="171"/>
        <v>6.6230936819172562E-3</v>
      </c>
    </row>
    <row r="5315" spans="1:5" x14ac:dyDescent="0.25">
      <c r="A5315" s="41">
        <v>43687</v>
      </c>
      <c r="B5315" s="29">
        <v>231.13</v>
      </c>
      <c r="C5315" s="37">
        <f t="shared" ref="C5315:C5378" si="172">(B5315*100/600)</f>
        <v>38.521666666666668</v>
      </c>
      <c r="D5315" s="37">
        <v>3.0009999999999999</v>
      </c>
      <c r="E5315" s="33">
        <f t="shared" si="171"/>
        <v>4.7614925114702281E-4</v>
      </c>
    </row>
    <row r="5316" spans="1:5" x14ac:dyDescent="0.25">
      <c r="A5316" s="41">
        <v>43687</v>
      </c>
      <c r="B5316" s="29">
        <v>231.41</v>
      </c>
      <c r="C5316" s="37">
        <f t="shared" si="172"/>
        <v>38.568333333333335</v>
      </c>
      <c r="D5316" s="37">
        <v>3.0009999999999999</v>
      </c>
      <c r="E5316" s="33">
        <f t="shared" ref="E5316:E5379" si="173">(B5316-B5315)/B5315</f>
        <v>1.2114394496603692E-3</v>
      </c>
    </row>
    <row r="5317" spans="1:5" x14ac:dyDescent="0.25">
      <c r="A5317" s="41">
        <v>43687</v>
      </c>
      <c r="B5317" s="29">
        <v>232.04</v>
      </c>
      <c r="C5317" s="37">
        <f t="shared" si="172"/>
        <v>38.673333333333332</v>
      </c>
      <c r="D5317" s="37">
        <v>3.0009999999999999</v>
      </c>
      <c r="E5317" s="33">
        <f t="shared" si="173"/>
        <v>2.722440689684955E-3</v>
      </c>
    </row>
    <row r="5318" spans="1:5" x14ac:dyDescent="0.25">
      <c r="A5318" s="41">
        <v>43687</v>
      </c>
      <c r="B5318" s="29">
        <v>232.04</v>
      </c>
      <c r="C5318" s="37">
        <f t="shared" si="172"/>
        <v>38.673333333333332</v>
      </c>
      <c r="D5318" s="37">
        <v>3.0009999999999999</v>
      </c>
      <c r="E5318" s="33">
        <f t="shared" si="173"/>
        <v>0</v>
      </c>
    </row>
    <row r="5319" spans="1:5" x14ac:dyDescent="0.25">
      <c r="A5319" s="41">
        <v>43687</v>
      </c>
      <c r="B5319" s="29">
        <v>232.11</v>
      </c>
      <c r="C5319" s="37">
        <f t="shared" si="172"/>
        <v>38.685000000000002</v>
      </c>
      <c r="D5319" s="37">
        <v>3.0009999999999999</v>
      </c>
      <c r="E5319" s="33">
        <f t="shared" si="173"/>
        <v>3.0167212549569728E-4</v>
      </c>
    </row>
    <row r="5320" spans="1:5" x14ac:dyDescent="0.25">
      <c r="A5320" s="41">
        <v>43687</v>
      </c>
      <c r="B5320" s="29">
        <v>232.38</v>
      </c>
      <c r="C5320" s="37">
        <f t="shared" si="172"/>
        <v>38.729999999999997</v>
      </c>
      <c r="D5320" s="37">
        <v>3.0009999999999999</v>
      </c>
      <c r="E5320" s="33">
        <f t="shared" si="173"/>
        <v>1.1632415664985644E-3</v>
      </c>
    </row>
    <row r="5321" spans="1:5" x14ac:dyDescent="0.25">
      <c r="A5321" s="41">
        <v>43687</v>
      </c>
      <c r="B5321" s="29">
        <v>232.8</v>
      </c>
      <c r="C5321" s="37">
        <f t="shared" si="172"/>
        <v>38.799999999999997</v>
      </c>
      <c r="D5321" s="37">
        <v>3.0009999999999999</v>
      </c>
      <c r="E5321" s="33">
        <f t="shared" si="173"/>
        <v>1.8073844564937428E-3</v>
      </c>
    </row>
    <row r="5322" spans="1:5" x14ac:dyDescent="0.25">
      <c r="A5322" s="41">
        <v>43687</v>
      </c>
      <c r="B5322" s="29">
        <v>232.9</v>
      </c>
      <c r="C5322" s="37">
        <f t="shared" si="172"/>
        <v>38.81666666666667</v>
      </c>
      <c r="D5322" s="37">
        <v>3.0009999999999999</v>
      </c>
      <c r="E5322" s="33">
        <f t="shared" si="173"/>
        <v>4.2955326460478654E-4</v>
      </c>
    </row>
    <row r="5323" spans="1:5" x14ac:dyDescent="0.25">
      <c r="A5323" s="41">
        <v>43687</v>
      </c>
      <c r="B5323" s="29">
        <v>234.12</v>
      </c>
      <c r="C5323" s="37">
        <f t="shared" si="172"/>
        <v>39.020000000000003</v>
      </c>
      <c r="D5323" s="37">
        <v>3.0009999999999999</v>
      </c>
      <c r="E5323" s="33">
        <f t="shared" si="173"/>
        <v>5.2382996994418153E-3</v>
      </c>
    </row>
    <row r="5324" spans="1:5" x14ac:dyDescent="0.25">
      <c r="A5324" s="41">
        <v>43687</v>
      </c>
      <c r="B5324" s="29">
        <v>237.44</v>
      </c>
      <c r="C5324" s="37">
        <f t="shared" si="172"/>
        <v>39.573333333333331</v>
      </c>
      <c r="D5324" s="37">
        <v>3.0009999999999999</v>
      </c>
      <c r="E5324" s="33">
        <f t="shared" si="173"/>
        <v>1.4180762002391906E-2</v>
      </c>
    </row>
    <row r="5325" spans="1:5" x14ac:dyDescent="0.25">
      <c r="A5325" s="41">
        <v>43687</v>
      </c>
      <c r="B5325" s="29">
        <v>236.56</v>
      </c>
      <c r="C5325" s="37">
        <f t="shared" si="172"/>
        <v>39.426666666666669</v>
      </c>
      <c r="D5325" s="37">
        <v>3.0009999999999999</v>
      </c>
      <c r="E5325" s="33">
        <f t="shared" si="173"/>
        <v>-3.7061994609164229E-3</v>
      </c>
    </row>
    <row r="5326" spans="1:5" x14ac:dyDescent="0.25">
      <c r="A5326" s="41">
        <v>43687</v>
      </c>
      <c r="B5326" s="29">
        <v>234.57</v>
      </c>
      <c r="C5326" s="37">
        <f t="shared" si="172"/>
        <v>39.094999999999999</v>
      </c>
      <c r="D5326" s="37">
        <v>3.0009999999999999</v>
      </c>
      <c r="E5326" s="33">
        <f t="shared" si="173"/>
        <v>-8.4122421373013581E-3</v>
      </c>
    </row>
    <row r="5327" spans="1:5" x14ac:dyDescent="0.25">
      <c r="A5327" s="41">
        <v>43687</v>
      </c>
      <c r="B5327" s="29">
        <v>233.8</v>
      </c>
      <c r="C5327" s="37">
        <f t="shared" si="172"/>
        <v>38.966666666666669</v>
      </c>
      <c r="D5327" s="37">
        <v>3.0009999999999999</v>
      </c>
      <c r="E5327" s="33">
        <f t="shared" si="173"/>
        <v>-3.2826022082959538E-3</v>
      </c>
    </row>
    <row r="5328" spans="1:5" x14ac:dyDescent="0.25">
      <c r="A5328" s="41">
        <v>43687</v>
      </c>
      <c r="B5328" s="29">
        <v>232.96</v>
      </c>
      <c r="C5328" s="37">
        <f t="shared" si="172"/>
        <v>38.826666666666668</v>
      </c>
      <c r="D5328" s="37">
        <v>3.0009999999999999</v>
      </c>
      <c r="E5328" s="33">
        <f t="shared" si="173"/>
        <v>-3.5928143712574993E-3</v>
      </c>
    </row>
    <row r="5329" spans="1:5" x14ac:dyDescent="0.25">
      <c r="A5329" s="41">
        <v>43687</v>
      </c>
      <c r="B5329" s="29">
        <v>231.18</v>
      </c>
      <c r="C5329" s="37">
        <f t="shared" si="172"/>
        <v>38.53</v>
      </c>
      <c r="D5329" s="37">
        <v>3.0009999999999999</v>
      </c>
      <c r="E5329" s="33">
        <f t="shared" si="173"/>
        <v>-7.6407967032967082E-3</v>
      </c>
    </row>
    <row r="5330" spans="1:5" x14ac:dyDescent="0.25">
      <c r="A5330" s="41">
        <v>43688</v>
      </c>
      <c r="B5330" s="29">
        <v>232.21</v>
      </c>
      <c r="C5330" s="37">
        <f t="shared" si="172"/>
        <v>38.701666666666668</v>
      </c>
      <c r="D5330" s="37">
        <v>2.9470000000000001</v>
      </c>
      <c r="E5330" s="33">
        <f t="shared" si="173"/>
        <v>4.4554027164979719E-3</v>
      </c>
    </row>
    <row r="5331" spans="1:5" x14ac:dyDescent="0.25">
      <c r="A5331" s="41">
        <v>43688</v>
      </c>
      <c r="B5331" s="29">
        <v>231.96</v>
      </c>
      <c r="C5331" s="37">
        <f t="shared" si="172"/>
        <v>38.659999999999997</v>
      </c>
      <c r="D5331" s="37">
        <v>2.9470000000000001</v>
      </c>
      <c r="E5331" s="33">
        <f t="shared" si="173"/>
        <v>-1.0766116876964817E-3</v>
      </c>
    </row>
    <row r="5332" spans="1:5" x14ac:dyDescent="0.25">
      <c r="A5332" s="41">
        <v>43688</v>
      </c>
      <c r="B5332" s="29">
        <v>231.18</v>
      </c>
      <c r="C5332" s="37">
        <f t="shared" si="172"/>
        <v>38.53</v>
      </c>
      <c r="D5332" s="37">
        <v>2.9470000000000001</v>
      </c>
      <c r="E5332" s="33">
        <f t="shared" si="173"/>
        <v>-3.3626487325400978E-3</v>
      </c>
    </row>
    <row r="5333" spans="1:5" x14ac:dyDescent="0.25">
      <c r="A5333" s="41">
        <v>43688</v>
      </c>
      <c r="B5333" s="29">
        <v>230.55</v>
      </c>
      <c r="C5333" s="37">
        <f t="shared" si="172"/>
        <v>38.424999999999997</v>
      </c>
      <c r="D5333" s="37">
        <v>2.9470000000000001</v>
      </c>
      <c r="E5333" s="33">
        <f t="shared" si="173"/>
        <v>-2.7251492343628144E-3</v>
      </c>
    </row>
    <row r="5334" spans="1:5" x14ac:dyDescent="0.25">
      <c r="A5334" s="41">
        <v>43688</v>
      </c>
      <c r="B5334" s="29">
        <v>230.47</v>
      </c>
      <c r="C5334" s="37">
        <f t="shared" si="172"/>
        <v>38.411666666666669</v>
      </c>
      <c r="D5334" s="37">
        <v>2.9470000000000001</v>
      </c>
      <c r="E5334" s="33">
        <f t="shared" si="173"/>
        <v>-3.4699631316422683E-4</v>
      </c>
    </row>
    <row r="5335" spans="1:5" x14ac:dyDescent="0.25">
      <c r="A5335" s="41">
        <v>43688</v>
      </c>
      <c r="B5335" s="29">
        <v>230.38</v>
      </c>
      <c r="C5335" s="37">
        <f t="shared" si="172"/>
        <v>38.396666666666668</v>
      </c>
      <c r="D5335" s="37">
        <v>2.9470000000000001</v>
      </c>
      <c r="E5335" s="33">
        <f t="shared" si="173"/>
        <v>-3.9050635657570797E-4</v>
      </c>
    </row>
    <row r="5336" spans="1:5" x14ac:dyDescent="0.25">
      <c r="A5336" s="41">
        <v>43688</v>
      </c>
      <c r="B5336" s="29">
        <v>230.31</v>
      </c>
      <c r="C5336" s="37">
        <f t="shared" si="172"/>
        <v>38.384999999999998</v>
      </c>
      <c r="D5336" s="37">
        <v>2.9470000000000001</v>
      </c>
      <c r="E5336" s="33">
        <f t="shared" si="173"/>
        <v>-3.038458199496188E-4</v>
      </c>
    </row>
    <row r="5337" spans="1:5" x14ac:dyDescent="0.25">
      <c r="A5337" s="41">
        <v>43688</v>
      </c>
      <c r="B5337" s="29">
        <v>230.31</v>
      </c>
      <c r="C5337" s="37">
        <f t="shared" si="172"/>
        <v>38.384999999999998</v>
      </c>
      <c r="D5337" s="37">
        <v>2.9470000000000001</v>
      </c>
      <c r="E5337" s="33">
        <f t="shared" si="173"/>
        <v>0</v>
      </c>
    </row>
    <row r="5338" spans="1:5" x14ac:dyDescent="0.25">
      <c r="A5338" s="41">
        <v>43688</v>
      </c>
      <c r="B5338" s="29">
        <v>230.31</v>
      </c>
      <c r="C5338" s="37">
        <f t="shared" si="172"/>
        <v>38.384999999999998</v>
      </c>
      <c r="D5338" s="37">
        <v>2.9470000000000001</v>
      </c>
      <c r="E5338" s="33">
        <f t="shared" si="173"/>
        <v>0</v>
      </c>
    </row>
    <row r="5339" spans="1:5" x14ac:dyDescent="0.25">
      <c r="A5339" s="41">
        <v>43688</v>
      </c>
      <c r="B5339" s="29">
        <v>230.31</v>
      </c>
      <c r="C5339" s="37">
        <f t="shared" si="172"/>
        <v>38.384999999999998</v>
      </c>
      <c r="D5339" s="37">
        <v>2.9470000000000001</v>
      </c>
      <c r="E5339" s="33">
        <f t="shared" si="173"/>
        <v>0</v>
      </c>
    </row>
    <row r="5340" spans="1:5" x14ac:dyDescent="0.25">
      <c r="A5340" s="41">
        <v>43688</v>
      </c>
      <c r="B5340" s="29">
        <v>230.3</v>
      </c>
      <c r="C5340" s="37">
        <f t="shared" si="172"/>
        <v>38.383333333333333</v>
      </c>
      <c r="D5340" s="37">
        <v>2.9470000000000001</v>
      </c>
      <c r="E5340" s="33">
        <f t="shared" si="173"/>
        <v>-4.341973861313406E-5</v>
      </c>
    </row>
    <row r="5341" spans="1:5" x14ac:dyDescent="0.25">
      <c r="A5341" s="41">
        <v>43688</v>
      </c>
      <c r="B5341" s="29">
        <v>230.28</v>
      </c>
      <c r="C5341" s="37">
        <f t="shared" si="172"/>
        <v>38.380000000000003</v>
      </c>
      <c r="D5341" s="37">
        <v>2.9470000000000001</v>
      </c>
      <c r="E5341" s="33">
        <f t="shared" si="173"/>
        <v>-8.6843247937517287E-5</v>
      </c>
    </row>
    <row r="5342" spans="1:5" x14ac:dyDescent="0.25">
      <c r="A5342" s="41">
        <v>43688</v>
      </c>
      <c r="B5342" s="29">
        <v>230.28</v>
      </c>
      <c r="C5342" s="37">
        <f t="shared" si="172"/>
        <v>38.380000000000003</v>
      </c>
      <c r="D5342" s="37">
        <v>2.9470000000000001</v>
      </c>
      <c r="E5342" s="33">
        <f t="shared" si="173"/>
        <v>0</v>
      </c>
    </row>
    <row r="5343" spans="1:5" x14ac:dyDescent="0.25">
      <c r="A5343" s="41">
        <v>43688</v>
      </c>
      <c r="B5343" s="29">
        <v>230.28</v>
      </c>
      <c r="C5343" s="37">
        <f t="shared" si="172"/>
        <v>38.380000000000003</v>
      </c>
      <c r="D5343" s="37">
        <v>2.9470000000000001</v>
      </c>
      <c r="E5343" s="33">
        <f t="shared" si="173"/>
        <v>0</v>
      </c>
    </row>
    <row r="5344" spans="1:5" x14ac:dyDescent="0.25">
      <c r="A5344" s="41">
        <v>43688</v>
      </c>
      <c r="B5344" s="29">
        <v>230.28</v>
      </c>
      <c r="C5344" s="37">
        <f t="shared" si="172"/>
        <v>38.380000000000003</v>
      </c>
      <c r="D5344" s="37">
        <v>2.9470000000000001</v>
      </c>
      <c r="E5344" s="33">
        <f t="shared" si="173"/>
        <v>0</v>
      </c>
    </row>
    <row r="5345" spans="1:5" x14ac:dyDescent="0.25">
      <c r="A5345" s="41">
        <v>43688</v>
      </c>
      <c r="B5345" s="29">
        <v>230.28</v>
      </c>
      <c r="C5345" s="37">
        <f t="shared" si="172"/>
        <v>38.380000000000003</v>
      </c>
      <c r="D5345" s="37">
        <v>2.9470000000000001</v>
      </c>
      <c r="E5345" s="33">
        <f t="shared" si="173"/>
        <v>0</v>
      </c>
    </row>
    <row r="5346" spans="1:5" x14ac:dyDescent="0.25">
      <c r="A5346" s="41">
        <v>43688</v>
      </c>
      <c r="B5346" s="29">
        <v>230.32</v>
      </c>
      <c r="C5346" s="37">
        <f t="shared" si="172"/>
        <v>38.386666666666663</v>
      </c>
      <c r="D5346" s="37">
        <v>2.9470000000000001</v>
      </c>
      <c r="E5346" s="33">
        <f t="shared" si="173"/>
        <v>1.7370158068434968E-4</v>
      </c>
    </row>
    <row r="5347" spans="1:5" x14ac:dyDescent="0.25">
      <c r="A5347" s="41">
        <v>43688</v>
      </c>
      <c r="B5347" s="29">
        <v>230.53</v>
      </c>
      <c r="C5347" s="37">
        <f t="shared" si="172"/>
        <v>38.421666666666667</v>
      </c>
      <c r="D5347" s="37">
        <v>2.9470000000000001</v>
      </c>
      <c r="E5347" s="33">
        <f t="shared" si="173"/>
        <v>9.1177492184789843E-4</v>
      </c>
    </row>
    <row r="5348" spans="1:5" x14ac:dyDescent="0.25">
      <c r="A5348" s="41">
        <v>43688</v>
      </c>
      <c r="B5348" s="29">
        <v>230.91</v>
      </c>
      <c r="C5348" s="37">
        <f t="shared" si="172"/>
        <v>38.484999999999999</v>
      </c>
      <c r="D5348" s="37">
        <v>2.9470000000000001</v>
      </c>
      <c r="E5348" s="33">
        <f t="shared" si="173"/>
        <v>1.6483754825835919E-3</v>
      </c>
    </row>
    <row r="5349" spans="1:5" x14ac:dyDescent="0.25">
      <c r="A5349" s="41">
        <v>43688</v>
      </c>
      <c r="B5349" s="29">
        <v>231.18</v>
      </c>
      <c r="C5349" s="37">
        <f t="shared" si="172"/>
        <v>38.53</v>
      </c>
      <c r="D5349" s="37">
        <v>2.9470000000000001</v>
      </c>
      <c r="E5349" s="33">
        <f t="shared" si="173"/>
        <v>1.1692867350916385E-3</v>
      </c>
    </row>
    <row r="5350" spans="1:5" x14ac:dyDescent="0.25">
      <c r="A5350" s="41">
        <v>43688</v>
      </c>
      <c r="B5350" s="29">
        <v>232.03</v>
      </c>
      <c r="C5350" s="37">
        <f t="shared" si="172"/>
        <v>38.671666666666667</v>
      </c>
      <c r="D5350" s="37">
        <v>2.9470000000000001</v>
      </c>
      <c r="E5350" s="33">
        <f t="shared" si="173"/>
        <v>3.6767886495371327E-3</v>
      </c>
    </row>
    <row r="5351" spans="1:5" x14ac:dyDescent="0.25">
      <c r="A5351" s="41">
        <v>43688</v>
      </c>
      <c r="B5351" s="29">
        <v>232.13</v>
      </c>
      <c r="C5351" s="37">
        <f t="shared" si="172"/>
        <v>38.688333333333333</v>
      </c>
      <c r="D5351" s="37">
        <v>2.9470000000000001</v>
      </c>
      <c r="E5351" s="33">
        <f t="shared" si="173"/>
        <v>4.3097875274746505E-4</v>
      </c>
    </row>
    <row r="5352" spans="1:5" x14ac:dyDescent="0.25">
      <c r="A5352" s="41">
        <v>43688</v>
      </c>
      <c r="B5352" s="29">
        <v>232.26</v>
      </c>
      <c r="C5352" s="37">
        <f t="shared" si="172"/>
        <v>38.71</v>
      </c>
      <c r="D5352" s="37">
        <v>2.9470000000000001</v>
      </c>
      <c r="E5352" s="33">
        <f t="shared" si="173"/>
        <v>5.6003101710246615E-4</v>
      </c>
    </row>
    <row r="5353" spans="1:5" x14ac:dyDescent="0.25">
      <c r="A5353" s="41">
        <v>43688</v>
      </c>
      <c r="B5353" s="29">
        <v>232.27</v>
      </c>
      <c r="C5353" s="37">
        <f t="shared" si="172"/>
        <v>38.711666666666666</v>
      </c>
      <c r="D5353" s="37">
        <v>2.9470000000000001</v>
      </c>
      <c r="E5353" s="33">
        <f t="shared" si="173"/>
        <v>4.3055196762332414E-5</v>
      </c>
    </row>
    <row r="5354" spans="1:5" x14ac:dyDescent="0.25">
      <c r="A5354" s="41">
        <v>43689</v>
      </c>
      <c r="B5354" s="29">
        <v>229.36</v>
      </c>
      <c r="C5354" s="37">
        <f t="shared" si="172"/>
        <v>38.226666666666667</v>
      </c>
      <c r="D5354" s="37">
        <v>2.887</v>
      </c>
      <c r="E5354" s="33">
        <f t="shared" si="173"/>
        <v>-1.2528522839798495E-2</v>
      </c>
    </row>
    <row r="5355" spans="1:5" x14ac:dyDescent="0.25">
      <c r="A5355" s="41">
        <v>43689</v>
      </c>
      <c r="B5355" s="29">
        <v>227.69</v>
      </c>
      <c r="C5355" s="37">
        <f t="shared" si="172"/>
        <v>37.948333333333331</v>
      </c>
      <c r="D5355" s="37">
        <v>2.887</v>
      </c>
      <c r="E5355" s="33">
        <f t="shared" si="173"/>
        <v>-7.2811301011510982E-3</v>
      </c>
    </row>
    <row r="5356" spans="1:5" x14ac:dyDescent="0.25">
      <c r="A5356" s="41">
        <v>43689</v>
      </c>
      <c r="B5356" s="29">
        <v>227.7</v>
      </c>
      <c r="C5356" s="37">
        <f t="shared" si="172"/>
        <v>37.950000000000003</v>
      </c>
      <c r="D5356" s="37">
        <v>2.887</v>
      </c>
      <c r="E5356" s="33">
        <f t="shared" si="173"/>
        <v>4.3919364047568645E-5</v>
      </c>
    </row>
    <row r="5357" spans="1:5" x14ac:dyDescent="0.25">
      <c r="A5357" s="41">
        <v>43689</v>
      </c>
      <c r="B5357" s="29">
        <v>227.7</v>
      </c>
      <c r="C5357" s="37">
        <f t="shared" si="172"/>
        <v>37.950000000000003</v>
      </c>
      <c r="D5357" s="37">
        <v>2.887</v>
      </c>
      <c r="E5357" s="33">
        <f t="shared" si="173"/>
        <v>0</v>
      </c>
    </row>
    <row r="5358" spans="1:5" x14ac:dyDescent="0.25">
      <c r="A5358" s="41">
        <v>43689</v>
      </c>
      <c r="B5358" s="29">
        <v>228.02</v>
      </c>
      <c r="C5358" s="37">
        <f t="shared" si="172"/>
        <v>38.00333333333333</v>
      </c>
      <c r="D5358" s="37">
        <v>2.887</v>
      </c>
      <c r="E5358" s="33">
        <f t="shared" si="173"/>
        <v>1.4053579270971524E-3</v>
      </c>
    </row>
    <row r="5359" spans="1:5" x14ac:dyDescent="0.25">
      <c r="A5359" s="41">
        <v>43689</v>
      </c>
      <c r="B5359" s="29">
        <v>230.57</v>
      </c>
      <c r="C5359" s="37">
        <f t="shared" si="172"/>
        <v>38.428333333333335</v>
      </c>
      <c r="D5359" s="37">
        <v>2.887</v>
      </c>
      <c r="E5359" s="33">
        <f t="shared" si="173"/>
        <v>1.1183229541268234E-2</v>
      </c>
    </row>
    <row r="5360" spans="1:5" x14ac:dyDescent="0.25">
      <c r="A5360" s="41">
        <v>43689</v>
      </c>
      <c r="B5360" s="29">
        <v>233.44</v>
      </c>
      <c r="C5360" s="37">
        <f t="shared" si="172"/>
        <v>38.906666666666666</v>
      </c>
      <c r="D5360" s="37">
        <v>2.887</v>
      </c>
      <c r="E5360" s="33">
        <f t="shared" si="173"/>
        <v>1.2447412933165654E-2</v>
      </c>
    </row>
    <row r="5361" spans="1:5" x14ac:dyDescent="0.25">
      <c r="A5361" s="41">
        <v>43689</v>
      </c>
      <c r="B5361" s="29">
        <v>235.73</v>
      </c>
      <c r="C5361" s="37">
        <f t="shared" si="172"/>
        <v>39.288333333333334</v>
      </c>
      <c r="D5361" s="37">
        <v>2.887</v>
      </c>
      <c r="E5361" s="33">
        <f t="shared" si="173"/>
        <v>9.809801233721693E-3</v>
      </c>
    </row>
    <row r="5362" spans="1:5" x14ac:dyDescent="0.25">
      <c r="A5362" s="41">
        <v>43689</v>
      </c>
      <c r="B5362" s="29">
        <v>237.8</v>
      </c>
      <c r="C5362" s="37">
        <f t="shared" si="172"/>
        <v>39.633333333333333</v>
      </c>
      <c r="D5362" s="37">
        <v>2.887</v>
      </c>
      <c r="E5362" s="33">
        <f t="shared" si="173"/>
        <v>8.7812327663005212E-3</v>
      </c>
    </row>
    <row r="5363" spans="1:5" x14ac:dyDescent="0.25">
      <c r="A5363" s="41">
        <v>43689</v>
      </c>
      <c r="B5363" s="29">
        <v>238.04</v>
      </c>
      <c r="C5363" s="37">
        <f t="shared" si="172"/>
        <v>39.673333333333332</v>
      </c>
      <c r="D5363" s="37">
        <v>2.887</v>
      </c>
      <c r="E5363" s="33">
        <f t="shared" si="173"/>
        <v>1.0092514718249817E-3</v>
      </c>
    </row>
    <row r="5364" spans="1:5" x14ac:dyDescent="0.25">
      <c r="A5364" s="41">
        <v>43689</v>
      </c>
      <c r="B5364" s="29">
        <v>238.56</v>
      </c>
      <c r="C5364" s="37">
        <f t="shared" si="172"/>
        <v>39.76</v>
      </c>
      <c r="D5364" s="37">
        <v>2.887</v>
      </c>
      <c r="E5364" s="33">
        <f t="shared" si="173"/>
        <v>2.1845068055789374E-3</v>
      </c>
    </row>
    <row r="5365" spans="1:5" x14ac:dyDescent="0.25">
      <c r="A5365" s="41">
        <v>43689</v>
      </c>
      <c r="B5365" s="29">
        <v>238.85</v>
      </c>
      <c r="C5365" s="37">
        <f t="shared" si="172"/>
        <v>39.80833333333333</v>
      </c>
      <c r="D5365" s="37">
        <v>2.887</v>
      </c>
      <c r="E5365" s="33">
        <f t="shared" si="173"/>
        <v>1.2156270959087527E-3</v>
      </c>
    </row>
    <row r="5366" spans="1:5" x14ac:dyDescent="0.25">
      <c r="A5366" s="41">
        <v>43689</v>
      </c>
      <c r="B5366" s="29">
        <v>238.26</v>
      </c>
      <c r="C5366" s="37">
        <f t="shared" si="172"/>
        <v>39.71</v>
      </c>
      <c r="D5366" s="37">
        <v>2.887</v>
      </c>
      <c r="E5366" s="33">
        <f t="shared" si="173"/>
        <v>-2.4701695624869307E-3</v>
      </c>
    </row>
    <row r="5367" spans="1:5" x14ac:dyDescent="0.25">
      <c r="A5367" s="41">
        <v>43689</v>
      </c>
      <c r="B5367" s="29">
        <v>238.74</v>
      </c>
      <c r="C5367" s="37">
        <f t="shared" si="172"/>
        <v>39.79</v>
      </c>
      <c r="D5367" s="37">
        <v>2.887</v>
      </c>
      <c r="E5367" s="33">
        <f t="shared" si="173"/>
        <v>2.0146058927223128E-3</v>
      </c>
    </row>
    <row r="5368" spans="1:5" x14ac:dyDescent="0.25">
      <c r="A5368" s="41">
        <v>43689</v>
      </c>
      <c r="B5368" s="29">
        <v>239.37</v>
      </c>
      <c r="C5368" s="37">
        <f t="shared" si="172"/>
        <v>39.895000000000003</v>
      </c>
      <c r="D5368" s="37">
        <v>2.887</v>
      </c>
      <c r="E5368" s="33">
        <f t="shared" si="173"/>
        <v>2.6388539834128985E-3</v>
      </c>
    </row>
    <row r="5369" spans="1:5" x14ac:dyDescent="0.25">
      <c r="A5369" s="41">
        <v>43689</v>
      </c>
      <c r="B5369" s="29">
        <v>239.66</v>
      </c>
      <c r="C5369" s="37">
        <f t="shared" si="172"/>
        <v>39.943333333333335</v>
      </c>
      <c r="D5369" s="37">
        <v>2.887</v>
      </c>
      <c r="E5369" s="33">
        <f t="shared" si="173"/>
        <v>1.2115135564188997E-3</v>
      </c>
    </row>
    <row r="5370" spans="1:5" x14ac:dyDescent="0.25">
      <c r="A5370" s="41">
        <v>43689</v>
      </c>
      <c r="B5370" s="29">
        <v>239.8</v>
      </c>
      <c r="C5370" s="37">
        <f t="shared" si="172"/>
        <v>39.966666666666669</v>
      </c>
      <c r="D5370" s="37">
        <v>2.887</v>
      </c>
      <c r="E5370" s="33">
        <f t="shared" si="173"/>
        <v>5.8416089460074593E-4</v>
      </c>
    </row>
    <row r="5371" spans="1:5" x14ac:dyDescent="0.25">
      <c r="A5371" s="41">
        <v>43689</v>
      </c>
      <c r="B5371" s="29">
        <v>239.71</v>
      </c>
      <c r="C5371" s="37">
        <f t="shared" si="172"/>
        <v>39.951666666666668</v>
      </c>
      <c r="D5371" s="37">
        <v>2.887</v>
      </c>
      <c r="E5371" s="33">
        <f t="shared" si="173"/>
        <v>-3.7531276063387575E-4</v>
      </c>
    </row>
    <row r="5372" spans="1:5" x14ac:dyDescent="0.25">
      <c r="A5372" s="41">
        <v>43689</v>
      </c>
      <c r="B5372" s="29">
        <v>240.66</v>
      </c>
      <c r="C5372" s="37">
        <f t="shared" si="172"/>
        <v>40.11</v>
      </c>
      <c r="D5372" s="37">
        <v>2.887</v>
      </c>
      <c r="E5372" s="33">
        <f t="shared" si="173"/>
        <v>3.9631221058778884E-3</v>
      </c>
    </row>
    <row r="5373" spans="1:5" x14ac:dyDescent="0.25">
      <c r="A5373" s="41">
        <v>43689</v>
      </c>
      <c r="B5373" s="29">
        <v>240.26</v>
      </c>
      <c r="C5373" s="37">
        <f t="shared" si="172"/>
        <v>40.043333333333337</v>
      </c>
      <c r="D5373" s="37">
        <v>2.887</v>
      </c>
      <c r="E5373" s="33">
        <f t="shared" si="173"/>
        <v>-1.662095902933623E-3</v>
      </c>
    </row>
    <row r="5374" spans="1:5" x14ac:dyDescent="0.25">
      <c r="A5374" s="41">
        <v>43689</v>
      </c>
      <c r="B5374" s="29">
        <v>239.62</v>
      </c>
      <c r="C5374" s="37">
        <f t="shared" si="172"/>
        <v>39.936666666666667</v>
      </c>
      <c r="D5374" s="37">
        <v>2.887</v>
      </c>
      <c r="E5374" s="33">
        <f t="shared" si="173"/>
        <v>-2.6637809040205877E-3</v>
      </c>
    </row>
    <row r="5375" spans="1:5" x14ac:dyDescent="0.25">
      <c r="A5375" s="41">
        <v>43689</v>
      </c>
      <c r="B5375" s="29">
        <v>239.46</v>
      </c>
      <c r="C5375" s="37">
        <f t="shared" si="172"/>
        <v>39.909999999999997</v>
      </c>
      <c r="D5375" s="37">
        <v>2.887</v>
      </c>
      <c r="E5375" s="33">
        <f t="shared" si="173"/>
        <v>-6.6772389616891995E-4</v>
      </c>
    </row>
    <row r="5376" spans="1:5" x14ac:dyDescent="0.25">
      <c r="A5376" s="41">
        <v>43689</v>
      </c>
      <c r="B5376" s="29">
        <v>238.02</v>
      </c>
      <c r="C5376" s="37">
        <f t="shared" si="172"/>
        <v>39.67</v>
      </c>
      <c r="D5376" s="37">
        <v>2.887</v>
      </c>
      <c r="E5376" s="33">
        <f t="shared" si="173"/>
        <v>-6.0135304434978604E-3</v>
      </c>
    </row>
    <row r="5377" spans="1:5" x14ac:dyDescent="0.25">
      <c r="A5377" s="41">
        <v>43689</v>
      </c>
      <c r="B5377" s="29">
        <v>236.42</v>
      </c>
      <c r="C5377" s="37">
        <f t="shared" si="172"/>
        <v>39.403333333333336</v>
      </c>
      <c r="D5377" s="37">
        <v>2.887</v>
      </c>
      <c r="E5377" s="33">
        <f t="shared" si="173"/>
        <v>-6.7221241912445284E-3</v>
      </c>
    </row>
    <row r="5378" spans="1:5" x14ac:dyDescent="0.25">
      <c r="A5378" s="41">
        <v>43690</v>
      </c>
      <c r="B5378" s="29">
        <v>232.85</v>
      </c>
      <c r="C5378" s="37">
        <f t="shared" si="172"/>
        <v>38.80833333333333</v>
      </c>
      <c r="D5378" s="37">
        <v>2.8849999999999998</v>
      </c>
      <c r="E5378" s="33">
        <f t="shared" si="173"/>
        <v>-1.5100245326114514E-2</v>
      </c>
    </row>
    <row r="5379" spans="1:5" x14ac:dyDescent="0.25">
      <c r="A5379" s="41">
        <v>43690</v>
      </c>
      <c r="B5379" s="29">
        <v>231.98</v>
      </c>
      <c r="C5379" s="37">
        <f t="shared" ref="C5379:C5442" si="174">(B5379*100/600)</f>
        <v>38.663333333333334</v>
      </c>
      <c r="D5379" s="37">
        <v>2.8849999999999998</v>
      </c>
      <c r="E5379" s="33">
        <f t="shared" si="173"/>
        <v>-3.7363109297831416E-3</v>
      </c>
    </row>
    <row r="5380" spans="1:5" x14ac:dyDescent="0.25">
      <c r="A5380" s="41">
        <v>43690</v>
      </c>
      <c r="B5380" s="29">
        <v>231.87</v>
      </c>
      <c r="C5380" s="37">
        <f t="shared" si="174"/>
        <v>38.645000000000003</v>
      </c>
      <c r="D5380" s="37">
        <v>2.8849999999999998</v>
      </c>
      <c r="E5380" s="33">
        <f t="shared" ref="E5380:E5443" si="175">(B5380-B5379)/B5379</f>
        <v>-4.7417880851791198E-4</v>
      </c>
    </row>
    <row r="5381" spans="1:5" x14ac:dyDescent="0.25">
      <c r="A5381" s="41">
        <v>43690</v>
      </c>
      <c r="B5381" s="29">
        <v>231.87</v>
      </c>
      <c r="C5381" s="37">
        <f t="shared" si="174"/>
        <v>38.645000000000003</v>
      </c>
      <c r="D5381" s="37">
        <v>2.8849999999999998</v>
      </c>
      <c r="E5381" s="33">
        <f t="shared" si="175"/>
        <v>0</v>
      </c>
    </row>
    <row r="5382" spans="1:5" x14ac:dyDescent="0.25">
      <c r="A5382" s="41">
        <v>43690</v>
      </c>
      <c r="B5382" s="29">
        <v>231.96</v>
      </c>
      <c r="C5382" s="37">
        <f t="shared" si="174"/>
        <v>38.659999999999997</v>
      </c>
      <c r="D5382" s="37">
        <v>2.8849999999999998</v>
      </c>
      <c r="E5382" s="33">
        <f t="shared" si="175"/>
        <v>3.8814853150473719E-4</v>
      </c>
    </row>
    <row r="5383" spans="1:5" x14ac:dyDescent="0.25">
      <c r="A5383" s="41">
        <v>43690</v>
      </c>
      <c r="B5383" s="29">
        <v>232.41</v>
      </c>
      <c r="C5383" s="37">
        <f t="shared" si="174"/>
        <v>38.734999999999999</v>
      </c>
      <c r="D5383" s="37">
        <v>2.8849999999999998</v>
      </c>
      <c r="E5383" s="33">
        <f t="shared" si="175"/>
        <v>1.9399896533884662E-3</v>
      </c>
    </row>
    <row r="5384" spans="1:5" x14ac:dyDescent="0.25">
      <c r="A5384" s="41">
        <v>43690</v>
      </c>
      <c r="B5384" s="29">
        <v>234.34</v>
      </c>
      <c r="C5384" s="37">
        <f t="shared" si="174"/>
        <v>39.056666666666665</v>
      </c>
      <c r="D5384" s="37">
        <v>2.8849999999999998</v>
      </c>
      <c r="E5384" s="33">
        <f t="shared" si="175"/>
        <v>8.3042898326234106E-3</v>
      </c>
    </row>
    <row r="5385" spans="1:5" x14ac:dyDescent="0.25">
      <c r="A5385" s="41">
        <v>43690</v>
      </c>
      <c r="B5385" s="29">
        <v>236.82</v>
      </c>
      <c r="C5385" s="37">
        <f t="shared" si="174"/>
        <v>39.47</v>
      </c>
      <c r="D5385" s="37">
        <v>2.8849999999999998</v>
      </c>
      <c r="E5385" s="33">
        <f t="shared" si="175"/>
        <v>1.0582913715114746E-2</v>
      </c>
    </row>
    <row r="5386" spans="1:5" x14ac:dyDescent="0.25">
      <c r="A5386" s="41">
        <v>43690</v>
      </c>
      <c r="B5386" s="29">
        <v>238.36</v>
      </c>
      <c r="C5386" s="37">
        <f t="shared" si="174"/>
        <v>39.726666666666667</v>
      </c>
      <c r="D5386" s="37">
        <v>2.8849999999999998</v>
      </c>
      <c r="E5386" s="33">
        <f t="shared" si="175"/>
        <v>6.50282915294325E-3</v>
      </c>
    </row>
    <row r="5387" spans="1:5" x14ac:dyDescent="0.25">
      <c r="A5387" s="41">
        <v>43690</v>
      </c>
      <c r="B5387" s="29">
        <v>239.75</v>
      </c>
      <c r="C5387" s="37">
        <f t="shared" si="174"/>
        <v>39.958333333333336</v>
      </c>
      <c r="D5387" s="37">
        <v>2.8849999999999998</v>
      </c>
      <c r="E5387" s="33">
        <f t="shared" si="175"/>
        <v>5.8315153549252652E-3</v>
      </c>
    </row>
    <row r="5388" spans="1:5" x14ac:dyDescent="0.25">
      <c r="A5388" s="41">
        <v>43690</v>
      </c>
      <c r="B5388" s="29">
        <v>241</v>
      </c>
      <c r="C5388" s="37">
        <f t="shared" si="174"/>
        <v>40.166666666666664</v>
      </c>
      <c r="D5388" s="37">
        <v>2.8849999999999998</v>
      </c>
      <c r="E5388" s="33">
        <f t="shared" si="175"/>
        <v>5.2137643378519288E-3</v>
      </c>
    </row>
    <row r="5389" spans="1:5" x14ac:dyDescent="0.25">
      <c r="A5389" s="41">
        <v>43690</v>
      </c>
      <c r="B5389" s="29">
        <v>240.99</v>
      </c>
      <c r="C5389" s="37">
        <f t="shared" si="174"/>
        <v>40.164999999999999</v>
      </c>
      <c r="D5389" s="37">
        <v>2.8849999999999998</v>
      </c>
      <c r="E5389" s="33">
        <f t="shared" si="175"/>
        <v>-4.149377593357222E-5</v>
      </c>
    </row>
    <row r="5390" spans="1:5" x14ac:dyDescent="0.25">
      <c r="A5390" s="41">
        <v>43690</v>
      </c>
      <c r="B5390" s="29">
        <v>240.86</v>
      </c>
      <c r="C5390" s="37">
        <f t="shared" si="174"/>
        <v>40.143333333333331</v>
      </c>
      <c r="D5390" s="37">
        <v>2.8849999999999998</v>
      </c>
      <c r="E5390" s="33">
        <f t="shared" si="175"/>
        <v>-5.3944147060042092E-4</v>
      </c>
    </row>
    <row r="5391" spans="1:5" x14ac:dyDescent="0.25">
      <c r="A5391" s="41">
        <v>43690</v>
      </c>
      <c r="B5391" s="29">
        <v>240.9</v>
      </c>
      <c r="C5391" s="37">
        <f t="shared" si="174"/>
        <v>40.15</v>
      </c>
      <c r="D5391" s="37">
        <v>2.8849999999999998</v>
      </c>
      <c r="E5391" s="33">
        <f t="shared" si="175"/>
        <v>1.6607157684958915E-4</v>
      </c>
    </row>
    <row r="5392" spans="1:5" x14ac:dyDescent="0.25">
      <c r="A5392" s="41">
        <v>43690</v>
      </c>
      <c r="B5392" s="29">
        <v>240.99</v>
      </c>
      <c r="C5392" s="37">
        <f t="shared" si="174"/>
        <v>40.164999999999999</v>
      </c>
      <c r="D5392" s="37">
        <v>2.8849999999999998</v>
      </c>
      <c r="E5392" s="33">
        <f t="shared" si="175"/>
        <v>3.7359900373600419E-4</v>
      </c>
    </row>
    <row r="5393" spans="1:5" x14ac:dyDescent="0.25">
      <c r="A5393" s="41">
        <v>43690</v>
      </c>
      <c r="B5393" s="29">
        <v>240.97</v>
      </c>
      <c r="C5393" s="37">
        <f t="shared" si="174"/>
        <v>40.161666666666669</v>
      </c>
      <c r="D5393" s="37">
        <v>2.8849999999999998</v>
      </c>
      <c r="E5393" s="33">
        <f t="shared" si="175"/>
        <v>-8.2990995477033206E-5</v>
      </c>
    </row>
    <row r="5394" spans="1:5" x14ac:dyDescent="0.25">
      <c r="A5394" s="41">
        <v>43690</v>
      </c>
      <c r="B5394" s="29">
        <v>240.8</v>
      </c>
      <c r="C5394" s="37">
        <f t="shared" si="174"/>
        <v>40.133333333333333</v>
      </c>
      <c r="D5394" s="37">
        <v>2.8849999999999998</v>
      </c>
      <c r="E5394" s="33">
        <f t="shared" si="175"/>
        <v>-7.0548201020868774E-4</v>
      </c>
    </row>
    <row r="5395" spans="1:5" x14ac:dyDescent="0.25">
      <c r="A5395" s="41">
        <v>43690</v>
      </c>
      <c r="B5395" s="29">
        <v>240.74</v>
      </c>
      <c r="C5395" s="37">
        <f t="shared" si="174"/>
        <v>40.123333333333335</v>
      </c>
      <c r="D5395" s="37">
        <v>2.8849999999999998</v>
      </c>
      <c r="E5395" s="33">
        <f t="shared" si="175"/>
        <v>-2.4916943521595625E-4</v>
      </c>
    </row>
    <row r="5396" spans="1:5" x14ac:dyDescent="0.25">
      <c r="A5396" s="41">
        <v>43690</v>
      </c>
      <c r="B5396" s="29">
        <v>241.64</v>
      </c>
      <c r="C5396" s="37">
        <f t="shared" si="174"/>
        <v>40.273333333333333</v>
      </c>
      <c r="D5396" s="37">
        <v>2.8849999999999998</v>
      </c>
      <c r="E5396" s="33">
        <f t="shared" si="175"/>
        <v>3.7384730414554176E-3</v>
      </c>
    </row>
    <row r="5397" spans="1:5" x14ac:dyDescent="0.25">
      <c r="A5397" s="41">
        <v>43690</v>
      </c>
      <c r="B5397" s="29">
        <v>240.96</v>
      </c>
      <c r="C5397" s="37">
        <f t="shared" si="174"/>
        <v>40.159999999999997</v>
      </c>
      <c r="D5397" s="37">
        <v>2.8849999999999998</v>
      </c>
      <c r="E5397" s="33">
        <f t="shared" si="175"/>
        <v>-2.8141036252275222E-3</v>
      </c>
    </row>
    <row r="5398" spans="1:5" x14ac:dyDescent="0.25">
      <c r="A5398" s="41">
        <v>43690</v>
      </c>
      <c r="B5398" s="29">
        <v>240.61</v>
      </c>
      <c r="C5398" s="37">
        <f t="shared" si="174"/>
        <v>40.101666666666667</v>
      </c>
      <c r="D5398" s="37">
        <v>2.8849999999999998</v>
      </c>
      <c r="E5398" s="33">
        <f t="shared" si="175"/>
        <v>-1.4525232403718223E-3</v>
      </c>
    </row>
    <row r="5399" spans="1:5" x14ac:dyDescent="0.25">
      <c r="A5399" s="41">
        <v>43690</v>
      </c>
      <c r="B5399" s="29">
        <v>240.54</v>
      </c>
      <c r="C5399" s="37">
        <f t="shared" si="174"/>
        <v>40.090000000000003</v>
      </c>
      <c r="D5399" s="37">
        <v>2.8849999999999998</v>
      </c>
      <c r="E5399" s="33">
        <f t="shared" si="175"/>
        <v>-2.9092722663239928E-4</v>
      </c>
    </row>
    <row r="5400" spans="1:5" x14ac:dyDescent="0.25">
      <c r="A5400" s="41">
        <v>43690</v>
      </c>
      <c r="B5400" s="29">
        <v>239.75</v>
      </c>
      <c r="C5400" s="37">
        <f t="shared" si="174"/>
        <v>39.958333333333336</v>
      </c>
      <c r="D5400" s="37">
        <v>2.8849999999999998</v>
      </c>
      <c r="E5400" s="33">
        <f t="shared" si="175"/>
        <v>-3.2842770433191655E-3</v>
      </c>
    </row>
    <row r="5401" spans="1:5" x14ac:dyDescent="0.25">
      <c r="A5401" s="41">
        <v>43690</v>
      </c>
      <c r="B5401" s="29">
        <v>237.72</v>
      </c>
      <c r="C5401" s="37">
        <f t="shared" si="174"/>
        <v>39.619999999999997</v>
      </c>
      <c r="D5401" s="37">
        <v>2.8849999999999998</v>
      </c>
      <c r="E5401" s="33">
        <f t="shared" si="175"/>
        <v>-8.4671532846715379E-3</v>
      </c>
    </row>
    <row r="5402" spans="1:5" x14ac:dyDescent="0.25">
      <c r="A5402" s="41">
        <v>43691</v>
      </c>
      <c r="B5402" s="29">
        <v>232.92</v>
      </c>
      <c r="C5402" s="37">
        <f t="shared" si="174"/>
        <v>38.82</v>
      </c>
      <c r="D5402" s="37">
        <v>2.8239999999999998</v>
      </c>
      <c r="E5402" s="33">
        <f t="shared" si="175"/>
        <v>-2.0191822311963703E-2</v>
      </c>
    </row>
    <row r="5403" spans="1:5" x14ac:dyDescent="0.25">
      <c r="A5403" s="41">
        <v>43691</v>
      </c>
      <c r="B5403" s="29">
        <v>231.84</v>
      </c>
      <c r="C5403" s="37">
        <f t="shared" si="174"/>
        <v>38.64</v>
      </c>
      <c r="D5403" s="37">
        <v>2.8239999999999998</v>
      </c>
      <c r="E5403" s="33">
        <f t="shared" si="175"/>
        <v>-4.6367851622874127E-3</v>
      </c>
    </row>
    <row r="5404" spans="1:5" x14ac:dyDescent="0.25">
      <c r="A5404" s="41">
        <v>43691</v>
      </c>
      <c r="B5404" s="29">
        <v>231.4</v>
      </c>
      <c r="C5404" s="37">
        <f t="shared" si="174"/>
        <v>38.56666666666667</v>
      </c>
      <c r="D5404" s="37">
        <v>2.8239999999999998</v>
      </c>
      <c r="E5404" s="33">
        <f t="shared" si="175"/>
        <v>-1.8978605935127575E-3</v>
      </c>
    </row>
    <row r="5405" spans="1:5" x14ac:dyDescent="0.25">
      <c r="A5405" s="41">
        <v>43691</v>
      </c>
      <c r="B5405" s="29">
        <v>231.4</v>
      </c>
      <c r="C5405" s="37">
        <f t="shared" si="174"/>
        <v>38.56666666666667</v>
      </c>
      <c r="D5405" s="37">
        <v>2.8239999999999998</v>
      </c>
      <c r="E5405" s="33">
        <f t="shared" si="175"/>
        <v>0</v>
      </c>
    </row>
    <row r="5406" spans="1:5" x14ac:dyDescent="0.25">
      <c r="A5406" s="41">
        <v>43691</v>
      </c>
      <c r="B5406" s="29">
        <v>231.56</v>
      </c>
      <c r="C5406" s="37">
        <f t="shared" si="174"/>
        <v>38.593333333333334</v>
      </c>
      <c r="D5406" s="37">
        <v>2.8239999999999998</v>
      </c>
      <c r="E5406" s="33">
        <f t="shared" si="175"/>
        <v>6.9144338807258679E-4</v>
      </c>
    </row>
    <row r="5407" spans="1:5" x14ac:dyDescent="0.25">
      <c r="A5407" s="41">
        <v>43691</v>
      </c>
      <c r="B5407" s="29">
        <v>232.14</v>
      </c>
      <c r="C5407" s="37">
        <f t="shared" si="174"/>
        <v>38.69</v>
      </c>
      <c r="D5407" s="37">
        <v>2.8239999999999998</v>
      </c>
      <c r="E5407" s="33">
        <f t="shared" si="175"/>
        <v>2.5047503886680951E-3</v>
      </c>
    </row>
    <row r="5408" spans="1:5" x14ac:dyDescent="0.25">
      <c r="A5408" s="41">
        <v>43691</v>
      </c>
      <c r="B5408" s="29">
        <v>234.78</v>
      </c>
      <c r="C5408" s="37">
        <f t="shared" si="174"/>
        <v>39.130000000000003</v>
      </c>
      <c r="D5408" s="37">
        <v>2.8239999999999998</v>
      </c>
      <c r="E5408" s="33">
        <f t="shared" si="175"/>
        <v>1.1372447660894352E-2</v>
      </c>
    </row>
    <row r="5409" spans="1:5" x14ac:dyDescent="0.25">
      <c r="A5409" s="41">
        <v>43691</v>
      </c>
      <c r="B5409" s="29">
        <v>236.24</v>
      </c>
      <c r="C5409" s="37">
        <f t="shared" si="174"/>
        <v>39.373333333333335</v>
      </c>
      <c r="D5409" s="37">
        <v>2.8239999999999998</v>
      </c>
      <c r="E5409" s="33">
        <f t="shared" si="175"/>
        <v>6.2185876139364852E-3</v>
      </c>
    </row>
    <row r="5410" spans="1:5" x14ac:dyDescent="0.25">
      <c r="A5410" s="41">
        <v>43691</v>
      </c>
      <c r="B5410" s="29">
        <v>236.95</v>
      </c>
      <c r="C5410" s="37">
        <f t="shared" si="174"/>
        <v>39.491666666666667</v>
      </c>
      <c r="D5410" s="37">
        <v>2.8239999999999998</v>
      </c>
      <c r="E5410" s="33">
        <f t="shared" si="175"/>
        <v>3.0054182187604955E-3</v>
      </c>
    </row>
    <row r="5411" spans="1:5" x14ac:dyDescent="0.25">
      <c r="A5411" s="41">
        <v>43691</v>
      </c>
      <c r="B5411" s="29">
        <v>237.46</v>
      </c>
      <c r="C5411" s="37">
        <f t="shared" si="174"/>
        <v>39.576666666666668</v>
      </c>
      <c r="D5411" s="37">
        <v>2.8239999999999998</v>
      </c>
      <c r="E5411" s="33">
        <f t="shared" si="175"/>
        <v>2.1523528170500923E-3</v>
      </c>
    </row>
    <row r="5412" spans="1:5" x14ac:dyDescent="0.25">
      <c r="A5412" s="41">
        <v>43691</v>
      </c>
      <c r="B5412" s="29">
        <v>238.1</v>
      </c>
      <c r="C5412" s="37">
        <f t="shared" si="174"/>
        <v>39.68333333333333</v>
      </c>
      <c r="D5412" s="37">
        <v>2.8239999999999998</v>
      </c>
      <c r="E5412" s="33">
        <f t="shared" si="175"/>
        <v>2.6951907689715588E-3</v>
      </c>
    </row>
    <row r="5413" spans="1:5" x14ac:dyDescent="0.25">
      <c r="A5413" s="41">
        <v>43691</v>
      </c>
      <c r="B5413" s="29">
        <v>238.14</v>
      </c>
      <c r="C5413" s="37">
        <f t="shared" si="174"/>
        <v>39.69</v>
      </c>
      <c r="D5413" s="37">
        <v>2.8239999999999998</v>
      </c>
      <c r="E5413" s="33">
        <f t="shared" si="175"/>
        <v>1.6799664006716524E-4</v>
      </c>
    </row>
    <row r="5414" spans="1:5" x14ac:dyDescent="0.25">
      <c r="A5414" s="41">
        <v>43691</v>
      </c>
      <c r="B5414" s="29">
        <v>237.9</v>
      </c>
      <c r="C5414" s="37">
        <f t="shared" si="174"/>
        <v>39.65</v>
      </c>
      <c r="D5414" s="37">
        <v>2.8239999999999998</v>
      </c>
      <c r="E5414" s="33">
        <f t="shared" si="175"/>
        <v>-1.0078105316199744E-3</v>
      </c>
    </row>
    <row r="5415" spans="1:5" x14ac:dyDescent="0.25">
      <c r="A5415" s="41">
        <v>43691</v>
      </c>
      <c r="B5415" s="29">
        <v>238.06</v>
      </c>
      <c r="C5415" s="37">
        <f t="shared" si="174"/>
        <v>39.676666666666669</v>
      </c>
      <c r="D5415" s="37">
        <v>2.8239999999999998</v>
      </c>
      <c r="E5415" s="33">
        <f t="shared" si="175"/>
        <v>6.7255149222360906E-4</v>
      </c>
    </row>
    <row r="5416" spans="1:5" x14ac:dyDescent="0.25">
      <c r="A5416" s="41">
        <v>43691</v>
      </c>
      <c r="B5416" s="29">
        <v>238.03</v>
      </c>
      <c r="C5416" s="37">
        <f t="shared" si="174"/>
        <v>39.671666666666667</v>
      </c>
      <c r="D5416" s="37">
        <v>2.8239999999999998</v>
      </c>
      <c r="E5416" s="33">
        <f t="shared" si="175"/>
        <v>-1.2601865076031731E-4</v>
      </c>
    </row>
    <row r="5417" spans="1:5" x14ac:dyDescent="0.25">
      <c r="A5417" s="41">
        <v>43691</v>
      </c>
      <c r="B5417" s="29">
        <v>238.02</v>
      </c>
      <c r="C5417" s="37">
        <f t="shared" si="174"/>
        <v>39.67</v>
      </c>
      <c r="D5417" s="37">
        <v>2.8239999999999998</v>
      </c>
      <c r="E5417" s="33">
        <f t="shared" si="175"/>
        <v>-4.2011511154017999E-5</v>
      </c>
    </row>
    <row r="5418" spans="1:5" x14ac:dyDescent="0.25">
      <c r="A5418" s="41">
        <v>43691</v>
      </c>
      <c r="B5418" s="29">
        <v>237.94</v>
      </c>
      <c r="C5418" s="37">
        <f t="shared" si="174"/>
        <v>39.656666666666666</v>
      </c>
      <c r="D5418" s="37">
        <v>2.8239999999999998</v>
      </c>
      <c r="E5418" s="33">
        <f t="shared" si="175"/>
        <v>-3.3610620956227419E-4</v>
      </c>
    </row>
    <row r="5419" spans="1:5" x14ac:dyDescent="0.25">
      <c r="A5419" s="41">
        <v>43691</v>
      </c>
      <c r="B5419" s="29">
        <v>237.92</v>
      </c>
      <c r="C5419" s="37">
        <f t="shared" si="174"/>
        <v>39.653333333333336</v>
      </c>
      <c r="D5419" s="37">
        <v>2.8239999999999998</v>
      </c>
      <c r="E5419" s="33">
        <f t="shared" si="175"/>
        <v>-8.4054803732076287E-5</v>
      </c>
    </row>
    <row r="5420" spans="1:5" x14ac:dyDescent="0.25">
      <c r="A5420" s="41">
        <v>43691</v>
      </c>
      <c r="B5420" s="29">
        <v>239.28</v>
      </c>
      <c r="C5420" s="37">
        <f t="shared" si="174"/>
        <v>39.880000000000003</v>
      </c>
      <c r="D5420" s="37">
        <v>2.8239999999999998</v>
      </c>
      <c r="E5420" s="33">
        <f t="shared" si="175"/>
        <v>5.7162071284465946E-3</v>
      </c>
    </row>
    <row r="5421" spans="1:5" x14ac:dyDescent="0.25">
      <c r="A5421" s="41">
        <v>43691</v>
      </c>
      <c r="B5421" s="29">
        <v>238.52</v>
      </c>
      <c r="C5421" s="37">
        <f t="shared" si="174"/>
        <v>39.75333333333333</v>
      </c>
      <c r="D5421" s="37">
        <v>2.8239999999999998</v>
      </c>
      <c r="E5421" s="33">
        <f t="shared" si="175"/>
        <v>-3.1761952524239005E-3</v>
      </c>
    </row>
    <row r="5422" spans="1:5" x14ac:dyDescent="0.25">
      <c r="A5422" s="41">
        <v>43691</v>
      </c>
      <c r="B5422" s="29">
        <v>237.87</v>
      </c>
      <c r="C5422" s="37">
        <f t="shared" si="174"/>
        <v>39.645000000000003</v>
      </c>
      <c r="D5422" s="37">
        <v>2.8239999999999998</v>
      </c>
      <c r="E5422" s="33">
        <f t="shared" si="175"/>
        <v>-2.7251383531779541E-3</v>
      </c>
    </row>
    <row r="5423" spans="1:5" x14ac:dyDescent="0.25">
      <c r="A5423" s="41">
        <v>43691</v>
      </c>
      <c r="B5423" s="29">
        <v>237.74</v>
      </c>
      <c r="C5423" s="37">
        <f t="shared" si="174"/>
        <v>39.623333333333335</v>
      </c>
      <c r="D5423" s="37">
        <v>2.8239999999999998</v>
      </c>
      <c r="E5423" s="33">
        <f t="shared" si="175"/>
        <v>-5.4651700508679302E-4</v>
      </c>
    </row>
    <row r="5424" spans="1:5" x14ac:dyDescent="0.25">
      <c r="A5424" s="41">
        <v>43691</v>
      </c>
      <c r="B5424" s="29">
        <v>237.34</v>
      </c>
      <c r="C5424" s="37">
        <f t="shared" si="174"/>
        <v>39.556666666666665</v>
      </c>
      <c r="D5424" s="37">
        <v>2.8239999999999998</v>
      </c>
      <c r="E5424" s="33">
        <f t="shared" si="175"/>
        <v>-1.6825103053756442E-3</v>
      </c>
    </row>
    <row r="5425" spans="1:5" x14ac:dyDescent="0.25">
      <c r="A5425" s="41">
        <v>43691</v>
      </c>
      <c r="B5425" s="29">
        <v>236</v>
      </c>
      <c r="C5425" s="37">
        <f t="shared" si="174"/>
        <v>39.333333333333336</v>
      </c>
      <c r="D5425" s="37">
        <v>2.8239999999999998</v>
      </c>
      <c r="E5425" s="33">
        <f t="shared" si="175"/>
        <v>-5.6459088227858913E-3</v>
      </c>
    </row>
    <row r="5426" spans="1:5" x14ac:dyDescent="0.25">
      <c r="A5426" s="41">
        <v>43692</v>
      </c>
      <c r="B5426" s="29">
        <v>231.83</v>
      </c>
      <c r="C5426" s="37">
        <f t="shared" si="174"/>
        <v>38.638333333333335</v>
      </c>
      <c r="D5426" s="37">
        <v>2.762</v>
      </c>
      <c r="E5426" s="33">
        <f t="shared" si="175"/>
        <v>-1.7669491525423676E-2</v>
      </c>
    </row>
    <row r="5427" spans="1:5" x14ac:dyDescent="0.25">
      <c r="A5427" s="41">
        <v>43692</v>
      </c>
      <c r="B5427" s="29">
        <v>230.73</v>
      </c>
      <c r="C5427" s="37">
        <f t="shared" si="174"/>
        <v>38.454999999999998</v>
      </c>
      <c r="D5427" s="37">
        <v>2.762</v>
      </c>
      <c r="E5427" s="33">
        <f t="shared" si="175"/>
        <v>-4.7448561445888049E-3</v>
      </c>
    </row>
    <row r="5428" spans="1:5" x14ac:dyDescent="0.25">
      <c r="A5428" s="41">
        <v>43692</v>
      </c>
      <c r="B5428" s="29">
        <v>229.3</v>
      </c>
      <c r="C5428" s="37">
        <f t="shared" si="174"/>
        <v>38.216666666666669</v>
      </c>
      <c r="D5428" s="37">
        <v>2.762</v>
      </c>
      <c r="E5428" s="33">
        <f t="shared" si="175"/>
        <v>-6.197720279114023E-3</v>
      </c>
    </row>
    <row r="5429" spans="1:5" x14ac:dyDescent="0.25">
      <c r="A5429" s="41">
        <v>43692</v>
      </c>
      <c r="B5429" s="29">
        <v>229.08</v>
      </c>
      <c r="C5429" s="37">
        <f t="shared" si="174"/>
        <v>38.18</v>
      </c>
      <c r="D5429" s="37">
        <v>2.762</v>
      </c>
      <c r="E5429" s="33">
        <f t="shared" si="175"/>
        <v>-9.5944177932838579E-4</v>
      </c>
    </row>
    <row r="5430" spans="1:5" x14ac:dyDescent="0.25">
      <c r="A5430" s="41">
        <v>43692</v>
      </c>
      <c r="B5430" s="29">
        <v>229.2</v>
      </c>
      <c r="C5430" s="37">
        <f t="shared" si="174"/>
        <v>38.200000000000003</v>
      </c>
      <c r="D5430" s="37">
        <v>2.762</v>
      </c>
      <c r="E5430" s="33">
        <f t="shared" si="175"/>
        <v>5.2383446830791039E-4</v>
      </c>
    </row>
    <row r="5431" spans="1:5" x14ac:dyDescent="0.25">
      <c r="A5431" s="41">
        <v>43692</v>
      </c>
      <c r="B5431" s="29">
        <v>230.83</v>
      </c>
      <c r="C5431" s="37">
        <f t="shared" si="174"/>
        <v>38.471666666666664</v>
      </c>
      <c r="D5431" s="37">
        <v>2.762</v>
      </c>
      <c r="E5431" s="33">
        <f t="shared" si="175"/>
        <v>7.1116928446772424E-3</v>
      </c>
    </row>
    <row r="5432" spans="1:5" x14ac:dyDescent="0.25">
      <c r="A5432" s="41">
        <v>43692</v>
      </c>
      <c r="B5432" s="29">
        <v>233.21</v>
      </c>
      <c r="C5432" s="37">
        <f t="shared" si="174"/>
        <v>38.868333333333332</v>
      </c>
      <c r="D5432" s="37">
        <v>2.762</v>
      </c>
      <c r="E5432" s="33">
        <f t="shared" si="175"/>
        <v>1.0310618203872959E-2</v>
      </c>
    </row>
    <row r="5433" spans="1:5" x14ac:dyDescent="0.25">
      <c r="A5433" s="41">
        <v>43692</v>
      </c>
      <c r="B5433" s="29">
        <v>235</v>
      </c>
      <c r="C5433" s="37">
        <f t="shared" si="174"/>
        <v>39.166666666666664</v>
      </c>
      <c r="D5433" s="37">
        <v>2.762</v>
      </c>
      <c r="E5433" s="33">
        <f t="shared" si="175"/>
        <v>7.6754856138244159E-3</v>
      </c>
    </row>
    <row r="5434" spans="1:5" x14ac:dyDescent="0.25">
      <c r="A5434" s="41">
        <v>43692</v>
      </c>
      <c r="B5434" s="29">
        <v>236.76</v>
      </c>
      <c r="C5434" s="37">
        <f t="shared" si="174"/>
        <v>39.46</v>
      </c>
      <c r="D5434" s="37">
        <v>2.762</v>
      </c>
      <c r="E5434" s="33">
        <f t="shared" si="175"/>
        <v>7.4893617021276207E-3</v>
      </c>
    </row>
    <row r="5435" spans="1:5" x14ac:dyDescent="0.25">
      <c r="A5435" s="41">
        <v>43692</v>
      </c>
      <c r="B5435" s="29">
        <v>237.16</v>
      </c>
      <c r="C5435" s="37">
        <f t="shared" si="174"/>
        <v>39.526666666666664</v>
      </c>
      <c r="D5435" s="37">
        <v>2.762</v>
      </c>
      <c r="E5435" s="33">
        <f t="shared" si="175"/>
        <v>1.6894745734076942E-3</v>
      </c>
    </row>
    <row r="5436" spans="1:5" x14ac:dyDescent="0.25">
      <c r="A5436" s="41">
        <v>43692</v>
      </c>
      <c r="B5436" s="29">
        <v>237.25</v>
      </c>
      <c r="C5436" s="37">
        <f t="shared" si="174"/>
        <v>39.541666666666664</v>
      </c>
      <c r="D5436" s="37">
        <v>2.762</v>
      </c>
      <c r="E5436" s="33">
        <f t="shared" si="175"/>
        <v>3.7949063923091333E-4</v>
      </c>
    </row>
    <row r="5437" spans="1:5" x14ac:dyDescent="0.25">
      <c r="A5437" s="41">
        <v>43692</v>
      </c>
      <c r="B5437" s="29">
        <v>237.21</v>
      </c>
      <c r="C5437" s="37">
        <f t="shared" si="174"/>
        <v>39.534999999999997</v>
      </c>
      <c r="D5437" s="37">
        <v>2.762</v>
      </c>
      <c r="E5437" s="33">
        <f t="shared" si="175"/>
        <v>-1.6859852476287478E-4</v>
      </c>
    </row>
    <row r="5438" spans="1:5" x14ac:dyDescent="0.25">
      <c r="A5438" s="41">
        <v>43692</v>
      </c>
      <c r="B5438" s="29">
        <v>237.14</v>
      </c>
      <c r="C5438" s="37">
        <f t="shared" si="174"/>
        <v>39.523333333333333</v>
      </c>
      <c r="D5438" s="37">
        <v>2.762</v>
      </c>
      <c r="E5438" s="33">
        <f t="shared" si="175"/>
        <v>-2.950971712829206E-4</v>
      </c>
    </row>
    <row r="5439" spans="1:5" x14ac:dyDescent="0.25">
      <c r="A5439" s="41">
        <v>43692</v>
      </c>
      <c r="B5439" s="29">
        <v>237.13</v>
      </c>
      <c r="C5439" s="37">
        <f t="shared" si="174"/>
        <v>39.521666666666668</v>
      </c>
      <c r="D5439" s="37">
        <v>2.762</v>
      </c>
      <c r="E5439" s="33">
        <f t="shared" si="175"/>
        <v>-4.2169182761199738E-5</v>
      </c>
    </row>
    <row r="5440" spans="1:5" x14ac:dyDescent="0.25">
      <c r="A5440" s="41">
        <v>43692</v>
      </c>
      <c r="B5440" s="29">
        <v>237.1</v>
      </c>
      <c r="C5440" s="37">
        <f t="shared" si="174"/>
        <v>39.516666666666666</v>
      </c>
      <c r="D5440" s="37">
        <v>2.762</v>
      </c>
      <c r="E5440" s="33">
        <f t="shared" si="175"/>
        <v>-1.2651288322861358E-4</v>
      </c>
    </row>
    <row r="5441" spans="1:5" x14ac:dyDescent="0.25">
      <c r="A5441" s="41">
        <v>43692</v>
      </c>
      <c r="B5441" s="29">
        <v>237.22</v>
      </c>
      <c r="C5441" s="37">
        <f t="shared" si="174"/>
        <v>39.536666666666669</v>
      </c>
      <c r="D5441" s="37">
        <v>2.762</v>
      </c>
      <c r="E5441" s="33">
        <f t="shared" si="175"/>
        <v>5.0611556305358305E-4</v>
      </c>
    </row>
    <row r="5442" spans="1:5" x14ac:dyDescent="0.25">
      <c r="A5442" s="41">
        <v>43692</v>
      </c>
      <c r="B5442" s="29">
        <v>237.36</v>
      </c>
      <c r="C5442" s="37">
        <f t="shared" si="174"/>
        <v>39.56</v>
      </c>
      <c r="D5442" s="37">
        <v>2.762</v>
      </c>
      <c r="E5442" s="33">
        <f t="shared" si="175"/>
        <v>5.9016946294585101E-4</v>
      </c>
    </row>
    <row r="5443" spans="1:5" x14ac:dyDescent="0.25">
      <c r="A5443" s="41">
        <v>43692</v>
      </c>
      <c r="B5443" s="29">
        <v>237.2</v>
      </c>
      <c r="C5443" s="37">
        <f t="shared" ref="C5443:C5506" si="176">(B5443*100/600)</f>
        <v>39.533333333333331</v>
      </c>
      <c r="D5443" s="37">
        <v>2.762</v>
      </c>
      <c r="E5443" s="33">
        <f t="shared" si="175"/>
        <v>-6.7408156386933348E-4</v>
      </c>
    </row>
    <row r="5444" spans="1:5" x14ac:dyDescent="0.25">
      <c r="A5444" s="41">
        <v>43692</v>
      </c>
      <c r="B5444" s="29">
        <v>239.26</v>
      </c>
      <c r="C5444" s="37">
        <f t="shared" si="176"/>
        <v>39.876666666666665</v>
      </c>
      <c r="D5444" s="37">
        <v>2.762</v>
      </c>
      <c r="E5444" s="33">
        <f t="shared" ref="E5444:E5507" si="177">(B5444-B5443)/B5443</f>
        <v>8.6846543001686434E-3</v>
      </c>
    </row>
    <row r="5445" spans="1:5" x14ac:dyDescent="0.25">
      <c r="A5445" s="41">
        <v>43692</v>
      </c>
      <c r="B5445" s="29">
        <v>238.76</v>
      </c>
      <c r="C5445" s="37">
        <f t="shared" si="176"/>
        <v>39.793333333333337</v>
      </c>
      <c r="D5445" s="37">
        <v>2.762</v>
      </c>
      <c r="E5445" s="33">
        <f t="shared" si="177"/>
        <v>-2.0897768118364958E-3</v>
      </c>
    </row>
    <row r="5446" spans="1:5" x14ac:dyDescent="0.25">
      <c r="A5446" s="41">
        <v>43692</v>
      </c>
      <c r="B5446" s="29">
        <v>238.01</v>
      </c>
      <c r="C5446" s="37">
        <f t="shared" si="176"/>
        <v>39.668333333333337</v>
      </c>
      <c r="D5446" s="37">
        <v>2.762</v>
      </c>
      <c r="E5446" s="33">
        <f t="shared" si="177"/>
        <v>-3.1412296867146926E-3</v>
      </c>
    </row>
    <row r="5447" spans="1:5" x14ac:dyDescent="0.25">
      <c r="A5447" s="41">
        <v>43692</v>
      </c>
      <c r="B5447" s="29">
        <v>237.64</v>
      </c>
      <c r="C5447" s="37">
        <f t="shared" si="176"/>
        <v>39.606666666666669</v>
      </c>
      <c r="D5447" s="37">
        <v>2.762</v>
      </c>
      <c r="E5447" s="33">
        <f t="shared" si="177"/>
        <v>-1.5545565312382024E-3</v>
      </c>
    </row>
    <row r="5448" spans="1:5" x14ac:dyDescent="0.25">
      <c r="A5448" s="41">
        <v>43692</v>
      </c>
      <c r="B5448" s="29">
        <v>236.75</v>
      </c>
      <c r="C5448" s="37">
        <f t="shared" si="176"/>
        <v>39.458333333333336</v>
      </c>
      <c r="D5448" s="37">
        <v>2.762</v>
      </c>
      <c r="E5448" s="33">
        <f t="shared" si="177"/>
        <v>-3.7451607473488742E-3</v>
      </c>
    </row>
    <row r="5449" spans="1:5" x14ac:dyDescent="0.25">
      <c r="A5449" s="41">
        <v>43692</v>
      </c>
      <c r="B5449" s="29">
        <v>235.58</v>
      </c>
      <c r="C5449" s="37">
        <f t="shared" si="176"/>
        <v>39.263333333333335</v>
      </c>
      <c r="D5449" s="37">
        <v>2.762</v>
      </c>
      <c r="E5449" s="33">
        <f t="shared" si="177"/>
        <v>-4.9419218585004749E-3</v>
      </c>
    </row>
    <row r="5450" spans="1:5" x14ac:dyDescent="0.25">
      <c r="A5450" s="41">
        <v>43693</v>
      </c>
      <c r="B5450" s="29">
        <v>230.94</v>
      </c>
      <c r="C5450" s="37">
        <f t="shared" si="176"/>
        <v>38.49</v>
      </c>
      <c r="D5450" s="37">
        <v>2.673</v>
      </c>
      <c r="E5450" s="33">
        <f t="shared" si="177"/>
        <v>-1.9696069275829928E-2</v>
      </c>
    </row>
    <row r="5451" spans="1:5" x14ac:dyDescent="0.25">
      <c r="A5451" s="41">
        <v>43693</v>
      </c>
      <c r="B5451" s="29">
        <v>229.38</v>
      </c>
      <c r="C5451" s="37">
        <f t="shared" si="176"/>
        <v>38.229999999999997</v>
      </c>
      <c r="D5451" s="37">
        <v>2.673</v>
      </c>
      <c r="E5451" s="33">
        <f t="shared" si="177"/>
        <v>-6.7550012990387209E-3</v>
      </c>
    </row>
    <row r="5452" spans="1:5" x14ac:dyDescent="0.25">
      <c r="A5452" s="41">
        <v>43693</v>
      </c>
      <c r="B5452" s="29">
        <v>228.98</v>
      </c>
      <c r="C5452" s="37">
        <f t="shared" si="176"/>
        <v>38.163333333333334</v>
      </c>
      <c r="D5452" s="37">
        <v>2.673</v>
      </c>
      <c r="E5452" s="33">
        <f t="shared" si="177"/>
        <v>-1.7438311971401416E-3</v>
      </c>
    </row>
    <row r="5453" spans="1:5" x14ac:dyDescent="0.25">
      <c r="A5453" s="41">
        <v>43693</v>
      </c>
      <c r="B5453" s="29">
        <v>228.86</v>
      </c>
      <c r="C5453" s="37">
        <f t="shared" si="176"/>
        <v>38.143333333333331</v>
      </c>
      <c r="D5453" s="37">
        <v>2.673</v>
      </c>
      <c r="E5453" s="33">
        <f t="shared" si="177"/>
        <v>-5.2406323696382276E-4</v>
      </c>
    </row>
    <row r="5454" spans="1:5" x14ac:dyDescent="0.25">
      <c r="A5454" s="41">
        <v>43693</v>
      </c>
      <c r="B5454" s="29">
        <v>228.95</v>
      </c>
      <c r="C5454" s="37">
        <f t="shared" si="176"/>
        <v>38.158333333333331</v>
      </c>
      <c r="D5454" s="37">
        <v>2.673</v>
      </c>
      <c r="E5454" s="33">
        <f t="shared" si="177"/>
        <v>3.9325351743412998E-4</v>
      </c>
    </row>
    <row r="5455" spans="1:5" x14ac:dyDescent="0.25">
      <c r="A5455" s="41">
        <v>43693</v>
      </c>
      <c r="B5455" s="29">
        <v>229.79</v>
      </c>
      <c r="C5455" s="37">
        <f t="shared" si="176"/>
        <v>38.298333333333332</v>
      </c>
      <c r="D5455" s="37">
        <v>2.673</v>
      </c>
      <c r="E5455" s="33">
        <f t="shared" si="177"/>
        <v>3.6689233457086849E-3</v>
      </c>
    </row>
    <row r="5456" spans="1:5" x14ac:dyDescent="0.25">
      <c r="A5456" s="41">
        <v>43693</v>
      </c>
      <c r="B5456" s="29">
        <v>232.57</v>
      </c>
      <c r="C5456" s="37">
        <f t="shared" si="176"/>
        <v>38.761666666666663</v>
      </c>
      <c r="D5456" s="37">
        <v>2.673</v>
      </c>
      <c r="E5456" s="33">
        <f t="shared" si="177"/>
        <v>1.2098002524043697E-2</v>
      </c>
    </row>
    <row r="5457" spans="1:5" x14ac:dyDescent="0.25">
      <c r="A5457" s="41">
        <v>43693</v>
      </c>
      <c r="B5457" s="29">
        <v>234.13</v>
      </c>
      <c r="C5457" s="37">
        <f t="shared" si="176"/>
        <v>39.021666666666668</v>
      </c>
      <c r="D5457" s="37">
        <v>2.673</v>
      </c>
      <c r="E5457" s="33">
        <f t="shared" si="177"/>
        <v>6.7076579094466279E-3</v>
      </c>
    </row>
    <row r="5458" spans="1:5" x14ac:dyDescent="0.25">
      <c r="A5458" s="41">
        <v>43693</v>
      </c>
      <c r="B5458" s="29">
        <v>235.2</v>
      </c>
      <c r="C5458" s="37">
        <f t="shared" si="176"/>
        <v>39.200000000000003</v>
      </c>
      <c r="D5458" s="37">
        <v>2.673</v>
      </c>
      <c r="E5458" s="33">
        <f t="shared" si="177"/>
        <v>4.5701106223038192E-3</v>
      </c>
    </row>
    <row r="5459" spans="1:5" x14ac:dyDescent="0.25">
      <c r="A5459" s="41">
        <v>43693</v>
      </c>
      <c r="B5459" s="29">
        <v>235.84</v>
      </c>
      <c r="C5459" s="37">
        <f t="shared" si="176"/>
        <v>39.306666666666665</v>
      </c>
      <c r="D5459" s="37">
        <v>2.673</v>
      </c>
      <c r="E5459" s="33">
        <f t="shared" si="177"/>
        <v>2.7210884353742128E-3</v>
      </c>
    </row>
    <row r="5460" spans="1:5" x14ac:dyDescent="0.25">
      <c r="A5460" s="41">
        <v>43693</v>
      </c>
      <c r="B5460" s="29">
        <v>237.05</v>
      </c>
      <c r="C5460" s="37">
        <f t="shared" si="176"/>
        <v>39.508333333333333</v>
      </c>
      <c r="D5460" s="37">
        <v>2.673</v>
      </c>
      <c r="E5460" s="33">
        <f t="shared" si="177"/>
        <v>5.130597014925407E-3</v>
      </c>
    </row>
    <row r="5461" spans="1:5" x14ac:dyDescent="0.25">
      <c r="A5461" s="41">
        <v>43693</v>
      </c>
      <c r="B5461" s="29">
        <v>237.1</v>
      </c>
      <c r="C5461" s="37">
        <f t="shared" si="176"/>
        <v>39.516666666666666</v>
      </c>
      <c r="D5461" s="37">
        <v>2.673</v>
      </c>
      <c r="E5461" s="33">
        <f t="shared" si="177"/>
        <v>2.1092596498621788E-4</v>
      </c>
    </row>
    <row r="5462" spans="1:5" x14ac:dyDescent="0.25">
      <c r="A5462" s="41">
        <v>43693</v>
      </c>
      <c r="B5462" s="29">
        <v>235.93</v>
      </c>
      <c r="C5462" s="37">
        <f t="shared" si="176"/>
        <v>39.321666666666665</v>
      </c>
      <c r="D5462" s="37">
        <v>2.673</v>
      </c>
      <c r="E5462" s="33">
        <f t="shared" si="177"/>
        <v>-4.934626739772195E-3</v>
      </c>
    </row>
    <row r="5463" spans="1:5" x14ac:dyDescent="0.25">
      <c r="A5463" s="41">
        <v>43693</v>
      </c>
      <c r="B5463" s="29">
        <v>236.66</v>
      </c>
      <c r="C5463" s="37">
        <f t="shared" si="176"/>
        <v>39.443333333333335</v>
      </c>
      <c r="D5463" s="37">
        <v>2.673</v>
      </c>
      <c r="E5463" s="33">
        <f t="shared" si="177"/>
        <v>3.0941380918068483E-3</v>
      </c>
    </row>
    <row r="5464" spans="1:5" x14ac:dyDescent="0.25">
      <c r="A5464" s="41">
        <v>43693</v>
      </c>
      <c r="B5464" s="29">
        <v>237.24</v>
      </c>
      <c r="C5464" s="37">
        <f t="shared" si="176"/>
        <v>39.54</v>
      </c>
      <c r="D5464" s="37">
        <v>2.673</v>
      </c>
      <c r="E5464" s="33">
        <f t="shared" si="177"/>
        <v>2.4507732612186789E-3</v>
      </c>
    </row>
    <row r="5465" spans="1:5" x14ac:dyDescent="0.25">
      <c r="A5465" s="41">
        <v>43693</v>
      </c>
      <c r="B5465" s="29">
        <v>237.12</v>
      </c>
      <c r="C5465" s="37">
        <f t="shared" si="176"/>
        <v>39.520000000000003</v>
      </c>
      <c r="D5465" s="37">
        <v>2.673</v>
      </c>
      <c r="E5465" s="33">
        <f t="shared" si="177"/>
        <v>-5.0581689428428819E-4</v>
      </c>
    </row>
    <row r="5466" spans="1:5" x14ac:dyDescent="0.25">
      <c r="A5466" s="41">
        <v>43693</v>
      </c>
      <c r="B5466" s="29">
        <v>236.92</v>
      </c>
      <c r="C5466" s="37">
        <f t="shared" si="176"/>
        <v>39.486666666666665</v>
      </c>
      <c r="D5466" s="37">
        <v>2.673</v>
      </c>
      <c r="E5466" s="33">
        <f t="shared" si="177"/>
        <v>-8.434547908232838E-4</v>
      </c>
    </row>
    <row r="5467" spans="1:5" x14ac:dyDescent="0.25">
      <c r="A5467" s="41">
        <v>43693</v>
      </c>
      <c r="B5467" s="29">
        <v>237.09</v>
      </c>
      <c r="C5467" s="37">
        <f t="shared" si="176"/>
        <v>39.515000000000001</v>
      </c>
      <c r="D5467" s="37">
        <v>2.673</v>
      </c>
      <c r="E5467" s="33">
        <f t="shared" si="177"/>
        <v>7.1754178625703163E-4</v>
      </c>
    </row>
    <row r="5468" spans="1:5" x14ac:dyDescent="0.25">
      <c r="A5468" s="41">
        <v>43693</v>
      </c>
      <c r="B5468" s="29">
        <v>239.44</v>
      </c>
      <c r="C5468" s="37">
        <f t="shared" si="176"/>
        <v>39.906666666666666</v>
      </c>
      <c r="D5468" s="37">
        <v>2.673</v>
      </c>
      <c r="E5468" s="33">
        <f t="shared" si="177"/>
        <v>9.9118478215023589E-3</v>
      </c>
    </row>
    <row r="5469" spans="1:5" x14ac:dyDescent="0.25">
      <c r="A5469" s="41">
        <v>43693</v>
      </c>
      <c r="B5469" s="29">
        <v>238.57</v>
      </c>
      <c r="C5469" s="37">
        <f t="shared" si="176"/>
        <v>39.761666666666663</v>
      </c>
      <c r="D5469" s="37">
        <v>2.673</v>
      </c>
      <c r="E5469" s="33">
        <f t="shared" si="177"/>
        <v>-3.633478115603093E-3</v>
      </c>
    </row>
    <row r="5470" spans="1:5" x14ac:dyDescent="0.25">
      <c r="A5470" s="41">
        <v>43693</v>
      </c>
      <c r="B5470" s="29">
        <v>236.84</v>
      </c>
      <c r="C5470" s="37">
        <f t="shared" si="176"/>
        <v>39.473333333333336</v>
      </c>
      <c r="D5470" s="37">
        <v>2.673</v>
      </c>
      <c r="E5470" s="33">
        <f t="shared" si="177"/>
        <v>-7.2515404283857565E-3</v>
      </c>
    </row>
    <row r="5471" spans="1:5" x14ac:dyDescent="0.25">
      <c r="A5471" s="41">
        <v>43693</v>
      </c>
      <c r="B5471" s="29">
        <v>236.26</v>
      </c>
      <c r="C5471" s="37">
        <f t="shared" si="176"/>
        <v>39.376666666666665</v>
      </c>
      <c r="D5471" s="37">
        <v>2.673</v>
      </c>
      <c r="E5471" s="33">
        <f t="shared" si="177"/>
        <v>-2.4489106569836705E-3</v>
      </c>
    </row>
    <row r="5472" spans="1:5" x14ac:dyDescent="0.25">
      <c r="A5472" s="41">
        <v>43693</v>
      </c>
      <c r="B5472" s="29">
        <v>235.52</v>
      </c>
      <c r="C5472" s="37">
        <f t="shared" si="176"/>
        <v>39.25333333333333</v>
      </c>
      <c r="D5472" s="37">
        <v>2.673</v>
      </c>
      <c r="E5472" s="33">
        <f t="shared" si="177"/>
        <v>-3.1321425548124131E-3</v>
      </c>
    </row>
    <row r="5473" spans="1:5" x14ac:dyDescent="0.25">
      <c r="A5473" s="41">
        <v>43693</v>
      </c>
      <c r="B5473" s="29">
        <v>232.82</v>
      </c>
      <c r="C5473" s="37">
        <f t="shared" si="176"/>
        <v>38.803333333333335</v>
      </c>
      <c r="D5473" s="37">
        <v>2.673</v>
      </c>
      <c r="E5473" s="33">
        <f t="shared" si="177"/>
        <v>-1.1463994565217463E-2</v>
      </c>
    </row>
    <row r="5474" spans="1:5" x14ac:dyDescent="0.25">
      <c r="A5474" s="41">
        <v>43694</v>
      </c>
      <c r="B5474" s="29">
        <v>238.8</v>
      </c>
      <c r="C5474" s="37">
        <f t="shared" si="176"/>
        <v>39.799999999999997</v>
      </c>
      <c r="D5474" s="37">
        <v>2.6349999999999998</v>
      </c>
      <c r="E5474" s="33">
        <f t="shared" si="177"/>
        <v>2.5685078601494795E-2</v>
      </c>
    </row>
    <row r="5475" spans="1:5" x14ac:dyDescent="0.25">
      <c r="A5475" s="41">
        <v>43694</v>
      </c>
      <c r="B5475" s="29">
        <v>237.34</v>
      </c>
      <c r="C5475" s="37">
        <f t="shared" si="176"/>
        <v>39.556666666666665</v>
      </c>
      <c r="D5475" s="37">
        <v>2.6349999999999998</v>
      </c>
      <c r="E5475" s="33">
        <f t="shared" si="177"/>
        <v>-6.1139028475712225E-3</v>
      </c>
    </row>
    <row r="5476" spans="1:5" x14ac:dyDescent="0.25">
      <c r="A5476" s="41">
        <v>43694</v>
      </c>
      <c r="B5476" s="29">
        <v>236</v>
      </c>
      <c r="C5476" s="37">
        <f t="shared" si="176"/>
        <v>39.333333333333336</v>
      </c>
      <c r="D5476" s="37">
        <v>2.6349999999999998</v>
      </c>
      <c r="E5476" s="33">
        <f t="shared" si="177"/>
        <v>-5.6459088227858913E-3</v>
      </c>
    </row>
    <row r="5477" spans="1:5" x14ac:dyDescent="0.25">
      <c r="A5477" s="41">
        <v>43694</v>
      </c>
      <c r="B5477" s="29">
        <v>235.9</v>
      </c>
      <c r="C5477" s="37">
        <f t="shared" si="176"/>
        <v>39.31666666666667</v>
      </c>
      <c r="D5477" s="37">
        <v>2.6349999999999998</v>
      </c>
      <c r="E5477" s="33">
        <f t="shared" si="177"/>
        <v>-4.2372881355929795E-4</v>
      </c>
    </row>
    <row r="5478" spans="1:5" x14ac:dyDescent="0.25">
      <c r="A5478" s="41">
        <v>43694</v>
      </c>
      <c r="B5478" s="29">
        <v>235.9</v>
      </c>
      <c r="C5478" s="37">
        <f t="shared" si="176"/>
        <v>39.31666666666667</v>
      </c>
      <c r="D5478" s="37">
        <v>2.6349999999999998</v>
      </c>
      <c r="E5478" s="33">
        <f t="shared" si="177"/>
        <v>0</v>
      </c>
    </row>
    <row r="5479" spans="1:5" x14ac:dyDescent="0.25">
      <c r="A5479" s="41">
        <v>43694</v>
      </c>
      <c r="B5479" s="29">
        <v>235.96</v>
      </c>
      <c r="C5479" s="37">
        <f t="shared" si="176"/>
        <v>39.326666666666668</v>
      </c>
      <c r="D5479" s="37">
        <v>2.6349999999999998</v>
      </c>
      <c r="E5479" s="33">
        <f t="shared" si="177"/>
        <v>2.543450614667328E-4</v>
      </c>
    </row>
    <row r="5480" spans="1:5" x14ac:dyDescent="0.25">
      <c r="A5480" s="41">
        <v>43694</v>
      </c>
      <c r="B5480" s="29">
        <v>237.08</v>
      </c>
      <c r="C5480" s="37">
        <f t="shared" si="176"/>
        <v>39.513333333333335</v>
      </c>
      <c r="D5480" s="37">
        <v>2.6349999999999998</v>
      </c>
      <c r="E5480" s="33">
        <f t="shared" si="177"/>
        <v>4.7465672147821852E-3</v>
      </c>
    </row>
    <row r="5481" spans="1:5" x14ac:dyDescent="0.25">
      <c r="A5481" s="41">
        <v>43694</v>
      </c>
      <c r="B5481" s="29">
        <v>237.6</v>
      </c>
      <c r="C5481" s="37">
        <f t="shared" si="176"/>
        <v>39.6</v>
      </c>
      <c r="D5481" s="37">
        <v>2.6349999999999998</v>
      </c>
      <c r="E5481" s="33">
        <f t="shared" si="177"/>
        <v>2.1933524548674783E-3</v>
      </c>
    </row>
    <row r="5482" spans="1:5" x14ac:dyDescent="0.25">
      <c r="A5482" s="41">
        <v>43694</v>
      </c>
      <c r="B5482" s="29">
        <v>239.79</v>
      </c>
      <c r="C5482" s="37">
        <f t="shared" si="176"/>
        <v>39.965000000000003</v>
      </c>
      <c r="D5482" s="37">
        <v>2.6349999999999998</v>
      </c>
      <c r="E5482" s="33">
        <f t="shared" si="177"/>
        <v>9.2171717171717071E-3</v>
      </c>
    </row>
    <row r="5483" spans="1:5" x14ac:dyDescent="0.25">
      <c r="A5483" s="41">
        <v>43694</v>
      </c>
      <c r="B5483" s="29">
        <v>240.47</v>
      </c>
      <c r="C5483" s="37">
        <f t="shared" si="176"/>
        <v>40.078333333333333</v>
      </c>
      <c r="D5483" s="37">
        <v>2.6349999999999998</v>
      </c>
      <c r="E5483" s="33">
        <f t="shared" si="177"/>
        <v>2.8358146711706363E-3</v>
      </c>
    </row>
    <row r="5484" spans="1:5" x14ac:dyDescent="0.25">
      <c r="A5484" s="41">
        <v>43694</v>
      </c>
      <c r="B5484" s="29">
        <v>240.48</v>
      </c>
      <c r="C5484" s="37">
        <f t="shared" si="176"/>
        <v>40.08</v>
      </c>
      <c r="D5484" s="37">
        <v>2.6349999999999998</v>
      </c>
      <c r="E5484" s="33">
        <f t="shared" si="177"/>
        <v>4.1585228926647423E-5</v>
      </c>
    </row>
    <row r="5485" spans="1:5" x14ac:dyDescent="0.25">
      <c r="A5485" s="41">
        <v>43694</v>
      </c>
      <c r="B5485" s="29">
        <v>240.44</v>
      </c>
      <c r="C5485" s="37">
        <f t="shared" si="176"/>
        <v>40.073333333333331</v>
      </c>
      <c r="D5485" s="37">
        <v>2.6349999999999998</v>
      </c>
      <c r="E5485" s="33">
        <f t="shared" si="177"/>
        <v>-1.6633399866929492E-4</v>
      </c>
    </row>
    <row r="5486" spans="1:5" x14ac:dyDescent="0.25">
      <c r="A5486" s="41">
        <v>43694</v>
      </c>
      <c r="B5486" s="29">
        <v>240.4</v>
      </c>
      <c r="C5486" s="37">
        <f t="shared" si="176"/>
        <v>40.06666666666667</v>
      </c>
      <c r="D5486" s="37">
        <v>2.6349999999999998</v>
      </c>
      <c r="E5486" s="33">
        <f t="shared" si="177"/>
        <v>-1.6636167027113643E-4</v>
      </c>
    </row>
    <row r="5487" spans="1:5" x14ac:dyDescent="0.25">
      <c r="A5487" s="41">
        <v>43694</v>
      </c>
      <c r="B5487" s="29">
        <v>240.41</v>
      </c>
      <c r="C5487" s="37">
        <f t="shared" si="176"/>
        <v>40.068333333333335</v>
      </c>
      <c r="D5487" s="37">
        <v>2.6349999999999998</v>
      </c>
      <c r="E5487" s="33">
        <f t="shared" si="177"/>
        <v>4.1597337770344865E-5</v>
      </c>
    </row>
    <row r="5488" spans="1:5" x14ac:dyDescent="0.25">
      <c r="A5488" s="41">
        <v>43694</v>
      </c>
      <c r="B5488" s="29">
        <v>240.43</v>
      </c>
      <c r="C5488" s="37">
        <f t="shared" si="176"/>
        <v>40.071666666666665</v>
      </c>
      <c r="D5488" s="37">
        <v>2.6349999999999998</v>
      </c>
      <c r="E5488" s="33">
        <f t="shared" si="177"/>
        <v>8.3191215007737753E-5</v>
      </c>
    </row>
    <row r="5489" spans="1:5" x14ac:dyDescent="0.25">
      <c r="A5489" s="41">
        <v>43694</v>
      </c>
      <c r="B5489" s="29">
        <v>240.55</v>
      </c>
      <c r="C5489" s="37">
        <f t="shared" si="176"/>
        <v>40.091666666666669</v>
      </c>
      <c r="D5489" s="37">
        <v>2.6349999999999998</v>
      </c>
      <c r="E5489" s="33">
        <f t="shared" si="177"/>
        <v>4.9910576883086368E-4</v>
      </c>
    </row>
    <row r="5490" spans="1:5" x14ac:dyDescent="0.25">
      <c r="A5490" s="41">
        <v>43694</v>
      </c>
      <c r="B5490" s="29">
        <v>240.68</v>
      </c>
      <c r="C5490" s="37">
        <f t="shared" si="176"/>
        <v>40.113333333333337</v>
      </c>
      <c r="D5490" s="37">
        <v>2.6349999999999998</v>
      </c>
      <c r="E5490" s="33">
        <f t="shared" si="177"/>
        <v>5.4042818540842009E-4</v>
      </c>
    </row>
    <row r="5491" spans="1:5" x14ac:dyDescent="0.25">
      <c r="A5491" s="41">
        <v>43694</v>
      </c>
      <c r="B5491" s="29">
        <v>241.66</v>
      </c>
      <c r="C5491" s="37">
        <f t="shared" si="176"/>
        <v>40.276666666666664</v>
      </c>
      <c r="D5491" s="37">
        <v>2.6349999999999998</v>
      </c>
      <c r="E5491" s="33">
        <f t="shared" si="177"/>
        <v>4.0717965763669177E-3</v>
      </c>
    </row>
    <row r="5492" spans="1:5" x14ac:dyDescent="0.25">
      <c r="A5492" s="41">
        <v>43694</v>
      </c>
      <c r="B5492" s="29">
        <v>245.72</v>
      </c>
      <c r="C5492" s="37">
        <f t="shared" si="176"/>
        <v>40.953333333333333</v>
      </c>
      <c r="D5492" s="37">
        <v>2.6349999999999998</v>
      </c>
      <c r="E5492" s="33">
        <f t="shared" si="177"/>
        <v>1.6800463461061003E-2</v>
      </c>
    </row>
    <row r="5493" spans="1:5" x14ac:dyDescent="0.25">
      <c r="A5493" s="41">
        <v>43694</v>
      </c>
      <c r="B5493" s="29">
        <v>245.38</v>
      </c>
      <c r="C5493" s="37">
        <f t="shared" si="176"/>
        <v>40.896666666666668</v>
      </c>
      <c r="D5493" s="37">
        <v>2.6349999999999998</v>
      </c>
      <c r="E5493" s="33">
        <f t="shared" si="177"/>
        <v>-1.3836887514243994E-3</v>
      </c>
    </row>
    <row r="5494" spans="1:5" x14ac:dyDescent="0.25">
      <c r="A5494" s="41">
        <v>43694</v>
      </c>
      <c r="B5494" s="29">
        <v>243.85</v>
      </c>
      <c r="C5494" s="37">
        <f t="shared" si="176"/>
        <v>40.641666666666666</v>
      </c>
      <c r="D5494" s="37">
        <v>2.6349999999999998</v>
      </c>
      <c r="E5494" s="33">
        <f t="shared" si="177"/>
        <v>-6.2352269948651121E-3</v>
      </c>
    </row>
    <row r="5495" spans="1:5" x14ac:dyDescent="0.25">
      <c r="A5495" s="41">
        <v>43694</v>
      </c>
      <c r="B5495" s="29">
        <v>242.1</v>
      </c>
      <c r="C5495" s="37">
        <f t="shared" si="176"/>
        <v>40.35</v>
      </c>
      <c r="D5495" s="37">
        <v>2.6349999999999998</v>
      </c>
      <c r="E5495" s="33">
        <f t="shared" si="177"/>
        <v>-7.1765429567356986E-3</v>
      </c>
    </row>
    <row r="5496" spans="1:5" x14ac:dyDescent="0.25">
      <c r="A5496" s="41">
        <v>43694</v>
      </c>
      <c r="B5496" s="29">
        <v>241.01</v>
      </c>
      <c r="C5496" s="37">
        <f t="shared" si="176"/>
        <v>40.168333333333337</v>
      </c>
      <c r="D5496" s="37">
        <v>2.6349999999999998</v>
      </c>
      <c r="E5496" s="33">
        <f t="shared" si="177"/>
        <v>-4.5022717885171556E-3</v>
      </c>
    </row>
    <row r="5497" spans="1:5" x14ac:dyDescent="0.25">
      <c r="A5497" s="41">
        <v>43694</v>
      </c>
      <c r="B5497" s="29">
        <v>240.02</v>
      </c>
      <c r="C5497" s="37">
        <f t="shared" si="176"/>
        <v>40.00333333333333</v>
      </c>
      <c r="D5497" s="37">
        <v>2.6349999999999998</v>
      </c>
      <c r="E5497" s="33">
        <f t="shared" si="177"/>
        <v>-4.107713372889012E-3</v>
      </c>
    </row>
    <row r="5498" spans="1:5" x14ac:dyDescent="0.25">
      <c r="A5498" s="41">
        <v>43695</v>
      </c>
      <c r="B5498" s="29">
        <v>232.35</v>
      </c>
      <c r="C5498" s="37">
        <f t="shared" si="176"/>
        <v>38.725000000000001</v>
      </c>
      <c r="D5498" s="37">
        <v>2.6280000000000001</v>
      </c>
      <c r="E5498" s="33">
        <f t="shared" si="177"/>
        <v>-3.195567036080333E-2</v>
      </c>
    </row>
    <row r="5499" spans="1:5" x14ac:dyDescent="0.25">
      <c r="A5499" s="41">
        <v>43695</v>
      </c>
      <c r="B5499" s="29">
        <v>231.45</v>
      </c>
      <c r="C5499" s="37">
        <f t="shared" si="176"/>
        <v>38.575000000000003</v>
      </c>
      <c r="D5499" s="37">
        <v>2.6280000000000001</v>
      </c>
      <c r="E5499" s="33">
        <f t="shared" si="177"/>
        <v>-3.8734667527437301E-3</v>
      </c>
    </row>
    <row r="5500" spans="1:5" x14ac:dyDescent="0.25">
      <c r="A5500" s="41">
        <v>43695</v>
      </c>
      <c r="B5500" s="29">
        <v>230.76</v>
      </c>
      <c r="C5500" s="37">
        <f t="shared" si="176"/>
        <v>38.46</v>
      </c>
      <c r="D5500" s="37">
        <v>2.6280000000000001</v>
      </c>
      <c r="E5500" s="33">
        <f t="shared" si="177"/>
        <v>-2.981205443940366E-3</v>
      </c>
    </row>
    <row r="5501" spans="1:5" x14ac:dyDescent="0.25">
      <c r="A5501" s="41">
        <v>43695</v>
      </c>
      <c r="B5501" s="29">
        <v>230.72</v>
      </c>
      <c r="C5501" s="37">
        <f t="shared" si="176"/>
        <v>38.453333333333333</v>
      </c>
      <c r="D5501" s="37">
        <v>2.6280000000000001</v>
      </c>
      <c r="E5501" s="33">
        <f t="shared" si="177"/>
        <v>-1.7334026694397663E-4</v>
      </c>
    </row>
    <row r="5502" spans="1:5" x14ac:dyDescent="0.25">
      <c r="A5502" s="41">
        <v>43695</v>
      </c>
      <c r="B5502" s="29">
        <v>230.72</v>
      </c>
      <c r="C5502" s="37">
        <f t="shared" si="176"/>
        <v>38.453333333333333</v>
      </c>
      <c r="D5502" s="37">
        <v>2.6280000000000001</v>
      </c>
      <c r="E5502" s="33">
        <f t="shared" si="177"/>
        <v>0</v>
      </c>
    </row>
    <row r="5503" spans="1:5" x14ac:dyDescent="0.25">
      <c r="A5503" s="41">
        <v>43695</v>
      </c>
      <c r="B5503" s="29">
        <v>230.72</v>
      </c>
      <c r="C5503" s="37">
        <f t="shared" si="176"/>
        <v>38.453333333333333</v>
      </c>
      <c r="D5503" s="37">
        <v>2.6280000000000001</v>
      </c>
      <c r="E5503" s="33">
        <f t="shared" si="177"/>
        <v>0</v>
      </c>
    </row>
    <row r="5504" spans="1:5" x14ac:dyDescent="0.25">
      <c r="A5504" s="41">
        <v>43695</v>
      </c>
      <c r="B5504" s="29">
        <v>230.41</v>
      </c>
      <c r="C5504" s="37">
        <f t="shared" si="176"/>
        <v>38.401666666666664</v>
      </c>
      <c r="D5504" s="37">
        <v>2.6280000000000001</v>
      </c>
      <c r="E5504" s="33">
        <f t="shared" si="177"/>
        <v>-1.3436199722607588E-3</v>
      </c>
    </row>
    <row r="5505" spans="1:5" x14ac:dyDescent="0.25">
      <c r="A5505" s="41">
        <v>43695</v>
      </c>
      <c r="B5505" s="29">
        <v>229.68</v>
      </c>
      <c r="C5505" s="37">
        <f t="shared" si="176"/>
        <v>38.28</v>
      </c>
      <c r="D5505" s="37">
        <v>2.6280000000000001</v>
      </c>
      <c r="E5505" s="33">
        <f t="shared" si="177"/>
        <v>-3.1682652662644406E-3</v>
      </c>
    </row>
    <row r="5506" spans="1:5" x14ac:dyDescent="0.25">
      <c r="A5506" s="41">
        <v>43695</v>
      </c>
      <c r="B5506" s="29">
        <v>231.36</v>
      </c>
      <c r="C5506" s="37">
        <f t="shared" si="176"/>
        <v>38.56</v>
      </c>
      <c r="D5506" s="37">
        <v>2.6280000000000001</v>
      </c>
      <c r="E5506" s="33">
        <f t="shared" si="177"/>
        <v>7.314524555903896E-3</v>
      </c>
    </row>
    <row r="5507" spans="1:5" x14ac:dyDescent="0.25">
      <c r="A5507" s="41">
        <v>43695</v>
      </c>
      <c r="B5507" s="29">
        <v>233.7</v>
      </c>
      <c r="C5507" s="37">
        <f t="shared" ref="C5507:C5570" si="178">(B5507*100/600)</f>
        <v>38.950000000000003</v>
      </c>
      <c r="D5507" s="37">
        <v>2.6280000000000001</v>
      </c>
      <c r="E5507" s="33">
        <f t="shared" si="177"/>
        <v>1.0114107883817319E-2</v>
      </c>
    </row>
    <row r="5508" spans="1:5" x14ac:dyDescent="0.25">
      <c r="A5508" s="41">
        <v>43695</v>
      </c>
      <c r="B5508" s="29">
        <v>233.9</v>
      </c>
      <c r="C5508" s="37">
        <f t="shared" si="178"/>
        <v>38.983333333333334</v>
      </c>
      <c r="D5508" s="37">
        <v>2.6280000000000001</v>
      </c>
      <c r="E5508" s="33">
        <f t="shared" ref="E5508:E5571" si="179">(B5508-B5507)/B5507</f>
        <v>8.5579803166460015E-4</v>
      </c>
    </row>
    <row r="5509" spans="1:5" x14ac:dyDescent="0.25">
      <c r="A5509" s="41">
        <v>43695</v>
      </c>
      <c r="B5509" s="29">
        <v>235.41</v>
      </c>
      <c r="C5509" s="37">
        <f t="shared" si="178"/>
        <v>39.234999999999999</v>
      </c>
      <c r="D5509" s="37">
        <v>2.6280000000000001</v>
      </c>
      <c r="E5509" s="33">
        <f t="shared" si="179"/>
        <v>6.4557503206498111E-3</v>
      </c>
    </row>
    <row r="5510" spans="1:5" x14ac:dyDescent="0.25">
      <c r="A5510" s="41">
        <v>43695</v>
      </c>
      <c r="B5510" s="29">
        <v>235.52</v>
      </c>
      <c r="C5510" s="37">
        <f t="shared" si="178"/>
        <v>39.25333333333333</v>
      </c>
      <c r="D5510" s="37">
        <v>2.6280000000000001</v>
      </c>
      <c r="E5510" s="33">
        <f t="shared" si="179"/>
        <v>4.6726986958928527E-4</v>
      </c>
    </row>
    <row r="5511" spans="1:5" x14ac:dyDescent="0.25">
      <c r="A5511" s="41">
        <v>43695</v>
      </c>
      <c r="B5511" s="29">
        <v>237.09</v>
      </c>
      <c r="C5511" s="37">
        <f t="shared" si="178"/>
        <v>39.515000000000001</v>
      </c>
      <c r="D5511" s="37">
        <v>2.6280000000000001</v>
      </c>
      <c r="E5511" s="33">
        <f t="shared" si="179"/>
        <v>6.6661005434782315E-3</v>
      </c>
    </row>
    <row r="5512" spans="1:5" x14ac:dyDescent="0.25">
      <c r="A5512" s="41">
        <v>43695</v>
      </c>
      <c r="B5512" s="29">
        <v>237.09</v>
      </c>
      <c r="C5512" s="37">
        <f t="shared" si="178"/>
        <v>39.515000000000001</v>
      </c>
      <c r="D5512" s="37">
        <v>2.6280000000000001</v>
      </c>
      <c r="E5512" s="33">
        <f t="shared" si="179"/>
        <v>0</v>
      </c>
    </row>
    <row r="5513" spans="1:5" x14ac:dyDescent="0.25">
      <c r="A5513" s="41">
        <v>43695</v>
      </c>
      <c r="B5513" s="29">
        <v>237.1</v>
      </c>
      <c r="C5513" s="37">
        <f t="shared" si="178"/>
        <v>39.516666666666666</v>
      </c>
      <c r="D5513" s="37">
        <v>2.6280000000000001</v>
      </c>
      <c r="E5513" s="33">
        <f t="shared" si="179"/>
        <v>4.2178075836141994E-5</v>
      </c>
    </row>
    <row r="5514" spans="1:5" x14ac:dyDescent="0.25">
      <c r="A5514" s="41">
        <v>43695</v>
      </c>
      <c r="B5514" s="29">
        <v>239.22</v>
      </c>
      <c r="C5514" s="37">
        <f t="shared" si="178"/>
        <v>39.869999999999997</v>
      </c>
      <c r="D5514" s="37">
        <v>2.6280000000000001</v>
      </c>
      <c r="E5514" s="33">
        <f t="shared" si="179"/>
        <v>8.941374947279649E-3</v>
      </c>
    </row>
    <row r="5515" spans="1:5" x14ac:dyDescent="0.25">
      <c r="A5515" s="41">
        <v>43695</v>
      </c>
      <c r="B5515" s="29">
        <v>239.82</v>
      </c>
      <c r="C5515" s="37">
        <f t="shared" si="178"/>
        <v>39.97</v>
      </c>
      <c r="D5515" s="37">
        <v>2.6280000000000001</v>
      </c>
      <c r="E5515" s="33">
        <f t="shared" si="179"/>
        <v>2.5081514923501144E-3</v>
      </c>
    </row>
    <row r="5516" spans="1:5" x14ac:dyDescent="0.25">
      <c r="A5516" s="41">
        <v>43695</v>
      </c>
      <c r="B5516" s="29">
        <v>243.72</v>
      </c>
      <c r="C5516" s="37">
        <f t="shared" si="178"/>
        <v>40.619999999999997</v>
      </c>
      <c r="D5516" s="37">
        <v>2.6280000000000001</v>
      </c>
      <c r="E5516" s="33">
        <f t="shared" si="179"/>
        <v>1.6262196647485638E-2</v>
      </c>
    </row>
    <row r="5517" spans="1:5" x14ac:dyDescent="0.25">
      <c r="A5517" s="41">
        <v>43695</v>
      </c>
      <c r="B5517" s="29">
        <v>242.9</v>
      </c>
      <c r="C5517" s="37">
        <f t="shared" si="178"/>
        <v>40.483333333333334</v>
      </c>
      <c r="D5517" s="37">
        <v>2.6280000000000001</v>
      </c>
      <c r="E5517" s="33">
        <f t="shared" si="179"/>
        <v>-3.3645166584605007E-3</v>
      </c>
    </row>
    <row r="5518" spans="1:5" x14ac:dyDescent="0.25">
      <c r="A5518" s="41">
        <v>43695</v>
      </c>
      <c r="B5518" s="29">
        <v>240.96</v>
      </c>
      <c r="C5518" s="37">
        <f t="shared" si="178"/>
        <v>40.159999999999997</v>
      </c>
      <c r="D5518" s="37">
        <v>2.6280000000000001</v>
      </c>
      <c r="E5518" s="33">
        <f t="shared" si="179"/>
        <v>-7.9868258542610034E-3</v>
      </c>
    </row>
    <row r="5519" spans="1:5" x14ac:dyDescent="0.25">
      <c r="A5519" s="41">
        <v>43695</v>
      </c>
      <c r="B5519" s="29">
        <v>240.54</v>
      </c>
      <c r="C5519" s="37">
        <f t="shared" si="178"/>
        <v>40.090000000000003</v>
      </c>
      <c r="D5519" s="37">
        <v>2.6280000000000001</v>
      </c>
      <c r="E5519" s="33">
        <f t="shared" si="179"/>
        <v>-1.743027888446281E-3</v>
      </c>
    </row>
    <row r="5520" spans="1:5" x14ac:dyDescent="0.25">
      <c r="A5520" s="41">
        <v>43695</v>
      </c>
      <c r="B5520" s="29">
        <v>239.94</v>
      </c>
      <c r="C5520" s="37">
        <f t="shared" si="178"/>
        <v>39.99</v>
      </c>
      <c r="D5520" s="37">
        <v>2.6280000000000001</v>
      </c>
      <c r="E5520" s="33">
        <f t="shared" si="179"/>
        <v>-2.4943876278373423E-3</v>
      </c>
    </row>
    <row r="5521" spans="1:5" x14ac:dyDescent="0.25">
      <c r="A5521" s="41">
        <v>43695</v>
      </c>
      <c r="B5521" s="29">
        <v>239.18</v>
      </c>
      <c r="C5521" s="37">
        <f t="shared" si="178"/>
        <v>39.863333333333337</v>
      </c>
      <c r="D5521" s="37">
        <v>2.6280000000000001</v>
      </c>
      <c r="E5521" s="33">
        <f t="shared" si="179"/>
        <v>-3.1674585312994538E-3</v>
      </c>
    </row>
    <row r="5522" spans="1:5" x14ac:dyDescent="0.25">
      <c r="A5522" s="41">
        <v>43696</v>
      </c>
      <c r="B5522" s="29">
        <v>236.13</v>
      </c>
      <c r="C5522" s="37">
        <f t="shared" si="178"/>
        <v>39.354999999999997</v>
      </c>
      <c r="D5522" s="37">
        <v>2.6539999999999999</v>
      </c>
      <c r="E5522" s="33">
        <f t="shared" si="179"/>
        <v>-1.2751902332971032E-2</v>
      </c>
    </row>
    <row r="5523" spans="1:5" x14ac:dyDescent="0.25">
      <c r="A5523" s="41">
        <v>43696</v>
      </c>
      <c r="B5523" s="29">
        <v>236</v>
      </c>
      <c r="C5523" s="37">
        <f t="shared" si="178"/>
        <v>39.333333333333336</v>
      </c>
      <c r="D5523" s="37">
        <v>2.6539999999999999</v>
      </c>
      <c r="E5523" s="33">
        <f t="shared" si="179"/>
        <v>-5.5054419175875767E-4</v>
      </c>
    </row>
    <row r="5524" spans="1:5" x14ac:dyDescent="0.25">
      <c r="A5524" s="41">
        <v>43696</v>
      </c>
      <c r="B5524" s="29">
        <v>236.4</v>
      </c>
      <c r="C5524" s="37">
        <f t="shared" si="178"/>
        <v>39.4</v>
      </c>
      <c r="D5524" s="37">
        <v>2.6539999999999999</v>
      </c>
      <c r="E5524" s="33">
        <f t="shared" si="179"/>
        <v>1.6949152542373122E-3</v>
      </c>
    </row>
    <row r="5525" spans="1:5" x14ac:dyDescent="0.25">
      <c r="A5525" s="41">
        <v>43696</v>
      </c>
      <c r="B5525" s="29">
        <v>236.66</v>
      </c>
      <c r="C5525" s="37">
        <f t="shared" si="178"/>
        <v>39.443333333333335</v>
      </c>
      <c r="D5525" s="37">
        <v>2.6539999999999999</v>
      </c>
      <c r="E5525" s="33">
        <f t="shared" si="179"/>
        <v>1.0998307952622289E-3</v>
      </c>
    </row>
    <row r="5526" spans="1:5" x14ac:dyDescent="0.25">
      <c r="A5526" s="41">
        <v>43696</v>
      </c>
      <c r="B5526" s="29">
        <v>237.7</v>
      </c>
      <c r="C5526" s="37">
        <f t="shared" si="178"/>
        <v>39.616666666666667</v>
      </c>
      <c r="D5526" s="37">
        <v>2.6539999999999999</v>
      </c>
      <c r="E5526" s="33">
        <f t="shared" si="179"/>
        <v>4.3944899856333645E-3</v>
      </c>
    </row>
    <row r="5527" spans="1:5" x14ac:dyDescent="0.25">
      <c r="A5527" s="41">
        <v>43696</v>
      </c>
      <c r="B5527" s="29">
        <v>239.58</v>
      </c>
      <c r="C5527" s="37">
        <f t="shared" si="178"/>
        <v>39.93</v>
      </c>
      <c r="D5527" s="37">
        <v>2.6539999999999999</v>
      </c>
      <c r="E5527" s="33">
        <f t="shared" si="179"/>
        <v>7.9091291543963993E-3</v>
      </c>
    </row>
    <row r="5528" spans="1:5" x14ac:dyDescent="0.25">
      <c r="A5528" s="41">
        <v>43696</v>
      </c>
      <c r="B5528" s="29">
        <v>242.23</v>
      </c>
      <c r="C5528" s="37">
        <f t="shared" si="178"/>
        <v>40.37166666666667</v>
      </c>
      <c r="D5528" s="37">
        <v>2.6539999999999999</v>
      </c>
      <c r="E5528" s="33">
        <f t="shared" si="179"/>
        <v>1.1061023457717577E-2</v>
      </c>
    </row>
    <row r="5529" spans="1:5" x14ac:dyDescent="0.25">
      <c r="A5529" s="41">
        <v>43696</v>
      </c>
      <c r="B5529" s="29">
        <v>243.52</v>
      </c>
      <c r="C5529" s="37">
        <f t="shared" si="178"/>
        <v>40.586666666666666</v>
      </c>
      <c r="D5529" s="37">
        <v>2.6539999999999999</v>
      </c>
      <c r="E5529" s="33">
        <f t="shared" si="179"/>
        <v>5.3255170705528649E-3</v>
      </c>
    </row>
    <row r="5530" spans="1:5" x14ac:dyDescent="0.25">
      <c r="A5530" s="41">
        <v>43696</v>
      </c>
      <c r="B5530" s="29">
        <v>246.22</v>
      </c>
      <c r="C5530" s="37">
        <f t="shared" si="178"/>
        <v>41.036666666666669</v>
      </c>
      <c r="D5530" s="37">
        <v>2.6539999999999999</v>
      </c>
      <c r="E5530" s="33">
        <f t="shared" si="179"/>
        <v>1.108738501971086E-2</v>
      </c>
    </row>
    <row r="5531" spans="1:5" x14ac:dyDescent="0.25">
      <c r="A5531" s="41">
        <v>43696</v>
      </c>
      <c r="B5531" s="29">
        <v>246.9</v>
      </c>
      <c r="C5531" s="37">
        <f t="shared" si="178"/>
        <v>41.15</v>
      </c>
      <c r="D5531" s="37">
        <v>2.6539999999999999</v>
      </c>
      <c r="E5531" s="33">
        <f t="shared" si="179"/>
        <v>2.7617577775972983E-3</v>
      </c>
    </row>
    <row r="5532" spans="1:5" x14ac:dyDescent="0.25">
      <c r="A5532" s="41">
        <v>43696</v>
      </c>
      <c r="B5532" s="29">
        <v>248.26</v>
      </c>
      <c r="C5532" s="37">
        <f t="shared" si="178"/>
        <v>41.376666666666665</v>
      </c>
      <c r="D5532" s="37">
        <v>2.6539999999999999</v>
      </c>
      <c r="E5532" s="33">
        <f t="shared" si="179"/>
        <v>5.5083029566625561E-3</v>
      </c>
    </row>
    <row r="5533" spans="1:5" x14ac:dyDescent="0.25">
      <c r="A5533" s="41">
        <v>43696</v>
      </c>
      <c r="B5533" s="29">
        <v>248.64</v>
      </c>
      <c r="C5533" s="37">
        <f t="shared" si="178"/>
        <v>41.44</v>
      </c>
      <c r="D5533" s="37">
        <v>2.6539999999999999</v>
      </c>
      <c r="E5533" s="33">
        <f t="shared" si="179"/>
        <v>1.5306533472971701E-3</v>
      </c>
    </row>
    <row r="5534" spans="1:5" x14ac:dyDescent="0.25">
      <c r="A5534" s="41">
        <v>43696</v>
      </c>
      <c r="B5534" s="29">
        <v>248.43</v>
      </c>
      <c r="C5534" s="37">
        <f t="shared" si="178"/>
        <v>41.405000000000001</v>
      </c>
      <c r="D5534" s="37">
        <v>2.6539999999999999</v>
      </c>
      <c r="E5534" s="33">
        <f t="shared" si="179"/>
        <v>-8.4459459459451235E-4</v>
      </c>
    </row>
    <row r="5535" spans="1:5" x14ac:dyDescent="0.25">
      <c r="A5535" s="41">
        <v>43696</v>
      </c>
      <c r="B5535" s="29">
        <v>249.34</v>
      </c>
      <c r="C5535" s="37">
        <f t="shared" si="178"/>
        <v>41.556666666666665</v>
      </c>
      <c r="D5535" s="37">
        <v>2.6539999999999999</v>
      </c>
      <c r="E5535" s="33">
        <f t="shared" si="179"/>
        <v>3.6630036630036491E-3</v>
      </c>
    </row>
    <row r="5536" spans="1:5" x14ac:dyDescent="0.25">
      <c r="A5536" s="41">
        <v>43696</v>
      </c>
      <c r="B5536" s="29">
        <v>249.71</v>
      </c>
      <c r="C5536" s="37">
        <f t="shared" si="178"/>
        <v>41.618333333333332</v>
      </c>
      <c r="D5536" s="37">
        <v>2.6539999999999999</v>
      </c>
      <c r="E5536" s="33">
        <f t="shared" si="179"/>
        <v>1.4839175423117211E-3</v>
      </c>
    </row>
    <row r="5537" spans="1:5" x14ac:dyDescent="0.25">
      <c r="A5537" s="41">
        <v>43696</v>
      </c>
      <c r="B5537" s="29">
        <v>249.71</v>
      </c>
      <c r="C5537" s="37">
        <f t="shared" si="178"/>
        <v>41.618333333333332</v>
      </c>
      <c r="D5537" s="37">
        <v>2.6539999999999999</v>
      </c>
      <c r="E5537" s="33">
        <f t="shared" si="179"/>
        <v>0</v>
      </c>
    </row>
    <row r="5538" spans="1:5" x14ac:dyDescent="0.25">
      <c r="A5538" s="41">
        <v>43696</v>
      </c>
      <c r="B5538" s="29">
        <v>249.14</v>
      </c>
      <c r="C5538" s="37">
        <f t="shared" si="178"/>
        <v>41.523333333333333</v>
      </c>
      <c r="D5538" s="37">
        <v>2.6539999999999999</v>
      </c>
      <c r="E5538" s="33">
        <f t="shared" si="179"/>
        <v>-2.2826478715310622E-3</v>
      </c>
    </row>
    <row r="5539" spans="1:5" x14ac:dyDescent="0.25">
      <c r="A5539" s="41">
        <v>43696</v>
      </c>
      <c r="B5539" s="29">
        <v>248.92</v>
      </c>
      <c r="C5539" s="37">
        <f t="shared" si="178"/>
        <v>41.486666666666665</v>
      </c>
      <c r="D5539" s="37">
        <v>2.6539999999999999</v>
      </c>
      <c r="E5539" s="33">
        <f t="shared" si="179"/>
        <v>-8.8303764951432474E-4</v>
      </c>
    </row>
    <row r="5540" spans="1:5" x14ac:dyDescent="0.25">
      <c r="A5540" s="41">
        <v>43696</v>
      </c>
      <c r="B5540" s="29">
        <v>249.6</v>
      </c>
      <c r="C5540" s="37">
        <f t="shared" si="178"/>
        <v>41.6</v>
      </c>
      <c r="D5540" s="37">
        <v>2.6539999999999999</v>
      </c>
      <c r="E5540" s="33">
        <f t="shared" si="179"/>
        <v>2.7318013819701385E-3</v>
      </c>
    </row>
    <row r="5541" spans="1:5" x14ac:dyDescent="0.25">
      <c r="A5541" s="41">
        <v>43696</v>
      </c>
      <c r="B5541" s="29">
        <v>249.44</v>
      </c>
      <c r="C5541" s="37">
        <f t="shared" si="178"/>
        <v>41.573333333333331</v>
      </c>
      <c r="D5541" s="37">
        <v>2.6539999999999999</v>
      </c>
      <c r="E5541" s="33">
        <f t="shared" si="179"/>
        <v>-6.4102564102562736E-4</v>
      </c>
    </row>
    <row r="5542" spans="1:5" x14ac:dyDescent="0.25">
      <c r="A5542" s="41">
        <v>43696</v>
      </c>
      <c r="B5542" s="29">
        <v>248.77</v>
      </c>
      <c r="C5542" s="37">
        <f t="shared" si="178"/>
        <v>41.461666666666666</v>
      </c>
      <c r="D5542" s="37">
        <v>2.6539999999999999</v>
      </c>
      <c r="E5542" s="33">
        <f t="shared" si="179"/>
        <v>-2.68601667735723E-3</v>
      </c>
    </row>
    <row r="5543" spans="1:5" x14ac:dyDescent="0.25">
      <c r="A5543" s="41">
        <v>43696</v>
      </c>
      <c r="B5543" s="29">
        <v>248.62</v>
      </c>
      <c r="C5543" s="37">
        <f t="shared" si="178"/>
        <v>41.436666666666667</v>
      </c>
      <c r="D5543" s="37">
        <v>2.6539999999999999</v>
      </c>
      <c r="E5543" s="33">
        <f t="shared" si="179"/>
        <v>-6.029665956506238E-4</v>
      </c>
    </row>
    <row r="5544" spans="1:5" x14ac:dyDescent="0.25">
      <c r="A5544" s="41">
        <v>43696</v>
      </c>
      <c r="B5544" s="29">
        <v>247.97</v>
      </c>
      <c r="C5544" s="37">
        <f t="shared" si="178"/>
        <v>41.328333333333333</v>
      </c>
      <c r="D5544" s="37">
        <v>2.6539999999999999</v>
      </c>
      <c r="E5544" s="33">
        <f t="shared" si="179"/>
        <v>-2.6144316627785603E-3</v>
      </c>
    </row>
    <row r="5545" spans="1:5" x14ac:dyDescent="0.25">
      <c r="A5545" s="41">
        <v>43696</v>
      </c>
      <c r="B5545" s="29">
        <v>246</v>
      </c>
      <c r="C5545" s="37">
        <f t="shared" si="178"/>
        <v>41</v>
      </c>
      <c r="D5545" s="37">
        <v>2.6539999999999999</v>
      </c>
      <c r="E5545" s="33">
        <f t="shared" si="179"/>
        <v>-7.9445094164616644E-3</v>
      </c>
    </row>
    <row r="5546" spans="1:5" x14ac:dyDescent="0.25">
      <c r="A5546" s="41">
        <v>43697</v>
      </c>
      <c r="B5546" s="29">
        <v>240.59</v>
      </c>
      <c r="C5546" s="37">
        <f t="shared" si="178"/>
        <v>40.098333333333336</v>
      </c>
      <c r="D5546" s="37">
        <v>2.694</v>
      </c>
      <c r="E5546" s="33">
        <f t="shared" si="179"/>
        <v>-2.1991869918699173E-2</v>
      </c>
    </row>
    <row r="5547" spans="1:5" x14ac:dyDescent="0.25">
      <c r="A5547" s="41">
        <v>43697</v>
      </c>
      <c r="B5547" s="29">
        <v>240.21</v>
      </c>
      <c r="C5547" s="37">
        <f t="shared" si="178"/>
        <v>40.034999999999997</v>
      </c>
      <c r="D5547" s="37">
        <v>2.694</v>
      </c>
      <c r="E5547" s="33">
        <f t="shared" si="179"/>
        <v>-1.5794505174778479E-3</v>
      </c>
    </row>
    <row r="5548" spans="1:5" x14ac:dyDescent="0.25">
      <c r="A5548" s="41">
        <v>43697</v>
      </c>
      <c r="B5548" s="29">
        <v>240.1</v>
      </c>
      <c r="C5548" s="37">
        <f t="shared" si="178"/>
        <v>40.016666666666666</v>
      </c>
      <c r="D5548" s="37">
        <v>2.694</v>
      </c>
      <c r="E5548" s="33">
        <f t="shared" si="179"/>
        <v>-4.5793264227140271E-4</v>
      </c>
    </row>
    <row r="5549" spans="1:5" x14ac:dyDescent="0.25">
      <c r="A5549" s="41">
        <v>43697</v>
      </c>
      <c r="B5549" s="29">
        <v>240.36</v>
      </c>
      <c r="C5549" s="37">
        <f t="shared" si="178"/>
        <v>40.06</v>
      </c>
      <c r="D5549" s="37">
        <v>2.694</v>
      </c>
      <c r="E5549" s="33">
        <f t="shared" si="179"/>
        <v>1.0828821324448952E-3</v>
      </c>
    </row>
    <row r="5550" spans="1:5" x14ac:dyDescent="0.25">
      <c r="A5550" s="41">
        <v>43697</v>
      </c>
      <c r="B5550" s="29">
        <v>240.46</v>
      </c>
      <c r="C5550" s="37">
        <f t="shared" si="178"/>
        <v>40.076666666666668</v>
      </c>
      <c r="D5550" s="37">
        <v>2.694</v>
      </c>
      <c r="E5550" s="33">
        <f t="shared" si="179"/>
        <v>4.1604260276249919E-4</v>
      </c>
    </row>
    <row r="5551" spans="1:5" x14ac:dyDescent="0.25">
      <c r="A5551" s="41">
        <v>43697</v>
      </c>
      <c r="B5551" s="29">
        <v>240.88</v>
      </c>
      <c r="C5551" s="37">
        <f t="shared" si="178"/>
        <v>40.146666666666668</v>
      </c>
      <c r="D5551" s="37">
        <v>2.694</v>
      </c>
      <c r="E5551" s="33">
        <f t="shared" si="179"/>
        <v>1.7466522498543935E-3</v>
      </c>
    </row>
    <row r="5552" spans="1:5" x14ac:dyDescent="0.25">
      <c r="A5552" s="41">
        <v>43697</v>
      </c>
      <c r="B5552" s="29">
        <v>244.72</v>
      </c>
      <c r="C5552" s="37">
        <f t="shared" si="178"/>
        <v>40.786666666666669</v>
      </c>
      <c r="D5552" s="37">
        <v>2.694</v>
      </c>
      <c r="E5552" s="33">
        <f t="shared" si="179"/>
        <v>1.5941547658585201E-2</v>
      </c>
    </row>
    <row r="5553" spans="1:5" x14ac:dyDescent="0.25">
      <c r="A5553" s="41">
        <v>43697</v>
      </c>
      <c r="B5553" s="29">
        <v>245.62</v>
      </c>
      <c r="C5553" s="37">
        <f t="shared" si="178"/>
        <v>40.936666666666667</v>
      </c>
      <c r="D5553" s="37">
        <v>2.694</v>
      </c>
      <c r="E5553" s="33">
        <f t="shared" si="179"/>
        <v>3.6776724419745246E-3</v>
      </c>
    </row>
    <row r="5554" spans="1:5" x14ac:dyDescent="0.25">
      <c r="A5554" s="41">
        <v>43697</v>
      </c>
      <c r="B5554" s="29">
        <v>246.19</v>
      </c>
      <c r="C5554" s="37">
        <f t="shared" si="178"/>
        <v>41.031666666666666</v>
      </c>
      <c r="D5554" s="37">
        <v>2.694</v>
      </c>
      <c r="E5554" s="33">
        <f t="shared" si="179"/>
        <v>2.3206579268788908E-3</v>
      </c>
    </row>
    <row r="5555" spans="1:5" x14ac:dyDescent="0.25">
      <c r="A5555" s="41">
        <v>43697</v>
      </c>
      <c r="B5555" s="29">
        <v>246.52</v>
      </c>
      <c r="C5555" s="37">
        <f t="shared" si="178"/>
        <v>41.086666666666666</v>
      </c>
      <c r="D5555" s="37">
        <v>2.694</v>
      </c>
      <c r="E5555" s="33">
        <f t="shared" si="179"/>
        <v>1.3404281246192473E-3</v>
      </c>
    </row>
    <row r="5556" spans="1:5" x14ac:dyDescent="0.25">
      <c r="A5556" s="41">
        <v>43697</v>
      </c>
      <c r="B5556" s="29">
        <v>246.92</v>
      </c>
      <c r="C5556" s="37">
        <f t="shared" si="178"/>
        <v>41.153333333333336</v>
      </c>
      <c r="D5556" s="37">
        <v>2.694</v>
      </c>
      <c r="E5556" s="33">
        <f t="shared" si="179"/>
        <v>1.622586402725853E-3</v>
      </c>
    </row>
    <row r="5557" spans="1:5" x14ac:dyDescent="0.25">
      <c r="A5557" s="41">
        <v>43697</v>
      </c>
      <c r="B5557" s="29">
        <v>246.98</v>
      </c>
      <c r="C5557" s="37">
        <f t="shared" si="178"/>
        <v>41.163333333333334</v>
      </c>
      <c r="D5557" s="37">
        <v>2.694</v>
      </c>
      <c r="E5557" s="33">
        <f t="shared" si="179"/>
        <v>2.4299368216427295E-4</v>
      </c>
    </row>
    <row r="5558" spans="1:5" x14ac:dyDescent="0.25">
      <c r="A5558" s="41">
        <v>43697</v>
      </c>
      <c r="B5558" s="29">
        <v>246.9</v>
      </c>
      <c r="C5558" s="37">
        <f t="shared" si="178"/>
        <v>41.15</v>
      </c>
      <c r="D5558" s="37">
        <v>2.694</v>
      </c>
      <c r="E5558" s="33">
        <f t="shared" si="179"/>
        <v>-3.2391286743859457E-4</v>
      </c>
    </row>
    <row r="5559" spans="1:5" x14ac:dyDescent="0.25">
      <c r="A5559" s="41">
        <v>43697</v>
      </c>
      <c r="B5559" s="29">
        <v>247.27</v>
      </c>
      <c r="C5559" s="37">
        <f t="shared" si="178"/>
        <v>41.211666666666666</v>
      </c>
      <c r="D5559" s="37">
        <v>2.694</v>
      </c>
      <c r="E5559" s="33">
        <f t="shared" si="179"/>
        <v>1.4985824220332302E-3</v>
      </c>
    </row>
    <row r="5560" spans="1:5" x14ac:dyDescent="0.25">
      <c r="A5560" s="41">
        <v>43697</v>
      </c>
      <c r="B5560" s="29">
        <v>247.27</v>
      </c>
      <c r="C5560" s="37">
        <f t="shared" si="178"/>
        <v>41.211666666666666</v>
      </c>
      <c r="D5560" s="37">
        <v>2.694</v>
      </c>
      <c r="E5560" s="33">
        <f t="shared" si="179"/>
        <v>0</v>
      </c>
    </row>
    <row r="5561" spans="1:5" x14ac:dyDescent="0.25">
      <c r="A5561" s="41">
        <v>43697</v>
      </c>
      <c r="B5561" s="29">
        <v>247.28</v>
      </c>
      <c r="C5561" s="37">
        <f t="shared" si="178"/>
        <v>41.213333333333331</v>
      </c>
      <c r="D5561" s="37">
        <v>2.694</v>
      </c>
      <c r="E5561" s="33">
        <f t="shared" si="179"/>
        <v>4.0441622517858633E-5</v>
      </c>
    </row>
    <row r="5562" spans="1:5" x14ac:dyDescent="0.25">
      <c r="A5562" s="41">
        <v>43697</v>
      </c>
      <c r="B5562" s="29">
        <v>247.17</v>
      </c>
      <c r="C5562" s="37">
        <f t="shared" si="178"/>
        <v>41.195</v>
      </c>
      <c r="D5562" s="37">
        <v>2.694</v>
      </c>
      <c r="E5562" s="33">
        <f t="shared" si="179"/>
        <v>-4.4483985765130071E-4</v>
      </c>
    </row>
    <row r="5563" spans="1:5" x14ac:dyDescent="0.25">
      <c r="A5563" s="41">
        <v>43697</v>
      </c>
      <c r="B5563" s="29">
        <v>247.13</v>
      </c>
      <c r="C5563" s="37">
        <f t="shared" si="178"/>
        <v>41.188333333333333</v>
      </c>
      <c r="D5563" s="37">
        <v>2.694</v>
      </c>
      <c r="E5563" s="33">
        <f t="shared" si="179"/>
        <v>-1.6183193753283991E-4</v>
      </c>
    </row>
    <row r="5564" spans="1:5" x14ac:dyDescent="0.25">
      <c r="A5564" s="41">
        <v>43697</v>
      </c>
      <c r="B5564" s="29">
        <v>248.07</v>
      </c>
      <c r="C5564" s="37">
        <f t="shared" si="178"/>
        <v>41.344999999999999</v>
      </c>
      <c r="D5564" s="37">
        <v>2.694</v>
      </c>
      <c r="E5564" s="33">
        <f t="shared" si="179"/>
        <v>3.8036660866750203E-3</v>
      </c>
    </row>
    <row r="5565" spans="1:5" x14ac:dyDescent="0.25">
      <c r="A5565" s="41">
        <v>43697</v>
      </c>
      <c r="B5565" s="29">
        <v>247.52</v>
      </c>
      <c r="C5565" s="37">
        <f t="shared" si="178"/>
        <v>41.25333333333333</v>
      </c>
      <c r="D5565" s="37">
        <v>2.694</v>
      </c>
      <c r="E5565" s="33">
        <f t="shared" si="179"/>
        <v>-2.2171161365742852E-3</v>
      </c>
    </row>
    <row r="5566" spans="1:5" x14ac:dyDescent="0.25">
      <c r="A5566" s="41">
        <v>43697</v>
      </c>
      <c r="B5566" s="29">
        <v>247</v>
      </c>
      <c r="C5566" s="37">
        <f t="shared" si="178"/>
        <v>41.166666666666664</v>
      </c>
      <c r="D5566" s="37">
        <v>2.694</v>
      </c>
      <c r="E5566" s="33">
        <f t="shared" si="179"/>
        <v>-2.1008403361344949E-3</v>
      </c>
    </row>
    <row r="5567" spans="1:5" x14ac:dyDescent="0.25">
      <c r="A5567" s="41">
        <v>43697</v>
      </c>
      <c r="B5567" s="29">
        <v>246.95</v>
      </c>
      <c r="C5567" s="37">
        <f t="shared" si="178"/>
        <v>41.158333333333331</v>
      </c>
      <c r="D5567" s="37">
        <v>2.694</v>
      </c>
      <c r="E5567" s="33">
        <f t="shared" si="179"/>
        <v>-2.0242914979761687E-4</v>
      </c>
    </row>
    <row r="5568" spans="1:5" x14ac:dyDescent="0.25">
      <c r="A5568" s="41">
        <v>43697</v>
      </c>
      <c r="B5568" s="29">
        <v>246.53</v>
      </c>
      <c r="C5568" s="37">
        <f t="shared" si="178"/>
        <v>41.088333333333331</v>
      </c>
      <c r="D5568" s="37">
        <v>2.694</v>
      </c>
      <c r="E5568" s="33">
        <f t="shared" si="179"/>
        <v>-1.7007491395018728E-3</v>
      </c>
    </row>
    <row r="5569" spans="1:5" x14ac:dyDescent="0.25">
      <c r="A5569" s="41">
        <v>43697</v>
      </c>
      <c r="B5569" s="29">
        <v>245.17</v>
      </c>
      <c r="C5569" s="37">
        <f t="shared" si="178"/>
        <v>40.861666666666665</v>
      </c>
      <c r="D5569" s="37">
        <v>2.694</v>
      </c>
      <c r="E5569" s="33">
        <f t="shared" si="179"/>
        <v>-5.5165699914818218E-3</v>
      </c>
    </row>
    <row r="5570" spans="1:5" x14ac:dyDescent="0.25">
      <c r="A5570" s="41">
        <v>43698</v>
      </c>
      <c r="B5570" s="29">
        <v>240.94</v>
      </c>
      <c r="C5570" s="37">
        <f t="shared" si="178"/>
        <v>40.156666666666666</v>
      </c>
      <c r="D5570" s="37">
        <v>2.6829999999999998</v>
      </c>
      <c r="E5570" s="33">
        <f t="shared" si="179"/>
        <v>-1.7253334421013948E-2</v>
      </c>
    </row>
    <row r="5571" spans="1:5" x14ac:dyDescent="0.25">
      <c r="A5571" s="41">
        <v>43698</v>
      </c>
      <c r="B5571" s="29">
        <v>240.05</v>
      </c>
      <c r="C5571" s="37">
        <f t="shared" ref="C5571:C5634" si="180">(B5571*100/600)</f>
        <v>40.008333333333333</v>
      </c>
      <c r="D5571" s="37">
        <v>2.6829999999999998</v>
      </c>
      <c r="E5571" s="33">
        <f t="shared" si="179"/>
        <v>-3.693865692703521E-3</v>
      </c>
    </row>
    <row r="5572" spans="1:5" x14ac:dyDescent="0.25">
      <c r="A5572" s="41">
        <v>43698</v>
      </c>
      <c r="B5572" s="29">
        <v>239.86</v>
      </c>
      <c r="C5572" s="37">
        <f t="shared" si="180"/>
        <v>39.976666666666667</v>
      </c>
      <c r="D5572" s="37">
        <v>2.6829999999999998</v>
      </c>
      <c r="E5572" s="33">
        <f t="shared" ref="E5572:E5635" si="181">(B5572-B5571)/B5571</f>
        <v>-7.9150177046447706E-4</v>
      </c>
    </row>
    <row r="5573" spans="1:5" x14ac:dyDescent="0.25">
      <c r="A5573" s="41">
        <v>43698</v>
      </c>
      <c r="B5573" s="29">
        <v>239.86</v>
      </c>
      <c r="C5573" s="37">
        <f t="shared" si="180"/>
        <v>39.976666666666667</v>
      </c>
      <c r="D5573" s="37">
        <v>2.6829999999999998</v>
      </c>
      <c r="E5573" s="33">
        <f t="shared" si="181"/>
        <v>0</v>
      </c>
    </row>
    <row r="5574" spans="1:5" x14ac:dyDescent="0.25">
      <c r="A5574" s="41">
        <v>43698</v>
      </c>
      <c r="B5574" s="29">
        <v>239.84</v>
      </c>
      <c r="C5574" s="37">
        <f t="shared" si="180"/>
        <v>39.973333333333336</v>
      </c>
      <c r="D5574" s="37">
        <v>2.6829999999999998</v>
      </c>
      <c r="E5574" s="33">
        <f t="shared" si="181"/>
        <v>-8.3381972817519513E-5</v>
      </c>
    </row>
    <row r="5575" spans="1:5" x14ac:dyDescent="0.25">
      <c r="A5575" s="41">
        <v>43698</v>
      </c>
      <c r="B5575" s="29">
        <v>240.77</v>
      </c>
      <c r="C5575" s="37">
        <f t="shared" si="180"/>
        <v>40.12833333333333</v>
      </c>
      <c r="D5575" s="37">
        <v>2.6829999999999998</v>
      </c>
      <c r="E5575" s="33">
        <f t="shared" si="181"/>
        <v>3.8775850567044981E-3</v>
      </c>
    </row>
    <row r="5576" spans="1:5" x14ac:dyDescent="0.25">
      <c r="A5576" s="41">
        <v>43698</v>
      </c>
      <c r="B5576" s="29">
        <v>241.56</v>
      </c>
      <c r="C5576" s="37">
        <f t="shared" si="180"/>
        <v>40.26</v>
      </c>
      <c r="D5576" s="37">
        <v>2.6829999999999998</v>
      </c>
      <c r="E5576" s="33">
        <f t="shared" si="181"/>
        <v>3.2811396768700086E-3</v>
      </c>
    </row>
    <row r="5577" spans="1:5" x14ac:dyDescent="0.25">
      <c r="A5577" s="41">
        <v>43698</v>
      </c>
      <c r="B5577" s="29">
        <v>241.72</v>
      </c>
      <c r="C5577" s="37">
        <f t="shared" si="180"/>
        <v>40.286666666666669</v>
      </c>
      <c r="D5577" s="37">
        <v>2.6829999999999998</v>
      </c>
      <c r="E5577" s="33">
        <f t="shared" si="181"/>
        <v>6.6236131809900892E-4</v>
      </c>
    </row>
    <row r="5578" spans="1:5" x14ac:dyDescent="0.25">
      <c r="A5578" s="41">
        <v>43698</v>
      </c>
      <c r="B5578" s="29">
        <v>243.96</v>
      </c>
      <c r="C5578" s="37">
        <f t="shared" si="180"/>
        <v>40.659999999999997</v>
      </c>
      <c r="D5578" s="37">
        <v>2.6829999999999998</v>
      </c>
      <c r="E5578" s="33">
        <f t="shared" si="181"/>
        <v>9.2669204037729973E-3</v>
      </c>
    </row>
    <row r="5579" spans="1:5" x14ac:dyDescent="0.25">
      <c r="A5579" s="41">
        <v>43698</v>
      </c>
      <c r="B5579" s="29">
        <v>245.07</v>
      </c>
      <c r="C5579" s="37">
        <f t="shared" si="180"/>
        <v>40.844999999999999</v>
      </c>
      <c r="D5579" s="37">
        <v>2.6829999999999998</v>
      </c>
      <c r="E5579" s="33">
        <f t="shared" si="181"/>
        <v>4.5499262174126297E-3</v>
      </c>
    </row>
    <row r="5580" spans="1:5" x14ac:dyDescent="0.25">
      <c r="A5580" s="41">
        <v>43698</v>
      </c>
      <c r="B5580" s="29">
        <v>245.9</v>
      </c>
      <c r="C5580" s="37">
        <f t="shared" si="180"/>
        <v>40.983333333333334</v>
      </c>
      <c r="D5580" s="37">
        <v>2.6829999999999998</v>
      </c>
      <c r="E5580" s="33">
        <f t="shared" si="181"/>
        <v>3.3867874484841578E-3</v>
      </c>
    </row>
    <row r="5581" spans="1:5" x14ac:dyDescent="0.25">
      <c r="A5581" s="41">
        <v>43698</v>
      </c>
      <c r="B5581" s="29">
        <v>246.1</v>
      </c>
      <c r="C5581" s="37">
        <f t="shared" si="180"/>
        <v>41.016666666666666</v>
      </c>
      <c r="D5581" s="37">
        <v>2.6829999999999998</v>
      </c>
      <c r="E5581" s="33">
        <f t="shared" si="181"/>
        <v>8.1333875559165764E-4</v>
      </c>
    </row>
    <row r="5582" spans="1:5" x14ac:dyDescent="0.25">
      <c r="A5582" s="41">
        <v>43698</v>
      </c>
      <c r="B5582" s="29">
        <v>245.93</v>
      </c>
      <c r="C5582" s="37">
        <f t="shared" si="180"/>
        <v>40.988333333333337</v>
      </c>
      <c r="D5582" s="37">
        <v>2.6829999999999998</v>
      </c>
      <c r="E5582" s="33">
        <f t="shared" si="181"/>
        <v>-6.9077610727341524E-4</v>
      </c>
    </row>
    <row r="5583" spans="1:5" x14ac:dyDescent="0.25">
      <c r="A5583" s="41">
        <v>43698</v>
      </c>
      <c r="B5583" s="29">
        <v>246.51</v>
      </c>
      <c r="C5583" s="37">
        <f t="shared" si="180"/>
        <v>41.085000000000001</v>
      </c>
      <c r="D5583" s="37">
        <v>2.6829999999999998</v>
      </c>
      <c r="E5583" s="33">
        <f t="shared" si="181"/>
        <v>2.3583946651485549E-3</v>
      </c>
    </row>
    <row r="5584" spans="1:5" x14ac:dyDescent="0.25">
      <c r="A5584" s="41">
        <v>43698</v>
      </c>
      <c r="B5584" s="29">
        <v>247.27</v>
      </c>
      <c r="C5584" s="37">
        <f t="shared" si="180"/>
        <v>41.211666666666666</v>
      </c>
      <c r="D5584" s="37">
        <v>2.6829999999999998</v>
      </c>
      <c r="E5584" s="33">
        <f t="shared" si="181"/>
        <v>3.0830392276176193E-3</v>
      </c>
    </row>
    <row r="5585" spans="1:5" x14ac:dyDescent="0.25">
      <c r="A5585" s="41">
        <v>43698</v>
      </c>
      <c r="B5585" s="29">
        <v>247.36</v>
      </c>
      <c r="C5585" s="37">
        <f t="shared" si="180"/>
        <v>41.226666666666667</v>
      </c>
      <c r="D5585" s="37">
        <v>2.6829999999999998</v>
      </c>
      <c r="E5585" s="33">
        <f t="shared" si="181"/>
        <v>3.6397460266107256E-4</v>
      </c>
    </row>
    <row r="5586" spans="1:5" x14ac:dyDescent="0.25">
      <c r="A5586" s="41">
        <v>43698</v>
      </c>
      <c r="B5586" s="29">
        <v>247.26</v>
      </c>
      <c r="C5586" s="37">
        <f t="shared" si="180"/>
        <v>41.21</v>
      </c>
      <c r="D5586" s="37">
        <v>2.6829999999999998</v>
      </c>
      <c r="E5586" s="33">
        <f t="shared" si="181"/>
        <v>-4.0426908150073874E-4</v>
      </c>
    </row>
    <row r="5587" spans="1:5" x14ac:dyDescent="0.25">
      <c r="A5587" s="41">
        <v>43698</v>
      </c>
      <c r="B5587" s="29">
        <v>246.94</v>
      </c>
      <c r="C5587" s="37">
        <f t="shared" si="180"/>
        <v>41.156666666666666</v>
      </c>
      <c r="D5587" s="37">
        <v>2.6829999999999998</v>
      </c>
      <c r="E5587" s="33">
        <f t="shared" si="181"/>
        <v>-1.2941842594839164E-3</v>
      </c>
    </row>
    <row r="5588" spans="1:5" x14ac:dyDescent="0.25">
      <c r="A5588" s="41">
        <v>43698</v>
      </c>
      <c r="B5588" s="29">
        <v>249.06</v>
      </c>
      <c r="C5588" s="37">
        <f t="shared" si="180"/>
        <v>41.51</v>
      </c>
      <c r="D5588" s="37">
        <v>2.6829999999999998</v>
      </c>
      <c r="E5588" s="33">
        <f t="shared" si="181"/>
        <v>8.5850813962906163E-3</v>
      </c>
    </row>
    <row r="5589" spans="1:5" x14ac:dyDescent="0.25">
      <c r="A5589" s="41">
        <v>43698</v>
      </c>
      <c r="B5589" s="29">
        <v>247.93</v>
      </c>
      <c r="C5589" s="37">
        <f t="shared" si="180"/>
        <v>41.321666666666665</v>
      </c>
      <c r="D5589" s="37">
        <v>2.6829999999999998</v>
      </c>
      <c r="E5589" s="33">
        <f t="shared" si="181"/>
        <v>-4.5370593431301514E-3</v>
      </c>
    </row>
    <row r="5590" spans="1:5" x14ac:dyDescent="0.25">
      <c r="A5590" s="41">
        <v>43698</v>
      </c>
      <c r="B5590" s="29">
        <v>246.73</v>
      </c>
      <c r="C5590" s="37">
        <f t="shared" si="180"/>
        <v>41.12166666666667</v>
      </c>
      <c r="D5590" s="37">
        <v>2.6829999999999998</v>
      </c>
      <c r="E5590" s="33">
        <f t="shared" si="181"/>
        <v>-4.840075827854705E-3</v>
      </c>
    </row>
    <row r="5591" spans="1:5" x14ac:dyDescent="0.25">
      <c r="A5591" s="41">
        <v>43698</v>
      </c>
      <c r="B5591" s="29">
        <v>246.28</v>
      </c>
      <c r="C5591" s="37">
        <f t="shared" si="180"/>
        <v>41.046666666666667</v>
      </c>
      <c r="D5591" s="37">
        <v>2.6829999999999998</v>
      </c>
      <c r="E5591" s="33">
        <f t="shared" si="181"/>
        <v>-1.8238560369634364E-3</v>
      </c>
    </row>
    <row r="5592" spans="1:5" x14ac:dyDescent="0.25">
      <c r="A5592" s="41">
        <v>43698</v>
      </c>
      <c r="B5592" s="29">
        <v>245.17</v>
      </c>
      <c r="C5592" s="37">
        <f t="shared" si="180"/>
        <v>40.861666666666665</v>
      </c>
      <c r="D5592" s="37">
        <v>2.6829999999999998</v>
      </c>
      <c r="E5592" s="33">
        <f t="shared" si="181"/>
        <v>-4.5070651291213805E-3</v>
      </c>
    </row>
    <row r="5593" spans="1:5" x14ac:dyDescent="0.25">
      <c r="A5593" s="41">
        <v>43698</v>
      </c>
      <c r="B5593" s="29">
        <v>241.92</v>
      </c>
      <c r="C5593" s="37">
        <f t="shared" si="180"/>
        <v>40.32</v>
      </c>
      <c r="D5593" s="37">
        <v>2.6829999999999998</v>
      </c>
      <c r="E5593" s="33">
        <f t="shared" si="181"/>
        <v>-1.3256108006689237E-2</v>
      </c>
    </row>
    <row r="5594" spans="1:5" x14ac:dyDescent="0.25">
      <c r="A5594" s="41">
        <v>43699</v>
      </c>
      <c r="B5594" s="29">
        <v>241.48</v>
      </c>
      <c r="C5594" s="37">
        <f t="shared" si="180"/>
        <v>40.24666666666667</v>
      </c>
      <c r="D5594" s="37">
        <v>2.673</v>
      </c>
      <c r="E5594" s="33">
        <f t="shared" si="181"/>
        <v>-1.8187830687830596E-3</v>
      </c>
    </row>
    <row r="5595" spans="1:5" x14ac:dyDescent="0.25">
      <c r="A5595" s="41">
        <v>43699</v>
      </c>
      <c r="B5595" s="29">
        <v>240.15</v>
      </c>
      <c r="C5595" s="37">
        <f t="shared" si="180"/>
        <v>40.024999999999999</v>
      </c>
      <c r="D5595" s="37">
        <v>2.673</v>
      </c>
      <c r="E5595" s="33">
        <f t="shared" si="181"/>
        <v>-5.5077025012422731E-3</v>
      </c>
    </row>
    <row r="5596" spans="1:5" x14ac:dyDescent="0.25">
      <c r="A5596" s="41">
        <v>43699</v>
      </c>
      <c r="B5596" s="29">
        <v>239.42</v>
      </c>
      <c r="C5596" s="37">
        <f t="shared" si="180"/>
        <v>39.903333333333336</v>
      </c>
      <c r="D5596" s="37">
        <v>2.673</v>
      </c>
      <c r="E5596" s="33">
        <f t="shared" si="181"/>
        <v>-3.0397668124089866E-3</v>
      </c>
    </row>
    <row r="5597" spans="1:5" x14ac:dyDescent="0.25">
      <c r="A5597" s="41">
        <v>43699</v>
      </c>
      <c r="B5597" s="29">
        <v>239.39</v>
      </c>
      <c r="C5597" s="37">
        <f t="shared" si="180"/>
        <v>39.898333333333333</v>
      </c>
      <c r="D5597" s="37">
        <v>2.673</v>
      </c>
      <c r="E5597" s="33">
        <f t="shared" si="181"/>
        <v>-1.2530281513658482E-4</v>
      </c>
    </row>
    <row r="5598" spans="1:5" x14ac:dyDescent="0.25">
      <c r="A5598" s="41">
        <v>43699</v>
      </c>
      <c r="B5598" s="29">
        <v>239.73</v>
      </c>
      <c r="C5598" s="37">
        <f t="shared" si="180"/>
        <v>39.954999999999998</v>
      </c>
      <c r="D5598" s="37">
        <v>2.673</v>
      </c>
      <c r="E5598" s="33">
        <f t="shared" si="181"/>
        <v>1.4202765361961795E-3</v>
      </c>
    </row>
    <row r="5599" spans="1:5" x14ac:dyDescent="0.25">
      <c r="A5599" s="41">
        <v>43699</v>
      </c>
      <c r="B5599" s="29">
        <v>240.72</v>
      </c>
      <c r="C5599" s="37">
        <f t="shared" si="180"/>
        <v>40.119999999999997</v>
      </c>
      <c r="D5599" s="37">
        <v>2.673</v>
      </c>
      <c r="E5599" s="33">
        <f t="shared" si="181"/>
        <v>4.1296458515830692E-3</v>
      </c>
    </row>
    <row r="5600" spans="1:5" x14ac:dyDescent="0.25">
      <c r="A5600" s="41">
        <v>43699</v>
      </c>
      <c r="B5600" s="29">
        <v>242.96</v>
      </c>
      <c r="C5600" s="37">
        <f t="shared" si="180"/>
        <v>40.493333333333332</v>
      </c>
      <c r="D5600" s="37">
        <v>2.673</v>
      </c>
      <c r="E5600" s="33">
        <f t="shared" si="181"/>
        <v>9.3054170820871095E-3</v>
      </c>
    </row>
    <row r="5601" spans="1:5" x14ac:dyDescent="0.25">
      <c r="A5601" s="41">
        <v>43699</v>
      </c>
      <c r="B5601" s="29">
        <v>244.22</v>
      </c>
      <c r="C5601" s="37">
        <f t="shared" si="180"/>
        <v>40.703333333333333</v>
      </c>
      <c r="D5601" s="37">
        <v>2.673</v>
      </c>
      <c r="E5601" s="33">
        <f t="shared" si="181"/>
        <v>5.1860388541323296E-3</v>
      </c>
    </row>
    <row r="5602" spans="1:5" x14ac:dyDescent="0.25">
      <c r="A5602" s="41">
        <v>43699</v>
      </c>
      <c r="B5602" s="29">
        <v>246.67</v>
      </c>
      <c r="C5602" s="37">
        <f t="shared" si="180"/>
        <v>41.111666666666665</v>
      </c>
      <c r="D5602" s="37">
        <v>2.673</v>
      </c>
      <c r="E5602" s="33">
        <f t="shared" si="181"/>
        <v>1.0031938416182084E-2</v>
      </c>
    </row>
    <row r="5603" spans="1:5" x14ac:dyDescent="0.25">
      <c r="A5603" s="41">
        <v>43699</v>
      </c>
      <c r="B5603" s="29">
        <v>247.28</v>
      </c>
      <c r="C5603" s="37">
        <f t="shared" si="180"/>
        <v>41.213333333333331</v>
      </c>
      <c r="D5603" s="37">
        <v>2.673</v>
      </c>
      <c r="E5603" s="33">
        <f t="shared" si="181"/>
        <v>2.4729395548709356E-3</v>
      </c>
    </row>
    <row r="5604" spans="1:5" x14ac:dyDescent="0.25">
      <c r="A5604" s="41">
        <v>43699</v>
      </c>
      <c r="B5604" s="29">
        <v>248.01</v>
      </c>
      <c r="C5604" s="37">
        <f t="shared" si="180"/>
        <v>41.335000000000001</v>
      </c>
      <c r="D5604" s="37">
        <v>2.673</v>
      </c>
      <c r="E5604" s="33">
        <f t="shared" si="181"/>
        <v>2.9521190553218608E-3</v>
      </c>
    </row>
    <row r="5605" spans="1:5" x14ac:dyDescent="0.25">
      <c r="A5605" s="41">
        <v>43699</v>
      </c>
      <c r="B5605" s="29">
        <v>248.16</v>
      </c>
      <c r="C5605" s="37">
        <f t="shared" si="180"/>
        <v>41.36</v>
      </c>
      <c r="D5605" s="37">
        <v>2.673</v>
      </c>
      <c r="E5605" s="33">
        <f t="shared" si="181"/>
        <v>6.0481432200316801E-4</v>
      </c>
    </row>
    <row r="5606" spans="1:5" x14ac:dyDescent="0.25">
      <c r="A5606" s="41">
        <v>43699</v>
      </c>
      <c r="B5606" s="29">
        <v>247.73</v>
      </c>
      <c r="C5606" s="37">
        <f t="shared" si="180"/>
        <v>41.288333333333334</v>
      </c>
      <c r="D5606" s="37">
        <v>2.673</v>
      </c>
      <c r="E5606" s="33">
        <f t="shared" si="181"/>
        <v>-1.7327530625403241E-3</v>
      </c>
    </row>
    <row r="5607" spans="1:5" x14ac:dyDescent="0.25">
      <c r="A5607" s="41">
        <v>43699</v>
      </c>
      <c r="B5607" s="29">
        <v>247.94</v>
      </c>
      <c r="C5607" s="37">
        <f t="shared" si="180"/>
        <v>41.323333333333331</v>
      </c>
      <c r="D5607" s="37">
        <v>2.673</v>
      </c>
      <c r="E5607" s="33">
        <f t="shared" si="181"/>
        <v>8.4769708957335797E-4</v>
      </c>
    </row>
    <row r="5608" spans="1:5" x14ac:dyDescent="0.25">
      <c r="A5608" s="41">
        <v>43699</v>
      </c>
      <c r="B5608" s="29">
        <v>248.48</v>
      </c>
      <c r="C5608" s="37">
        <f t="shared" si="180"/>
        <v>41.413333333333334</v>
      </c>
      <c r="D5608" s="37">
        <v>2.673</v>
      </c>
      <c r="E5608" s="33">
        <f t="shared" si="181"/>
        <v>2.1779462773251273E-3</v>
      </c>
    </row>
    <row r="5609" spans="1:5" x14ac:dyDescent="0.25">
      <c r="A5609" s="41">
        <v>43699</v>
      </c>
      <c r="B5609" s="29">
        <v>248.48</v>
      </c>
      <c r="C5609" s="37">
        <f t="shared" si="180"/>
        <v>41.413333333333334</v>
      </c>
      <c r="D5609" s="37">
        <v>2.673</v>
      </c>
      <c r="E5609" s="33">
        <f t="shared" si="181"/>
        <v>0</v>
      </c>
    </row>
    <row r="5610" spans="1:5" x14ac:dyDescent="0.25">
      <c r="A5610" s="41">
        <v>43699</v>
      </c>
      <c r="B5610" s="29">
        <v>248.33</v>
      </c>
      <c r="C5610" s="37">
        <f t="shared" si="180"/>
        <v>41.388333333333335</v>
      </c>
      <c r="D5610" s="37">
        <v>2.673</v>
      </c>
      <c r="E5610" s="33">
        <f t="shared" si="181"/>
        <v>-6.0367031551826012E-4</v>
      </c>
    </row>
    <row r="5611" spans="1:5" x14ac:dyDescent="0.25">
      <c r="A5611" s="41">
        <v>43699</v>
      </c>
      <c r="B5611" s="29">
        <v>248.02</v>
      </c>
      <c r="C5611" s="37">
        <f t="shared" si="180"/>
        <v>41.336666666666666</v>
      </c>
      <c r="D5611" s="37">
        <v>2.673</v>
      </c>
      <c r="E5611" s="33">
        <f t="shared" si="181"/>
        <v>-1.2483389038779136E-3</v>
      </c>
    </row>
    <row r="5612" spans="1:5" x14ac:dyDescent="0.25">
      <c r="A5612" s="41">
        <v>43699</v>
      </c>
      <c r="B5612" s="29">
        <v>249.74</v>
      </c>
      <c r="C5612" s="37">
        <f t="shared" si="180"/>
        <v>41.623333333333335</v>
      </c>
      <c r="D5612" s="37">
        <v>2.673</v>
      </c>
      <c r="E5612" s="33">
        <f t="shared" si="181"/>
        <v>6.9349246028546033E-3</v>
      </c>
    </row>
    <row r="5613" spans="1:5" x14ac:dyDescent="0.25">
      <c r="A5613" s="41">
        <v>43699</v>
      </c>
      <c r="B5613" s="29">
        <v>248.86</v>
      </c>
      <c r="C5613" s="37">
        <f t="shared" si="180"/>
        <v>41.476666666666667</v>
      </c>
      <c r="D5613" s="37">
        <v>2.673</v>
      </c>
      <c r="E5613" s="33">
        <f t="shared" si="181"/>
        <v>-3.5236646111956251E-3</v>
      </c>
    </row>
    <row r="5614" spans="1:5" x14ac:dyDescent="0.25">
      <c r="A5614" s="41">
        <v>43699</v>
      </c>
      <c r="B5614" s="29">
        <v>248.15</v>
      </c>
      <c r="C5614" s="37">
        <f t="shared" si="180"/>
        <v>41.358333333333334</v>
      </c>
      <c r="D5614" s="37">
        <v>2.673</v>
      </c>
      <c r="E5614" s="33">
        <f t="shared" si="181"/>
        <v>-2.8530097243430357E-3</v>
      </c>
    </row>
    <row r="5615" spans="1:5" x14ac:dyDescent="0.25">
      <c r="A5615" s="41">
        <v>43699</v>
      </c>
      <c r="B5615" s="29">
        <v>247.9</v>
      </c>
      <c r="C5615" s="37">
        <f t="shared" si="180"/>
        <v>41.31666666666667</v>
      </c>
      <c r="D5615" s="37">
        <v>2.673</v>
      </c>
      <c r="E5615" s="33">
        <f t="shared" si="181"/>
        <v>-1.0074551682450132E-3</v>
      </c>
    </row>
    <row r="5616" spans="1:5" x14ac:dyDescent="0.25">
      <c r="A5616" s="41">
        <v>43699</v>
      </c>
      <c r="B5616" s="29">
        <v>246.65</v>
      </c>
      <c r="C5616" s="37">
        <f t="shared" si="180"/>
        <v>41.108333333333334</v>
      </c>
      <c r="D5616" s="37">
        <v>2.673</v>
      </c>
      <c r="E5616" s="33">
        <f t="shared" si="181"/>
        <v>-5.0423557886244454E-3</v>
      </c>
    </row>
    <row r="5617" spans="1:5" x14ac:dyDescent="0.25">
      <c r="A5617" s="41">
        <v>43699</v>
      </c>
      <c r="B5617" s="29">
        <v>243.58</v>
      </c>
      <c r="C5617" s="37">
        <f t="shared" si="180"/>
        <v>40.596666666666664</v>
      </c>
      <c r="D5617" s="37">
        <v>2.673</v>
      </c>
      <c r="E5617" s="33">
        <f t="shared" si="181"/>
        <v>-1.2446786945063827E-2</v>
      </c>
    </row>
    <row r="5618" spans="1:5" x14ac:dyDescent="0.25">
      <c r="A5618" s="41">
        <v>43700</v>
      </c>
      <c r="B5618" s="29">
        <v>240.7</v>
      </c>
      <c r="C5618" s="37">
        <f t="shared" si="180"/>
        <v>40.116666666666667</v>
      </c>
      <c r="D5618" s="37">
        <v>2.641</v>
      </c>
      <c r="E5618" s="33">
        <f t="shared" si="181"/>
        <v>-1.1823630839970537E-2</v>
      </c>
    </row>
    <row r="5619" spans="1:5" x14ac:dyDescent="0.25">
      <c r="A5619" s="41">
        <v>43700</v>
      </c>
      <c r="B5619" s="29">
        <v>239.58</v>
      </c>
      <c r="C5619" s="37">
        <f t="shared" si="180"/>
        <v>39.93</v>
      </c>
      <c r="D5619" s="37">
        <v>2.641</v>
      </c>
      <c r="E5619" s="33">
        <f t="shared" si="181"/>
        <v>-4.6530951391773002E-3</v>
      </c>
    </row>
    <row r="5620" spans="1:5" x14ac:dyDescent="0.25">
      <c r="A5620" s="41">
        <v>43700</v>
      </c>
      <c r="B5620" s="29">
        <v>239.1</v>
      </c>
      <c r="C5620" s="37">
        <f t="shared" si="180"/>
        <v>39.85</v>
      </c>
      <c r="D5620" s="37">
        <v>2.641</v>
      </c>
      <c r="E5620" s="33">
        <f t="shared" si="181"/>
        <v>-2.0035061357376164E-3</v>
      </c>
    </row>
    <row r="5621" spans="1:5" x14ac:dyDescent="0.25">
      <c r="A5621" s="41">
        <v>43700</v>
      </c>
      <c r="B5621" s="29">
        <v>239.08</v>
      </c>
      <c r="C5621" s="37">
        <f t="shared" si="180"/>
        <v>39.846666666666664</v>
      </c>
      <c r="D5621" s="37">
        <v>2.641</v>
      </c>
      <c r="E5621" s="33">
        <f t="shared" si="181"/>
        <v>-8.3647009619330025E-5</v>
      </c>
    </row>
    <row r="5622" spans="1:5" x14ac:dyDescent="0.25">
      <c r="A5622" s="41">
        <v>43700</v>
      </c>
      <c r="B5622" s="29">
        <v>239.32</v>
      </c>
      <c r="C5622" s="37">
        <f t="shared" si="180"/>
        <v>39.886666666666663</v>
      </c>
      <c r="D5622" s="37">
        <v>2.641</v>
      </c>
      <c r="E5622" s="33">
        <f t="shared" si="181"/>
        <v>1.0038480843231582E-3</v>
      </c>
    </row>
    <row r="5623" spans="1:5" x14ac:dyDescent="0.25">
      <c r="A5623" s="41">
        <v>43700</v>
      </c>
      <c r="B5623" s="29">
        <v>240.3</v>
      </c>
      <c r="C5623" s="37">
        <f t="shared" si="180"/>
        <v>40.049999999999997</v>
      </c>
      <c r="D5623" s="37">
        <v>2.641</v>
      </c>
      <c r="E5623" s="33">
        <f t="shared" si="181"/>
        <v>4.0949356510112745E-3</v>
      </c>
    </row>
    <row r="5624" spans="1:5" x14ac:dyDescent="0.25">
      <c r="A5624" s="41">
        <v>43700</v>
      </c>
      <c r="B5624" s="29">
        <v>242.28</v>
      </c>
      <c r="C5624" s="37">
        <f t="shared" si="180"/>
        <v>40.380000000000003</v>
      </c>
      <c r="D5624" s="37">
        <v>2.641</v>
      </c>
      <c r="E5624" s="33">
        <f t="shared" si="181"/>
        <v>8.2397003745317918E-3</v>
      </c>
    </row>
    <row r="5625" spans="1:5" x14ac:dyDescent="0.25">
      <c r="A5625" s="41">
        <v>43700</v>
      </c>
      <c r="B5625" s="29">
        <v>243.77</v>
      </c>
      <c r="C5625" s="37">
        <f t="shared" si="180"/>
        <v>40.62833333333333</v>
      </c>
      <c r="D5625" s="37">
        <v>2.641</v>
      </c>
      <c r="E5625" s="33">
        <f t="shared" si="181"/>
        <v>6.1499091959716402E-3</v>
      </c>
    </row>
    <row r="5626" spans="1:5" x14ac:dyDescent="0.25">
      <c r="A5626" s="41">
        <v>43700</v>
      </c>
      <c r="B5626" s="29">
        <v>246.2</v>
      </c>
      <c r="C5626" s="37">
        <f t="shared" si="180"/>
        <v>41.033333333333331</v>
      </c>
      <c r="D5626" s="37">
        <v>2.641</v>
      </c>
      <c r="E5626" s="33">
        <f t="shared" si="181"/>
        <v>9.9684128481764712E-3</v>
      </c>
    </row>
    <row r="5627" spans="1:5" x14ac:dyDescent="0.25">
      <c r="A5627" s="41">
        <v>43700</v>
      </c>
      <c r="B5627" s="29">
        <v>247.68</v>
      </c>
      <c r="C5627" s="37">
        <f t="shared" si="180"/>
        <v>41.28</v>
      </c>
      <c r="D5627" s="37">
        <v>2.641</v>
      </c>
      <c r="E5627" s="33">
        <f t="shared" si="181"/>
        <v>6.0113728675874013E-3</v>
      </c>
    </row>
    <row r="5628" spans="1:5" x14ac:dyDescent="0.25">
      <c r="A5628" s="41">
        <v>43700</v>
      </c>
      <c r="B5628" s="29">
        <v>248.12</v>
      </c>
      <c r="C5628" s="37">
        <f t="shared" si="180"/>
        <v>41.353333333333332</v>
      </c>
      <c r="D5628" s="37">
        <v>2.641</v>
      </c>
      <c r="E5628" s="33">
        <f t="shared" si="181"/>
        <v>1.7764857881136858E-3</v>
      </c>
    </row>
    <row r="5629" spans="1:5" x14ac:dyDescent="0.25">
      <c r="A5629" s="41">
        <v>43700</v>
      </c>
      <c r="B5629" s="29">
        <v>248.5</v>
      </c>
      <c r="C5629" s="37">
        <f t="shared" si="180"/>
        <v>41.416666666666664</v>
      </c>
      <c r="D5629" s="37">
        <v>2.641</v>
      </c>
      <c r="E5629" s="33">
        <f t="shared" si="181"/>
        <v>1.5315170078993852E-3</v>
      </c>
    </row>
    <row r="5630" spans="1:5" x14ac:dyDescent="0.25">
      <c r="A5630" s="41">
        <v>43700</v>
      </c>
      <c r="B5630" s="29">
        <v>248.02</v>
      </c>
      <c r="C5630" s="37">
        <f t="shared" si="180"/>
        <v>41.336666666666666</v>
      </c>
      <c r="D5630" s="37">
        <v>2.641</v>
      </c>
      <c r="E5630" s="33">
        <f t="shared" si="181"/>
        <v>-1.9315895372232989E-3</v>
      </c>
    </row>
    <row r="5631" spans="1:5" x14ac:dyDescent="0.25">
      <c r="A5631" s="41">
        <v>43700</v>
      </c>
      <c r="B5631" s="29">
        <v>248.46</v>
      </c>
      <c r="C5631" s="37">
        <f t="shared" si="180"/>
        <v>41.41</v>
      </c>
      <c r="D5631" s="37">
        <v>2.641</v>
      </c>
      <c r="E5631" s="33">
        <f t="shared" si="181"/>
        <v>1.7740504798000069E-3</v>
      </c>
    </row>
    <row r="5632" spans="1:5" x14ac:dyDescent="0.25">
      <c r="A5632" s="41">
        <v>43700</v>
      </c>
      <c r="B5632" s="29">
        <v>248.98</v>
      </c>
      <c r="C5632" s="37">
        <f t="shared" si="180"/>
        <v>41.49666666666667</v>
      </c>
      <c r="D5632" s="37">
        <v>2.641</v>
      </c>
      <c r="E5632" s="33">
        <f t="shared" si="181"/>
        <v>2.0928922160507999E-3</v>
      </c>
    </row>
    <row r="5633" spans="1:5" x14ac:dyDescent="0.25">
      <c r="A5633" s="41">
        <v>43700</v>
      </c>
      <c r="B5633" s="29">
        <v>248.97</v>
      </c>
      <c r="C5633" s="37">
        <f t="shared" si="180"/>
        <v>41.494999999999997</v>
      </c>
      <c r="D5633" s="37">
        <v>2.641</v>
      </c>
      <c r="E5633" s="33">
        <f t="shared" si="181"/>
        <v>-4.0163868583785464E-5</v>
      </c>
    </row>
    <row r="5634" spans="1:5" x14ac:dyDescent="0.25">
      <c r="A5634" s="41">
        <v>43700</v>
      </c>
      <c r="B5634" s="29">
        <v>248.76</v>
      </c>
      <c r="C5634" s="37">
        <f t="shared" si="180"/>
        <v>41.46</v>
      </c>
      <c r="D5634" s="37">
        <v>2.641</v>
      </c>
      <c r="E5634" s="33">
        <f t="shared" si="181"/>
        <v>-8.434751174840662E-4</v>
      </c>
    </row>
    <row r="5635" spans="1:5" x14ac:dyDescent="0.25">
      <c r="A5635" s="41">
        <v>43700</v>
      </c>
      <c r="B5635" s="29">
        <v>248.31</v>
      </c>
      <c r="C5635" s="37">
        <f t="shared" ref="C5635:C5698" si="182">(B5635*100/600)</f>
        <v>41.384999999999998</v>
      </c>
      <c r="D5635" s="37">
        <v>2.641</v>
      </c>
      <c r="E5635" s="33">
        <f t="shared" si="181"/>
        <v>-1.8089725036178994E-3</v>
      </c>
    </row>
    <row r="5636" spans="1:5" x14ac:dyDescent="0.25">
      <c r="A5636" s="41">
        <v>43700</v>
      </c>
      <c r="B5636" s="29">
        <v>249.87</v>
      </c>
      <c r="C5636" s="37">
        <f t="shared" si="182"/>
        <v>41.645000000000003</v>
      </c>
      <c r="D5636" s="37">
        <v>2.641</v>
      </c>
      <c r="E5636" s="33">
        <f t="shared" ref="E5636:E5699" si="183">(B5636-B5635)/B5635</f>
        <v>6.2824694937779479E-3</v>
      </c>
    </row>
    <row r="5637" spans="1:5" x14ac:dyDescent="0.25">
      <c r="A5637" s="41">
        <v>43700</v>
      </c>
      <c r="B5637" s="29">
        <v>249.12</v>
      </c>
      <c r="C5637" s="37">
        <f t="shared" si="182"/>
        <v>41.52</v>
      </c>
      <c r="D5637" s="37">
        <v>2.641</v>
      </c>
      <c r="E5637" s="33">
        <f t="shared" si="183"/>
        <v>-3.0015608116220433E-3</v>
      </c>
    </row>
    <row r="5638" spans="1:5" x14ac:dyDescent="0.25">
      <c r="A5638" s="41">
        <v>43700</v>
      </c>
      <c r="B5638" s="29">
        <v>248.24</v>
      </c>
      <c r="C5638" s="37">
        <f t="shared" si="182"/>
        <v>41.373333333333335</v>
      </c>
      <c r="D5638" s="37">
        <v>2.641</v>
      </c>
      <c r="E5638" s="33">
        <f t="shared" si="183"/>
        <v>-3.5324341682723003E-3</v>
      </c>
    </row>
    <row r="5639" spans="1:5" x14ac:dyDescent="0.25">
      <c r="A5639" s="41">
        <v>43700</v>
      </c>
      <c r="B5639" s="29">
        <v>247.54</v>
      </c>
      <c r="C5639" s="37">
        <f t="shared" si="182"/>
        <v>41.256666666666668</v>
      </c>
      <c r="D5639" s="37">
        <v>2.641</v>
      </c>
      <c r="E5639" s="33">
        <f t="shared" si="183"/>
        <v>-2.8198517563648769E-3</v>
      </c>
    </row>
    <row r="5640" spans="1:5" x14ac:dyDescent="0.25">
      <c r="A5640" s="41">
        <v>43700</v>
      </c>
      <c r="B5640" s="29">
        <v>245.86</v>
      </c>
      <c r="C5640" s="37">
        <f t="shared" si="182"/>
        <v>40.976666666666667</v>
      </c>
      <c r="D5640" s="37">
        <v>2.641</v>
      </c>
      <c r="E5640" s="33">
        <f t="shared" si="183"/>
        <v>-6.7867819342327645E-3</v>
      </c>
    </row>
    <row r="5641" spans="1:5" x14ac:dyDescent="0.25">
      <c r="A5641" s="41">
        <v>43700</v>
      </c>
      <c r="B5641" s="29">
        <v>242.76</v>
      </c>
      <c r="C5641" s="37">
        <f t="shared" si="182"/>
        <v>40.46</v>
      </c>
      <c r="D5641" s="37">
        <v>2.641</v>
      </c>
      <c r="E5641" s="33">
        <f t="shared" si="183"/>
        <v>-1.2608801757097627E-2</v>
      </c>
    </row>
    <row r="5642" spans="1:5" x14ac:dyDescent="0.25">
      <c r="A5642" s="41">
        <v>43701</v>
      </c>
      <c r="B5642" s="29">
        <v>248.11</v>
      </c>
      <c r="C5642" s="37">
        <f t="shared" si="182"/>
        <v>41.351666666666667</v>
      </c>
      <c r="D5642" s="37">
        <v>2.6179999999999999</v>
      </c>
      <c r="E5642" s="33">
        <f t="shared" si="183"/>
        <v>2.2038227055528187E-2</v>
      </c>
    </row>
    <row r="5643" spans="1:5" x14ac:dyDescent="0.25">
      <c r="A5643" s="41">
        <v>43701</v>
      </c>
      <c r="B5643" s="29">
        <v>246.19</v>
      </c>
      <c r="C5643" s="37">
        <f t="shared" si="182"/>
        <v>41.031666666666666</v>
      </c>
      <c r="D5643" s="37">
        <v>2.6179999999999999</v>
      </c>
      <c r="E5643" s="33">
        <f t="shared" si="183"/>
        <v>-7.7385030833098858E-3</v>
      </c>
    </row>
    <row r="5644" spans="1:5" x14ac:dyDescent="0.25">
      <c r="A5644" s="41">
        <v>43701</v>
      </c>
      <c r="B5644" s="29">
        <v>245.68</v>
      </c>
      <c r="C5644" s="37">
        <f t="shared" si="182"/>
        <v>40.946666666666665</v>
      </c>
      <c r="D5644" s="37">
        <v>2.6179999999999999</v>
      </c>
      <c r="E5644" s="33">
        <f t="shared" si="183"/>
        <v>-2.0715707380478121E-3</v>
      </c>
    </row>
    <row r="5645" spans="1:5" x14ac:dyDescent="0.25">
      <c r="A5645" s="41">
        <v>43701</v>
      </c>
      <c r="B5645" s="29">
        <v>245.22</v>
      </c>
      <c r="C5645" s="37">
        <f t="shared" si="182"/>
        <v>40.869999999999997</v>
      </c>
      <c r="D5645" s="37">
        <v>2.6179999999999999</v>
      </c>
      <c r="E5645" s="33">
        <f t="shared" si="183"/>
        <v>-1.8723542819928686E-3</v>
      </c>
    </row>
    <row r="5646" spans="1:5" x14ac:dyDescent="0.25">
      <c r="A5646" s="41">
        <v>43701</v>
      </c>
      <c r="B5646" s="29">
        <v>245.46</v>
      </c>
      <c r="C5646" s="37">
        <f t="shared" si="182"/>
        <v>40.909999999999997</v>
      </c>
      <c r="D5646" s="37">
        <v>2.6179999999999999</v>
      </c>
      <c r="E5646" s="33">
        <f t="shared" si="183"/>
        <v>9.7871299241501135E-4</v>
      </c>
    </row>
    <row r="5647" spans="1:5" x14ac:dyDescent="0.25">
      <c r="A5647" s="41">
        <v>43701</v>
      </c>
      <c r="B5647" s="29">
        <v>245.71</v>
      </c>
      <c r="C5647" s="37">
        <f t="shared" si="182"/>
        <v>40.951666666666668</v>
      </c>
      <c r="D5647" s="37">
        <v>2.6179999999999999</v>
      </c>
      <c r="E5647" s="33">
        <f t="shared" si="183"/>
        <v>1.0184958852766234E-3</v>
      </c>
    </row>
    <row r="5648" spans="1:5" x14ac:dyDescent="0.25">
      <c r="A5648" s="41">
        <v>43701</v>
      </c>
      <c r="B5648" s="29">
        <v>246.2</v>
      </c>
      <c r="C5648" s="37">
        <f t="shared" si="182"/>
        <v>41.033333333333331</v>
      </c>
      <c r="D5648" s="37">
        <v>2.6179999999999999</v>
      </c>
      <c r="E5648" s="33">
        <f t="shared" si="183"/>
        <v>1.9942208294329929E-3</v>
      </c>
    </row>
    <row r="5649" spans="1:5" x14ac:dyDescent="0.25">
      <c r="A5649" s="41">
        <v>43701</v>
      </c>
      <c r="B5649" s="29">
        <v>246.68</v>
      </c>
      <c r="C5649" s="37">
        <f t="shared" si="182"/>
        <v>41.113333333333337</v>
      </c>
      <c r="D5649" s="37">
        <v>2.6179999999999999</v>
      </c>
      <c r="E5649" s="33">
        <f t="shared" si="183"/>
        <v>1.9496344435419098E-3</v>
      </c>
    </row>
    <row r="5650" spans="1:5" x14ac:dyDescent="0.25">
      <c r="A5650" s="41">
        <v>43701</v>
      </c>
      <c r="B5650" s="29">
        <v>250.2</v>
      </c>
      <c r="C5650" s="37">
        <f t="shared" si="182"/>
        <v>41.7</v>
      </c>
      <c r="D5650" s="37">
        <v>2.6179999999999999</v>
      </c>
      <c r="E5650" s="33">
        <f t="shared" si="183"/>
        <v>1.4269498946002844E-2</v>
      </c>
    </row>
    <row r="5651" spans="1:5" x14ac:dyDescent="0.25">
      <c r="A5651" s="41">
        <v>43701</v>
      </c>
      <c r="B5651" s="29">
        <v>250.92</v>
      </c>
      <c r="C5651" s="37">
        <f t="shared" si="182"/>
        <v>41.82</v>
      </c>
      <c r="D5651" s="37">
        <v>2.6179999999999999</v>
      </c>
      <c r="E5651" s="33">
        <f t="shared" si="183"/>
        <v>2.8776978417266144E-3</v>
      </c>
    </row>
    <row r="5652" spans="1:5" x14ac:dyDescent="0.25">
      <c r="A5652" s="41">
        <v>43701</v>
      </c>
      <c r="B5652" s="29">
        <v>251.77</v>
      </c>
      <c r="C5652" s="37">
        <f t="shared" si="182"/>
        <v>41.961666666666666</v>
      </c>
      <c r="D5652" s="37">
        <v>2.6179999999999999</v>
      </c>
      <c r="E5652" s="33">
        <f t="shared" si="183"/>
        <v>3.3875338753388442E-3</v>
      </c>
    </row>
    <row r="5653" spans="1:5" x14ac:dyDescent="0.25">
      <c r="A5653" s="41">
        <v>43701</v>
      </c>
      <c r="B5653" s="29">
        <v>252.14</v>
      </c>
      <c r="C5653" s="37">
        <f t="shared" si="182"/>
        <v>42.023333333333333</v>
      </c>
      <c r="D5653" s="37">
        <v>2.6179999999999999</v>
      </c>
      <c r="E5653" s="33">
        <f t="shared" si="183"/>
        <v>1.4695952655200226E-3</v>
      </c>
    </row>
    <row r="5654" spans="1:5" x14ac:dyDescent="0.25">
      <c r="A5654" s="41">
        <v>43701</v>
      </c>
      <c r="B5654" s="29">
        <v>251.4</v>
      </c>
      <c r="C5654" s="37">
        <f t="shared" si="182"/>
        <v>41.9</v>
      </c>
      <c r="D5654" s="37">
        <v>2.6179999999999999</v>
      </c>
      <c r="E5654" s="33">
        <f t="shared" si="183"/>
        <v>-2.9348774490361731E-3</v>
      </c>
    </row>
    <row r="5655" spans="1:5" x14ac:dyDescent="0.25">
      <c r="A5655" s="41">
        <v>43701</v>
      </c>
      <c r="B5655" s="29">
        <v>251.28</v>
      </c>
      <c r="C5655" s="37">
        <f t="shared" si="182"/>
        <v>41.88</v>
      </c>
      <c r="D5655" s="37">
        <v>2.6179999999999999</v>
      </c>
      <c r="E5655" s="33">
        <f t="shared" si="183"/>
        <v>-4.7732696897376508E-4</v>
      </c>
    </row>
    <row r="5656" spans="1:5" x14ac:dyDescent="0.25">
      <c r="A5656" s="41">
        <v>43701</v>
      </c>
      <c r="B5656" s="29">
        <v>251.24</v>
      </c>
      <c r="C5656" s="37">
        <f t="shared" si="182"/>
        <v>41.873333333333335</v>
      </c>
      <c r="D5656" s="37">
        <v>2.6179999999999999</v>
      </c>
      <c r="E5656" s="33">
        <f t="shared" si="183"/>
        <v>-1.5918497293852292E-4</v>
      </c>
    </row>
    <row r="5657" spans="1:5" x14ac:dyDescent="0.25">
      <c r="A5657" s="41">
        <v>43701</v>
      </c>
      <c r="B5657" s="29">
        <v>251.2</v>
      </c>
      <c r="C5657" s="37">
        <f t="shared" si="182"/>
        <v>41.866666666666667</v>
      </c>
      <c r="D5657" s="37">
        <v>2.6179999999999999</v>
      </c>
      <c r="E5657" s="33">
        <f t="shared" si="183"/>
        <v>-1.5921031682861195E-4</v>
      </c>
    </row>
    <row r="5658" spans="1:5" x14ac:dyDescent="0.25">
      <c r="A5658" s="41">
        <v>43701</v>
      </c>
      <c r="B5658" s="29">
        <v>251.4</v>
      </c>
      <c r="C5658" s="37">
        <f t="shared" si="182"/>
        <v>41.9</v>
      </c>
      <c r="D5658" s="37">
        <v>2.6179999999999999</v>
      </c>
      <c r="E5658" s="33">
        <f t="shared" si="183"/>
        <v>7.961783439491125E-4</v>
      </c>
    </row>
    <row r="5659" spans="1:5" x14ac:dyDescent="0.25">
      <c r="A5659" s="41">
        <v>43701</v>
      </c>
      <c r="B5659" s="29">
        <v>253.29</v>
      </c>
      <c r="C5659" s="37">
        <f t="shared" si="182"/>
        <v>42.215000000000003</v>
      </c>
      <c r="D5659" s="37">
        <v>2.6179999999999999</v>
      </c>
      <c r="E5659" s="33">
        <f t="shared" si="183"/>
        <v>7.5178997613364607E-3</v>
      </c>
    </row>
    <row r="5660" spans="1:5" x14ac:dyDescent="0.25">
      <c r="A5660" s="41">
        <v>43701</v>
      </c>
      <c r="B5660" s="29">
        <v>254.46</v>
      </c>
      <c r="C5660" s="37">
        <f t="shared" si="182"/>
        <v>42.41</v>
      </c>
      <c r="D5660" s="37">
        <v>2.6179999999999999</v>
      </c>
      <c r="E5660" s="33">
        <f t="shared" si="183"/>
        <v>4.6192111808599466E-3</v>
      </c>
    </row>
    <row r="5661" spans="1:5" x14ac:dyDescent="0.25">
      <c r="A5661" s="41">
        <v>43701</v>
      </c>
      <c r="B5661" s="29">
        <v>254.27</v>
      </c>
      <c r="C5661" s="37">
        <f t="shared" si="182"/>
        <v>42.37833333333333</v>
      </c>
      <c r="D5661" s="37">
        <v>2.6179999999999999</v>
      </c>
      <c r="E5661" s="33">
        <f t="shared" si="183"/>
        <v>-7.4667924231705464E-4</v>
      </c>
    </row>
    <row r="5662" spans="1:5" x14ac:dyDescent="0.25">
      <c r="A5662" s="41">
        <v>43701</v>
      </c>
      <c r="B5662" s="29">
        <v>253.82</v>
      </c>
      <c r="C5662" s="37">
        <f t="shared" si="182"/>
        <v>42.303333333333335</v>
      </c>
      <c r="D5662" s="37">
        <v>2.6179999999999999</v>
      </c>
      <c r="E5662" s="33">
        <f t="shared" si="183"/>
        <v>-1.769772289298844E-3</v>
      </c>
    </row>
    <row r="5663" spans="1:5" x14ac:dyDescent="0.25">
      <c r="A5663" s="41">
        <v>43701</v>
      </c>
      <c r="B5663" s="29">
        <v>252.96</v>
      </c>
      <c r="C5663" s="37">
        <f t="shared" si="182"/>
        <v>42.16</v>
      </c>
      <c r="D5663" s="37">
        <v>2.6179999999999999</v>
      </c>
      <c r="E5663" s="33">
        <f t="shared" si="183"/>
        <v>-3.3882278780237381E-3</v>
      </c>
    </row>
    <row r="5664" spans="1:5" x14ac:dyDescent="0.25">
      <c r="A5664" s="41">
        <v>43701</v>
      </c>
      <c r="B5664" s="29">
        <v>250.36</v>
      </c>
      <c r="C5664" s="37">
        <f t="shared" si="182"/>
        <v>41.726666666666667</v>
      </c>
      <c r="D5664" s="37">
        <v>2.6179999999999999</v>
      </c>
      <c r="E5664" s="33">
        <f t="shared" si="183"/>
        <v>-1.0278304870335209E-2</v>
      </c>
    </row>
    <row r="5665" spans="1:5" x14ac:dyDescent="0.25">
      <c r="A5665" s="41">
        <v>43701</v>
      </c>
      <c r="B5665" s="29">
        <v>247.9</v>
      </c>
      <c r="C5665" s="37">
        <f t="shared" si="182"/>
        <v>41.31666666666667</v>
      </c>
      <c r="D5665" s="37">
        <v>2.6179999999999999</v>
      </c>
      <c r="E5665" s="33">
        <f t="shared" si="183"/>
        <v>-9.8258507748841973E-3</v>
      </c>
    </row>
    <row r="5666" spans="1:5" x14ac:dyDescent="0.25">
      <c r="A5666" s="41">
        <v>43702</v>
      </c>
      <c r="B5666" s="29">
        <v>242.25</v>
      </c>
      <c r="C5666" s="37">
        <f t="shared" si="182"/>
        <v>40.375</v>
      </c>
      <c r="D5666" s="37">
        <v>2.597</v>
      </c>
      <c r="E5666" s="33">
        <f t="shared" si="183"/>
        <v>-2.2791448164582517E-2</v>
      </c>
    </row>
    <row r="5667" spans="1:5" x14ac:dyDescent="0.25">
      <c r="A5667" s="41">
        <v>43702</v>
      </c>
      <c r="B5667" s="29">
        <v>242.25</v>
      </c>
      <c r="C5667" s="37">
        <f t="shared" si="182"/>
        <v>40.375</v>
      </c>
      <c r="D5667" s="37">
        <v>2.597</v>
      </c>
      <c r="E5667" s="33">
        <f t="shared" si="183"/>
        <v>0</v>
      </c>
    </row>
    <row r="5668" spans="1:5" x14ac:dyDescent="0.25">
      <c r="A5668" s="41">
        <v>43702</v>
      </c>
      <c r="B5668" s="29">
        <v>242.25</v>
      </c>
      <c r="C5668" s="37">
        <f t="shared" si="182"/>
        <v>40.375</v>
      </c>
      <c r="D5668" s="37">
        <v>2.597</v>
      </c>
      <c r="E5668" s="33">
        <f t="shared" si="183"/>
        <v>0</v>
      </c>
    </row>
    <row r="5669" spans="1:5" x14ac:dyDescent="0.25">
      <c r="A5669" s="41">
        <v>43702</v>
      </c>
      <c r="B5669" s="29">
        <v>242.25</v>
      </c>
      <c r="C5669" s="37">
        <f t="shared" si="182"/>
        <v>40.375</v>
      </c>
      <c r="D5669" s="37">
        <v>2.597</v>
      </c>
      <c r="E5669" s="33">
        <f t="shared" si="183"/>
        <v>0</v>
      </c>
    </row>
    <row r="5670" spans="1:5" x14ac:dyDescent="0.25">
      <c r="A5670" s="41">
        <v>43702</v>
      </c>
      <c r="B5670" s="29">
        <v>242.25</v>
      </c>
      <c r="C5670" s="37">
        <f t="shared" si="182"/>
        <v>40.375</v>
      </c>
      <c r="D5670" s="37">
        <v>2.597</v>
      </c>
      <c r="E5670" s="33">
        <f t="shared" si="183"/>
        <v>0</v>
      </c>
    </row>
    <row r="5671" spans="1:5" x14ac:dyDescent="0.25">
      <c r="A5671" s="41">
        <v>43702</v>
      </c>
      <c r="B5671" s="29">
        <v>242.25</v>
      </c>
      <c r="C5671" s="37">
        <f t="shared" si="182"/>
        <v>40.375</v>
      </c>
      <c r="D5671" s="37">
        <v>2.597</v>
      </c>
      <c r="E5671" s="33">
        <f t="shared" si="183"/>
        <v>0</v>
      </c>
    </row>
    <row r="5672" spans="1:5" x14ac:dyDescent="0.25">
      <c r="A5672" s="41">
        <v>43702</v>
      </c>
      <c r="B5672" s="29">
        <v>242.25</v>
      </c>
      <c r="C5672" s="37">
        <f t="shared" si="182"/>
        <v>40.375</v>
      </c>
      <c r="D5672" s="37">
        <v>2.597</v>
      </c>
      <c r="E5672" s="33">
        <f t="shared" si="183"/>
        <v>0</v>
      </c>
    </row>
    <row r="5673" spans="1:5" x14ac:dyDescent="0.25">
      <c r="A5673" s="41">
        <v>43702</v>
      </c>
      <c r="B5673" s="29">
        <v>242.25</v>
      </c>
      <c r="C5673" s="37">
        <f t="shared" si="182"/>
        <v>40.375</v>
      </c>
      <c r="D5673" s="37">
        <v>2.597</v>
      </c>
      <c r="E5673" s="33">
        <f t="shared" si="183"/>
        <v>0</v>
      </c>
    </row>
    <row r="5674" spans="1:5" x14ac:dyDescent="0.25">
      <c r="A5674" s="41">
        <v>43702</v>
      </c>
      <c r="B5674" s="29">
        <v>242.25</v>
      </c>
      <c r="C5674" s="37">
        <f t="shared" si="182"/>
        <v>40.375</v>
      </c>
      <c r="D5674" s="37">
        <v>2.597</v>
      </c>
      <c r="E5674" s="33">
        <f t="shared" si="183"/>
        <v>0</v>
      </c>
    </row>
    <row r="5675" spans="1:5" x14ac:dyDescent="0.25">
      <c r="A5675" s="41">
        <v>43702</v>
      </c>
      <c r="B5675" s="29">
        <v>242.25</v>
      </c>
      <c r="C5675" s="37">
        <f t="shared" si="182"/>
        <v>40.375</v>
      </c>
      <c r="D5675" s="37">
        <v>2.597</v>
      </c>
      <c r="E5675" s="33">
        <f t="shared" si="183"/>
        <v>0</v>
      </c>
    </row>
    <row r="5676" spans="1:5" x14ac:dyDescent="0.25">
      <c r="A5676" s="41">
        <v>43702</v>
      </c>
      <c r="B5676" s="29">
        <v>242.25</v>
      </c>
      <c r="C5676" s="37">
        <f t="shared" si="182"/>
        <v>40.375</v>
      </c>
      <c r="D5676" s="37">
        <v>2.597</v>
      </c>
      <c r="E5676" s="33">
        <f t="shared" si="183"/>
        <v>0</v>
      </c>
    </row>
    <row r="5677" spans="1:5" x14ac:dyDescent="0.25">
      <c r="A5677" s="41">
        <v>43702</v>
      </c>
      <c r="B5677" s="29">
        <v>242.25</v>
      </c>
      <c r="C5677" s="37">
        <f t="shared" si="182"/>
        <v>40.375</v>
      </c>
      <c r="D5677" s="37">
        <v>2.597</v>
      </c>
      <c r="E5677" s="33">
        <f t="shared" si="183"/>
        <v>0</v>
      </c>
    </row>
    <row r="5678" spans="1:5" x14ac:dyDescent="0.25">
      <c r="A5678" s="41">
        <v>43702</v>
      </c>
      <c r="B5678" s="29">
        <v>242.25</v>
      </c>
      <c r="C5678" s="37">
        <f t="shared" si="182"/>
        <v>40.375</v>
      </c>
      <c r="D5678" s="37">
        <v>2.597</v>
      </c>
      <c r="E5678" s="33">
        <f t="shared" si="183"/>
        <v>0</v>
      </c>
    </row>
    <row r="5679" spans="1:5" x14ac:dyDescent="0.25">
      <c r="A5679" s="41">
        <v>43702</v>
      </c>
      <c r="B5679" s="29">
        <v>242.25</v>
      </c>
      <c r="C5679" s="37">
        <f t="shared" si="182"/>
        <v>40.375</v>
      </c>
      <c r="D5679" s="37">
        <v>2.597</v>
      </c>
      <c r="E5679" s="33">
        <f t="shared" si="183"/>
        <v>0</v>
      </c>
    </row>
    <row r="5680" spans="1:5" x14ac:dyDescent="0.25">
      <c r="A5680" s="41">
        <v>43702</v>
      </c>
      <c r="B5680" s="29">
        <v>242.25</v>
      </c>
      <c r="C5680" s="37">
        <f t="shared" si="182"/>
        <v>40.375</v>
      </c>
      <c r="D5680" s="37">
        <v>2.597</v>
      </c>
      <c r="E5680" s="33">
        <f t="shared" si="183"/>
        <v>0</v>
      </c>
    </row>
    <row r="5681" spans="1:5" x14ac:dyDescent="0.25">
      <c r="A5681" s="41">
        <v>43702</v>
      </c>
      <c r="B5681" s="29">
        <v>242.25</v>
      </c>
      <c r="C5681" s="37">
        <f t="shared" si="182"/>
        <v>40.375</v>
      </c>
      <c r="D5681" s="37">
        <v>2.597</v>
      </c>
      <c r="E5681" s="33">
        <f t="shared" si="183"/>
        <v>0</v>
      </c>
    </row>
    <row r="5682" spans="1:5" x14ac:dyDescent="0.25">
      <c r="A5682" s="41">
        <v>43702</v>
      </c>
      <c r="B5682" s="29">
        <v>242.25</v>
      </c>
      <c r="C5682" s="37">
        <f t="shared" si="182"/>
        <v>40.375</v>
      </c>
      <c r="D5682" s="37">
        <v>2.597</v>
      </c>
      <c r="E5682" s="33">
        <f t="shared" si="183"/>
        <v>0</v>
      </c>
    </row>
    <row r="5683" spans="1:5" x14ac:dyDescent="0.25">
      <c r="A5683" s="41">
        <v>43702</v>
      </c>
      <c r="B5683" s="29">
        <v>242.25</v>
      </c>
      <c r="C5683" s="37">
        <f t="shared" si="182"/>
        <v>40.375</v>
      </c>
      <c r="D5683" s="37">
        <v>2.597</v>
      </c>
      <c r="E5683" s="33">
        <f t="shared" si="183"/>
        <v>0</v>
      </c>
    </row>
    <row r="5684" spans="1:5" x14ac:dyDescent="0.25">
      <c r="A5684" s="41">
        <v>43702</v>
      </c>
      <c r="B5684" s="29">
        <v>252.7</v>
      </c>
      <c r="C5684" s="37">
        <f t="shared" si="182"/>
        <v>42.116666666666667</v>
      </c>
      <c r="D5684" s="37">
        <v>2.597</v>
      </c>
      <c r="E5684" s="33">
        <f t="shared" si="183"/>
        <v>4.3137254901960735E-2</v>
      </c>
    </row>
    <row r="5685" spans="1:5" x14ac:dyDescent="0.25">
      <c r="A5685" s="41">
        <v>43702</v>
      </c>
      <c r="B5685" s="29">
        <v>252.7</v>
      </c>
      <c r="C5685" s="37">
        <f t="shared" si="182"/>
        <v>42.116666666666667</v>
      </c>
      <c r="D5685" s="37">
        <v>2.597</v>
      </c>
      <c r="E5685" s="33">
        <f t="shared" si="183"/>
        <v>0</v>
      </c>
    </row>
    <row r="5686" spans="1:5" x14ac:dyDescent="0.25">
      <c r="A5686" s="41">
        <v>43702</v>
      </c>
      <c r="B5686" s="29">
        <v>252.7</v>
      </c>
      <c r="C5686" s="37">
        <f t="shared" si="182"/>
        <v>42.116666666666667</v>
      </c>
      <c r="D5686" s="37">
        <v>2.597</v>
      </c>
      <c r="E5686" s="33">
        <f t="shared" si="183"/>
        <v>0</v>
      </c>
    </row>
    <row r="5687" spans="1:5" x14ac:dyDescent="0.25">
      <c r="A5687" s="41">
        <v>43702</v>
      </c>
      <c r="B5687" s="29">
        <v>252.7</v>
      </c>
      <c r="C5687" s="37">
        <f t="shared" si="182"/>
        <v>42.116666666666667</v>
      </c>
      <c r="D5687" s="37">
        <v>2.597</v>
      </c>
      <c r="E5687" s="33">
        <f t="shared" si="183"/>
        <v>0</v>
      </c>
    </row>
    <row r="5688" spans="1:5" x14ac:dyDescent="0.25">
      <c r="A5688" s="41">
        <v>43702</v>
      </c>
      <c r="B5688" s="29">
        <v>249.17</v>
      </c>
      <c r="C5688" s="37">
        <f t="shared" si="182"/>
        <v>41.528333333333336</v>
      </c>
      <c r="D5688" s="37">
        <v>2.597</v>
      </c>
      <c r="E5688" s="33">
        <f t="shared" si="183"/>
        <v>-1.3969133359715082E-2</v>
      </c>
    </row>
    <row r="5689" spans="1:5" x14ac:dyDescent="0.25">
      <c r="A5689" s="41">
        <v>43702</v>
      </c>
      <c r="B5689" s="29">
        <v>249.17</v>
      </c>
      <c r="C5689" s="37">
        <f t="shared" si="182"/>
        <v>41.528333333333336</v>
      </c>
      <c r="D5689" s="37">
        <v>2.597</v>
      </c>
      <c r="E5689" s="33">
        <f t="shared" si="183"/>
        <v>0</v>
      </c>
    </row>
    <row r="5690" spans="1:5" x14ac:dyDescent="0.25">
      <c r="A5690" s="41">
        <v>43703</v>
      </c>
      <c r="B5690" s="29">
        <v>242.24</v>
      </c>
      <c r="C5690" s="37">
        <f t="shared" si="182"/>
        <v>40.373333333333335</v>
      </c>
      <c r="D5690" s="37">
        <v>2.5739999999999998</v>
      </c>
      <c r="E5690" s="33">
        <f t="shared" si="183"/>
        <v>-2.7812336958702808E-2</v>
      </c>
    </row>
    <row r="5691" spans="1:5" x14ac:dyDescent="0.25">
      <c r="A5691" s="41">
        <v>43703</v>
      </c>
      <c r="B5691" s="29">
        <v>240.7</v>
      </c>
      <c r="C5691" s="37">
        <f t="shared" si="182"/>
        <v>40.116666666666667</v>
      </c>
      <c r="D5691" s="37">
        <v>2.5739999999999998</v>
      </c>
      <c r="E5691" s="33">
        <f t="shared" si="183"/>
        <v>-6.3573315719948004E-3</v>
      </c>
    </row>
    <row r="5692" spans="1:5" x14ac:dyDescent="0.25">
      <c r="A5692" s="41">
        <v>43703</v>
      </c>
      <c r="B5692" s="29">
        <v>240.27</v>
      </c>
      <c r="C5692" s="37">
        <f t="shared" si="182"/>
        <v>40.045000000000002</v>
      </c>
      <c r="D5692" s="37">
        <v>2.5739999999999998</v>
      </c>
      <c r="E5692" s="33">
        <f t="shared" si="183"/>
        <v>-1.7864561695055191E-3</v>
      </c>
    </row>
    <row r="5693" spans="1:5" x14ac:dyDescent="0.25">
      <c r="A5693" s="41">
        <v>43703</v>
      </c>
      <c r="B5693" s="29">
        <v>240.3</v>
      </c>
      <c r="C5693" s="37">
        <f t="shared" si="182"/>
        <v>40.049999999999997</v>
      </c>
      <c r="D5693" s="37">
        <v>2.5739999999999998</v>
      </c>
      <c r="E5693" s="33">
        <f t="shared" si="183"/>
        <v>1.2485953302535121E-4</v>
      </c>
    </row>
    <row r="5694" spans="1:5" x14ac:dyDescent="0.25">
      <c r="A5694" s="41">
        <v>43703</v>
      </c>
      <c r="B5694" s="29">
        <v>241.08</v>
      </c>
      <c r="C5694" s="37">
        <f t="shared" si="182"/>
        <v>40.18</v>
      </c>
      <c r="D5694" s="37">
        <v>2.5739999999999998</v>
      </c>
      <c r="E5694" s="33">
        <f t="shared" si="183"/>
        <v>3.2459425717852731E-3</v>
      </c>
    </row>
    <row r="5695" spans="1:5" x14ac:dyDescent="0.25">
      <c r="A5695" s="41">
        <v>43703</v>
      </c>
      <c r="B5695" s="29">
        <v>246.08</v>
      </c>
      <c r="C5695" s="37">
        <f t="shared" si="182"/>
        <v>41.013333333333335</v>
      </c>
      <c r="D5695" s="37">
        <v>2.5739999999999998</v>
      </c>
      <c r="E5695" s="33">
        <f t="shared" si="183"/>
        <v>2.0740003318400532E-2</v>
      </c>
    </row>
    <row r="5696" spans="1:5" x14ac:dyDescent="0.25">
      <c r="A5696" s="41">
        <v>43703</v>
      </c>
      <c r="B5696" s="29">
        <v>251.14</v>
      </c>
      <c r="C5696" s="37">
        <f t="shared" si="182"/>
        <v>41.856666666666669</v>
      </c>
      <c r="D5696" s="37">
        <v>2.5739999999999998</v>
      </c>
      <c r="E5696" s="33">
        <f t="shared" si="183"/>
        <v>2.0562418725617579E-2</v>
      </c>
    </row>
    <row r="5697" spans="1:5" x14ac:dyDescent="0.25">
      <c r="A5697" s="41">
        <v>43703</v>
      </c>
      <c r="B5697" s="29">
        <v>253.28</v>
      </c>
      <c r="C5697" s="37">
        <f t="shared" si="182"/>
        <v>42.213333333333331</v>
      </c>
      <c r="D5697" s="37">
        <v>2.5739999999999998</v>
      </c>
      <c r="E5697" s="33">
        <f t="shared" si="183"/>
        <v>8.5211435852513128E-3</v>
      </c>
    </row>
    <row r="5698" spans="1:5" x14ac:dyDescent="0.25">
      <c r="A5698" s="41">
        <v>43703</v>
      </c>
      <c r="B5698" s="29">
        <v>255.82</v>
      </c>
      <c r="C5698" s="37">
        <f t="shared" si="182"/>
        <v>42.636666666666663</v>
      </c>
      <c r="D5698" s="37">
        <v>2.5739999999999998</v>
      </c>
      <c r="E5698" s="33">
        <f t="shared" si="183"/>
        <v>1.0028427037270972E-2</v>
      </c>
    </row>
    <row r="5699" spans="1:5" x14ac:dyDescent="0.25">
      <c r="A5699" s="41">
        <v>43703</v>
      </c>
      <c r="B5699" s="29">
        <v>256.10000000000002</v>
      </c>
      <c r="C5699" s="37">
        <f t="shared" ref="C5699:C5762" si="184">(B5699*100/600)</f>
        <v>42.683333333333337</v>
      </c>
      <c r="D5699" s="37">
        <v>2.5739999999999998</v>
      </c>
      <c r="E5699" s="33">
        <f t="shared" si="183"/>
        <v>1.0945195840826737E-3</v>
      </c>
    </row>
    <row r="5700" spans="1:5" x14ac:dyDescent="0.25">
      <c r="A5700" s="41">
        <v>43703</v>
      </c>
      <c r="B5700" s="29">
        <v>256.45</v>
      </c>
      <c r="C5700" s="37">
        <f t="shared" si="184"/>
        <v>42.741666666666667</v>
      </c>
      <c r="D5700" s="37">
        <v>2.5739999999999998</v>
      </c>
      <c r="E5700" s="33">
        <f t="shared" ref="E5700:E5763" si="185">(B5700-B5699)/B5699</f>
        <v>1.366653650917477E-3</v>
      </c>
    </row>
    <row r="5701" spans="1:5" x14ac:dyDescent="0.25">
      <c r="A5701" s="41">
        <v>43703</v>
      </c>
      <c r="B5701" s="29">
        <v>256.52</v>
      </c>
      <c r="C5701" s="37">
        <f t="shared" si="184"/>
        <v>42.75333333333333</v>
      </c>
      <c r="D5701" s="37">
        <v>2.5739999999999998</v>
      </c>
      <c r="E5701" s="33">
        <f t="shared" si="185"/>
        <v>2.7295769155778196E-4</v>
      </c>
    </row>
    <row r="5702" spans="1:5" x14ac:dyDescent="0.25">
      <c r="A5702" s="41">
        <v>43703</v>
      </c>
      <c r="B5702" s="29">
        <v>256.29000000000002</v>
      </c>
      <c r="C5702" s="37">
        <f t="shared" si="184"/>
        <v>42.715000000000003</v>
      </c>
      <c r="D5702" s="37">
        <v>2.5739999999999998</v>
      </c>
      <c r="E5702" s="33">
        <f t="shared" si="185"/>
        <v>-8.9661624824560022E-4</v>
      </c>
    </row>
    <row r="5703" spans="1:5" x14ac:dyDescent="0.25">
      <c r="A5703" s="41">
        <v>43703</v>
      </c>
      <c r="B5703" s="29">
        <v>256.32</v>
      </c>
      <c r="C5703" s="37">
        <f t="shared" si="184"/>
        <v>42.72</v>
      </c>
      <c r="D5703" s="37">
        <v>2.5739999999999998</v>
      </c>
      <c r="E5703" s="33">
        <f t="shared" si="185"/>
        <v>1.1705489874740611E-4</v>
      </c>
    </row>
    <row r="5704" spans="1:5" x14ac:dyDescent="0.25">
      <c r="A5704" s="41">
        <v>43703</v>
      </c>
      <c r="B5704" s="29">
        <v>256.63</v>
      </c>
      <c r="C5704" s="37">
        <f t="shared" si="184"/>
        <v>42.771666666666668</v>
      </c>
      <c r="D5704" s="37">
        <v>2.5739999999999998</v>
      </c>
      <c r="E5704" s="33">
        <f t="shared" si="185"/>
        <v>1.209425717852693E-3</v>
      </c>
    </row>
    <row r="5705" spans="1:5" x14ac:dyDescent="0.25">
      <c r="A5705" s="41">
        <v>43703</v>
      </c>
      <c r="B5705" s="29">
        <v>256.70999999999998</v>
      </c>
      <c r="C5705" s="37">
        <f t="shared" si="184"/>
        <v>42.784999999999997</v>
      </c>
      <c r="D5705" s="37">
        <v>2.5739999999999998</v>
      </c>
      <c r="E5705" s="33">
        <f t="shared" si="185"/>
        <v>3.1173284495181425E-4</v>
      </c>
    </row>
    <row r="5706" spans="1:5" x14ac:dyDescent="0.25">
      <c r="A5706" s="41">
        <v>43703</v>
      </c>
      <c r="B5706" s="29">
        <v>256.75</v>
      </c>
      <c r="C5706" s="37">
        <f t="shared" si="184"/>
        <v>42.791666666666664</v>
      </c>
      <c r="D5706" s="37">
        <v>2.5739999999999998</v>
      </c>
      <c r="E5706" s="33">
        <f t="shared" si="185"/>
        <v>1.5581784893467518E-4</v>
      </c>
    </row>
    <row r="5707" spans="1:5" x14ac:dyDescent="0.25">
      <c r="A5707" s="41">
        <v>43703</v>
      </c>
      <c r="B5707" s="29">
        <v>256.77</v>
      </c>
      <c r="C5707" s="37">
        <f t="shared" si="184"/>
        <v>42.795000000000002</v>
      </c>
      <c r="D5707" s="37">
        <v>2.5739999999999998</v>
      </c>
      <c r="E5707" s="33">
        <f t="shared" si="185"/>
        <v>7.7896786757475399E-5</v>
      </c>
    </row>
    <row r="5708" spans="1:5" x14ac:dyDescent="0.25">
      <c r="A5708" s="41">
        <v>43703</v>
      </c>
      <c r="B5708" s="29">
        <v>258.93</v>
      </c>
      <c r="C5708" s="37">
        <f t="shared" si="184"/>
        <v>43.155000000000001</v>
      </c>
      <c r="D5708" s="37">
        <v>2.5739999999999998</v>
      </c>
      <c r="E5708" s="33">
        <f t="shared" si="185"/>
        <v>8.4121976866457348E-3</v>
      </c>
    </row>
    <row r="5709" spans="1:5" x14ac:dyDescent="0.25">
      <c r="A5709" s="41">
        <v>43703</v>
      </c>
      <c r="B5709" s="29">
        <v>258.47000000000003</v>
      </c>
      <c r="C5709" s="37">
        <f t="shared" si="184"/>
        <v>43.07833333333334</v>
      </c>
      <c r="D5709" s="37">
        <v>2.5739999999999998</v>
      </c>
      <c r="E5709" s="33">
        <f t="shared" si="185"/>
        <v>-1.7765419225272449E-3</v>
      </c>
    </row>
    <row r="5710" spans="1:5" x14ac:dyDescent="0.25">
      <c r="A5710" s="41">
        <v>43703</v>
      </c>
      <c r="B5710" s="29">
        <v>257.18</v>
      </c>
      <c r="C5710" s="37">
        <f t="shared" si="184"/>
        <v>42.863333333333337</v>
      </c>
      <c r="D5710" s="37">
        <v>2.5739999999999998</v>
      </c>
      <c r="E5710" s="33">
        <f t="shared" si="185"/>
        <v>-4.9909080357489087E-3</v>
      </c>
    </row>
    <row r="5711" spans="1:5" x14ac:dyDescent="0.25">
      <c r="A5711" s="41">
        <v>43703</v>
      </c>
      <c r="B5711" s="29">
        <v>256.64999999999998</v>
      </c>
      <c r="C5711" s="37">
        <f t="shared" si="184"/>
        <v>42.774999999999991</v>
      </c>
      <c r="D5711" s="37">
        <v>2.5739999999999998</v>
      </c>
      <c r="E5711" s="33">
        <f t="shared" si="185"/>
        <v>-2.060813438059062E-3</v>
      </c>
    </row>
    <row r="5712" spans="1:5" x14ac:dyDescent="0.25">
      <c r="A5712" s="41">
        <v>43703</v>
      </c>
      <c r="B5712" s="29">
        <v>256.14</v>
      </c>
      <c r="C5712" s="37">
        <f t="shared" si="184"/>
        <v>42.69</v>
      </c>
      <c r="D5712" s="37">
        <v>2.5739999999999998</v>
      </c>
      <c r="E5712" s="33">
        <f t="shared" si="185"/>
        <v>-1.9871420222091992E-3</v>
      </c>
    </row>
    <row r="5713" spans="1:5" x14ac:dyDescent="0.25">
      <c r="A5713" s="41">
        <v>43703</v>
      </c>
      <c r="B5713" s="29">
        <v>255.19</v>
      </c>
      <c r="C5713" s="37">
        <f t="shared" si="184"/>
        <v>42.531666666666666</v>
      </c>
      <c r="D5713" s="37">
        <v>2.5739999999999998</v>
      </c>
      <c r="E5713" s="33">
        <f t="shared" si="185"/>
        <v>-3.7089091902865177E-3</v>
      </c>
    </row>
    <row r="5714" spans="1:5" x14ac:dyDescent="0.25">
      <c r="A5714" s="41">
        <v>43704</v>
      </c>
      <c r="B5714" s="29">
        <v>247.57</v>
      </c>
      <c r="C5714" s="37">
        <f t="shared" si="184"/>
        <v>41.261666666666663</v>
      </c>
      <c r="D5714" s="37">
        <v>2.516</v>
      </c>
      <c r="E5714" s="33">
        <f t="shared" si="185"/>
        <v>-2.9860104236059424E-2</v>
      </c>
    </row>
    <row r="5715" spans="1:5" x14ac:dyDescent="0.25">
      <c r="A5715" s="41">
        <v>43704</v>
      </c>
      <c r="B5715" s="29">
        <v>247.53</v>
      </c>
      <c r="C5715" s="37">
        <f t="shared" si="184"/>
        <v>41.255000000000003</v>
      </c>
      <c r="D5715" s="37">
        <v>2.516</v>
      </c>
      <c r="E5715" s="33">
        <f t="shared" si="185"/>
        <v>-1.6157046491898066E-4</v>
      </c>
    </row>
    <row r="5716" spans="1:5" x14ac:dyDescent="0.25">
      <c r="A5716" s="41">
        <v>43704</v>
      </c>
      <c r="B5716" s="29">
        <v>247.49</v>
      </c>
      <c r="C5716" s="37">
        <f t="shared" si="184"/>
        <v>41.248333333333335</v>
      </c>
      <c r="D5716" s="37">
        <v>2.516</v>
      </c>
      <c r="E5716" s="33">
        <f t="shared" si="185"/>
        <v>-1.6159657415259582E-4</v>
      </c>
    </row>
    <row r="5717" spans="1:5" x14ac:dyDescent="0.25">
      <c r="A5717" s="41">
        <v>43704</v>
      </c>
      <c r="B5717" s="29">
        <v>247.44</v>
      </c>
      <c r="C5717" s="37">
        <f t="shared" si="184"/>
        <v>41.24</v>
      </c>
      <c r="D5717" s="37">
        <v>2.516</v>
      </c>
      <c r="E5717" s="33">
        <f t="shared" si="185"/>
        <v>-2.0202836478246138E-4</v>
      </c>
    </row>
    <row r="5718" spans="1:5" x14ac:dyDescent="0.25">
      <c r="A5718" s="41">
        <v>43704</v>
      </c>
      <c r="B5718" s="29">
        <v>247.42</v>
      </c>
      <c r="C5718" s="37">
        <f t="shared" si="184"/>
        <v>41.236666666666665</v>
      </c>
      <c r="D5718" s="37">
        <v>2.516</v>
      </c>
      <c r="E5718" s="33">
        <f t="shared" si="185"/>
        <v>-8.0827675396096964E-5</v>
      </c>
    </row>
    <row r="5719" spans="1:5" x14ac:dyDescent="0.25">
      <c r="A5719" s="41">
        <v>43704</v>
      </c>
      <c r="B5719" s="29">
        <v>249.32</v>
      </c>
      <c r="C5719" s="37">
        <f t="shared" si="184"/>
        <v>41.553333333333335</v>
      </c>
      <c r="D5719" s="37">
        <v>2.516</v>
      </c>
      <c r="E5719" s="33">
        <f t="shared" si="185"/>
        <v>7.6792498585401573E-3</v>
      </c>
    </row>
    <row r="5720" spans="1:5" x14ac:dyDescent="0.25">
      <c r="A5720" s="41">
        <v>43704</v>
      </c>
      <c r="B5720" s="29">
        <v>251.71</v>
      </c>
      <c r="C5720" s="37">
        <f t="shared" si="184"/>
        <v>41.951666666666668</v>
      </c>
      <c r="D5720" s="37">
        <v>2.516</v>
      </c>
      <c r="E5720" s="33">
        <f t="shared" si="185"/>
        <v>9.5860741216108412E-3</v>
      </c>
    </row>
    <row r="5721" spans="1:5" x14ac:dyDescent="0.25">
      <c r="A5721" s="41">
        <v>43704</v>
      </c>
      <c r="B5721" s="29">
        <v>254.75</v>
      </c>
      <c r="C5721" s="37">
        <f t="shared" si="184"/>
        <v>42.458333333333336</v>
      </c>
      <c r="D5721" s="37">
        <v>2.516</v>
      </c>
      <c r="E5721" s="33">
        <f t="shared" si="185"/>
        <v>1.2077390647967867E-2</v>
      </c>
    </row>
    <row r="5722" spans="1:5" x14ac:dyDescent="0.25">
      <c r="A5722" s="41">
        <v>43704</v>
      </c>
      <c r="B5722" s="29">
        <v>256.24</v>
      </c>
      <c r="C5722" s="37">
        <f t="shared" si="184"/>
        <v>42.706666666666663</v>
      </c>
      <c r="D5722" s="37">
        <v>2.516</v>
      </c>
      <c r="E5722" s="33">
        <f t="shared" si="185"/>
        <v>5.8488714425908106E-3</v>
      </c>
    </row>
    <row r="5723" spans="1:5" x14ac:dyDescent="0.25">
      <c r="A5723" s="41">
        <v>43704</v>
      </c>
      <c r="B5723" s="29">
        <v>256.39999999999998</v>
      </c>
      <c r="C5723" s="37">
        <f t="shared" si="184"/>
        <v>42.733333333333327</v>
      </c>
      <c r="D5723" s="37">
        <v>2.516</v>
      </c>
      <c r="E5723" s="33">
        <f t="shared" si="185"/>
        <v>6.2441461130178025E-4</v>
      </c>
    </row>
    <row r="5724" spans="1:5" x14ac:dyDescent="0.25">
      <c r="A5724" s="41">
        <v>43704</v>
      </c>
      <c r="B5724" s="29">
        <v>256.52</v>
      </c>
      <c r="C5724" s="37">
        <f t="shared" si="184"/>
        <v>42.75333333333333</v>
      </c>
      <c r="D5724" s="37">
        <v>2.516</v>
      </c>
      <c r="E5724" s="33">
        <f t="shared" si="185"/>
        <v>4.6801872074884771E-4</v>
      </c>
    </row>
    <row r="5725" spans="1:5" x14ac:dyDescent="0.25">
      <c r="A5725" s="41">
        <v>43704</v>
      </c>
      <c r="B5725" s="29">
        <v>256.5</v>
      </c>
      <c r="C5725" s="37">
        <f t="shared" si="184"/>
        <v>42.75</v>
      </c>
      <c r="D5725" s="37">
        <v>2.516</v>
      </c>
      <c r="E5725" s="33">
        <f t="shared" si="185"/>
        <v>-7.79666302821683E-5</v>
      </c>
    </row>
    <row r="5726" spans="1:5" x14ac:dyDescent="0.25">
      <c r="A5726" s="41">
        <v>43704</v>
      </c>
      <c r="B5726" s="29">
        <v>256.43</v>
      </c>
      <c r="C5726" s="37">
        <f t="shared" si="184"/>
        <v>42.738333333333337</v>
      </c>
      <c r="D5726" s="37">
        <v>2.516</v>
      </c>
      <c r="E5726" s="33">
        <f t="shared" si="185"/>
        <v>-2.729044834307726E-4</v>
      </c>
    </row>
    <row r="5727" spans="1:5" x14ac:dyDescent="0.25">
      <c r="A5727" s="41">
        <v>43704</v>
      </c>
      <c r="B5727" s="29">
        <v>256.39999999999998</v>
      </c>
      <c r="C5727" s="37">
        <f t="shared" si="184"/>
        <v>42.733333333333327</v>
      </c>
      <c r="D5727" s="37">
        <v>2.516</v>
      </c>
      <c r="E5727" s="33">
        <f t="shared" si="185"/>
        <v>-1.1699099169375486E-4</v>
      </c>
    </row>
    <row r="5728" spans="1:5" x14ac:dyDescent="0.25">
      <c r="A5728" s="41">
        <v>43704</v>
      </c>
      <c r="B5728" s="29">
        <v>256.39999999999998</v>
      </c>
      <c r="C5728" s="37">
        <f t="shared" si="184"/>
        <v>42.733333333333327</v>
      </c>
      <c r="D5728" s="37">
        <v>2.516</v>
      </c>
      <c r="E5728" s="33">
        <f t="shared" si="185"/>
        <v>0</v>
      </c>
    </row>
    <row r="5729" spans="1:5" x14ac:dyDescent="0.25">
      <c r="A5729" s="41">
        <v>43704</v>
      </c>
      <c r="B5729" s="29">
        <v>256.36</v>
      </c>
      <c r="C5729" s="37">
        <f t="shared" si="184"/>
        <v>42.726666666666667</v>
      </c>
      <c r="D5729" s="37">
        <v>2.516</v>
      </c>
      <c r="E5729" s="33">
        <f t="shared" si="185"/>
        <v>-1.5600624024946812E-4</v>
      </c>
    </row>
    <row r="5730" spans="1:5" x14ac:dyDescent="0.25">
      <c r="A5730" s="41">
        <v>43704</v>
      </c>
      <c r="B5730" s="29">
        <v>256.32</v>
      </c>
      <c r="C5730" s="37">
        <f t="shared" si="184"/>
        <v>42.72</v>
      </c>
      <c r="D5730" s="37">
        <v>2.516</v>
      </c>
      <c r="E5730" s="33">
        <f t="shared" si="185"/>
        <v>-1.5603058199415066E-4</v>
      </c>
    </row>
    <row r="5731" spans="1:5" x14ac:dyDescent="0.25">
      <c r="A5731" s="41">
        <v>43704</v>
      </c>
      <c r="B5731" s="29">
        <v>256.31</v>
      </c>
      <c r="C5731" s="37">
        <f t="shared" si="184"/>
        <v>42.718333333333334</v>
      </c>
      <c r="D5731" s="37">
        <v>2.516</v>
      </c>
      <c r="E5731" s="33">
        <f t="shared" si="185"/>
        <v>-3.9013732833922073E-5</v>
      </c>
    </row>
    <row r="5732" spans="1:5" x14ac:dyDescent="0.25">
      <c r="A5732" s="41">
        <v>43704</v>
      </c>
      <c r="B5732" s="29">
        <v>256.72000000000003</v>
      </c>
      <c r="C5732" s="37">
        <f t="shared" si="184"/>
        <v>42.786666666666676</v>
      </c>
      <c r="D5732" s="37">
        <v>2.516</v>
      </c>
      <c r="E5732" s="33">
        <f t="shared" si="185"/>
        <v>1.5996254535524366E-3</v>
      </c>
    </row>
    <row r="5733" spans="1:5" x14ac:dyDescent="0.25">
      <c r="A5733" s="41">
        <v>43704</v>
      </c>
      <c r="B5733" s="29">
        <v>256.55</v>
      </c>
      <c r="C5733" s="37">
        <f t="shared" si="184"/>
        <v>42.758333333333333</v>
      </c>
      <c r="D5733" s="37">
        <v>2.516</v>
      </c>
      <c r="E5733" s="33">
        <f t="shared" si="185"/>
        <v>-6.6220006232477365E-4</v>
      </c>
    </row>
    <row r="5734" spans="1:5" x14ac:dyDescent="0.25">
      <c r="A5734" s="41">
        <v>43704</v>
      </c>
      <c r="B5734" s="29">
        <v>256.32</v>
      </c>
      <c r="C5734" s="37">
        <f t="shared" si="184"/>
        <v>42.72</v>
      </c>
      <c r="D5734" s="37">
        <v>2.516</v>
      </c>
      <c r="E5734" s="33">
        <f t="shared" si="185"/>
        <v>-8.9651140128636981E-4</v>
      </c>
    </row>
    <row r="5735" spans="1:5" x14ac:dyDescent="0.25">
      <c r="A5735" s="41">
        <v>43704</v>
      </c>
      <c r="B5735" s="29">
        <v>256.2</v>
      </c>
      <c r="C5735" s="37">
        <f t="shared" si="184"/>
        <v>42.7</v>
      </c>
      <c r="D5735" s="37">
        <v>2.516</v>
      </c>
      <c r="E5735" s="33">
        <f t="shared" si="185"/>
        <v>-4.6816479400750837E-4</v>
      </c>
    </row>
    <row r="5736" spans="1:5" x14ac:dyDescent="0.25">
      <c r="A5736" s="41">
        <v>43704</v>
      </c>
      <c r="B5736" s="29">
        <v>256.02</v>
      </c>
      <c r="C5736" s="37">
        <f t="shared" si="184"/>
        <v>42.67</v>
      </c>
      <c r="D5736" s="37">
        <v>2.516</v>
      </c>
      <c r="E5736" s="33">
        <f t="shared" si="185"/>
        <v>-7.0257611241220466E-4</v>
      </c>
    </row>
    <row r="5737" spans="1:5" x14ac:dyDescent="0.25">
      <c r="A5737" s="41">
        <v>43704</v>
      </c>
      <c r="B5737" s="29">
        <v>254.26</v>
      </c>
      <c r="C5737" s="37">
        <f t="shared" si="184"/>
        <v>42.376666666666665</v>
      </c>
      <c r="D5737" s="37">
        <v>2.516</v>
      </c>
      <c r="E5737" s="33">
        <f t="shared" si="185"/>
        <v>-6.8744629325833565E-3</v>
      </c>
    </row>
    <row r="5738" spans="1:5" x14ac:dyDescent="0.25">
      <c r="A5738" s="41">
        <v>43705</v>
      </c>
      <c r="B5738" s="29">
        <v>250.61</v>
      </c>
      <c r="C5738" s="37">
        <f t="shared" si="184"/>
        <v>41.768333333333331</v>
      </c>
      <c r="D5738" s="37">
        <v>2.4470000000000001</v>
      </c>
      <c r="E5738" s="33">
        <f t="shared" si="185"/>
        <v>-1.4355384252340035E-2</v>
      </c>
    </row>
    <row r="5739" spans="1:5" x14ac:dyDescent="0.25">
      <c r="A5739" s="41">
        <v>43705</v>
      </c>
      <c r="B5739" s="29">
        <v>250.1</v>
      </c>
      <c r="C5739" s="37">
        <f t="shared" si="184"/>
        <v>41.68333333333333</v>
      </c>
      <c r="D5739" s="37">
        <v>2.4470000000000001</v>
      </c>
      <c r="E5739" s="33">
        <f t="shared" si="185"/>
        <v>-2.03503451578157E-3</v>
      </c>
    </row>
    <row r="5740" spans="1:5" x14ac:dyDescent="0.25">
      <c r="A5740" s="41">
        <v>43705</v>
      </c>
      <c r="B5740" s="29">
        <v>249.49</v>
      </c>
      <c r="C5740" s="37">
        <f t="shared" si="184"/>
        <v>41.581666666666663</v>
      </c>
      <c r="D5740" s="37">
        <v>2.4470000000000001</v>
      </c>
      <c r="E5740" s="33">
        <f t="shared" si="185"/>
        <v>-2.4390243902438435E-3</v>
      </c>
    </row>
    <row r="5741" spans="1:5" x14ac:dyDescent="0.25">
      <c r="A5741" s="41">
        <v>43705</v>
      </c>
      <c r="B5741" s="29">
        <v>248.59</v>
      </c>
      <c r="C5741" s="37">
        <f t="shared" si="184"/>
        <v>41.431666666666665</v>
      </c>
      <c r="D5741" s="37">
        <v>2.4470000000000001</v>
      </c>
      <c r="E5741" s="33">
        <f t="shared" si="185"/>
        <v>-3.6073590123852886E-3</v>
      </c>
    </row>
    <row r="5742" spans="1:5" x14ac:dyDescent="0.25">
      <c r="A5742" s="41">
        <v>43705</v>
      </c>
      <c r="B5742" s="29">
        <v>248.54</v>
      </c>
      <c r="C5742" s="37">
        <f t="shared" si="184"/>
        <v>41.423333333333332</v>
      </c>
      <c r="D5742" s="37">
        <v>2.4470000000000001</v>
      </c>
      <c r="E5742" s="33">
        <f t="shared" si="185"/>
        <v>-2.0113439800479251E-4</v>
      </c>
    </row>
    <row r="5743" spans="1:5" x14ac:dyDescent="0.25">
      <c r="A5743" s="41">
        <v>43705</v>
      </c>
      <c r="B5743" s="29">
        <v>248.45</v>
      </c>
      <c r="C5743" s="37">
        <f t="shared" si="184"/>
        <v>41.408333333333331</v>
      </c>
      <c r="D5743" s="37">
        <v>2.4470000000000001</v>
      </c>
      <c r="E5743" s="33">
        <f t="shared" si="185"/>
        <v>-3.6211475014083614E-4</v>
      </c>
    </row>
    <row r="5744" spans="1:5" x14ac:dyDescent="0.25">
      <c r="A5744" s="41">
        <v>43705</v>
      </c>
      <c r="B5744" s="29">
        <v>248.38</v>
      </c>
      <c r="C5744" s="37">
        <f t="shared" si="184"/>
        <v>41.396666666666668</v>
      </c>
      <c r="D5744" s="37">
        <v>2.4470000000000001</v>
      </c>
      <c r="E5744" s="33">
        <f t="shared" si="185"/>
        <v>-2.8174683034813116E-4</v>
      </c>
    </row>
    <row r="5745" spans="1:5" x14ac:dyDescent="0.25">
      <c r="A5745" s="41">
        <v>43705</v>
      </c>
      <c r="B5745" s="29">
        <v>248.36</v>
      </c>
      <c r="C5745" s="37">
        <f t="shared" si="184"/>
        <v>41.393333333333331</v>
      </c>
      <c r="D5745" s="37">
        <v>2.4470000000000001</v>
      </c>
      <c r="E5745" s="33">
        <f t="shared" si="185"/>
        <v>-8.0521781141725627E-5</v>
      </c>
    </row>
    <row r="5746" spans="1:5" x14ac:dyDescent="0.25">
      <c r="A5746" s="41">
        <v>43705</v>
      </c>
      <c r="B5746" s="29">
        <v>248.45</v>
      </c>
      <c r="C5746" s="37">
        <f t="shared" si="184"/>
        <v>41.408333333333331</v>
      </c>
      <c r="D5746" s="37">
        <v>2.4470000000000001</v>
      </c>
      <c r="E5746" s="33">
        <f t="shared" si="185"/>
        <v>3.6237719439513198E-4</v>
      </c>
    </row>
    <row r="5747" spans="1:5" x14ac:dyDescent="0.25">
      <c r="A5747" s="41">
        <v>43705</v>
      </c>
      <c r="B5747" s="29">
        <v>248.67</v>
      </c>
      <c r="C5747" s="37">
        <f t="shared" si="184"/>
        <v>41.445</v>
      </c>
      <c r="D5747" s="37">
        <v>2.4470000000000001</v>
      </c>
      <c r="E5747" s="33">
        <f t="shared" si="185"/>
        <v>8.8549003823706527E-4</v>
      </c>
    </row>
    <row r="5748" spans="1:5" x14ac:dyDescent="0.25">
      <c r="A5748" s="41">
        <v>43705</v>
      </c>
      <c r="B5748" s="29">
        <v>249.49</v>
      </c>
      <c r="C5748" s="37">
        <f t="shared" si="184"/>
        <v>41.581666666666663</v>
      </c>
      <c r="D5748" s="37">
        <v>2.4470000000000001</v>
      </c>
      <c r="E5748" s="33">
        <f t="shared" si="185"/>
        <v>3.2975429283790634E-3</v>
      </c>
    </row>
    <row r="5749" spans="1:5" x14ac:dyDescent="0.25">
      <c r="A5749" s="41">
        <v>43705</v>
      </c>
      <c r="B5749" s="29">
        <v>250.49</v>
      </c>
      <c r="C5749" s="37">
        <f t="shared" si="184"/>
        <v>41.748333333333335</v>
      </c>
      <c r="D5749" s="37">
        <v>2.4470000000000001</v>
      </c>
      <c r="E5749" s="33">
        <f t="shared" si="185"/>
        <v>4.0081766804280728E-3</v>
      </c>
    </row>
    <row r="5750" spans="1:5" x14ac:dyDescent="0.25">
      <c r="A5750" s="41">
        <v>43705</v>
      </c>
      <c r="B5750" s="29">
        <v>252.8</v>
      </c>
      <c r="C5750" s="37">
        <f t="shared" si="184"/>
        <v>42.133333333333333</v>
      </c>
      <c r="D5750" s="37">
        <v>2.4470000000000001</v>
      </c>
      <c r="E5750" s="33">
        <f t="shared" si="185"/>
        <v>9.2219250269471916E-3</v>
      </c>
    </row>
    <row r="5751" spans="1:5" x14ac:dyDescent="0.25">
      <c r="A5751" s="41">
        <v>43705</v>
      </c>
      <c r="B5751" s="29">
        <v>252.8</v>
      </c>
      <c r="C5751" s="37">
        <f t="shared" si="184"/>
        <v>42.133333333333333</v>
      </c>
      <c r="D5751" s="37">
        <v>2.4470000000000001</v>
      </c>
      <c r="E5751" s="33">
        <f t="shared" si="185"/>
        <v>0</v>
      </c>
    </row>
    <row r="5752" spans="1:5" x14ac:dyDescent="0.25">
      <c r="A5752" s="41">
        <v>43705</v>
      </c>
      <c r="B5752" s="29">
        <v>253.72</v>
      </c>
      <c r="C5752" s="37">
        <f t="shared" si="184"/>
        <v>42.286666666666669</v>
      </c>
      <c r="D5752" s="37">
        <v>2.4470000000000001</v>
      </c>
      <c r="E5752" s="33">
        <f t="shared" si="185"/>
        <v>3.6392405063290644E-3</v>
      </c>
    </row>
    <row r="5753" spans="1:5" x14ac:dyDescent="0.25">
      <c r="A5753" s="41">
        <v>43705</v>
      </c>
      <c r="B5753" s="29">
        <v>255.08</v>
      </c>
      <c r="C5753" s="37">
        <f t="shared" si="184"/>
        <v>42.513333333333335</v>
      </c>
      <c r="D5753" s="37">
        <v>2.4470000000000001</v>
      </c>
      <c r="E5753" s="33">
        <f t="shared" si="185"/>
        <v>5.3602396342425258E-3</v>
      </c>
    </row>
    <row r="5754" spans="1:5" x14ac:dyDescent="0.25">
      <c r="A5754" s="41">
        <v>43705</v>
      </c>
      <c r="B5754" s="29">
        <v>255.43</v>
      </c>
      <c r="C5754" s="37">
        <f t="shared" si="184"/>
        <v>42.571666666666665</v>
      </c>
      <c r="D5754" s="37">
        <v>2.4470000000000001</v>
      </c>
      <c r="E5754" s="33">
        <f t="shared" si="185"/>
        <v>1.3721185510427877E-3</v>
      </c>
    </row>
    <row r="5755" spans="1:5" x14ac:dyDescent="0.25">
      <c r="A5755" s="41">
        <v>43705</v>
      </c>
      <c r="B5755" s="29">
        <v>255.6</v>
      </c>
      <c r="C5755" s="37">
        <f t="shared" si="184"/>
        <v>42.6</v>
      </c>
      <c r="D5755" s="37">
        <v>2.4470000000000001</v>
      </c>
      <c r="E5755" s="33">
        <f t="shared" si="185"/>
        <v>6.6554437614997251E-4</v>
      </c>
    </row>
    <row r="5756" spans="1:5" x14ac:dyDescent="0.25">
      <c r="A5756" s="41">
        <v>43705</v>
      </c>
      <c r="B5756" s="29">
        <v>255.7</v>
      </c>
      <c r="C5756" s="37">
        <f t="shared" si="184"/>
        <v>42.616666666666667</v>
      </c>
      <c r="D5756" s="37">
        <v>2.4470000000000001</v>
      </c>
      <c r="E5756" s="33">
        <f t="shared" si="185"/>
        <v>3.9123630672924226E-4</v>
      </c>
    </row>
    <row r="5757" spans="1:5" x14ac:dyDescent="0.25">
      <c r="A5757" s="41">
        <v>43705</v>
      </c>
      <c r="B5757" s="29">
        <v>255.96</v>
      </c>
      <c r="C5757" s="37">
        <f t="shared" si="184"/>
        <v>42.66</v>
      </c>
      <c r="D5757" s="37">
        <v>2.4470000000000001</v>
      </c>
      <c r="E5757" s="33">
        <f t="shared" si="185"/>
        <v>1.0168165819320271E-3</v>
      </c>
    </row>
    <row r="5758" spans="1:5" x14ac:dyDescent="0.25">
      <c r="A5758" s="41">
        <v>43705</v>
      </c>
      <c r="B5758" s="29">
        <v>256.32</v>
      </c>
      <c r="C5758" s="37">
        <f t="shared" si="184"/>
        <v>42.72</v>
      </c>
      <c r="D5758" s="37">
        <v>2.4470000000000001</v>
      </c>
      <c r="E5758" s="33">
        <f t="shared" si="185"/>
        <v>1.4064697609000828E-3</v>
      </c>
    </row>
    <row r="5759" spans="1:5" x14ac:dyDescent="0.25">
      <c r="A5759" s="41">
        <v>43705</v>
      </c>
      <c r="B5759" s="29">
        <v>256.32</v>
      </c>
      <c r="C5759" s="37">
        <f t="shared" si="184"/>
        <v>42.72</v>
      </c>
      <c r="D5759" s="37">
        <v>2.4470000000000001</v>
      </c>
      <c r="E5759" s="33">
        <f t="shared" si="185"/>
        <v>0</v>
      </c>
    </row>
    <row r="5760" spans="1:5" x14ac:dyDescent="0.25">
      <c r="A5760" s="41">
        <v>43705</v>
      </c>
      <c r="B5760" s="29">
        <v>256.33</v>
      </c>
      <c r="C5760" s="37">
        <f t="shared" si="184"/>
        <v>42.721666666666664</v>
      </c>
      <c r="D5760" s="37">
        <v>2.4470000000000001</v>
      </c>
      <c r="E5760" s="33">
        <f t="shared" si="185"/>
        <v>3.9013732833922073E-5</v>
      </c>
    </row>
    <row r="5761" spans="1:5" x14ac:dyDescent="0.25">
      <c r="A5761" s="41">
        <v>43705</v>
      </c>
      <c r="B5761" s="29">
        <v>256.32</v>
      </c>
      <c r="C5761" s="37">
        <f t="shared" si="184"/>
        <v>42.72</v>
      </c>
      <c r="D5761" s="37">
        <v>2.4470000000000001</v>
      </c>
      <c r="E5761" s="33">
        <f t="shared" si="185"/>
        <v>-3.90122108219518E-5</v>
      </c>
    </row>
    <row r="5762" spans="1:5" x14ac:dyDescent="0.25">
      <c r="A5762" s="41">
        <v>43706</v>
      </c>
      <c r="B5762" s="29">
        <v>250.32</v>
      </c>
      <c r="C5762" s="37">
        <f t="shared" si="184"/>
        <v>41.72</v>
      </c>
      <c r="D5762" s="37">
        <v>2.4039999999999999</v>
      </c>
      <c r="E5762" s="33">
        <f t="shared" si="185"/>
        <v>-2.3408239700374533E-2</v>
      </c>
    </row>
    <row r="5763" spans="1:5" x14ac:dyDescent="0.25">
      <c r="A5763" s="41">
        <v>43706</v>
      </c>
      <c r="B5763" s="29">
        <v>249.45</v>
      </c>
      <c r="C5763" s="37">
        <f t="shared" ref="C5763:C5826" si="186">(B5763*100/600)</f>
        <v>41.575000000000003</v>
      </c>
      <c r="D5763" s="37">
        <v>2.4039999999999999</v>
      </c>
      <c r="E5763" s="33">
        <f t="shared" si="185"/>
        <v>-3.4755512943432589E-3</v>
      </c>
    </row>
    <row r="5764" spans="1:5" x14ac:dyDescent="0.25">
      <c r="A5764" s="41">
        <v>43706</v>
      </c>
      <c r="B5764" s="29">
        <v>248.38</v>
      </c>
      <c r="C5764" s="37">
        <f t="shared" si="186"/>
        <v>41.396666666666668</v>
      </c>
      <c r="D5764" s="37">
        <v>2.4039999999999999</v>
      </c>
      <c r="E5764" s="33">
        <f t="shared" ref="E5764:E5827" si="187">(B5764-B5763)/B5763</f>
        <v>-4.2894367608738958E-3</v>
      </c>
    </row>
    <row r="5765" spans="1:5" x14ac:dyDescent="0.25">
      <c r="A5765" s="41">
        <v>43706</v>
      </c>
      <c r="B5765" s="29">
        <v>247.2</v>
      </c>
      <c r="C5765" s="37">
        <f t="shared" si="186"/>
        <v>41.2</v>
      </c>
      <c r="D5765" s="37">
        <v>2.4039999999999999</v>
      </c>
      <c r="E5765" s="33">
        <f t="shared" si="187"/>
        <v>-4.7507850873661599E-3</v>
      </c>
    </row>
    <row r="5766" spans="1:5" x14ac:dyDescent="0.25">
      <c r="A5766" s="41">
        <v>43706</v>
      </c>
      <c r="B5766" s="29">
        <v>246.71</v>
      </c>
      <c r="C5766" s="37">
        <f t="shared" si="186"/>
        <v>41.118333333333332</v>
      </c>
      <c r="D5766" s="37">
        <v>2.4039999999999999</v>
      </c>
      <c r="E5766" s="33">
        <f t="shared" si="187"/>
        <v>-1.9822006472491127E-3</v>
      </c>
    </row>
    <row r="5767" spans="1:5" x14ac:dyDescent="0.25">
      <c r="A5767" s="41">
        <v>43706</v>
      </c>
      <c r="B5767" s="29">
        <v>246.64</v>
      </c>
      <c r="C5767" s="37">
        <f t="shared" si="186"/>
        <v>41.106666666666669</v>
      </c>
      <c r="D5767" s="37">
        <v>2.4039999999999999</v>
      </c>
      <c r="E5767" s="33">
        <f t="shared" si="187"/>
        <v>-2.8373393863248997E-4</v>
      </c>
    </row>
    <row r="5768" spans="1:5" x14ac:dyDescent="0.25">
      <c r="A5768" s="41">
        <v>43706</v>
      </c>
      <c r="B5768" s="29">
        <v>246.63</v>
      </c>
      <c r="C5768" s="37">
        <f t="shared" si="186"/>
        <v>41.104999999999997</v>
      </c>
      <c r="D5768" s="37">
        <v>2.4039999999999999</v>
      </c>
      <c r="E5768" s="33">
        <f t="shared" si="187"/>
        <v>-4.0544923775506431E-5</v>
      </c>
    </row>
    <row r="5769" spans="1:5" x14ac:dyDescent="0.25">
      <c r="A5769" s="41">
        <v>43706</v>
      </c>
      <c r="B5769" s="29">
        <v>246.63</v>
      </c>
      <c r="C5769" s="37">
        <f t="shared" si="186"/>
        <v>41.104999999999997</v>
      </c>
      <c r="D5769" s="37">
        <v>2.4039999999999999</v>
      </c>
      <c r="E5769" s="33">
        <f t="shared" si="187"/>
        <v>0</v>
      </c>
    </row>
    <row r="5770" spans="1:5" x14ac:dyDescent="0.25">
      <c r="A5770" s="41">
        <v>43706</v>
      </c>
      <c r="B5770" s="29">
        <v>246.67</v>
      </c>
      <c r="C5770" s="37">
        <f t="shared" si="186"/>
        <v>41.111666666666665</v>
      </c>
      <c r="D5770" s="37">
        <v>2.4039999999999999</v>
      </c>
      <c r="E5770" s="33">
        <f t="shared" si="187"/>
        <v>1.6218627093213332E-4</v>
      </c>
    </row>
    <row r="5771" spans="1:5" x14ac:dyDescent="0.25">
      <c r="A5771" s="41">
        <v>43706</v>
      </c>
      <c r="B5771" s="29">
        <v>247.03</v>
      </c>
      <c r="C5771" s="37">
        <f t="shared" si="186"/>
        <v>41.171666666666667</v>
      </c>
      <c r="D5771" s="37">
        <v>2.4039999999999999</v>
      </c>
      <c r="E5771" s="33">
        <f t="shared" si="187"/>
        <v>1.4594397373009027E-3</v>
      </c>
    </row>
    <row r="5772" spans="1:5" x14ac:dyDescent="0.25">
      <c r="A5772" s="41">
        <v>43706</v>
      </c>
      <c r="B5772" s="29">
        <v>248.63</v>
      </c>
      <c r="C5772" s="37">
        <f t="shared" si="186"/>
        <v>41.438333333333333</v>
      </c>
      <c r="D5772" s="37">
        <v>2.4039999999999999</v>
      </c>
      <c r="E5772" s="33">
        <f t="shared" si="187"/>
        <v>6.4769461199044422E-3</v>
      </c>
    </row>
    <row r="5773" spans="1:5" x14ac:dyDescent="0.25">
      <c r="A5773" s="41">
        <v>43706</v>
      </c>
      <c r="B5773" s="29">
        <v>250.19</v>
      </c>
      <c r="C5773" s="37">
        <f t="shared" si="186"/>
        <v>41.698333333333331</v>
      </c>
      <c r="D5773" s="37">
        <v>2.4039999999999999</v>
      </c>
      <c r="E5773" s="33">
        <f t="shared" si="187"/>
        <v>6.2743836222499388E-3</v>
      </c>
    </row>
    <row r="5774" spans="1:5" x14ac:dyDescent="0.25">
      <c r="A5774" s="41">
        <v>43706</v>
      </c>
      <c r="B5774" s="29">
        <v>251.42</v>
      </c>
      <c r="C5774" s="37">
        <f t="shared" si="186"/>
        <v>41.903333333333336</v>
      </c>
      <c r="D5774" s="37">
        <v>2.4039999999999999</v>
      </c>
      <c r="E5774" s="33">
        <f t="shared" si="187"/>
        <v>4.9162636396338378E-3</v>
      </c>
    </row>
    <row r="5775" spans="1:5" x14ac:dyDescent="0.25">
      <c r="A5775" s="41">
        <v>43706</v>
      </c>
      <c r="B5775" s="29">
        <v>251.42</v>
      </c>
      <c r="C5775" s="37">
        <f t="shared" si="186"/>
        <v>41.903333333333336</v>
      </c>
      <c r="D5775" s="37">
        <v>2.4039999999999999</v>
      </c>
      <c r="E5775" s="33">
        <f t="shared" si="187"/>
        <v>0</v>
      </c>
    </row>
    <row r="5776" spans="1:5" x14ac:dyDescent="0.25">
      <c r="A5776" s="41">
        <v>43706</v>
      </c>
      <c r="B5776" s="29">
        <v>252.05</v>
      </c>
      <c r="C5776" s="37">
        <f t="shared" si="186"/>
        <v>42.008333333333333</v>
      </c>
      <c r="D5776" s="37">
        <v>2.4039999999999999</v>
      </c>
      <c r="E5776" s="33">
        <f t="shared" si="187"/>
        <v>2.5057672420651655E-3</v>
      </c>
    </row>
    <row r="5777" spans="1:5" x14ac:dyDescent="0.25">
      <c r="A5777" s="41">
        <v>43706</v>
      </c>
      <c r="B5777" s="29">
        <v>253.27</v>
      </c>
      <c r="C5777" s="37">
        <f t="shared" si="186"/>
        <v>42.211666666666666</v>
      </c>
      <c r="D5777" s="37">
        <v>2.4039999999999999</v>
      </c>
      <c r="E5777" s="33">
        <f t="shared" si="187"/>
        <v>4.8403094624082472E-3</v>
      </c>
    </row>
    <row r="5778" spans="1:5" x14ac:dyDescent="0.25">
      <c r="A5778" s="41">
        <v>43706</v>
      </c>
      <c r="B5778" s="29">
        <v>254.74</v>
      </c>
      <c r="C5778" s="37">
        <f t="shared" si="186"/>
        <v>42.456666666666663</v>
      </c>
      <c r="D5778" s="37">
        <v>2.4039999999999999</v>
      </c>
      <c r="E5778" s="33">
        <f t="shared" si="187"/>
        <v>5.8040825995972628E-3</v>
      </c>
    </row>
    <row r="5779" spans="1:5" x14ac:dyDescent="0.25">
      <c r="A5779" s="41">
        <v>43706</v>
      </c>
      <c r="B5779" s="29">
        <v>254.89</v>
      </c>
      <c r="C5779" s="37">
        <f t="shared" si="186"/>
        <v>42.481666666666669</v>
      </c>
      <c r="D5779" s="37">
        <v>2.4039999999999999</v>
      </c>
      <c r="E5779" s="33">
        <f t="shared" si="187"/>
        <v>5.8883567559070915E-4</v>
      </c>
    </row>
    <row r="5780" spans="1:5" x14ac:dyDescent="0.25">
      <c r="A5780" s="41">
        <v>43706</v>
      </c>
      <c r="B5780" s="29">
        <v>254.9</v>
      </c>
      <c r="C5780" s="37">
        <f t="shared" si="186"/>
        <v>42.483333333333334</v>
      </c>
      <c r="D5780" s="37">
        <v>2.4039999999999999</v>
      </c>
      <c r="E5780" s="33">
        <f t="shared" si="187"/>
        <v>3.9232610145628811E-5</v>
      </c>
    </row>
    <row r="5781" spans="1:5" x14ac:dyDescent="0.25">
      <c r="A5781" s="41">
        <v>43706</v>
      </c>
      <c r="B5781" s="29">
        <v>255.21</v>
      </c>
      <c r="C5781" s="37">
        <f t="shared" si="186"/>
        <v>42.534999999999997</v>
      </c>
      <c r="D5781" s="37">
        <v>2.4039999999999999</v>
      </c>
      <c r="E5781" s="33">
        <f t="shared" si="187"/>
        <v>1.2161632012554031E-3</v>
      </c>
    </row>
    <row r="5782" spans="1:5" x14ac:dyDescent="0.25">
      <c r="A5782" s="41">
        <v>43706</v>
      </c>
      <c r="B5782" s="29">
        <v>255.71</v>
      </c>
      <c r="C5782" s="37">
        <f t="shared" si="186"/>
        <v>42.618333333333332</v>
      </c>
      <c r="D5782" s="37">
        <v>2.4039999999999999</v>
      </c>
      <c r="E5782" s="33">
        <f t="shared" si="187"/>
        <v>1.9591708788840563E-3</v>
      </c>
    </row>
    <row r="5783" spans="1:5" x14ac:dyDescent="0.25">
      <c r="A5783" s="41">
        <v>43706</v>
      </c>
      <c r="B5783" s="29">
        <v>255.72</v>
      </c>
      <c r="C5783" s="37">
        <f t="shared" si="186"/>
        <v>42.62</v>
      </c>
      <c r="D5783" s="37">
        <v>2.4039999999999999</v>
      </c>
      <c r="E5783" s="33">
        <f t="shared" si="187"/>
        <v>3.9106800672601402E-5</v>
      </c>
    </row>
    <row r="5784" spans="1:5" x14ac:dyDescent="0.25">
      <c r="A5784" s="41">
        <v>43706</v>
      </c>
      <c r="B5784" s="29">
        <v>255.72</v>
      </c>
      <c r="C5784" s="37">
        <f t="shared" si="186"/>
        <v>42.62</v>
      </c>
      <c r="D5784" s="37">
        <v>2.4039999999999999</v>
      </c>
      <c r="E5784" s="33">
        <f t="shared" si="187"/>
        <v>0</v>
      </c>
    </row>
    <row r="5785" spans="1:5" x14ac:dyDescent="0.25">
      <c r="A5785" s="41">
        <v>43706</v>
      </c>
      <c r="B5785" s="29">
        <v>255.7</v>
      </c>
      <c r="C5785" s="37">
        <f t="shared" si="186"/>
        <v>42.616666666666667</v>
      </c>
      <c r="D5785" s="37">
        <v>2.4039999999999999</v>
      </c>
      <c r="E5785" s="33">
        <f t="shared" si="187"/>
        <v>-7.8210542781206914E-5</v>
      </c>
    </row>
    <row r="5786" spans="1:5" x14ac:dyDescent="0.25">
      <c r="A5786" s="41">
        <v>43707</v>
      </c>
      <c r="B5786" s="29">
        <v>249.74</v>
      </c>
      <c r="C5786" s="37">
        <f t="shared" si="186"/>
        <v>41.623333333333335</v>
      </c>
      <c r="D5786" s="37">
        <v>2.3889999999999998</v>
      </c>
      <c r="E5786" s="33">
        <f t="shared" si="187"/>
        <v>-2.3308564724286194E-2</v>
      </c>
    </row>
    <row r="5787" spans="1:5" x14ac:dyDescent="0.25">
      <c r="A5787" s="41">
        <v>43707</v>
      </c>
      <c r="B5787" s="29">
        <v>247.44</v>
      </c>
      <c r="C5787" s="37">
        <f t="shared" si="186"/>
        <v>41.24</v>
      </c>
      <c r="D5787" s="37">
        <v>2.3889999999999998</v>
      </c>
      <c r="E5787" s="33">
        <f t="shared" si="187"/>
        <v>-9.2095779610795684E-3</v>
      </c>
    </row>
    <row r="5788" spans="1:5" x14ac:dyDescent="0.25">
      <c r="A5788" s="41">
        <v>43707</v>
      </c>
      <c r="B5788" s="29">
        <v>247.03</v>
      </c>
      <c r="C5788" s="37">
        <f t="shared" si="186"/>
        <v>41.171666666666667</v>
      </c>
      <c r="D5788" s="37">
        <v>2.3889999999999998</v>
      </c>
      <c r="E5788" s="33">
        <f t="shared" si="187"/>
        <v>-1.6569673456191263E-3</v>
      </c>
    </row>
    <row r="5789" spans="1:5" x14ac:dyDescent="0.25">
      <c r="A5789" s="41">
        <v>43707</v>
      </c>
      <c r="B5789" s="29">
        <v>246.95</v>
      </c>
      <c r="C5789" s="37">
        <f t="shared" si="186"/>
        <v>41.158333333333331</v>
      </c>
      <c r="D5789" s="37">
        <v>2.3889999999999998</v>
      </c>
      <c r="E5789" s="33">
        <f t="shared" si="187"/>
        <v>-3.2384730599527387E-4</v>
      </c>
    </row>
    <row r="5790" spans="1:5" x14ac:dyDescent="0.25">
      <c r="A5790" s="41">
        <v>43707</v>
      </c>
      <c r="B5790" s="29">
        <v>247</v>
      </c>
      <c r="C5790" s="37">
        <f t="shared" si="186"/>
        <v>41.166666666666664</v>
      </c>
      <c r="D5790" s="37">
        <v>2.3889999999999998</v>
      </c>
      <c r="E5790" s="33">
        <f t="shared" si="187"/>
        <v>2.0247013565503693E-4</v>
      </c>
    </row>
    <row r="5791" spans="1:5" x14ac:dyDescent="0.25">
      <c r="A5791" s="41">
        <v>43707</v>
      </c>
      <c r="B5791" s="29">
        <v>247.88</v>
      </c>
      <c r="C5791" s="37">
        <f t="shared" si="186"/>
        <v>41.313333333333333</v>
      </c>
      <c r="D5791" s="37">
        <v>2.3889999999999998</v>
      </c>
      <c r="E5791" s="33">
        <f t="shared" si="187"/>
        <v>3.5627530364372288E-3</v>
      </c>
    </row>
    <row r="5792" spans="1:5" x14ac:dyDescent="0.25">
      <c r="A5792" s="41">
        <v>43707</v>
      </c>
      <c r="B5792" s="29">
        <v>250.83</v>
      </c>
      <c r="C5792" s="37">
        <f t="shared" si="186"/>
        <v>41.805</v>
      </c>
      <c r="D5792" s="37">
        <v>2.3889999999999998</v>
      </c>
      <c r="E5792" s="33">
        <f t="shared" si="187"/>
        <v>1.1900919799903247E-2</v>
      </c>
    </row>
    <row r="5793" spans="1:5" x14ac:dyDescent="0.25">
      <c r="A5793" s="41">
        <v>43707</v>
      </c>
      <c r="B5793" s="29">
        <v>251.8</v>
      </c>
      <c r="C5793" s="37">
        <f t="shared" si="186"/>
        <v>41.966666666666669</v>
      </c>
      <c r="D5793" s="37">
        <v>2.3889999999999998</v>
      </c>
      <c r="E5793" s="33">
        <f t="shared" si="187"/>
        <v>3.8671610253956817E-3</v>
      </c>
    </row>
    <row r="5794" spans="1:5" x14ac:dyDescent="0.25">
      <c r="A5794" s="41">
        <v>43707</v>
      </c>
      <c r="B5794" s="29">
        <v>253.82</v>
      </c>
      <c r="C5794" s="37">
        <f t="shared" si="186"/>
        <v>42.303333333333335</v>
      </c>
      <c r="D5794" s="37">
        <v>2.3889999999999998</v>
      </c>
      <c r="E5794" s="33">
        <f t="shared" si="187"/>
        <v>8.0222398729149387E-3</v>
      </c>
    </row>
    <row r="5795" spans="1:5" x14ac:dyDescent="0.25">
      <c r="A5795" s="41">
        <v>43707</v>
      </c>
      <c r="B5795" s="29">
        <v>255.72</v>
      </c>
      <c r="C5795" s="37">
        <f t="shared" si="186"/>
        <v>42.62</v>
      </c>
      <c r="D5795" s="37">
        <v>2.3889999999999998</v>
      </c>
      <c r="E5795" s="33">
        <f t="shared" si="187"/>
        <v>7.4856197305177121E-3</v>
      </c>
    </row>
    <row r="5796" spans="1:5" x14ac:dyDescent="0.25">
      <c r="A5796" s="41">
        <v>43707</v>
      </c>
      <c r="B5796" s="29">
        <v>256.57</v>
      </c>
      <c r="C5796" s="37">
        <f t="shared" si="186"/>
        <v>42.761666666666663</v>
      </c>
      <c r="D5796" s="37">
        <v>2.3889999999999998</v>
      </c>
      <c r="E5796" s="33">
        <f t="shared" si="187"/>
        <v>3.3239480681995712E-3</v>
      </c>
    </row>
    <row r="5797" spans="1:5" x14ac:dyDescent="0.25">
      <c r="A5797" s="41">
        <v>43707</v>
      </c>
      <c r="B5797" s="29">
        <v>256.63</v>
      </c>
      <c r="C5797" s="37">
        <f t="shared" si="186"/>
        <v>42.771666666666668</v>
      </c>
      <c r="D5797" s="37">
        <v>2.3889999999999998</v>
      </c>
      <c r="E5797" s="33">
        <f t="shared" si="187"/>
        <v>2.3385430876564787E-4</v>
      </c>
    </row>
    <row r="5798" spans="1:5" x14ac:dyDescent="0.25">
      <c r="A5798" s="41">
        <v>43707</v>
      </c>
      <c r="B5798" s="29">
        <v>255.73</v>
      </c>
      <c r="C5798" s="37">
        <f t="shared" si="186"/>
        <v>42.62166666666667</v>
      </c>
      <c r="D5798" s="37">
        <v>2.3889999999999998</v>
      </c>
      <c r="E5798" s="33">
        <f t="shared" si="187"/>
        <v>-3.5069945057086297E-3</v>
      </c>
    </row>
    <row r="5799" spans="1:5" x14ac:dyDescent="0.25">
      <c r="A5799" s="41">
        <v>43707</v>
      </c>
      <c r="B5799" s="29">
        <v>256.26</v>
      </c>
      <c r="C5799" s="37">
        <f t="shared" si="186"/>
        <v>42.71</v>
      </c>
      <c r="D5799" s="37">
        <v>2.3889999999999998</v>
      </c>
      <c r="E5799" s="33">
        <f t="shared" si="187"/>
        <v>2.0724983380909596E-3</v>
      </c>
    </row>
    <row r="5800" spans="1:5" x14ac:dyDescent="0.25">
      <c r="A5800" s="41">
        <v>43707</v>
      </c>
      <c r="B5800" s="29">
        <v>256.86</v>
      </c>
      <c r="C5800" s="37">
        <f t="shared" si="186"/>
        <v>42.81</v>
      </c>
      <c r="D5800" s="37">
        <v>2.3889999999999998</v>
      </c>
      <c r="E5800" s="33">
        <f t="shared" si="187"/>
        <v>2.3413720440178831E-3</v>
      </c>
    </row>
    <row r="5801" spans="1:5" x14ac:dyDescent="0.25">
      <c r="A5801" s="41">
        <v>43707</v>
      </c>
      <c r="B5801" s="29">
        <v>256.95999999999998</v>
      </c>
      <c r="C5801" s="37">
        <f t="shared" si="186"/>
        <v>42.826666666666661</v>
      </c>
      <c r="D5801" s="37">
        <v>2.3889999999999998</v>
      </c>
      <c r="E5801" s="33">
        <f t="shared" si="187"/>
        <v>3.8931713774027055E-4</v>
      </c>
    </row>
    <row r="5802" spans="1:5" x14ac:dyDescent="0.25">
      <c r="A5802" s="41">
        <v>43707</v>
      </c>
      <c r="B5802" s="29">
        <v>256.51</v>
      </c>
      <c r="C5802" s="37">
        <f t="shared" si="186"/>
        <v>42.751666666666665</v>
      </c>
      <c r="D5802" s="37">
        <v>2.3889999999999998</v>
      </c>
      <c r="E5802" s="33">
        <f t="shared" si="187"/>
        <v>-1.7512453300124091E-3</v>
      </c>
    </row>
    <row r="5803" spans="1:5" x14ac:dyDescent="0.25">
      <c r="A5803" s="41">
        <v>43707</v>
      </c>
      <c r="B5803" s="29">
        <v>255.52</v>
      </c>
      <c r="C5803" s="37">
        <f t="shared" si="186"/>
        <v>42.586666666666666</v>
      </c>
      <c r="D5803" s="37">
        <v>2.3889999999999998</v>
      </c>
      <c r="E5803" s="33">
        <f t="shared" si="187"/>
        <v>-3.8594986550231206E-3</v>
      </c>
    </row>
    <row r="5804" spans="1:5" x14ac:dyDescent="0.25">
      <c r="A5804" s="41">
        <v>43707</v>
      </c>
      <c r="B5804" s="29">
        <v>257.89</v>
      </c>
      <c r="C5804" s="37">
        <f t="shared" si="186"/>
        <v>42.981666666666669</v>
      </c>
      <c r="D5804" s="37">
        <v>2.3889999999999998</v>
      </c>
      <c r="E5804" s="33">
        <f t="shared" si="187"/>
        <v>9.2752035065747345E-3</v>
      </c>
    </row>
    <row r="5805" spans="1:5" x14ac:dyDescent="0.25">
      <c r="A5805" s="41">
        <v>43707</v>
      </c>
      <c r="B5805" s="29">
        <v>257.64999999999998</v>
      </c>
      <c r="C5805" s="37">
        <f t="shared" si="186"/>
        <v>42.941666666666663</v>
      </c>
      <c r="D5805" s="37">
        <v>2.3889999999999998</v>
      </c>
      <c r="E5805" s="33">
        <f t="shared" si="187"/>
        <v>-9.3062933808991857E-4</v>
      </c>
    </row>
    <row r="5806" spans="1:5" x14ac:dyDescent="0.25">
      <c r="A5806" s="41">
        <v>43707</v>
      </c>
      <c r="B5806" s="29">
        <v>256.39</v>
      </c>
      <c r="C5806" s="37">
        <f t="shared" si="186"/>
        <v>42.731666666666669</v>
      </c>
      <c r="D5806" s="37">
        <v>2.3889999999999998</v>
      </c>
      <c r="E5806" s="33">
        <f t="shared" si="187"/>
        <v>-4.890355132932238E-3</v>
      </c>
    </row>
    <row r="5807" spans="1:5" x14ac:dyDescent="0.25">
      <c r="A5807" s="41">
        <v>43707</v>
      </c>
      <c r="B5807" s="29">
        <v>255.4</v>
      </c>
      <c r="C5807" s="37">
        <f t="shared" si="186"/>
        <v>42.56666666666667</v>
      </c>
      <c r="D5807" s="37">
        <v>2.3889999999999998</v>
      </c>
      <c r="E5807" s="33">
        <f t="shared" si="187"/>
        <v>-3.8613050430983298E-3</v>
      </c>
    </row>
    <row r="5808" spans="1:5" x14ac:dyDescent="0.25">
      <c r="A5808" s="41">
        <v>43707</v>
      </c>
      <c r="B5808" s="29">
        <v>253.58</v>
      </c>
      <c r="C5808" s="37">
        <f t="shared" si="186"/>
        <v>42.263333333333335</v>
      </c>
      <c r="D5808" s="37">
        <v>2.3889999999999998</v>
      </c>
      <c r="E5808" s="33">
        <f t="shared" si="187"/>
        <v>-7.1260767423648912E-3</v>
      </c>
    </row>
    <row r="5809" spans="1:5" x14ac:dyDescent="0.25">
      <c r="A5809" s="41">
        <v>43707</v>
      </c>
      <c r="B5809" s="29">
        <v>251.58</v>
      </c>
      <c r="C5809" s="37">
        <f t="shared" si="186"/>
        <v>41.93</v>
      </c>
      <c r="D5809" s="37">
        <v>2.3889999999999998</v>
      </c>
      <c r="E5809" s="33">
        <f t="shared" si="187"/>
        <v>-7.8870573389068534E-3</v>
      </c>
    </row>
    <row r="5810" spans="1:5" x14ac:dyDescent="0.25">
      <c r="A5810" s="41">
        <v>43708</v>
      </c>
      <c r="B5810" s="29">
        <v>222.74</v>
      </c>
      <c r="C5810" s="37">
        <f t="shared" si="186"/>
        <v>37.123333333333335</v>
      </c>
      <c r="D5810" s="37">
        <v>2.4910000000000001</v>
      </c>
      <c r="E5810" s="33">
        <f t="shared" si="187"/>
        <v>-0.11463550361713969</v>
      </c>
    </row>
    <row r="5811" spans="1:5" x14ac:dyDescent="0.25">
      <c r="A5811" s="41">
        <v>43708</v>
      </c>
      <c r="B5811" s="29">
        <v>221.2</v>
      </c>
      <c r="C5811" s="37">
        <f t="shared" si="186"/>
        <v>36.866666666666667</v>
      </c>
      <c r="D5811" s="37">
        <v>2.4910000000000001</v>
      </c>
      <c r="E5811" s="33">
        <f t="shared" si="187"/>
        <v>-6.9138906348209586E-3</v>
      </c>
    </row>
    <row r="5812" spans="1:5" x14ac:dyDescent="0.25">
      <c r="A5812" s="41">
        <v>43708</v>
      </c>
      <c r="B5812" s="29">
        <v>220.46</v>
      </c>
      <c r="C5812" s="37">
        <f t="shared" si="186"/>
        <v>36.743333333333332</v>
      </c>
      <c r="D5812" s="37">
        <v>2.4910000000000001</v>
      </c>
      <c r="E5812" s="33">
        <f t="shared" si="187"/>
        <v>-3.3453887884266759E-3</v>
      </c>
    </row>
    <row r="5813" spans="1:5" x14ac:dyDescent="0.25">
      <c r="A5813" s="41">
        <v>43708</v>
      </c>
      <c r="B5813" s="29">
        <v>220.42</v>
      </c>
      <c r="C5813" s="37">
        <f t="shared" si="186"/>
        <v>36.736666666666665</v>
      </c>
      <c r="D5813" s="37">
        <v>2.4910000000000001</v>
      </c>
      <c r="E5813" s="33">
        <f t="shared" si="187"/>
        <v>-1.8143880976150079E-4</v>
      </c>
    </row>
    <row r="5814" spans="1:5" x14ac:dyDescent="0.25">
      <c r="A5814" s="41">
        <v>43708</v>
      </c>
      <c r="B5814" s="29">
        <v>220.48</v>
      </c>
      <c r="C5814" s="37">
        <f t="shared" si="186"/>
        <v>36.74666666666667</v>
      </c>
      <c r="D5814" s="37">
        <v>2.4910000000000001</v>
      </c>
      <c r="E5814" s="33">
        <f t="shared" si="187"/>
        <v>2.7220760366573942E-4</v>
      </c>
    </row>
    <row r="5815" spans="1:5" x14ac:dyDescent="0.25">
      <c r="A5815" s="41">
        <v>43708</v>
      </c>
      <c r="B5815" s="29">
        <v>220.66</v>
      </c>
      <c r="C5815" s="37">
        <f t="shared" si="186"/>
        <v>36.776666666666664</v>
      </c>
      <c r="D5815" s="37">
        <v>2.4910000000000001</v>
      </c>
      <c r="E5815" s="33">
        <f t="shared" si="187"/>
        <v>8.1640058055155497E-4</v>
      </c>
    </row>
    <row r="5816" spans="1:5" x14ac:dyDescent="0.25">
      <c r="A5816" s="41">
        <v>43708</v>
      </c>
      <c r="B5816" s="29">
        <v>220.76</v>
      </c>
      <c r="C5816" s="37">
        <f t="shared" si="186"/>
        <v>36.793333333333337</v>
      </c>
      <c r="D5816" s="37">
        <v>2.4910000000000001</v>
      </c>
      <c r="E5816" s="33">
        <f t="shared" si="187"/>
        <v>4.5318589685486413E-4</v>
      </c>
    </row>
    <row r="5817" spans="1:5" x14ac:dyDescent="0.25">
      <c r="A5817" s="41">
        <v>43708</v>
      </c>
      <c r="B5817" s="29">
        <v>221.22</v>
      </c>
      <c r="C5817" s="37">
        <f t="shared" si="186"/>
        <v>36.869999999999997</v>
      </c>
      <c r="D5817" s="37">
        <v>2.4910000000000001</v>
      </c>
      <c r="E5817" s="33">
        <f t="shared" si="187"/>
        <v>2.0837108171770612E-3</v>
      </c>
    </row>
    <row r="5818" spans="1:5" x14ac:dyDescent="0.25">
      <c r="A5818" s="41">
        <v>43708</v>
      </c>
      <c r="B5818" s="29">
        <v>223.27</v>
      </c>
      <c r="C5818" s="37">
        <f t="shared" si="186"/>
        <v>37.211666666666666</v>
      </c>
      <c r="D5818" s="37">
        <v>2.4910000000000001</v>
      </c>
      <c r="E5818" s="33">
        <f t="shared" si="187"/>
        <v>9.2667932375011808E-3</v>
      </c>
    </row>
    <row r="5819" spans="1:5" x14ac:dyDescent="0.25">
      <c r="A5819" s="41">
        <v>43708</v>
      </c>
      <c r="B5819" s="29">
        <v>224.59</v>
      </c>
      <c r="C5819" s="37">
        <f t="shared" si="186"/>
        <v>37.431666666666665</v>
      </c>
      <c r="D5819" s="37">
        <v>2.4910000000000001</v>
      </c>
      <c r="E5819" s="33">
        <f t="shared" si="187"/>
        <v>5.9121243337662615E-3</v>
      </c>
    </row>
    <row r="5820" spans="1:5" x14ac:dyDescent="0.25">
      <c r="A5820" s="41">
        <v>43708</v>
      </c>
      <c r="B5820" s="29">
        <v>224.83</v>
      </c>
      <c r="C5820" s="37">
        <f t="shared" si="186"/>
        <v>37.471666666666664</v>
      </c>
      <c r="D5820" s="37">
        <v>2.4910000000000001</v>
      </c>
      <c r="E5820" s="33">
        <f t="shared" si="187"/>
        <v>1.0686139186963314E-3</v>
      </c>
    </row>
    <row r="5821" spans="1:5" x14ac:dyDescent="0.25">
      <c r="A5821" s="41">
        <v>43708</v>
      </c>
      <c r="B5821" s="29">
        <v>224.87</v>
      </c>
      <c r="C5821" s="37">
        <f t="shared" si="186"/>
        <v>37.478333333333332</v>
      </c>
      <c r="D5821" s="37">
        <v>2.4910000000000001</v>
      </c>
      <c r="E5821" s="33">
        <f t="shared" si="187"/>
        <v>1.7791220032910217E-4</v>
      </c>
    </row>
    <row r="5822" spans="1:5" x14ac:dyDescent="0.25">
      <c r="A5822" s="41">
        <v>43708</v>
      </c>
      <c r="B5822" s="29">
        <v>224.86</v>
      </c>
      <c r="C5822" s="37">
        <f t="shared" si="186"/>
        <v>37.476666666666667</v>
      </c>
      <c r="D5822" s="37">
        <v>2.4910000000000001</v>
      </c>
      <c r="E5822" s="33">
        <f t="shared" si="187"/>
        <v>-4.4470138302089676E-5</v>
      </c>
    </row>
    <row r="5823" spans="1:5" x14ac:dyDescent="0.25">
      <c r="A5823" s="41">
        <v>43708</v>
      </c>
      <c r="B5823" s="29">
        <v>224.86</v>
      </c>
      <c r="C5823" s="37">
        <f t="shared" si="186"/>
        <v>37.476666666666667</v>
      </c>
      <c r="D5823" s="37">
        <v>2.4910000000000001</v>
      </c>
      <c r="E5823" s="33">
        <f t="shared" si="187"/>
        <v>0</v>
      </c>
    </row>
    <row r="5824" spans="1:5" x14ac:dyDescent="0.25">
      <c r="A5824" s="41">
        <v>43708</v>
      </c>
      <c r="B5824" s="29">
        <v>224.88</v>
      </c>
      <c r="C5824" s="37">
        <f t="shared" si="186"/>
        <v>37.479999999999997</v>
      </c>
      <c r="D5824" s="37">
        <v>2.4910000000000001</v>
      </c>
      <c r="E5824" s="33">
        <f t="shared" si="187"/>
        <v>8.8944231966476064E-5</v>
      </c>
    </row>
    <row r="5825" spans="1:5" x14ac:dyDescent="0.25">
      <c r="A5825" s="41">
        <v>43708</v>
      </c>
      <c r="B5825" s="29">
        <v>224.86</v>
      </c>
      <c r="C5825" s="37">
        <f t="shared" si="186"/>
        <v>37.476666666666667</v>
      </c>
      <c r="D5825" s="37">
        <v>2.4910000000000001</v>
      </c>
      <c r="E5825" s="33">
        <f t="shared" si="187"/>
        <v>-8.8936321593657998E-5</v>
      </c>
    </row>
    <row r="5826" spans="1:5" x14ac:dyDescent="0.25">
      <c r="A5826" s="41">
        <v>43708</v>
      </c>
      <c r="B5826" s="29">
        <v>224.94</v>
      </c>
      <c r="C5826" s="37">
        <f t="shared" si="186"/>
        <v>37.49</v>
      </c>
      <c r="D5826" s="37">
        <v>2.4910000000000001</v>
      </c>
      <c r="E5826" s="33">
        <f t="shared" si="187"/>
        <v>3.5577692786615709E-4</v>
      </c>
    </row>
    <row r="5827" spans="1:5" x14ac:dyDescent="0.25">
      <c r="A5827" s="41">
        <v>43708</v>
      </c>
      <c r="B5827" s="29">
        <v>226.02</v>
      </c>
      <c r="C5827" s="37">
        <f t="shared" ref="C5827:C5890" si="188">(B5827*100/600)</f>
        <v>37.67</v>
      </c>
      <c r="D5827" s="37">
        <v>2.4910000000000001</v>
      </c>
      <c r="E5827" s="33">
        <f t="shared" si="187"/>
        <v>4.8012803414244354E-3</v>
      </c>
    </row>
    <row r="5828" spans="1:5" x14ac:dyDescent="0.25">
      <c r="A5828" s="41">
        <v>43708</v>
      </c>
      <c r="B5828" s="29">
        <v>229.42</v>
      </c>
      <c r="C5828" s="37">
        <f t="shared" si="188"/>
        <v>38.236666666666665</v>
      </c>
      <c r="D5828" s="37">
        <v>2.4910000000000001</v>
      </c>
      <c r="E5828" s="33">
        <f t="shared" ref="E5828:E5891" si="189">(B5828-B5827)/B5827</f>
        <v>1.5042916556056884E-2</v>
      </c>
    </row>
    <row r="5829" spans="1:5" x14ac:dyDescent="0.25">
      <c r="A5829" s="41">
        <v>43708</v>
      </c>
      <c r="B5829" s="29">
        <v>228.82</v>
      </c>
      <c r="C5829" s="37">
        <f t="shared" si="188"/>
        <v>38.136666666666663</v>
      </c>
      <c r="D5829" s="37">
        <v>2.4910000000000001</v>
      </c>
      <c r="E5829" s="33">
        <f t="shared" si="189"/>
        <v>-2.6152907331531442E-3</v>
      </c>
    </row>
    <row r="5830" spans="1:5" x14ac:dyDescent="0.25">
      <c r="A5830" s="41">
        <v>43708</v>
      </c>
      <c r="B5830" s="29">
        <v>227.27</v>
      </c>
      <c r="C5830" s="37">
        <f t="shared" si="188"/>
        <v>37.87833333333333</v>
      </c>
      <c r="D5830" s="37">
        <v>2.4910000000000001</v>
      </c>
      <c r="E5830" s="33">
        <f t="shared" si="189"/>
        <v>-6.7738834018004675E-3</v>
      </c>
    </row>
    <row r="5831" spans="1:5" x14ac:dyDescent="0.25">
      <c r="A5831" s="41">
        <v>43708</v>
      </c>
      <c r="B5831" s="29">
        <v>226.11</v>
      </c>
      <c r="C5831" s="37">
        <f t="shared" si="188"/>
        <v>37.685000000000002</v>
      </c>
      <c r="D5831" s="37">
        <v>2.4910000000000001</v>
      </c>
      <c r="E5831" s="33">
        <f t="shared" si="189"/>
        <v>-5.1040612487349693E-3</v>
      </c>
    </row>
    <row r="5832" spans="1:5" x14ac:dyDescent="0.25">
      <c r="A5832" s="41">
        <v>43708</v>
      </c>
      <c r="B5832" s="29">
        <v>224.8</v>
      </c>
      <c r="C5832" s="37">
        <f t="shared" si="188"/>
        <v>37.466666666666669</v>
      </c>
      <c r="D5832" s="37">
        <v>2.4910000000000001</v>
      </c>
      <c r="E5832" s="33">
        <f t="shared" si="189"/>
        <v>-5.7936402635885287E-3</v>
      </c>
    </row>
    <row r="5833" spans="1:5" x14ac:dyDescent="0.25">
      <c r="A5833" s="41">
        <v>43708</v>
      </c>
      <c r="B5833" s="29">
        <v>223.02</v>
      </c>
      <c r="C5833" s="37">
        <f t="shared" si="188"/>
        <v>37.17</v>
      </c>
      <c r="D5833" s="37">
        <v>2.4910000000000001</v>
      </c>
      <c r="E5833" s="33">
        <f t="shared" si="189"/>
        <v>-7.9181494661921762E-3</v>
      </c>
    </row>
    <row r="5834" spans="1:5" x14ac:dyDescent="0.25">
      <c r="A5834" s="41">
        <v>43709</v>
      </c>
      <c r="B5834" s="29">
        <v>219.98</v>
      </c>
      <c r="C5834" s="37">
        <f t="shared" si="188"/>
        <v>36.663333333333334</v>
      </c>
      <c r="D5834" s="37">
        <v>2.7189999999999999</v>
      </c>
      <c r="E5834" s="33">
        <f t="shared" si="189"/>
        <v>-1.3631064478522198E-2</v>
      </c>
    </row>
    <row r="5835" spans="1:5" x14ac:dyDescent="0.25">
      <c r="A5835" s="41">
        <v>43709</v>
      </c>
      <c r="B5835" s="29">
        <v>218.74</v>
      </c>
      <c r="C5835" s="37">
        <f t="shared" si="188"/>
        <v>36.456666666666663</v>
      </c>
      <c r="D5835" s="37">
        <v>2.7189999999999999</v>
      </c>
      <c r="E5835" s="33">
        <f t="shared" si="189"/>
        <v>-5.6368760796435165E-3</v>
      </c>
    </row>
    <row r="5836" spans="1:5" x14ac:dyDescent="0.25">
      <c r="A5836" s="41">
        <v>43709</v>
      </c>
      <c r="B5836" s="29">
        <v>216.45</v>
      </c>
      <c r="C5836" s="37">
        <f t="shared" si="188"/>
        <v>36.075000000000003</v>
      </c>
      <c r="D5836" s="37">
        <v>2.7189999999999999</v>
      </c>
      <c r="E5836" s="33">
        <f t="shared" si="189"/>
        <v>-1.0469050013715005E-2</v>
      </c>
    </row>
    <row r="5837" spans="1:5" x14ac:dyDescent="0.25">
      <c r="A5837" s="41">
        <v>43709</v>
      </c>
      <c r="B5837" s="29">
        <v>215.85</v>
      </c>
      <c r="C5837" s="37">
        <f t="shared" si="188"/>
        <v>35.975000000000001</v>
      </c>
      <c r="D5837" s="37">
        <v>2.7189999999999999</v>
      </c>
      <c r="E5837" s="33">
        <f t="shared" si="189"/>
        <v>-2.772002772002746E-3</v>
      </c>
    </row>
    <row r="5838" spans="1:5" x14ac:dyDescent="0.25">
      <c r="A5838" s="41">
        <v>43709</v>
      </c>
      <c r="B5838" s="29">
        <v>215.62</v>
      </c>
      <c r="C5838" s="37">
        <f t="shared" si="188"/>
        <v>35.936666666666667</v>
      </c>
      <c r="D5838" s="37">
        <v>2.7189999999999999</v>
      </c>
      <c r="E5838" s="33">
        <f t="shared" si="189"/>
        <v>-1.0655547834143608E-3</v>
      </c>
    </row>
    <row r="5839" spans="1:5" x14ac:dyDescent="0.25">
      <c r="A5839" s="41">
        <v>43709</v>
      </c>
      <c r="B5839" s="29">
        <v>215.36</v>
      </c>
      <c r="C5839" s="37">
        <f t="shared" si="188"/>
        <v>35.893333333333331</v>
      </c>
      <c r="D5839" s="37">
        <v>2.7189999999999999</v>
      </c>
      <c r="E5839" s="33">
        <f t="shared" si="189"/>
        <v>-1.2058250626101052E-3</v>
      </c>
    </row>
    <row r="5840" spans="1:5" x14ac:dyDescent="0.25">
      <c r="A5840" s="41">
        <v>43709</v>
      </c>
      <c r="B5840" s="29">
        <v>214.68</v>
      </c>
      <c r="C5840" s="37">
        <f t="shared" si="188"/>
        <v>35.78</v>
      </c>
      <c r="D5840" s="37">
        <v>2.7189999999999999</v>
      </c>
      <c r="E5840" s="33">
        <f t="shared" si="189"/>
        <v>-3.1575037147102839E-3</v>
      </c>
    </row>
    <row r="5841" spans="1:5" x14ac:dyDescent="0.25">
      <c r="A5841" s="41">
        <v>43709</v>
      </c>
      <c r="B5841" s="29">
        <v>214.14</v>
      </c>
      <c r="C5841" s="37">
        <f t="shared" si="188"/>
        <v>35.69</v>
      </c>
      <c r="D5841" s="37">
        <v>2.7189999999999999</v>
      </c>
      <c r="E5841" s="33">
        <f t="shared" si="189"/>
        <v>-2.515371716042577E-3</v>
      </c>
    </row>
    <row r="5842" spans="1:5" x14ac:dyDescent="0.25">
      <c r="A5842" s="41">
        <v>43709</v>
      </c>
      <c r="B5842" s="29">
        <v>216.38</v>
      </c>
      <c r="C5842" s="37">
        <f t="shared" si="188"/>
        <v>36.063333333333333</v>
      </c>
      <c r="D5842" s="37">
        <v>2.7189999999999999</v>
      </c>
      <c r="E5842" s="33">
        <f t="shared" si="189"/>
        <v>1.0460446436910475E-2</v>
      </c>
    </row>
    <row r="5843" spans="1:5" x14ac:dyDescent="0.25">
      <c r="A5843" s="41">
        <v>43709</v>
      </c>
      <c r="B5843" s="29">
        <v>218.6</v>
      </c>
      <c r="C5843" s="37">
        <f t="shared" si="188"/>
        <v>36.43333333333333</v>
      </c>
      <c r="D5843" s="37">
        <v>2.7189999999999999</v>
      </c>
      <c r="E5843" s="33">
        <f t="shared" si="189"/>
        <v>1.0259728255846191E-2</v>
      </c>
    </row>
    <row r="5844" spans="1:5" x14ac:dyDescent="0.25">
      <c r="A5844" s="41">
        <v>43709</v>
      </c>
      <c r="B5844" s="29">
        <v>219.6</v>
      </c>
      <c r="C5844" s="37">
        <f t="shared" si="188"/>
        <v>36.6</v>
      </c>
      <c r="D5844" s="37">
        <v>2.7189999999999999</v>
      </c>
      <c r="E5844" s="33">
        <f t="shared" si="189"/>
        <v>4.5745654162854532E-3</v>
      </c>
    </row>
    <row r="5845" spans="1:5" x14ac:dyDescent="0.25">
      <c r="A5845" s="41">
        <v>43709</v>
      </c>
      <c r="B5845" s="29">
        <v>221.02</v>
      </c>
      <c r="C5845" s="37">
        <f t="shared" si="188"/>
        <v>36.836666666666666</v>
      </c>
      <c r="D5845" s="37">
        <v>2.7189999999999999</v>
      </c>
      <c r="E5845" s="33">
        <f t="shared" si="189"/>
        <v>6.4663023679417848E-3</v>
      </c>
    </row>
    <row r="5846" spans="1:5" x14ac:dyDescent="0.25">
      <c r="A5846" s="41">
        <v>43709</v>
      </c>
      <c r="B5846" s="29">
        <v>221.12</v>
      </c>
      <c r="C5846" s="37">
        <f t="shared" si="188"/>
        <v>36.853333333333332</v>
      </c>
      <c r="D5846" s="37">
        <v>2.7189999999999999</v>
      </c>
      <c r="E5846" s="33">
        <f t="shared" si="189"/>
        <v>4.5244774228574028E-4</v>
      </c>
    </row>
    <row r="5847" spans="1:5" x14ac:dyDescent="0.25">
      <c r="A5847" s="41">
        <v>43709</v>
      </c>
      <c r="B5847" s="29">
        <v>221.1</v>
      </c>
      <c r="C5847" s="37">
        <f t="shared" si="188"/>
        <v>36.85</v>
      </c>
      <c r="D5847" s="37">
        <v>2.7189999999999999</v>
      </c>
      <c r="E5847" s="33">
        <f t="shared" si="189"/>
        <v>-9.0448625180943526E-5</v>
      </c>
    </row>
    <row r="5848" spans="1:5" x14ac:dyDescent="0.25">
      <c r="A5848" s="41">
        <v>43709</v>
      </c>
      <c r="B5848" s="29">
        <v>221.05</v>
      </c>
      <c r="C5848" s="37">
        <f t="shared" si="188"/>
        <v>36.841666666666669</v>
      </c>
      <c r="D5848" s="37">
        <v>2.7189999999999999</v>
      </c>
      <c r="E5848" s="33">
        <f t="shared" si="189"/>
        <v>-2.2614201718671619E-4</v>
      </c>
    </row>
    <row r="5849" spans="1:5" x14ac:dyDescent="0.25">
      <c r="A5849" s="41">
        <v>43709</v>
      </c>
      <c r="B5849" s="29">
        <v>221.08</v>
      </c>
      <c r="C5849" s="37">
        <f t="shared" si="188"/>
        <v>36.846666666666664</v>
      </c>
      <c r="D5849" s="37">
        <v>2.7189999999999999</v>
      </c>
      <c r="E5849" s="33">
        <f t="shared" si="189"/>
        <v>1.3571590137978346E-4</v>
      </c>
    </row>
    <row r="5850" spans="1:5" x14ac:dyDescent="0.25">
      <c r="A5850" s="41">
        <v>43709</v>
      </c>
      <c r="B5850" s="29">
        <v>221.4</v>
      </c>
      <c r="C5850" s="37">
        <f t="shared" si="188"/>
        <v>36.9</v>
      </c>
      <c r="D5850" s="37">
        <v>2.7189999999999999</v>
      </c>
      <c r="E5850" s="33">
        <f t="shared" si="189"/>
        <v>1.4474398407815865E-3</v>
      </c>
    </row>
    <row r="5851" spans="1:5" x14ac:dyDescent="0.25">
      <c r="A5851" s="41">
        <v>43709</v>
      </c>
      <c r="B5851" s="29">
        <v>223.16</v>
      </c>
      <c r="C5851" s="37">
        <f t="shared" si="188"/>
        <v>37.193333333333335</v>
      </c>
      <c r="D5851" s="37">
        <v>2.7189999999999999</v>
      </c>
      <c r="E5851" s="33">
        <f t="shared" si="189"/>
        <v>7.9494128274615675E-3</v>
      </c>
    </row>
    <row r="5852" spans="1:5" x14ac:dyDescent="0.25">
      <c r="A5852" s="41">
        <v>43709</v>
      </c>
      <c r="B5852" s="29">
        <v>227.23</v>
      </c>
      <c r="C5852" s="37">
        <f t="shared" si="188"/>
        <v>37.87166666666667</v>
      </c>
      <c r="D5852" s="37">
        <v>2.7189999999999999</v>
      </c>
      <c r="E5852" s="33">
        <f t="shared" si="189"/>
        <v>1.8238035490231196E-2</v>
      </c>
    </row>
    <row r="5853" spans="1:5" x14ac:dyDescent="0.25">
      <c r="A5853" s="41">
        <v>43709</v>
      </c>
      <c r="B5853" s="29">
        <v>227.15</v>
      </c>
      <c r="C5853" s="37">
        <f t="shared" si="188"/>
        <v>37.858333333333334</v>
      </c>
      <c r="D5853" s="37">
        <v>2.7189999999999999</v>
      </c>
      <c r="E5853" s="33">
        <f t="shared" si="189"/>
        <v>-3.5206618844335733E-4</v>
      </c>
    </row>
    <row r="5854" spans="1:5" x14ac:dyDescent="0.25">
      <c r="A5854" s="41">
        <v>43709</v>
      </c>
      <c r="B5854" s="29">
        <v>225.54</v>
      </c>
      <c r="C5854" s="37">
        <f t="shared" si="188"/>
        <v>37.590000000000003</v>
      </c>
      <c r="D5854" s="37">
        <v>2.7189999999999999</v>
      </c>
      <c r="E5854" s="33">
        <f t="shared" si="189"/>
        <v>-7.087827426810538E-3</v>
      </c>
    </row>
    <row r="5855" spans="1:5" x14ac:dyDescent="0.25">
      <c r="A5855" s="41">
        <v>43709</v>
      </c>
      <c r="B5855" s="29">
        <v>224.61</v>
      </c>
      <c r="C5855" s="37">
        <f t="shared" si="188"/>
        <v>37.435000000000002</v>
      </c>
      <c r="D5855" s="37">
        <v>2.7189999999999999</v>
      </c>
      <c r="E5855" s="33">
        <f t="shared" si="189"/>
        <v>-4.1234370843308433E-3</v>
      </c>
    </row>
    <row r="5856" spans="1:5" x14ac:dyDescent="0.25">
      <c r="A5856" s="41">
        <v>43709</v>
      </c>
      <c r="B5856" s="29">
        <v>223.48</v>
      </c>
      <c r="C5856" s="37">
        <f t="shared" si="188"/>
        <v>37.24666666666667</v>
      </c>
      <c r="D5856" s="37">
        <v>2.7189999999999999</v>
      </c>
      <c r="E5856" s="33">
        <f t="shared" si="189"/>
        <v>-5.030942522594826E-3</v>
      </c>
    </row>
    <row r="5857" spans="1:5" x14ac:dyDescent="0.25">
      <c r="A5857" s="41">
        <v>43709</v>
      </c>
      <c r="B5857" s="29">
        <v>222.18</v>
      </c>
      <c r="C5857" s="37">
        <f t="shared" si="188"/>
        <v>37.03</v>
      </c>
      <c r="D5857" s="37">
        <v>2.7189999999999999</v>
      </c>
      <c r="E5857" s="33">
        <f t="shared" si="189"/>
        <v>-5.8170753534991185E-3</v>
      </c>
    </row>
    <row r="5858" spans="1:5" x14ac:dyDescent="0.25">
      <c r="A5858" s="41">
        <v>43710</v>
      </c>
      <c r="B5858" s="29">
        <v>221.1</v>
      </c>
      <c r="C5858" s="37">
        <f t="shared" si="188"/>
        <v>36.85</v>
      </c>
      <c r="D5858" s="37">
        <v>3.0150000000000001</v>
      </c>
      <c r="E5858" s="33">
        <f t="shared" si="189"/>
        <v>-4.8609235754793973E-3</v>
      </c>
    </row>
    <row r="5859" spans="1:5" x14ac:dyDescent="0.25">
      <c r="A5859" s="41">
        <v>43710</v>
      </c>
      <c r="B5859" s="29">
        <v>219.9</v>
      </c>
      <c r="C5859" s="37">
        <f t="shared" si="188"/>
        <v>36.65</v>
      </c>
      <c r="D5859" s="37">
        <v>3.0150000000000001</v>
      </c>
      <c r="E5859" s="33">
        <f t="shared" si="189"/>
        <v>-5.4274084124829878E-3</v>
      </c>
    </row>
    <row r="5860" spans="1:5" x14ac:dyDescent="0.25">
      <c r="A5860" s="41">
        <v>43710</v>
      </c>
      <c r="B5860" s="29">
        <v>219.46</v>
      </c>
      <c r="C5860" s="37">
        <f t="shared" si="188"/>
        <v>36.576666666666668</v>
      </c>
      <c r="D5860" s="37">
        <v>3.0150000000000001</v>
      </c>
      <c r="E5860" s="33">
        <f t="shared" si="189"/>
        <v>-2.0009095043201351E-3</v>
      </c>
    </row>
    <row r="5861" spans="1:5" x14ac:dyDescent="0.25">
      <c r="A5861" s="41">
        <v>43710</v>
      </c>
      <c r="B5861" s="29">
        <v>219.42</v>
      </c>
      <c r="C5861" s="37">
        <f t="shared" si="188"/>
        <v>36.57</v>
      </c>
      <c r="D5861" s="37">
        <v>3.0150000000000001</v>
      </c>
      <c r="E5861" s="33">
        <f t="shared" si="189"/>
        <v>-1.8226556092235699E-4</v>
      </c>
    </row>
    <row r="5862" spans="1:5" x14ac:dyDescent="0.25">
      <c r="A5862" s="41">
        <v>43710</v>
      </c>
      <c r="B5862" s="29">
        <v>219.72</v>
      </c>
      <c r="C5862" s="37">
        <f t="shared" si="188"/>
        <v>36.619999999999997</v>
      </c>
      <c r="D5862" s="37">
        <v>3.0150000000000001</v>
      </c>
      <c r="E5862" s="33">
        <f t="shared" si="189"/>
        <v>1.3672409078480147E-3</v>
      </c>
    </row>
    <row r="5863" spans="1:5" x14ac:dyDescent="0.25">
      <c r="A5863" s="41">
        <v>43710</v>
      </c>
      <c r="B5863" s="29">
        <v>220.94</v>
      </c>
      <c r="C5863" s="37">
        <f t="shared" si="188"/>
        <v>36.823333333333331</v>
      </c>
      <c r="D5863" s="37">
        <v>3.0150000000000001</v>
      </c>
      <c r="E5863" s="33">
        <f t="shared" si="189"/>
        <v>5.5525213908610904E-3</v>
      </c>
    </row>
    <row r="5864" spans="1:5" x14ac:dyDescent="0.25">
      <c r="A5864" s="41">
        <v>43710</v>
      </c>
      <c r="B5864" s="29">
        <v>222.64</v>
      </c>
      <c r="C5864" s="37">
        <f t="shared" si="188"/>
        <v>37.106666666666669</v>
      </c>
      <c r="D5864" s="37">
        <v>3.0150000000000001</v>
      </c>
      <c r="E5864" s="33">
        <f t="shared" si="189"/>
        <v>7.6943966687788024E-3</v>
      </c>
    </row>
    <row r="5865" spans="1:5" x14ac:dyDescent="0.25">
      <c r="A5865" s="41">
        <v>43710</v>
      </c>
      <c r="B5865" s="29">
        <v>224.53</v>
      </c>
      <c r="C5865" s="37">
        <f t="shared" si="188"/>
        <v>37.421666666666667</v>
      </c>
      <c r="D5865" s="37">
        <v>3.0150000000000001</v>
      </c>
      <c r="E5865" s="33">
        <f t="shared" si="189"/>
        <v>8.4890406036651767E-3</v>
      </c>
    </row>
    <row r="5866" spans="1:5" x14ac:dyDescent="0.25">
      <c r="A5866" s="41">
        <v>43710</v>
      </c>
      <c r="B5866" s="29">
        <v>227.18</v>
      </c>
      <c r="C5866" s="37">
        <f t="shared" si="188"/>
        <v>37.863333333333337</v>
      </c>
      <c r="D5866" s="37">
        <v>3.0150000000000001</v>
      </c>
      <c r="E5866" s="33">
        <f t="shared" si="189"/>
        <v>1.1802431746314549E-2</v>
      </c>
    </row>
    <row r="5867" spans="1:5" x14ac:dyDescent="0.25">
      <c r="A5867" s="41">
        <v>43710</v>
      </c>
      <c r="B5867" s="29">
        <v>229.35</v>
      </c>
      <c r="C5867" s="37">
        <f t="shared" si="188"/>
        <v>38.225000000000001</v>
      </c>
      <c r="D5867" s="37">
        <v>3.0150000000000001</v>
      </c>
      <c r="E5867" s="33">
        <f t="shared" si="189"/>
        <v>9.5518971740469558E-3</v>
      </c>
    </row>
    <row r="5868" spans="1:5" x14ac:dyDescent="0.25">
      <c r="A5868" s="41">
        <v>43710</v>
      </c>
      <c r="B5868" s="29">
        <v>230.9</v>
      </c>
      <c r="C5868" s="37">
        <f t="shared" si="188"/>
        <v>38.483333333333334</v>
      </c>
      <c r="D5868" s="37">
        <v>3.0150000000000001</v>
      </c>
      <c r="E5868" s="33">
        <f t="shared" si="189"/>
        <v>6.7582297798125636E-3</v>
      </c>
    </row>
    <row r="5869" spans="1:5" x14ac:dyDescent="0.25">
      <c r="A5869" s="41">
        <v>43710</v>
      </c>
      <c r="B5869" s="29">
        <v>231.04</v>
      </c>
      <c r="C5869" s="37">
        <f t="shared" si="188"/>
        <v>38.506666666666668</v>
      </c>
      <c r="D5869" s="37">
        <v>3.0150000000000001</v>
      </c>
      <c r="E5869" s="33">
        <f t="shared" si="189"/>
        <v>6.0632308358590889E-4</v>
      </c>
    </row>
    <row r="5870" spans="1:5" x14ac:dyDescent="0.25">
      <c r="A5870" s="41">
        <v>43710</v>
      </c>
      <c r="B5870" s="29">
        <v>230.82</v>
      </c>
      <c r="C5870" s="37">
        <f t="shared" si="188"/>
        <v>38.47</v>
      </c>
      <c r="D5870" s="37">
        <v>3.0150000000000001</v>
      </c>
      <c r="E5870" s="33">
        <f t="shared" si="189"/>
        <v>-9.522160664819896E-4</v>
      </c>
    </row>
    <row r="5871" spans="1:5" x14ac:dyDescent="0.25">
      <c r="A5871" s="41">
        <v>43710</v>
      </c>
      <c r="B5871" s="29">
        <v>231.2</v>
      </c>
      <c r="C5871" s="37">
        <f t="shared" si="188"/>
        <v>38.533333333333331</v>
      </c>
      <c r="D5871" s="37">
        <v>3.0150000000000001</v>
      </c>
      <c r="E5871" s="33">
        <f t="shared" si="189"/>
        <v>1.6463044796811172E-3</v>
      </c>
    </row>
    <row r="5872" spans="1:5" x14ac:dyDescent="0.25">
      <c r="A5872" s="41">
        <v>43710</v>
      </c>
      <c r="B5872" s="29">
        <v>231.46</v>
      </c>
      <c r="C5872" s="37">
        <f t="shared" si="188"/>
        <v>38.576666666666668</v>
      </c>
      <c r="D5872" s="37">
        <v>3.0150000000000001</v>
      </c>
      <c r="E5872" s="33">
        <f t="shared" si="189"/>
        <v>1.1245674740485265E-3</v>
      </c>
    </row>
    <row r="5873" spans="1:5" x14ac:dyDescent="0.25">
      <c r="A5873" s="41">
        <v>43710</v>
      </c>
      <c r="B5873" s="29">
        <v>231.48</v>
      </c>
      <c r="C5873" s="37">
        <f t="shared" si="188"/>
        <v>38.58</v>
      </c>
      <c r="D5873" s="37">
        <v>3.0150000000000001</v>
      </c>
      <c r="E5873" s="33">
        <f t="shared" si="189"/>
        <v>8.6408018664053447E-5</v>
      </c>
    </row>
    <row r="5874" spans="1:5" x14ac:dyDescent="0.25">
      <c r="A5874" s="41">
        <v>43710</v>
      </c>
      <c r="B5874" s="29">
        <v>231.33</v>
      </c>
      <c r="C5874" s="37">
        <f t="shared" si="188"/>
        <v>38.555</v>
      </c>
      <c r="D5874" s="37">
        <v>3.0150000000000001</v>
      </c>
      <c r="E5874" s="33">
        <f t="shared" si="189"/>
        <v>-6.4800414722644402E-4</v>
      </c>
    </row>
    <row r="5875" spans="1:5" x14ac:dyDescent="0.25">
      <c r="A5875" s="41">
        <v>43710</v>
      </c>
      <c r="B5875" s="29">
        <v>230.88</v>
      </c>
      <c r="C5875" s="37">
        <f t="shared" si="188"/>
        <v>38.479999999999997</v>
      </c>
      <c r="D5875" s="37">
        <v>3.0150000000000001</v>
      </c>
      <c r="E5875" s="33">
        <f t="shared" si="189"/>
        <v>-1.9452729866425325E-3</v>
      </c>
    </row>
    <row r="5876" spans="1:5" x14ac:dyDescent="0.25">
      <c r="A5876" s="41">
        <v>43710</v>
      </c>
      <c r="B5876" s="29">
        <v>232.28</v>
      </c>
      <c r="C5876" s="37">
        <f t="shared" si="188"/>
        <v>38.713333333333331</v>
      </c>
      <c r="D5876" s="37">
        <v>3.0150000000000001</v>
      </c>
      <c r="E5876" s="33">
        <f t="shared" si="189"/>
        <v>6.0637560637560881E-3</v>
      </c>
    </row>
    <row r="5877" spans="1:5" x14ac:dyDescent="0.25">
      <c r="A5877" s="41">
        <v>43710</v>
      </c>
      <c r="B5877" s="29">
        <v>231.23</v>
      </c>
      <c r="C5877" s="37">
        <f t="shared" si="188"/>
        <v>38.538333333333334</v>
      </c>
      <c r="D5877" s="37">
        <v>3.0150000000000001</v>
      </c>
      <c r="E5877" s="33">
        <f t="shared" si="189"/>
        <v>-4.5204064060616984E-3</v>
      </c>
    </row>
    <row r="5878" spans="1:5" x14ac:dyDescent="0.25">
      <c r="A5878" s="41">
        <v>43710</v>
      </c>
      <c r="B5878" s="29">
        <v>230.74</v>
      </c>
      <c r="C5878" s="37">
        <f t="shared" si="188"/>
        <v>38.456666666666663</v>
      </c>
      <c r="D5878" s="37">
        <v>3.0150000000000001</v>
      </c>
      <c r="E5878" s="33">
        <f t="shared" si="189"/>
        <v>-2.1191021926219812E-3</v>
      </c>
    </row>
    <row r="5879" spans="1:5" x14ac:dyDescent="0.25">
      <c r="A5879" s="41">
        <v>43710</v>
      </c>
      <c r="B5879" s="29">
        <v>230.5</v>
      </c>
      <c r="C5879" s="37">
        <f t="shared" si="188"/>
        <v>38.416666666666664</v>
      </c>
      <c r="D5879" s="37">
        <v>3.0150000000000001</v>
      </c>
      <c r="E5879" s="33">
        <f t="shared" si="189"/>
        <v>-1.0401317500217087E-3</v>
      </c>
    </row>
    <row r="5880" spans="1:5" x14ac:dyDescent="0.25">
      <c r="A5880" s="41">
        <v>43710</v>
      </c>
      <c r="B5880" s="29">
        <v>228.94</v>
      </c>
      <c r="C5880" s="37">
        <f t="shared" si="188"/>
        <v>38.156666666666666</v>
      </c>
      <c r="D5880" s="37">
        <v>3.0150000000000001</v>
      </c>
      <c r="E5880" s="33">
        <f t="shared" si="189"/>
        <v>-6.7678958785249554E-3</v>
      </c>
    </row>
    <row r="5881" spans="1:5" x14ac:dyDescent="0.25">
      <c r="A5881" s="41">
        <v>43710</v>
      </c>
      <c r="B5881" s="29">
        <v>225.14</v>
      </c>
      <c r="C5881" s="37">
        <f t="shared" si="188"/>
        <v>37.523333333333333</v>
      </c>
      <c r="D5881" s="37">
        <v>3.0150000000000001</v>
      </c>
      <c r="E5881" s="33">
        <f t="shared" si="189"/>
        <v>-1.6598235345505422E-2</v>
      </c>
    </row>
    <row r="5882" spans="1:5" x14ac:dyDescent="0.25">
      <c r="A5882" s="41">
        <v>43711</v>
      </c>
      <c r="B5882" s="29">
        <v>222.63</v>
      </c>
      <c r="C5882" s="37">
        <f t="shared" si="188"/>
        <v>37.104999999999997</v>
      </c>
      <c r="D5882" s="37">
        <v>3.0139999999999998</v>
      </c>
      <c r="E5882" s="33">
        <f t="shared" si="189"/>
        <v>-1.1148618637292312E-2</v>
      </c>
    </row>
    <row r="5883" spans="1:5" x14ac:dyDescent="0.25">
      <c r="A5883" s="41">
        <v>43711</v>
      </c>
      <c r="B5883" s="29">
        <v>221.82</v>
      </c>
      <c r="C5883" s="37">
        <f t="shared" si="188"/>
        <v>36.97</v>
      </c>
      <c r="D5883" s="37">
        <v>3.0139999999999998</v>
      </c>
      <c r="E5883" s="33">
        <f t="shared" si="189"/>
        <v>-3.6383236760544504E-3</v>
      </c>
    </row>
    <row r="5884" spans="1:5" x14ac:dyDescent="0.25">
      <c r="A5884" s="41">
        <v>43711</v>
      </c>
      <c r="B5884" s="29">
        <v>221.33</v>
      </c>
      <c r="C5884" s="37">
        <f t="shared" si="188"/>
        <v>36.888333333333335</v>
      </c>
      <c r="D5884" s="37">
        <v>3.0139999999999998</v>
      </c>
      <c r="E5884" s="33">
        <f t="shared" si="189"/>
        <v>-2.2089982868992008E-3</v>
      </c>
    </row>
    <row r="5885" spans="1:5" x14ac:dyDescent="0.25">
      <c r="A5885" s="41">
        <v>43711</v>
      </c>
      <c r="B5885" s="29">
        <v>221.28</v>
      </c>
      <c r="C5885" s="37">
        <f t="shared" si="188"/>
        <v>36.880000000000003</v>
      </c>
      <c r="D5885" s="37">
        <v>3.0139999999999998</v>
      </c>
      <c r="E5885" s="33">
        <f t="shared" si="189"/>
        <v>-2.2590701667198919E-4</v>
      </c>
    </row>
    <row r="5886" spans="1:5" x14ac:dyDescent="0.25">
      <c r="A5886" s="41">
        <v>43711</v>
      </c>
      <c r="B5886" s="29">
        <v>221.44</v>
      </c>
      <c r="C5886" s="37">
        <f t="shared" si="188"/>
        <v>36.906666666666666</v>
      </c>
      <c r="D5886" s="37">
        <v>3.0139999999999998</v>
      </c>
      <c r="E5886" s="33">
        <f t="shared" si="189"/>
        <v>7.2306579898769247E-4</v>
      </c>
    </row>
    <row r="5887" spans="1:5" x14ac:dyDescent="0.25">
      <c r="A5887" s="41">
        <v>43711</v>
      </c>
      <c r="B5887" s="29">
        <v>221.98</v>
      </c>
      <c r="C5887" s="37">
        <f t="shared" si="188"/>
        <v>36.99666666666667</v>
      </c>
      <c r="D5887" s="37">
        <v>3.0139999999999998</v>
      </c>
      <c r="E5887" s="33">
        <f t="shared" si="189"/>
        <v>2.4385838150288658E-3</v>
      </c>
    </row>
    <row r="5888" spans="1:5" x14ac:dyDescent="0.25">
      <c r="A5888" s="41">
        <v>43711</v>
      </c>
      <c r="B5888" s="29">
        <v>224.32</v>
      </c>
      <c r="C5888" s="37">
        <f t="shared" si="188"/>
        <v>37.386666666666663</v>
      </c>
      <c r="D5888" s="37">
        <v>3.0139999999999998</v>
      </c>
      <c r="E5888" s="33">
        <f t="shared" si="189"/>
        <v>1.0541490224344552E-2</v>
      </c>
    </row>
    <row r="5889" spans="1:5" x14ac:dyDescent="0.25">
      <c r="A5889" s="41">
        <v>43711</v>
      </c>
      <c r="B5889" s="29">
        <v>225.88</v>
      </c>
      <c r="C5889" s="37">
        <f t="shared" si="188"/>
        <v>37.646666666666668</v>
      </c>
      <c r="D5889" s="37">
        <v>3.0139999999999998</v>
      </c>
      <c r="E5889" s="33">
        <f t="shared" si="189"/>
        <v>6.9543509272468008E-3</v>
      </c>
    </row>
    <row r="5890" spans="1:5" x14ac:dyDescent="0.25">
      <c r="A5890" s="41">
        <v>43711</v>
      </c>
      <c r="B5890" s="29">
        <v>227</v>
      </c>
      <c r="C5890" s="37">
        <f t="shared" si="188"/>
        <v>37.833333333333336</v>
      </c>
      <c r="D5890" s="37">
        <v>3.0139999999999998</v>
      </c>
      <c r="E5890" s="33">
        <f t="shared" si="189"/>
        <v>4.9583849831769285E-3</v>
      </c>
    </row>
    <row r="5891" spans="1:5" x14ac:dyDescent="0.25">
      <c r="A5891" s="41">
        <v>43711</v>
      </c>
      <c r="B5891" s="29">
        <v>228.86</v>
      </c>
      <c r="C5891" s="37">
        <f t="shared" ref="C5891:C5954" si="190">(B5891*100/600)</f>
        <v>38.143333333333331</v>
      </c>
      <c r="D5891" s="37">
        <v>3.0139999999999998</v>
      </c>
      <c r="E5891" s="33">
        <f t="shared" si="189"/>
        <v>8.1938325991190025E-3</v>
      </c>
    </row>
    <row r="5892" spans="1:5" x14ac:dyDescent="0.25">
      <c r="A5892" s="41">
        <v>43711</v>
      </c>
      <c r="B5892" s="29">
        <v>229.84</v>
      </c>
      <c r="C5892" s="37">
        <f t="shared" si="190"/>
        <v>38.306666666666665</v>
      </c>
      <c r="D5892" s="37">
        <v>3.0139999999999998</v>
      </c>
      <c r="E5892" s="33">
        <f t="shared" ref="E5892:E5955" si="191">(B5892-B5891)/B5891</f>
        <v>4.2820938565061159E-3</v>
      </c>
    </row>
    <row r="5893" spans="1:5" x14ac:dyDescent="0.25">
      <c r="A5893" s="41">
        <v>43711</v>
      </c>
      <c r="B5893" s="29">
        <v>229.84</v>
      </c>
      <c r="C5893" s="37">
        <f t="shared" si="190"/>
        <v>38.306666666666665</v>
      </c>
      <c r="D5893" s="37">
        <v>3.0139999999999998</v>
      </c>
      <c r="E5893" s="33">
        <f t="shared" si="191"/>
        <v>0</v>
      </c>
    </row>
    <row r="5894" spans="1:5" x14ac:dyDescent="0.25">
      <c r="A5894" s="41">
        <v>43711</v>
      </c>
      <c r="B5894" s="29">
        <v>229.81</v>
      </c>
      <c r="C5894" s="37">
        <f t="shared" si="190"/>
        <v>38.301666666666669</v>
      </c>
      <c r="D5894" s="37">
        <v>3.0139999999999998</v>
      </c>
      <c r="E5894" s="33">
        <f t="shared" si="191"/>
        <v>-1.3052558301427573E-4</v>
      </c>
    </row>
    <row r="5895" spans="1:5" x14ac:dyDescent="0.25">
      <c r="A5895" s="41">
        <v>43711</v>
      </c>
      <c r="B5895" s="29">
        <v>229.84</v>
      </c>
      <c r="C5895" s="37">
        <f t="shared" si="190"/>
        <v>38.306666666666665</v>
      </c>
      <c r="D5895" s="37">
        <v>3.0139999999999998</v>
      </c>
      <c r="E5895" s="33">
        <f t="shared" si="191"/>
        <v>1.3054262216614218E-4</v>
      </c>
    </row>
    <row r="5896" spans="1:5" x14ac:dyDescent="0.25">
      <c r="A5896" s="41">
        <v>43711</v>
      </c>
      <c r="B5896" s="29">
        <v>229.84</v>
      </c>
      <c r="C5896" s="37">
        <f t="shared" si="190"/>
        <v>38.306666666666665</v>
      </c>
      <c r="D5896" s="37">
        <v>3.0139999999999998</v>
      </c>
      <c r="E5896" s="33">
        <f t="shared" si="191"/>
        <v>0</v>
      </c>
    </row>
    <row r="5897" spans="1:5" x14ac:dyDescent="0.25">
      <c r="A5897" s="41">
        <v>43711</v>
      </c>
      <c r="B5897" s="29">
        <v>229.84</v>
      </c>
      <c r="C5897" s="37">
        <f t="shared" si="190"/>
        <v>38.306666666666665</v>
      </c>
      <c r="D5897" s="37">
        <v>3.0139999999999998</v>
      </c>
      <c r="E5897" s="33">
        <f t="shared" si="191"/>
        <v>0</v>
      </c>
    </row>
    <row r="5898" spans="1:5" x14ac:dyDescent="0.25">
      <c r="A5898" s="41">
        <v>43711</v>
      </c>
      <c r="B5898" s="29">
        <v>229.8</v>
      </c>
      <c r="C5898" s="37">
        <f t="shared" si="190"/>
        <v>38.299999999999997</v>
      </c>
      <c r="D5898" s="37">
        <v>3.0139999999999998</v>
      </c>
      <c r="E5898" s="33">
        <f t="shared" si="191"/>
        <v>-1.7403411068565977E-4</v>
      </c>
    </row>
    <row r="5899" spans="1:5" x14ac:dyDescent="0.25">
      <c r="A5899" s="41">
        <v>43711</v>
      </c>
      <c r="B5899" s="29">
        <v>229.67</v>
      </c>
      <c r="C5899" s="37">
        <f t="shared" si="190"/>
        <v>38.278333333333336</v>
      </c>
      <c r="D5899" s="37">
        <v>3.0139999999999998</v>
      </c>
      <c r="E5899" s="33">
        <f t="shared" si="191"/>
        <v>-5.657093124457087E-4</v>
      </c>
    </row>
    <row r="5900" spans="1:5" x14ac:dyDescent="0.25">
      <c r="A5900" s="41">
        <v>43711</v>
      </c>
      <c r="B5900" s="29">
        <v>230.13</v>
      </c>
      <c r="C5900" s="37">
        <f t="shared" si="190"/>
        <v>38.354999999999997</v>
      </c>
      <c r="D5900" s="37">
        <v>3.0139999999999998</v>
      </c>
      <c r="E5900" s="33">
        <f t="shared" si="191"/>
        <v>2.0028736883354725E-3</v>
      </c>
    </row>
    <row r="5901" spans="1:5" x14ac:dyDescent="0.25">
      <c r="A5901" s="41">
        <v>43711</v>
      </c>
      <c r="B5901" s="29">
        <v>229.79</v>
      </c>
      <c r="C5901" s="37">
        <f t="shared" si="190"/>
        <v>38.298333333333332</v>
      </c>
      <c r="D5901" s="37">
        <v>3.0139999999999998</v>
      </c>
      <c r="E5901" s="33">
        <f t="shared" si="191"/>
        <v>-1.4774258028071238E-3</v>
      </c>
    </row>
    <row r="5902" spans="1:5" x14ac:dyDescent="0.25">
      <c r="A5902" s="41">
        <v>43711</v>
      </c>
      <c r="B5902" s="29">
        <v>229.54</v>
      </c>
      <c r="C5902" s="37">
        <f t="shared" si="190"/>
        <v>38.256666666666668</v>
      </c>
      <c r="D5902" s="37">
        <v>3.0139999999999998</v>
      </c>
      <c r="E5902" s="33">
        <f t="shared" si="191"/>
        <v>-1.0879498672701161E-3</v>
      </c>
    </row>
    <row r="5903" spans="1:5" x14ac:dyDescent="0.25">
      <c r="A5903" s="41">
        <v>43711</v>
      </c>
      <c r="B5903" s="29">
        <v>229.33</v>
      </c>
      <c r="C5903" s="37">
        <f t="shared" si="190"/>
        <v>38.221666666666664</v>
      </c>
      <c r="D5903" s="37">
        <v>3.0139999999999998</v>
      </c>
      <c r="E5903" s="33">
        <f t="shared" si="191"/>
        <v>-9.1487322471020104E-4</v>
      </c>
    </row>
    <row r="5904" spans="1:5" x14ac:dyDescent="0.25">
      <c r="A5904" s="41">
        <v>43711</v>
      </c>
      <c r="B5904" s="29">
        <v>227.88</v>
      </c>
      <c r="C5904" s="37">
        <f t="shared" si="190"/>
        <v>37.979999999999997</v>
      </c>
      <c r="D5904" s="37">
        <v>3.0139999999999998</v>
      </c>
      <c r="E5904" s="33">
        <f t="shared" si="191"/>
        <v>-6.3227663192779709E-3</v>
      </c>
    </row>
    <row r="5905" spans="1:5" x14ac:dyDescent="0.25">
      <c r="A5905" s="41">
        <v>43711</v>
      </c>
      <c r="B5905" s="29">
        <v>225.37</v>
      </c>
      <c r="C5905" s="37">
        <f t="shared" si="190"/>
        <v>37.561666666666667</v>
      </c>
      <c r="D5905" s="37">
        <v>3.0139999999999998</v>
      </c>
      <c r="E5905" s="33">
        <f t="shared" si="191"/>
        <v>-1.101456907144107E-2</v>
      </c>
    </row>
    <row r="5906" spans="1:5" x14ac:dyDescent="0.25">
      <c r="A5906" s="41">
        <v>43712</v>
      </c>
      <c r="B5906" s="29">
        <v>221.75</v>
      </c>
      <c r="C5906" s="37">
        <f t="shared" si="190"/>
        <v>36.958333333333336</v>
      </c>
      <c r="D5906" s="37">
        <v>2.923</v>
      </c>
      <c r="E5906" s="33">
        <f t="shared" si="191"/>
        <v>-1.6062475041043637E-2</v>
      </c>
    </row>
    <row r="5907" spans="1:5" x14ac:dyDescent="0.25">
      <c r="A5907" s="41">
        <v>43712</v>
      </c>
      <c r="B5907" s="29">
        <v>221.26</v>
      </c>
      <c r="C5907" s="37">
        <f t="shared" si="190"/>
        <v>36.876666666666665</v>
      </c>
      <c r="D5907" s="37">
        <v>2.923</v>
      </c>
      <c r="E5907" s="33">
        <f t="shared" si="191"/>
        <v>-2.2096956031567492E-3</v>
      </c>
    </row>
    <row r="5908" spans="1:5" x14ac:dyDescent="0.25">
      <c r="A5908" s="41">
        <v>43712</v>
      </c>
      <c r="B5908" s="29">
        <v>220.83</v>
      </c>
      <c r="C5908" s="37">
        <f t="shared" si="190"/>
        <v>36.805</v>
      </c>
      <c r="D5908" s="37">
        <v>2.923</v>
      </c>
      <c r="E5908" s="33">
        <f t="shared" si="191"/>
        <v>-1.9434149868931502E-3</v>
      </c>
    </row>
    <row r="5909" spans="1:5" x14ac:dyDescent="0.25">
      <c r="A5909" s="41">
        <v>43712</v>
      </c>
      <c r="B5909" s="29">
        <v>220.81</v>
      </c>
      <c r="C5909" s="37">
        <f t="shared" si="190"/>
        <v>36.801666666666669</v>
      </c>
      <c r="D5909" s="37">
        <v>2.923</v>
      </c>
      <c r="E5909" s="33">
        <f t="shared" si="191"/>
        <v>-9.0567404791062041E-5</v>
      </c>
    </row>
    <row r="5910" spans="1:5" x14ac:dyDescent="0.25">
      <c r="A5910" s="41">
        <v>43712</v>
      </c>
      <c r="B5910" s="29">
        <v>220.98</v>
      </c>
      <c r="C5910" s="37">
        <f t="shared" si="190"/>
        <v>36.83</v>
      </c>
      <c r="D5910" s="37">
        <v>2.923</v>
      </c>
      <c r="E5910" s="33">
        <f t="shared" si="191"/>
        <v>7.6989266790447662E-4</v>
      </c>
    </row>
    <row r="5911" spans="1:5" x14ac:dyDescent="0.25">
      <c r="A5911" s="41">
        <v>43712</v>
      </c>
      <c r="B5911" s="29">
        <v>221.6</v>
      </c>
      <c r="C5911" s="37">
        <f t="shared" si="190"/>
        <v>36.93333333333333</v>
      </c>
      <c r="D5911" s="37">
        <v>2.923</v>
      </c>
      <c r="E5911" s="33">
        <f t="shared" si="191"/>
        <v>2.8056837722871056E-3</v>
      </c>
    </row>
    <row r="5912" spans="1:5" x14ac:dyDescent="0.25">
      <c r="A5912" s="41">
        <v>43712</v>
      </c>
      <c r="B5912" s="29">
        <v>223.24</v>
      </c>
      <c r="C5912" s="37">
        <f t="shared" si="190"/>
        <v>37.206666666666663</v>
      </c>
      <c r="D5912" s="37">
        <v>2.923</v>
      </c>
      <c r="E5912" s="33">
        <f t="shared" si="191"/>
        <v>7.4007220216607168E-3</v>
      </c>
    </row>
    <row r="5913" spans="1:5" x14ac:dyDescent="0.25">
      <c r="A5913" s="41">
        <v>43712</v>
      </c>
      <c r="B5913" s="29">
        <v>224.9</v>
      </c>
      <c r="C5913" s="37">
        <f t="shared" si="190"/>
        <v>37.483333333333334</v>
      </c>
      <c r="D5913" s="37">
        <v>2.923</v>
      </c>
      <c r="E5913" s="33">
        <f t="shared" si="191"/>
        <v>7.4359433793226865E-3</v>
      </c>
    </row>
    <row r="5914" spans="1:5" x14ac:dyDescent="0.25">
      <c r="A5914" s="41">
        <v>43712</v>
      </c>
      <c r="B5914" s="29">
        <v>226.71</v>
      </c>
      <c r="C5914" s="37">
        <f t="shared" si="190"/>
        <v>37.784999999999997</v>
      </c>
      <c r="D5914" s="37">
        <v>2.923</v>
      </c>
      <c r="E5914" s="33">
        <f t="shared" si="191"/>
        <v>8.0480213428190412E-3</v>
      </c>
    </row>
    <row r="5915" spans="1:5" x14ac:dyDescent="0.25">
      <c r="A5915" s="41">
        <v>43712</v>
      </c>
      <c r="B5915" s="29">
        <v>228.84</v>
      </c>
      <c r="C5915" s="37">
        <f t="shared" si="190"/>
        <v>38.14</v>
      </c>
      <c r="D5915" s="37">
        <v>2.923</v>
      </c>
      <c r="E5915" s="33">
        <f t="shared" si="191"/>
        <v>9.3952626703718203E-3</v>
      </c>
    </row>
    <row r="5916" spans="1:5" x14ac:dyDescent="0.25">
      <c r="A5916" s="41">
        <v>43712</v>
      </c>
      <c r="B5916" s="29">
        <v>230.28</v>
      </c>
      <c r="C5916" s="37">
        <f t="shared" si="190"/>
        <v>38.380000000000003</v>
      </c>
      <c r="D5916" s="37">
        <v>2.923</v>
      </c>
      <c r="E5916" s="33">
        <f t="shared" si="191"/>
        <v>6.2926061877294076E-3</v>
      </c>
    </row>
    <row r="5917" spans="1:5" x14ac:dyDescent="0.25">
      <c r="A5917" s="41">
        <v>43712</v>
      </c>
      <c r="B5917" s="29">
        <v>231.19</v>
      </c>
      <c r="C5917" s="37">
        <f t="shared" si="190"/>
        <v>38.531666666666666</v>
      </c>
      <c r="D5917" s="37">
        <v>2.923</v>
      </c>
      <c r="E5917" s="33">
        <f t="shared" si="191"/>
        <v>3.951710960569726E-3</v>
      </c>
    </row>
    <row r="5918" spans="1:5" x14ac:dyDescent="0.25">
      <c r="A5918" s="41">
        <v>43712</v>
      </c>
      <c r="B5918" s="29">
        <v>230.08</v>
      </c>
      <c r="C5918" s="37">
        <f t="shared" si="190"/>
        <v>38.346666666666664</v>
      </c>
      <c r="D5918" s="37">
        <v>2.923</v>
      </c>
      <c r="E5918" s="33">
        <f t="shared" si="191"/>
        <v>-4.8012457286214167E-3</v>
      </c>
    </row>
    <row r="5919" spans="1:5" x14ac:dyDescent="0.25">
      <c r="A5919" s="41">
        <v>43712</v>
      </c>
      <c r="B5919" s="29">
        <v>231.3</v>
      </c>
      <c r="C5919" s="37">
        <f t="shared" si="190"/>
        <v>38.549999999999997</v>
      </c>
      <c r="D5919" s="37">
        <v>2.923</v>
      </c>
      <c r="E5919" s="33">
        <f t="shared" si="191"/>
        <v>5.3025034770514548E-3</v>
      </c>
    </row>
    <row r="5920" spans="1:5" x14ac:dyDescent="0.25">
      <c r="A5920" s="41">
        <v>43712</v>
      </c>
      <c r="B5920" s="29">
        <v>232.49</v>
      </c>
      <c r="C5920" s="37">
        <f t="shared" si="190"/>
        <v>38.748333333333335</v>
      </c>
      <c r="D5920" s="37">
        <v>2.923</v>
      </c>
      <c r="E5920" s="33">
        <f t="shared" si="191"/>
        <v>5.1448335495027997E-3</v>
      </c>
    </row>
    <row r="5921" spans="1:5" x14ac:dyDescent="0.25">
      <c r="A5921" s="41">
        <v>43712</v>
      </c>
      <c r="B5921" s="29">
        <v>232.52</v>
      </c>
      <c r="C5921" s="37">
        <f t="shared" si="190"/>
        <v>38.75333333333333</v>
      </c>
      <c r="D5921" s="37">
        <v>2.923</v>
      </c>
      <c r="E5921" s="33">
        <f t="shared" si="191"/>
        <v>1.2903780807777167E-4</v>
      </c>
    </row>
    <row r="5922" spans="1:5" x14ac:dyDescent="0.25">
      <c r="A5922" s="41">
        <v>43712</v>
      </c>
      <c r="B5922" s="29">
        <v>232.23</v>
      </c>
      <c r="C5922" s="37">
        <f t="shared" si="190"/>
        <v>38.704999999999998</v>
      </c>
      <c r="D5922" s="37">
        <v>2.923</v>
      </c>
      <c r="E5922" s="33">
        <f t="shared" si="191"/>
        <v>-1.2472045415449014E-3</v>
      </c>
    </row>
    <row r="5923" spans="1:5" x14ac:dyDescent="0.25">
      <c r="A5923" s="41">
        <v>43712</v>
      </c>
      <c r="B5923" s="29">
        <v>230.76</v>
      </c>
      <c r="C5923" s="37">
        <f t="shared" si="190"/>
        <v>38.46</v>
      </c>
      <c r="D5923" s="37">
        <v>2.923</v>
      </c>
      <c r="E5923" s="33">
        <f t="shared" si="191"/>
        <v>-6.3299315333936136E-3</v>
      </c>
    </row>
    <row r="5924" spans="1:5" x14ac:dyDescent="0.25">
      <c r="A5924" s="41">
        <v>43712</v>
      </c>
      <c r="B5924" s="29">
        <v>232.6</v>
      </c>
      <c r="C5924" s="37">
        <f t="shared" si="190"/>
        <v>38.766666666666666</v>
      </c>
      <c r="D5924" s="37">
        <v>2.923</v>
      </c>
      <c r="E5924" s="33">
        <f t="shared" si="191"/>
        <v>7.9736522794245247E-3</v>
      </c>
    </row>
    <row r="5925" spans="1:5" x14ac:dyDescent="0.25">
      <c r="A5925" s="41">
        <v>43712</v>
      </c>
      <c r="B5925" s="29">
        <v>232.35</v>
      </c>
      <c r="C5925" s="37">
        <f t="shared" si="190"/>
        <v>38.725000000000001</v>
      </c>
      <c r="D5925" s="37">
        <v>2.923</v>
      </c>
      <c r="E5925" s="33">
        <f t="shared" si="191"/>
        <v>-1.0748065348237317E-3</v>
      </c>
    </row>
    <row r="5926" spans="1:5" x14ac:dyDescent="0.25">
      <c r="A5926" s="41">
        <v>43712</v>
      </c>
      <c r="B5926" s="29">
        <v>231.14</v>
      </c>
      <c r="C5926" s="37">
        <f t="shared" si="190"/>
        <v>38.523333333333333</v>
      </c>
      <c r="D5926" s="37">
        <v>2.923</v>
      </c>
      <c r="E5926" s="33">
        <f t="shared" si="191"/>
        <v>-5.2076608564665715E-3</v>
      </c>
    </row>
    <row r="5927" spans="1:5" x14ac:dyDescent="0.25">
      <c r="A5927" s="41">
        <v>43712</v>
      </c>
      <c r="B5927" s="29">
        <v>230.58</v>
      </c>
      <c r="C5927" s="37">
        <f t="shared" si="190"/>
        <v>38.43</v>
      </c>
      <c r="D5927" s="37">
        <v>2.923</v>
      </c>
      <c r="E5927" s="33">
        <f t="shared" si="191"/>
        <v>-2.4227740763172706E-3</v>
      </c>
    </row>
    <row r="5928" spans="1:5" x14ac:dyDescent="0.25">
      <c r="A5928" s="41">
        <v>43712</v>
      </c>
      <c r="B5928" s="29">
        <v>228.06</v>
      </c>
      <c r="C5928" s="37">
        <f t="shared" si="190"/>
        <v>38.01</v>
      </c>
      <c r="D5928" s="37">
        <v>2.923</v>
      </c>
      <c r="E5928" s="33">
        <f t="shared" si="191"/>
        <v>-1.0928961748633923E-2</v>
      </c>
    </row>
    <row r="5929" spans="1:5" x14ac:dyDescent="0.25">
      <c r="A5929" s="41">
        <v>43712</v>
      </c>
      <c r="B5929" s="29">
        <v>225.88</v>
      </c>
      <c r="C5929" s="37">
        <f t="shared" si="190"/>
        <v>37.646666666666668</v>
      </c>
      <c r="D5929" s="37">
        <v>2.923</v>
      </c>
      <c r="E5929" s="33">
        <f t="shared" si="191"/>
        <v>-9.5588880119267163E-3</v>
      </c>
    </row>
    <row r="5930" spans="1:5" x14ac:dyDescent="0.25">
      <c r="A5930" s="41">
        <v>43713</v>
      </c>
      <c r="B5930" s="29">
        <v>222.18</v>
      </c>
      <c r="C5930" s="37">
        <f t="shared" si="190"/>
        <v>37.03</v>
      </c>
      <c r="D5930" s="37">
        <v>2.8740000000000001</v>
      </c>
      <c r="E5930" s="33">
        <f t="shared" si="191"/>
        <v>-1.6380378962280808E-2</v>
      </c>
    </row>
    <row r="5931" spans="1:5" x14ac:dyDescent="0.25">
      <c r="A5931" s="41">
        <v>43713</v>
      </c>
      <c r="B5931" s="29">
        <v>221.48</v>
      </c>
      <c r="C5931" s="37">
        <f t="shared" si="190"/>
        <v>36.913333333333334</v>
      </c>
      <c r="D5931" s="37">
        <v>2.8740000000000001</v>
      </c>
      <c r="E5931" s="33">
        <f t="shared" si="191"/>
        <v>-3.1505986137366866E-3</v>
      </c>
    </row>
    <row r="5932" spans="1:5" x14ac:dyDescent="0.25">
      <c r="A5932" s="41">
        <v>43713</v>
      </c>
      <c r="B5932" s="29">
        <v>221.28</v>
      </c>
      <c r="C5932" s="37">
        <f t="shared" si="190"/>
        <v>36.880000000000003</v>
      </c>
      <c r="D5932" s="37">
        <v>2.8740000000000001</v>
      </c>
      <c r="E5932" s="33">
        <f t="shared" si="191"/>
        <v>-9.0301607368606038E-4</v>
      </c>
    </row>
    <row r="5933" spans="1:5" x14ac:dyDescent="0.25">
      <c r="A5933" s="41">
        <v>43713</v>
      </c>
      <c r="B5933" s="29">
        <v>221.26</v>
      </c>
      <c r="C5933" s="37">
        <f t="shared" si="190"/>
        <v>36.876666666666665</v>
      </c>
      <c r="D5933" s="37">
        <v>2.8740000000000001</v>
      </c>
      <c r="E5933" s="33">
        <f t="shared" si="191"/>
        <v>-9.0383224873509725E-5</v>
      </c>
    </row>
    <row r="5934" spans="1:5" x14ac:dyDescent="0.25">
      <c r="A5934" s="41">
        <v>43713</v>
      </c>
      <c r="B5934" s="29">
        <v>221.2</v>
      </c>
      <c r="C5934" s="37">
        <f t="shared" si="190"/>
        <v>36.866666666666667</v>
      </c>
      <c r="D5934" s="37">
        <v>2.8740000000000001</v>
      </c>
      <c r="E5934" s="33">
        <f t="shared" si="191"/>
        <v>-2.7117418421767275E-4</v>
      </c>
    </row>
    <row r="5935" spans="1:5" x14ac:dyDescent="0.25">
      <c r="A5935" s="41">
        <v>43713</v>
      </c>
      <c r="B5935" s="29">
        <v>221.68</v>
      </c>
      <c r="C5935" s="37">
        <f t="shared" si="190"/>
        <v>36.946666666666665</v>
      </c>
      <c r="D5935" s="37">
        <v>2.8740000000000001</v>
      </c>
      <c r="E5935" s="33">
        <f t="shared" si="191"/>
        <v>2.1699819168174424E-3</v>
      </c>
    </row>
    <row r="5936" spans="1:5" x14ac:dyDescent="0.25">
      <c r="A5936" s="41">
        <v>43713</v>
      </c>
      <c r="B5936" s="29">
        <v>222.79</v>
      </c>
      <c r="C5936" s="37">
        <f t="shared" si="190"/>
        <v>37.131666666666668</v>
      </c>
      <c r="D5936" s="37">
        <v>2.8740000000000001</v>
      </c>
      <c r="E5936" s="33">
        <f t="shared" si="191"/>
        <v>5.0072176109707016E-3</v>
      </c>
    </row>
    <row r="5937" spans="1:5" x14ac:dyDescent="0.25">
      <c r="A5937" s="41">
        <v>43713</v>
      </c>
      <c r="B5937" s="29">
        <v>224.84</v>
      </c>
      <c r="C5937" s="37">
        <f t="shared" si="190"/>
        <v>37.473333333333336</v>
      </c>
      <c r="D5937" s="37">
        <v>2.8740000000000001</v>
      </c>
      <c r="E5937" s="33">
        <f t="shared" si="191"/>
        <v>9.2014901925580664E-3</v>
      </c>
    </row>
    <row r="5938" spans="1:5" x14ac:dyDescent="0.25">
      <c r="A5938" s="41">
        <v>43713</v>
      </c>
      <c r="B5938" s="29">
        <v>227.06</v>
      </c>
      <c r="C5938" s="37">
        <f t="shared" si="190"/>
        <v>37.843333333333334</v>
      </c>
      <c r="D5938" s="37">
        <v>2.8740000000000001</v>
      </c>
      <c r="E5938" s="33">
        <f t="shared" si="191"/>
        <v>9.8736879558797321E-3</v>
      </c>
    </row>
    <row r="5939" spans="1:5" x14ac:dyDescent="0.25">
      <c r="A5939" s="41">
        <v>43713</v>
      </c>
      <c r="B5939" s="29">
        <v>228.79</v>
      </c>
      <c r="C5939" s="37">
        <f t="shared" si="190"/>
        <v>38.131666666666668</v>
      </c>
      <c r="D5939" s="37">
        <v>2.8740000000000001</v>
      </c>
      <c r="E5939" s="33">
        <f t="shared" si="191"/>
        <v>7.6191315070905921E-3</v>
      </c>
    </row>
    <row r="5940" spans="1:5" x14ac:dyDescent="0.25">
      <c r="A5940" s="41">
        <v>43713</v>
      </c>
      <c r="B5940" s="29">
        <v>229.78</v>
      </c>
      <c r="C5940" s="37">
        <f t="shared" si="190"/>
        <v>38.296666666666667</v>
      </c>
      <c r="D5940" s="37">
        <v>2.8740000000000001</v>
      </c>
      <c r="E5940" s="33">
        <f t="shared" si="191"/>
        <v>4.3271121989597846E-3</v>
      </c>
    </row>
    <row r="5941" spans="1:5" x14ac:dyDescent="0.25">
      <c r="A5941" s="41">
        <v>43713</v>
      </c>
      <c r="B5941" s="29">
        <v>229.92</v>
      </c>
      <c r="C5941" s="37">
        <f t="shared" si="190"/>
        <v>38.32</v>
      </c>
      <c r="D5941" s="37">
        <v>2.8740000000000001</v>
      </c>
      <c r="E5941" s="33">
        <f t="shared" si="191"/>
        <v>6.0927844024713355E-4</v>
      </c>
    </row>
    <row r="5942" spans="1:5" x14ac:dyDescent="0.25">
      <c r="A5942" s="41">
        <v>43713</v>
      </c>
      <c r="B5942" s="29">
        <v>229.21</v>
      </c>
      <c r="C5942" s="37">
        <f t="shared" si="190"/>
        <v>38.201666666666668</v>
      </c>
      <c r="D5942" s="37">
        <v>2.8740000000000001</v>
      </c>
      <c r="E5942" s="33">
        <f t="shared" si="191"/>
        <v>-3.0880306193457707E-3</v>
      </c>
    </row>
    <row r="5943" spans="1:5" x14ac:dyDescent="0.25">
      <c r="A5943" s="41">
        <v>43713</v>
      </c>
      <c r="B5943" s="29">
        <v>229.78</v>
      </c>
      <c r="C5943" s="37">
        <f t="shared" si="190"/>
        <v>38.296666666666667</v>
      </c>
      <c r="D5943" s="37">
        <v>2.8740000000000001</v>
      </c>
      <c r="E5943" s="33">
        <f t="shared" si="191"/>
        <v>2.4868024955280884E-3</v>
      </c>
    </row>
    <row r="5944" spans="1:5" x14ac:dyDescent="0.25">
      <c r="A5944" s="41">
        <v>43713</v>
      </c>
      <c r="B5944" s="29">
        <v>230.4</v>
      </c>
      <c r="C5944" s="37">
        <f t="shared" si="190"/>
        <v>38.4</v>
      </c>
      <c r="D5944" s="37">
        <v>2.8740000000000001</v>
      </c>
      <c r="E5944" s="33">
        <f t="shared" si="191"/>
        <v>2.6982330925233028E-3</v>
      </c>
    </row>
    <row r="5945" spans="1:5" x14ac:dyDescent="0.25">
      <c r="A5945" s="41">
        <v>43713</v>
      </c>
      <c r="B5945" s="29">
        <v>230.52</v>
      </c>
      <c r="C5945" s="37">
        <f t="shared" si="190"/>
        <v>38.42</v>
      </c>
      <c r="D5945" s="37">
        <v>2.8740000000000001</v>
      </c>
      <c r="E5945" s="33">
        <f t="shared" si="191"/>
        <v>5.2083333333335306E-4</v>
      </c>
    </row>
    <row r="5946" spans="1:5" x14ac:dyDescent="0.25">
      <c r="A5946" s="41">
        <v>43713</v>
      </c>
      <c r="B5946" s="29">
        <v>230.56</v>
      </c>
      <c r="C5946" s="37">
        <f t="shared" si="190"/>
        <v>38.426666666666669</v>
      </c>
      <c r="D5946" s="37">
        <v>2.8740000000000001</v>
      </c>
      <c r="E5946" s="33">
        <f t="shared" si="191"/>
        <v>1.7352073572788495E-4</v>
      </c>
    </row>
    <row r="5947" spans="1:5" x14ac:dyDescent="0.25">
      <c r="A5947" s="41">
        <v>43713</v>
      </c>
      <c r="B5947" s="29">
        <v>229.79</v>
      </c>
      <c r="C5947" s="37">
        <f t="shared" si="190"/>
        <v>38.298333333333332</v>
      </c>
      <c r="D5947" s="37">
        <v>2.8740000000000001</v>
      </c>
      <c r="E5947" s="33">
        <f t="shared" si="191"/>
        <v>-3.3396946564885938E-3</v>
      </c>
    </row>
    <row r="5948" spans="1:5" x14ac:dyDescent="0.25">
      <c r="A5948" s="41">
        <v>43713</v>
      </c>
      <c r="B5948" s="29">
        <v>231.29</v>
      </c>
      <c r="C5948" s="37">
        <f t="shared" si="190"/>
        <v>38.548333333333332</v>
      </c>
      <c r="D5948" s="37">
        <v>2.8740000000000001</v>
      </c>
      <c r="E5948" s="33">
        <f t="shared" si="191"/>
        <v>6.5276992036206972E-3</v>
      </c>
    </row>
    <row r="5949" spans="1:5" x14ac:dyDescent="0.25">
      <c r="A5949" s="41">
        <v>43713</v>
      </c>
      <c r="B5949" s="29">
        <v>230.86</v>
      </c>
      <c r="C5949" s="37">
        <f t="shared" si="190"/>
        <v>38.476666666666667</v>
      </c>
      <c r="D5949" s="37">
        <v>2.8740000000000001</v>
      </c>
      <c r="E5949" s="33">
        <f t="shared" si="191"/>
        <v>-1.8591378788532942E-3</v>
      </c>
    </row>
    <row r="5950" spans="1:5" x14ac:dyDescent="0.25">
      <c r="A5950" s="41">
        <v>43713</v>
      </c>
      <c r="B5950" s="29">
        <v>229.5</v>
      </c>
      <c r="C5950" s="37">
        <f t="shared" si="190"/>
        <v>38.25</v>
      </c>
      <c r="D5950" s="37">
        <v>2.8740000000000001</v>
      </c>
      <c r="E5950" s="33">
        <f t="shared" si="191"/>
        <v>-5.8910162002946097E-3</v>
      </c>
    </row>
    <row r="5951" spans="1:5" x14ac:dyDescent="0.25">
      <c r="A5951" s="41">
        <v>43713</v>
      </c>
      <c r="B5951" s="29">
        <v>229.06</v>
      </c>
      <c r="C5951" s="37">
        <f t="shared" si="190"/>
        <v>38.176666666666669</v>
      </c>
      <c r="D5951" s="37">
        <v>2.8740000000000001</v>
      </c>
      <c r="E5951" s="33">
        <f t="shared" si="191"/>
        <v>-1.9172113289760249E-3</v>
      </c>
    </row>
    <row r="5952" spans="1:5" x14ac:dyDescent="0.25">
      <c r="A5952" s="41">
        <v>43713</v>
      </c>
      <c r="B5952" s="29">
        <v>227.05</v>
      </c>
      <c r="C5952" s="37">
        <f t="shared" si="190"/>
        <v>37.841666666666669</v>
      </c>
      <c r="D5952" s="37">
        <v>2.8740000000000001</v>
      </c>
      <c r="E5952" s="33">
        <f t="shared" si="191"/>
        <v>-8.7749934514973846E-3</v>
      </c>
    </row>
    <row r="5953" spans="1:5" x14ac:dyDescent="0.25">
      <c r="A5953" s="41">
        <v>43713</v>
      </c>
      <c r="B5953" s="29">
        <v>225.26</v>
      </c>
      <c r="C5953" s="37">
        <f t="shared" si="190"/>
        <v>37.543333333333337</v>
      </c>
      <c r="D5953" s="37">
        <v>2.8740000000000001</v>
      </c>
      <c r="E5953" s="33">
        <f t="shared" si="191"/>
        <v>-7.8837260515305894E-3</v>
      </c>
    </row>
    <row r="5954" spans="1:5" x14ac:dyDescent="0.25">
      <c r="A5954" s="41">
        <v>43714</v>
      </c>
      <c r="B5954" s="29">
        <v>219.82</v>
      </c>
      <c r="C5954" s="37">
        <f t="shared" si="190"/>
        <v>36.636666666666663</v>
      </c>
      <c r="D5954" s="37">
        <v>2.9350000000000001</v>
      </c>
      <c r="E5954" s="33">
        <f t="shared" si="191"/>
        <v>-2.4149871259877467E-2</v>
      </c>
    </row>
    <row r="5955" spans="1:5" x14ac:dyDescent="0.25">
      <c r="A5955" s="41">
        <v>43714</v>
      </c>
      <c r="B5955" s="29">
        <v>216.7</v>
      </c>
      <c r="C5955" s="37">
        <f t="shared" ref="C5955:C6018" si="192">(B5955*100/600)</f>
        <v>36.116666666666667</v>
      </c>
      <c r="D5955" s="37">
        <v>2.9350000000000001</v>
      </c>
      <c r="E5955" s="33">
        <f t="shared" si="191"/>
        <v>-1.4193430988991014E-2</v>
      </c>
    </row>
    <row r="5956" spans="1:5" x14ac:dyDescent="0.25">
      <c r="A5956" s="41">
        <v>43714</v>
      </c>
      <c r="B5956" s="29">
        <v>214.7</v>
      </c>
      <c r="C5956" s="37">
        <f t="shared" si="192"/>
        <v>35.783333333333331</v>
      </c>
      <c r="D5956" s="37">
        <v>2.9350000000000001</v>
      </c>
      <c r="E5956" s="33">
        <f t="shared" ref="E5956:E6019" si="193">(B5956-B5955)/B5955</f>
        <v>-9.2293493308721747E-3</v>
      </c>
    </row>
    <row r="5957" spans="1:5" x14ac:dyDescent="0.25">
      <c r="A5957" s="41">
        <v>43714</v>
      </c>
      <c r="B5957" s="29">
        <v>214.28</v>
      </c>
      <c r="C5957" s="37">
        <f t="shared" si="192"/>
        <v>35.713333333333331</v>
      </c>
      <c r="D5957" s="37">
        <v>2.9350000000000001</v>
      </c>
      <c r="E5957" s="33">
        <f t="shared" si="193"/>
        <v>-1.9562179785746975E-3</v>
      </c>
    </row>
    <row r="5958" spans="1:5" x14ac:dyDescent="0.25">
      <c r="A5958" s="41">
        <v>43714</v>
      </c>
      <c r="B5958" s="29">
        <v>214.46</v>
      </c>
      <c r="C5958" s="37">
        <f t="shared" si="192"/>
        <v>35.743333333333332</v>
      </c>
      <c r="D5958" s="37">
        <v>2.9350000000000001</v>
      </c>
      <c r="E5958" s="33">
        <f t="shared" si="193"/>
        <v>8.4002240059738106E-4</v>
      </c>
    </row>
    <row r="5959" spans="1:5" x14ac:dyDescent="0.25">
      <c r="A5959" s="41">
        <v>43714</v>
      </c>
      <c r="B5959" s="29">
        <v>217.06</v>
      </c>
      <c r="C5959" s="37">
        <f t="shared" si="192"/>
        <v>36.176666666666669</v>
      </c>
      <c r="D5959" s="37">
        <v>2.9350000000000001</v>
      </c>
      <c r="E5959" s="33">
        <f t="shared" si="193"/>
        <v>1.2123472908700896E-2</v>
      </c>
    </row>
    <row r="5960" spans="1:5" x14ac:dyDescent="0.25">
      <c r="A5960" s="41">
        <v>43714</v>
      </c>
      <c r="B5960" s="29">
        <v>221.67</v>
      </c>
      <c r="C5960" s="37">
        <f t="shared" si="192"/>
        <v>36.945</v>
      </c>
      <c r="D5960" s="37">
        <v>2.9350000000000001</v>
      </c>
      <c r="E5960" s="33">
        <f t="shared" si="193"/>
        <v>2.1238367271722035E-2</v>
      </c>
    </row>
    <row r="5961" spans="1:5" x14ac:dyDescent="0.25">
      <c r="A5961" s="41">
        <v>43714</v>
      </c>
      <c r="B5961" s="29">
        <v>222.52</v>
      </c>
      <c r="C5961" s="37">
        <f t="shared" si="192"/>
        <v>37.086666666666666</v>
      </c>
      <c r="D5961" s="37">
        <v>2.9350000000000001</v>
      </c>
      <c r="E5961" s="33">
        <f t="shared" si="193"/>
        <v>3.834528804078237E-3</v>
      </c>
    </row>
    <row r="5962" spans="1:5" x14ac:dyDescent="0.25">
      <c r="A5962" s="41">
        <v>43714</v>
      </c>
      <c r="B5962" s="29">
        <v>224.94</v>
      </c>
      <c r="C5962" s="37">
        <f t="shared" si="192"/>
        <v>37.49</v>
      </c>
      <c r="D5962" s="37">
        <v>2.9350000000000001</v>
      </c>
      <c r="E5962" s="33">
        <f t="shared" si="193"/>
        <v>1.0875426927916536E-2</v>
      </c>
    </row>
    <row r="5963" spans="1:5" x14ac:dyDescent="0.25">
      <c r="A5963" s="41">
        <v>43714</v>
      </c>
      <c r="B5963" s="29">
        <v>225.46</v>
      </c>
      <c r="C5963" s="37">
        <f t="shared" si="192"/>
        <v>37.576666666666668</v>
      </c>
      <c r="D5963" s="37">
        <v>2.9350000000000001</v>
      </c>
      <c r="E5963" s="33">
        <f t="shared" si="193"/>
        <v>2.3117275717969691E-3</v>
      </c>
    </row>
    <row r="5964" spans="1:5" x14ac:dyDescent="0.25">
      <c r="A5964" s="41">
        <v>43714</v>
      </c>
      <c r="B5964" s="29">
        <v>225.76</v>
      </c>
      <c r="C5964" s="37">
        <f t="shared" si="192"/>
        <v>37.626666666666665</v>
      </c>
      <c r="D5964" s="37">
        <v>2.9350000000000001</v>
      </c>
      <c r="E5964" s="33">
        <f t="shared" si="193"/>
        <v>1.330612969040996E-3</v>
      </c>
    </row>
    <row r="5965" spans="1:5" x14ac:dyDescent="0.25">
      <c r="A5965" s="41">
        <v>43714</v>
      </c>
      <c r="B5965" s="29">
        <v>225.76</v>
      </c>
      <c r="C5965" s="37">
        <f t="shared" si="192"/>
        <v>37.626666666666665</v>
      </c>
      <c r="D5965" s="37">
        <v>2.9350000000000001</v>
      </c>
      <c r="E5965" s="33">
        <f t="shared" si="193"/>
        <v>0</v>
      </c>
    </row>
    <row r="5966" spans="1:5" x14ac:dyDescent="0.25">
      <c r="A5966" s="41">
        <v>43714</v>
      </c>
      <c r="B5966" s="29">
        <v>225.58</v>
      </c>
      <c r="C5966" s="37">
        <f t="shared" si="192"/>
        <v>37.596666666666664</v>
      </c>
      <c r="D5966" s="37">
        <v>2.9350000000000001</v>
      </c>
      <c r="E5966" s="33">
        <f t="shared" si="193"/>
        <v>-7.9730687455695606E-4</v>
      </c>
    </row>
    <row r="5967" spans="1:5" x14ac:dyDescent="0.25">
      <c r="A5967" s="41">
        <v>43714</v>
      </c>
      <c r="B5967" s="29">
        <v>225.7</v>
      </c>
      <c r="C5967" s="37">
        <f t="shared" si="192"/>
        <v>37.616666666666667</v>
      </c>
      <c r="D5967" s="37">
        <v>2.9350000000000001</v>
      </c>
      <c r="E5967" s="33">
        <f t="shared" si="193"/>
        <v>5.3196205337342013E-4</v>
      </c>
    </row>
    <row r="5968" spans="1:5" x14ac:dyDescent="0.25">
      <c r="A5968" s="41">
        <v>43714</v>
      </c>
      <c r="B5968" s="29">
        <v>225.76</v>
      </c>
      <c r="C5968" s="37">
        <f t="shared" si="192"/>
        <v>37.626666666666665</v>
      </c>
      <c r="D5968" s="37">
        <v>2.9350000000000001</v>
      </c>
      <c r="E5968" s="33">
        <f t="shared" si="193"/>
        <v>2.6583961010191525E-4</v>
      </c>
    </row>
    <row r="5969" spans="1:5" x14ac:dyDescent="0.25">
      <c r="A5969" s="41">
        <v>43714</v>
      </c>
      <c r="B5969" s="29">
        <v>225.78</v>
      </c>
      <c r="C5969" s="37">
        <f t="shared" si="192"/>
        <v>37.630000000000003</v>
      </c>
      <c r="D5969" s="37">
        <v>2.9350000000000001</v>
      </c>
      <c r="E5969" s="33">
        <f t="shared" si="193"/>
        <v>8.8589652728606627E-5</v>
      </c>
    </row>
    <row r="5970" spans="1:5" x14ac:dyDescent="0.25">
      <c r="A5970" s="41">
        <v>43714</v>
      </c>
      <c r="B5970" s="29">
        <v>225.75</v>
      </c>
      <c r="C5970" s="37">
        <f t="shared" si="192"/>
        <v>37.625</v>
      </c>
      <c r="D5970" s="37">
        <v>2.9350000000000001</v>
      </c>
      <c r="E5970" s="33">
        <f t="shared" si="193"/>
        <v>-1.3287270794579297E-4</v>
      </c>
    </row>
    <row r="5971" spans="1:5" x14ac:dyDescent="0.25">
      <c r="A5971" s="41">
        <v>43714</v>
      </c>
      <c r="B5971" s="29">
        <v>225.68</v>
      </c>
      <c r="C5971" s="37">
        <f t="shared" si="192"/>
        <v>37.613333333333337</v>
      </c>
      <c r="D5971" s="37">
        <v>2.9350000000000001</v>
      </c>
      <c r="E5971" s="33">
        <f t="shared" si="193"/>
        <v>-3.1007751937981473E-4</v>
      </c>
    </row>
    <row r="5972" spans="1:5" x14ac:dyDescent="0.25">
      <c r="A5972" s="41">
        <v>43714</v>
      </c>
      <c r="B5972" s="29">
        <v>226.64</v>
      </c>
      <c r="C5972" s="37">
        <f t="shared" si="192"/>
        <v>37.773333333333333</v>
      </c>
      <c r="D5972" s="37">
        <v>2.9350000000000001</v>
      </c>
      <c r="E5972" s="33">
        <f t="shared" si="193"/>
        <v>4.2538107054235176E-3</v>
      </c>
    </row>
    <row r="5973" spans="1:5" x14ac:dyDescent="0.25">
      <c r="A5973" s="41">
        <v>43714</v>
      </c>
      <c r="B5973" s="29">
        <v>226.1</v>
      </c>
      <c r="C5973" s="37">
        <f t="shared" si="192"/>
        <v>37.68333333333333</v>
      </c>
      <c r="D5973" s="37">
        <v>2.9350000000000001</v>
      </c>
      <c r="E5973" s="33">
        <f t="shared" si="193"/>
        <v>-2.3826332509706673E-3</v>
      </c>
    </row>
    <row r="5974" spans="1:5" x14ac:dyDescent="0.25">
      <c r="A5974" s="41">
        <v>43714</v>
      </c>
      <c r="B5974" s="29">
        <v>225.54</v>
      </c>
      <c r="C5974" s="37">
        <f t="shared" si="192"/>
        <v>37.590000000000003</v>
      </c>
      <c r="D5974" s="37">
        <v>2.9350000000000001</v>
      </c>
      <c r="E5974" s="33">
        <f t="shared" si="193"/>
        <v>-2.4767801857585241E-3</v>
      </c>
    </row>
    <row r="5975" spans="1:5" x14ac:dyDescent="0.25">
      <c r="A5975" s="41">
        <v>43714</v>
      </c>
      <c r="B5975" s="29">
        <v>225.48</v>
      </c>
      <c r="C5975" s="37">
        <f t="shared" si="192"/>
        <v>37.58</v>
      </c>
      <c r="D5975" s="37">
        <v>2.9350000000000001</v>
      </c>
      <c r="E5975" s="33">
        <f t="shared" si="193"/>
        <v>-2.6602819898910294E-4</v>
      </c>
    </row>
    <row r="5976" spans="1:5" x14ac:dyDescent="0.25">
      <c r="A5976" s="41">
        <v>43714</v>
      </c>
      <c r="B5976" s="29">
        <v>224.64</v>
      </c>
      <c r="C5976" s="37">
        <f t="shared" si="192"/>
        <v>37.44</v>
      </c>
      <c r="D5976" s="37">
        <v>2.9350000000000001</v>
      </c>
      <c r="E5976" s="33">
        <f t="shared" si="193"/>
        <v>-3.72538584353381E-3</v>
      </c>
    </row>
    <row r="5977" spans="1:5" x14ac:dyDescent="0.25">
      <c r="A5977" s="41">
        <v>43714</v>
      </c>
      <c r="B5977" s="29">
        <v>222.26</v>
      </c>
      <c r="C5977" s="37">
        <f t="shared" si="192"/>
        <v>37.043333333333337</v>
      </c>
      <c r="D5977" s="37">
        <v>2.9350000000000001</v>
      </c>
      <c r="E5977" s="33">
        <f t="shared" si="193"/>
        <v>-1.0594729344729326E-2</v>
      </c>
    </row>
    <row r="5978" spans="1:5" x14ac:dyDescent="0.25">
      <c r="A5978" s="41">
        <v>43715</v>
      </c>
      <c r="B5978" s="29">
        <v>234.38</v>
      </c>
      <c r="C5978" s="37">
        <f t="shared" si="192"/>
        <v>39.063333333333333</v>
      </c>
      <c r="D5978" s="37">
        <v>3.0329999999999999</v>
      </c>
      <c r="E5978" s="33">
        <f t="shared" si="193"/>
        <v>5.4530729775938112E-2</v>
      </c>
    </row>
    <row r="5979" spans="1:5" x14ac:dyDescent="0.25">
      <c r="A5979" s="41">
        <v>43715</v>
      </c>
      <c r="B5979" s="29">
        <v>231.88</v>
      </c>
      <c r="C5979" s="37">
        <f t="shared" si="192"/>
        <v>38.646666666666668</v>
      </c>
      <c r="D5979" s="37">
        <v>3.0329999999999999</v>
      </c>
      <c r="E5979" s="33">
        <f t="shared" si="193"/>
        <v>-1.0666439115965527E-2</v>
      </c>
    </row>
    <row r="5980" spans="1:5" x14ac:dyDescent="0.25">
      <c r="A5980" s="41">
        <v>43715</v>
      </c>
      <c r="B5980" s="29">
        <v>229.42</v>
      </c>
      <c r="C5980" s="37">
        <f t="shared" si="192"/>
        <v>38.236666666666665</v>
      </c>
      <c r="D5980" s="37">
        <v>3.0329999999999999</v>
      </c>
      <c r="E5980" s="33">
        <f t="shared" si="193"/>
        <v>-1.0608935656374021E-2</v>
      </c>
    </row>
    <row r="5981" spans="1:5" x14ac:dyDescent="0.25">
      <c r="A5981" s="41">
        <v>43715</v>
      </c>
      <c r="B5981" s="29">
        <v>228.58</v>
      </c>
      <c r="C5981" s="37">
        <f t="shared" si="192"/>
        <v>38.096666666666664</v>
      </c>
      <c r="D5981" s="37">
        <v>3.0329999999999999</v>
      </c>
      <c r="E5981" s="33">
        <f t="shared" si="193"/>
        <v>-3.6614070264143275E-3</v>
      </c>
    </row>
    <row r="5982" spans="1:5" x14ac:dyDescent="0.25">
      <c r="A5982" s="41">
        <v>43715</v>
      </c>
      <c r="B5982" s="29">
        <v>228.44</v>
      </c>
      <c r="C5982" s="37">
        <f t="shared" si="192"/>
        <v>38.073333333333331</v>
      </c>
      <c r="D5982" s="37">
        <v>3.0329999999999999</v>
      </c>
      <c r="E5982" s="33">
        <f t="shared" si="193"/>
        <v>-6.124770321113605E-4</v>
      </c>
    </row>
    <row r="5983" spans="1:5" x14ac:dyDescent="0.25">
      <c r="A5983" s="41">
        <v>43715</v>
      </c>
      <c r="B5983" s="29">
        <v>228.39</v>
      </c>
      <c r="C5983" s="37">
        <f t="shared" si="192"/>
        <v>38.064999999999998</v>
      </c>
      <c r="D5983" s="37">
        <v>3.0329999999999999</v>
      </c>
      <c r="E5983" s="33">
        <f t="shared" si="193"/>
        <v>-2.1887585361587888E-4</v>
      </c>
    </row>
    <row r="5984" spans="1:5" x14ac:dyDescent="0.25">
      <c r="A5984" s="41">
        <v>43715</v>
      </c>
      <c r="B5984" s="29">
        <v>228.02</v>
      </c>
      <c r="C5984" s="37">
        <f t="shared" si="192"/>
        <v>38.00333333333333</v>
      </c>
      <c r="D5984" s="37">
        <v>3.0329999999999999</v>
      </c>
      <c r="E5984" s="33">
        <f t="shared" si="193"/>
        <v>-1.6200359034982974E-3</v>
      </c>
    </row>
    <row r="5985" spans="1:5" x14ac:dyDescent="0.25">
      <c r="A5985" s="41">
        <v>43715</v>
      </c>
      <c r="B5985" s="29">
        <v>229.33</v>
      </c>
      <c r="C5985" s="37">
        <f t="shared" si="192"/>
        <v>38.221666666666664</v>
      </c>
      <c r="D5985" s="37">
        <v>3.0329999999999999</v>
      </c>
      <c r="E5985" s="33">
        <f t="shared" si="193"/>
        <v>5.7451100780633374E-3</v>
      </c>
    </row>
    <row r="5986" spans="1:5" x14ac:dyDescent="0.25">
      <c r="A5986" s="41">
        <v>43715</v>
      </c>
      <c r="B5986" s="29">
        <v>232.23</v>
      </c>
      <c r="C5986" s="37">
        <f t="shared" si="192"/>
        <v>38.704999999999998</v>
      </c>
      <c r="D5986" s="37">
        <v>3.0329999999999999</v>
      </c>
      <c r="E5986" s="33">
        <f t="shared" si="193"/>
        <v>1.2645532638555694E-2</v>
      </c>
    </row>
    <row r="5987" spans="1:5" x14ac:dyDescent="0.25">
      <c r="A5987" s="41">
        <v>43715</v>
      </c>
      <c r="B5987" s="29">
        <v>234.66</v>
      </c>
      <c r="C5987" s="37">
        <f t="shared" si="192"/>
        <v>39.11</v>
      </c>
      <c r="D5987" s="37">
        <v>3.0329999999999999</v>
      </c>
      <c r="E5987" s="33">
        <f t="shared" si="193"/>
        <v>1.0463764371528256E-2</v>
      </c>
    </row>
    <row r="5988" spans="1:5" x14ac:dyDescent="0.25">
      <c r="A5988" s="41">
        <v>43715</v>
      </c>
      <c r="B5988" s="29">
        <v>235.5</v>
      </c>
      <c r="C5988" s="37">
        <f t="shared" si="192"/>
        <v>39.25</v>
      </c>
      <c r="D5988" s="37">
        <v>3.0329999999999999</v>
      </c>
      <c r="E5988" s="33">
        <f t="shared" si="193"/>
        <v>3.5796471490667494E-3</v>
      </c>
    </row>
    <row r="5989" spans="1:5" x14ac:dyDescent="0.25">
      <c r="A5989" s="41">
        <v>43715</v>
      </c>
      <c r="B5989" s="29">
        <v>235.54</v>
      </c>
      <c r="C5989" s="37">
        <f t="shared" si="192"/>
        <v>39.256666666666668</v>
      </c>
      <c r="D5989" s="37">
        <v>3.0329999999999999</v>
      </c>
      <c r="E5989" s="33">
        <f t="shared" si="193"/>
        <v>1.6985138004242906E-4</v>
      </c>
    </row>
    <row r="5990" spans="1:5" x14ac:dyDescent="0.25">
      <c r="A5990" s="41">
        <v>43715</v>
      </c>
      <c r="B5990" s="29">
        <v>235.54</v>
      </c>
      <c r="C5990" s="37">
        <f t="shared" si="192"/>
        <v>39.256666666666668</v>
      </c>
      <c r="D5990" s="37">
        <v>3.0329999999999999</v>
      </c>
      <c r="E5990" s="33">
        <f t="shared" si="193"/>
        <v>0</v>
      </c>
    </row>
    <row r="5991" spans="1:5" x14ac:dyDescent="0.25">
      <c r="A5991" s="41">
        <v>43715</v>
      </c>
      <c r="B5991" s="29">
        <v>235.56</v>
      </c>
      <c r="C5991" s="37">
        <f t="shared" si="192"/>
        <v>39.26</v>
      </c>
      <c r="D5991" s="37">
        <v>3.0329999999999999</v>
      </c>
      <c r="E5991" s="33">
        <f t="shared" si="193"/>
        <v>8.4911267725270583E-5</v>
      </c>
    </row>
    <row r="5992" spans="1:5" x14ac:dyDescent="0.25">
      <c r="A5992" s="41">
        <v>43715</v>
      </c>
      <c r="B5992" s="29">
        <v>235.56</v>
      </c>
      <c r="C5992" s="37">
        <f t="shared" si="192"/>
        <v>39.26</v>
      </c>
      <c r="D5992" s="37">
        <v>3.0329999999999999</v>
      </c>
      <c r="E5992" s="33">
        <f t="shared" si="193"/>
        <v>0</v>
      </c>
    </row>
    <row r="5993" spans="1:5" x14ac:dyDescent="0.25">
      <c r="A5993" s="41">
        <v>43715</v>
      </c>
      <c r="B5993" s="29">
        <v>235.58</v>
      </c>
      <c r="C5993" s="37">
        <f t="shared" si="192"/>
        <v>39.263333333333335</v>
      </c>
      <c r="D5993" s="37">
        <v>3.0329999999999999</v>
      </c>
      <c r="E5993" s="33">
        <f t="shared" si="193"/>
        <v>8.4904058414035625E-5</v>
      </c>
    </row>
    <row r="5994" spans="1:5" x14ac:dyDescent="0.25">
      <c r="A5994" s="41">
        <v>43715</v>
      </c>
      <c r="B5994" s="29">
        <v>235.56</v>
      </c>
      <c r="C5994" s="37">
        <f t="shared" si="192"/>
        <v>39.26</v>
      </c>
      <c r="D5994" s="37">
        <v>3.0329999999999999</v>
      </c>
      <c r="E5994" s="33">
        <f t="shared" si="193"/>
        <v>-8.4896850326896306E-5</v>
      </c>
    </row>
    <row r="5995" spans="1:5" x14ac:dyDescent="0.25">
      <c r="A5995" s="41">
        <v>43715</v>
      </c>
      <c r="B5995" s="29">
        <v>237.72</v>
      </c>
      <c r="C5995" s="37">
        <f t="shared" si="192"/>
        <v>39.619999999999997</v>
      </c>
      <c r="D5995" s="37">
        <v>3.0329999999999999</v>
      </c>
      <c r="E5995" s="33">
        <f t="shared" si="193"/>
        <v>9.1696383087111425E-3</v>
      </c>
    </row>
    <row r="5996" spans="1:5" x14ac:dyDescent="0.25">
      <c r="A5996" s="41">
        <v>43715</v>
      </c>
      <c r="B5996" s="29">
        <v>242.42</v>
      </c>
      <c r="C5996" s="37">
        <f t="shared" si="192"/>
        <v>40.403333333333336</v>
      </c>
      <c r="D5996" s="37">
        <v>3.0329999999999999</v>
      </c>
      <c r="E5996" s="33">
        <f t="shared" si="193"/>
        <v>1.9771159347131032E-2</v>
      </c>
    </row>
    <row r="5997" spans="1:5" x14ac:dyDescent="0.25">
      <c r="A5997" s="41">
        <v>43715</v>
      </c>
      <c r="B5997" s="29">
        <v>242.4</v>
      </c>
      <c r="C5997" s="37">
        <f t="shared" si="192"/>
        <v>40.4</v>
      </c>
      <c r="D5997" s="37">
        <v>3.0329999999999999</v>
      </c>
      <c r="E5997" s="33">
        <f t="shared" si="193"/>
        <v>-8.2501443775191035E-5</v>
      </c>
    </row>
    <row r="5998" spans="1:5" x14ac:dyDescent="0.25">
      <c r="A5998" s="41">
        <v>43715</v>
      </c>
      <c r="B5998" s="29">
        <v>241.02</v>
      </c>
      <c r="C5998" s="37">
        <f t="shared" si="192"/>
        <v>40.17</v>
      </c>
      <c r="D5998" s="37">
        <v>3.0329999999999999</v>
      </c>
      <c r="E5998" s="33">
        <f t="shared" si="193"/>
        <v>-5.6930693069306738E-3</v>
      </c>
    </row>
    <row r="5999" spans="1:5" x14ac:dyDescent="0.25">
      <c r="A5999" s="41">
        <v>43715</v>
      </c>
      <c r="B5999" s="29">
        <v>238.66</v>
      </c>
      <c r="C5999" s="37">
        <f t="shared" si="192"/>
        <v>39.776666666666664</v>
      </c>
      <c r="D5999" s="37">
        <v>3.0329999999999999</v>
      </c>
      <c r="E5999" s="33">
        <f t="shared" si="193"/>
        <v>-9.7917185295826638E-3</v>
      </c>
    </row>
    <row r="6000" spans="1:5" x14ac:dyDescent="0.25">
      <c r="A6000" s="41">
        <v>43715</v>
      </c>
      <c r="B6000" s="29">
        <v>236.5</v>
      </c>
      <c r="C6000" s="37">
        <f t="shared" si="192"/>
        <v>39.416666666666664</v>
      </c>
      <c r="D6000" s="37">
        <v>3.0329999999999999</v>
      </c>
      <c r="E6000" s="33">
        <f t="shared" si="193"/>
        <v>-9.0505321377691971E-3</v>
      </c>
    </row>
    <row r="6001" spans="1:5" x14ac:dyDescent="0.25">
      <c r="A6001" s="41">
        <v>43715</v>
      </c>
      <c r="B6001" s="29">
        <v>235.29</v>
      </c>
      <c r="C6001" s="37">
        <f t="shared" si="192"/>
        <v>39.215000000000003</v>
      </c>
      <c r="D6001" s="37">
        <v>3.0329999999999999</v>
      </c>
      <c r="E6001" s="33">
        <f t="shared" si="193"/>
        <v>-5.1162790697674753E-3</v>
      </c>
    </row>
    <row r="6002" spans="1:5" x14ac:dyDescent="0.25">
      <c r="A6002" s="41">
        <v>43716</v>
      </c>
      <c r="B6002" s="29">
        <v>231.5</v>
      </c>
      <c r="C6002" s="37">
        <f t="shared" si="192"/>
        <v>38.583333333333336</v>
      </c>
      <c r="D6002" s="37">
        <v>3.085</v>
      </c>
      <c r="E6002" s="33">
        <f t="shared" si="193"/>
        <v>-1.6107781886182976E-2</v>
      </c>
    </row>
    <row r="6003" spans="1:5" x14ac:dyDescent="0.25">
      <c r="A6003" s="41">
        <v>43716</v>
      </c>
      <c r="B6003" s="29">
        <v>229.22</v>
      </c>
      <c r="C6003" s="37">
        <f t="shared" si="192"/>
        <v>38.203333333333333</v>
      </c>
      <c r="D6003" s="37">
        <v>3.085</v>
      </c>
      <c r="E6003" s="33">
        <f t="shared" si="193"/>
        <v>-9.8488120950324023E-3</v>
      </c>
    </row>
    <row r="6004" spans="1:5" x14ac:dyDescent="0.25">
      <c r="A6004" s="41">
        <v>43716</v>
      </c>
      <c r="B6004" s="29">
        <v>226.67</v>
      </c>
      <c r="C6004" s="37">
        <f t="shared" si="192"/>
        <v>37.778333333333336</v>
      </c>
      <c r="D6004" s="37">
        <v>3.085</v>
      </c>
      <c r="E6004" s="33">
        <f t="shared" si="193"/>
        <v>-1.1124683709973002E-2</v>
      </c>
    </row>
    <row r="6005" spans="1:5" x14ac:dyDescent="0.25">
      <c r="A6005" s="41">
        <v>43716</v>
      </c>
      <c r="B6005" s="29">
        <v>224.9</v>
      </c>
      <c r="C6005" s="37">
        <f t="shared" si="192"/>
        <v>37.483333333333334</v>
      </c>
      <c r="D6005" s="37">
        <v>3.085</v>
      </c>
      <c r="E6005" s="33">
        <f t="shared" si="193"/>
        <v>-7.8087086954602807E-3</v>
      </c>
    </row>
    <row r="6006" spans="1:5" x14ac:dyDescent="0.25">
      <c r="A6006" s="41">
        <v>43716</v>
      </c>
      <c r="B6006" s="29">
        <v>224.36</v>
      </c>
      <c r="C6006" s="37">
        <f t="shared" si="192"/>
        <v>37.393333333333331</v>
      </c>
      <c r="D6006" s="37">
        <v>3.085</v>
      </c>
      <c r="E6006" s="33">
        <f t="shared" si="193"/>
        <v>-2.4010671409514985E-3</v>
      </c>
    </row>
    <row r="6007" spans="1:5" x14ac:dyDescent="0.25">
      <c r="A6007" s="41">
        <v>43716</v>
      </c>
      <c r="B6007" s="29">
        <v>223.69</v>
      </c>
      <c r="C6007" s="37">
        <f t="shared" si="192"/>
        <v>37.281666666666666</v>
      </c>
      <c r="D6007" s="37">
        <v>3.085</v>
      </c>
      <c r="E6007" s="33">
        <f t="shared" si="193"/>
        <v>-2.9862720627563551E-3</v>
      </c>
    </row>
    <row r="6008" spans="1:5" x14ac:dyDescent="0.25">
      <c r="A6008" s="41">
        <v>43716</v>
      </c>
      <c r="B6008" s="29">
        <v>220.86</v>
      </c>
      <c r="C6008" s="37">
        <f t="shared" si="192"/>
        <v>36.81</v>
      </c>
      <c r="D6008" s="37">
        <v>3.085</v>
      </c>
      <c r="E6008" s="33">
        <f t="shared" si="193"/>
        <v>-1.2651437256917985E-2</v>
      </c>
    </row>
    <row r="6009" spans="1:5" x14ac:dyDescent="0.25">
      <c r="A6009" s="41">
        <v>43716</v>
      </c>
      <c r="B6009" s="29">
        <v>221.8</v>
      </c>
      <c r="C6009" s="37">
        <f t="shared" si="192"/>
        <v>36.966666666666669</v>
      </c>
      <c r="D6009" s="37">
        <v>3.085</v>
      </c>
      <c r="E6009" s="33">
        <f t="shared" si="193"/>
        <v>4.2560898306619474E-3</v>
      </c>
    </row>
    <row r="6010" spans="1:5" x14ac:dyDescent="0.25">
      <c r="A6010" s="41">
        <v>43716</v>
      </c>
      <c r="B6010" s="29">
        <v>226.82</v>
      </c>
      <c r="C6010" s="37">
        <f t="shared" si="192"/>
        <v>37.803333333333335</v>
      </c>
      <c r="D6010" s="37">
        <v>3.085</v>
      </c>
      <c r="E6010" s="33">
        <f t="shared" si="193"/>
        <v>2.2633002705139682E-2</v>
      </c>
    </row>
    <row r="6011" spans="1:5" x14ac:dyDescent="0.25">
      <c r="A6011" s="41">
        <v>43716</v>
      </c>
      <c r="B6011" s="29">
        <v>230.48</v>
      </c>
      <c r="C6011" s="37">
        <f t="shared" si="192"/>
        <v>38.413333333333334</v>
      </c>
      <c r="D6011" s="37">
        <v>3.085</v>
      </c>
      <c r="E6011" s="33">
        <f t="shared" si="193"/>
        <v>1.6136143197248907E-2</v>
      </c>
    </row>
    <row r="6012" spans="1:5" x14ac:dyDescent="0.25">
      <c r="A6012" s="41">
        <v>43716</v>
      </c>
      <c r="B6012" s="29">
        <v>232.5</v>
      </c>
      <c r="C6012" s="37">
        <f t="shared" si="192"/>
        <v>38.75</v>
      </c>
      <c r="D6012" s="37">
        <v>3.085</v>
      </c>
      <c r="E6012" s="33">
        <f t="shared" si="193"/>
        <v>8.7643179451579768E-3</v>
      </c>
    </row>
    <row r="6013" spans="1:5" x14ac:dyDescent="0.25">
      <c r="A6013" s="41">
        <v>43716</v>
      </c>
      <c r="B6013" s="29">
        <v>233.92</v>
      </c>
      <c r="C6013" s="37">
        <f t="shared" si="192"/>
        <v>38.986666666666665</v>
      </c>
      <c r="D6013" s="37">
        <v>3.085</v>
      </c>
      <c r="E6013" s="33">
        <f t="shared" si="193"/>
        <v>6.1075268817203767E-3</v>
      </c>
    </row>
    <row r="6014" spans="1:5" x14ac:dyDescent="0.25">
      <c r="A6014" s="41">
        <v>43716</v>
      </c>
      <c r="B6014" s="29">
        <v>233.91</v>
      </c>
      <c r="C6014" s="37">
        <f t="shared" si="192"/>
        <v>38.984999999999999</v>
      </c>
      <c r="D6014" s="37">
        <v>3.085</v>
      </c>
      <c r="E6014" s="33">
        <f t="shared" si="193"/>
        <v>-4.2749658002697102E-5</v>
      </c>
    </row>
    <row r="6015" spans="1:5" x14ac:dyDescent="0.25">
      <c r="A6015" s="41">
        <v>43716</v>
      </c>
      <c r="B6015" s="29">
        <v>233.59</v>
      </c>
      <c r="C6015" s="37">
        <f t="shared" si="192"/>
        <v>38.931666666666665</v>
      </c>
      <c r="D6015" s="37">
        <v>3.085</v>
      </c>
      <c r="E6015" s="33">
        <f t="shared" si="193"/>
        <v>-1.3680475396519738E-3</v>
      </c>
    </row>
    <row r="6016" spans="1:5" x14ac:dyDescent="0.25">
      <c r="A6016" s="41">
        <v>43716</v>
      </c>
      <c r="B6016" s="29">
        <v>233.6</v>
      </c>
      <c r="C6016" s="37">
        <f t="shared" si="192"/>
        <v>38.93333333333333</v>
      </c>
      <c r="D6016" s="37">
        <v>3.085</v>
      </c>
      <c r="E6016" s="33">
        <f t="shared" si="193"/>
        <v>4.2810051800123739E-5</v>
      </c>
    </row>
    <row r="6017" spans="1:5" x14ac:dyDescent="0.25">
      <c r="A6017" s="41">
        <v>43716</v>
      </c>
      <c r="B6017" s="29">
        <v>234</v>
      </c>
      <c r="C6017" s="37">
        <f t="shared" si="192"/>
        <v>39</v>
      </c>
      <c r="D6017" s="37">
        <v>3.085</v>
      </c>
      <c r="E6017" s="33">
        <f t="shared" si="193"/>
        <v>1.7123287671233121E-3</v>
      </c>
    </row>
    <row r="6018" spans="1:5" x14ac:dyDescent="0.25">
      <c r="A6018" s="41">
        <v>43716</v>
      </c>
      <c r="B6018" s="29">
        <v>235.15</v>
      </c>
      <c r="C6018" s="37">
        <f t="shared" si="192"/>
        <v>39.19166666666667</v>
      </c>
      <c r="D6018" s="37">
        <v>3.085</v>
      </c>
      <c r="E6018" s="33">
        <f t="shared" si="193"/>
        <v>4.9145299145299387E-3</v>
      </c>
    </row>
    <row r="6019" spans="1:5" x14ac:dyDescent="0.25">
      <c r="A6019" s="41">
        <v>43716</v>
      </c>
      <c r="B6019" s="29">
        <v>237.22</v>
      </c>
      <c r="C6019" s="37">
        <f t="shared" ref="C6019:C6082" si="194">(B6019*100/600)</f>
        <v>39.536666666666669</v>
      </c>
      <c r="D6019" s="37">
        <v>3.085</v>
      </c>
      <c r="E6019" s="33">
        <f t="shared" si="193"/>
        <v>8.8028917712098375E-3</v>
      </c>
    </row>
    <row r="6020" spans="1:5" x14ac:dyDescent="0.25">
      <c r="A6020" s="41">
        <v>43716</v>
      </c>
      <c r="B6020" s="29">
        <v>243.49</v>
      </c>
      <c r="C6020" s="37">
        <f t="shared" si="194"/>
        <v>40.581666666666663</v>
      </c>
      <c r="D6020" s="37">
        <v>3.085</v>
      </c>
      <c r="E6020" s="33">
        <f t="shared" ref="E6020:E6083" si="195">(B6020-B6019)/B6019</f>
        <v>2.643116094764358E-2</v>
      </c>
    </row>
    <row r="6021" spans="1:5" x14ac:dyDescent="0.25">
      <c r="A6021" s="41">
        <v>43716</v>
      </c>
      <c r="B6021" s="29">
        <v>243.3</v>
      </c>
      <c r="C6021" s="37">
        <f t="shared" si="194"/>
        <v>40.549999999999997</v>
      </c>
      <c r="D6021" s="37">
        <v>3.085</v>
      </c>
      <c r="E6021" s="33">
        <f t="shared" si="195"/>
        <v>-7.8031952030883293E-4</v>
      </c>
    </row>
    <row r="6022" spans="1:5" x14ac:dyDescent="0.25">
      <c r="A6022" s="41">
        <v>43716</v>
      </c>
      <c r="B6022" s="29">
        <v>241.9</v>
      </c>
      <c r="C6022" s="37">
        <f t="shared" si="194"/>
        <v>40.31666666666667</v>
      </c>
      <c r="D6022" s="37">
        <v>3.085</v>
      </c>
      <c r="E6022" s="33">
        <f t="shared" si="195"/>
        <v>-5.7542129058775404E-3</v>
      </c>
    </row>
    <row r="6023" spans="1:5" x14ac:dyDescent="0.25">
      <c r="A6023" s="41">
        <v>43716</v>
      </c>
      <c r="B6023" s="29">
        <v>240.58</v>
      </c>
      <c r="C6023" s="37">
        <f t="shared" si="194"/>
        <v>40.096666666666664</v>
      </c>
      <c r="D6023" s="37">
        <v>3.085</v>
      </c>
      <c r="E6023" s="33">
        <f t="shared" si="195"/>
        <v>-5.4568003307151431E-3</v>
      </c>
    </row>
    <row r="6024" spans="1:5" x14ac:dyDescent="0.25">
      <c r="A6024" s="41">
        <v>43716</v>
      </c>
      <c r="B6024" s="29">
        <v>238.4</v>
      </c>
      <c r="C6024" s="37">
        <f t="shared" si="194"/>
        <v>39.733333333333334</v>
      </c>
      <c r="D6024" s="37">
        <v>3.085</v>
      </c>
      <c r="E6024" s="33">
        <f t="shared" si="195"/>
        <v>-9.0614348657411543E-3</v>
      </c>
    </row>
    <row r="6025" spans="1:5" x14ac:dyDescent="0.25">
      <c r="A6025" s="41">
        <v>43716</v>
      </c>
      <c r="B6025" s="29">
        <v>235.62</v>
      </c>
      <c r="C6025" s="37">
        <f t="shared" si="194"/>
        <v>39.270000000000003</v>
      </c>
      <c r="D6025" s="37">
        <v>3.085</v>
      </c>
      <c r="E6025" s="33">
        <f t="shared" si="195"/>
        <v>-1.1661073825503359E-2</v>
      </c>
    </row>
    <row r="6026" spans="1:5" x14ac:dyDescent="0.25">
      <c r="A6026" s="41">
        <v>43717</v>
      </c>
      <c r="B6026" s="29">
        <v>232.97</v>
      </c>
      <c r="C6026" s="37">
        <f t="shared" si="194"/>
        <v>38.828333333333333</v>
      </c>
      <c r="D6026" s="37">
        <v>3.056</v>
      </c>
      <c r="E6026" s="33">
        <f t="shared" si="195"/>
        <v>-1.1246923011628917E-2</v>
      </c>
    </row>
    <row r="6027" spans="1:5" x14ac:dyDescent="0.25">
      <c r="A6027" s="41">
        <v>43717</v>
      </c>
      <c r="B6027" s="29">
        <v>232.38</v>
      </c>
      <c r="C6027" s="37">
        <f t="shared" si="194"/>
        <v>38.729999999999997</v>
      </c>
      <c r="D6027" s="37">
        <v>3.056</v>
      </c>
      <c r="E6027" s="33">
        <f t="shared" si="195"/>
        <v>-2.5325149160836304E-3</v>
      </c>
    </row>
    <row r="6028" spans="1:5" x14ac:dyDescent="0.25">
      <c r="A6028" s="41">
        <v>43717</v>
      </c>
      <c r="B6028" s="29">
        <v>231.72</v>
      </c>
      <c r="C6028" s="37">
        <f t="shared" si="194"/>
        <v>38.619999999999997</v>
      </c>
      <c r="D6028" s="37">
        <v>3.056</v>
      </c>
      <c r="E6028" s="33">
        <f t="shared" si="195"/>
        <v>-2.8401755744900448E-3</v>
      </c>
    </row>
    <row r="6029" spans="1:5" x14ac:dyDescent="0.25">
      <c r="A6029" s="41">
        <v>43717</v>
      </c>
      <c r="B6029" s="29">
        <v>231.76</v>
      </c>
      <c r="C6029" s="37">
        <f t="shared" si="194"/>
        <v>38.626666666666665</v>
      </c>
      <c r="D6029" s="37">
        <v>3.056</v>
      </c>
      <c r="E6029" s="33">
        <f t="shared" si="195"/>
        <v>1.7262213015705179E-4</v>
      </c>
    </row>
    <row r="6030" spans="1:5" x14ac:dyDescent="0.25">
      <c r="A6030" s="41">
        <v>43717</v>
      </c>
      <c r="B6030" s="29">
        <v>231.84</v>
      </c>
      <c r="C6030" s="37">
        <f t="shared" si="194"/>
        <v>38.64</v>
      </c>
      <c r="D6030" s="37">
        <v>3.056</v>
      </c>
      <c r="E6030" s="33">
        <f t="shared" si="195"/>
        <v>3.4518467380053724E-4</v>
      </c>
    </row>
    <row r="6031" spans="1:5" x14ac:dyDescent="0.25">
      <c r="A6031" s="41">
        <v>43717</v>
      </c>
      <c r="B6031" s="29">
        <v>233</v>
      </c>
      <c r="C6031" s="37">
        <f t="shared" si="194"/>
        <v>38.833333333333336</v>
      </c>
      <c r="D6031" s="37">
        <v>3.056</v>
      </c>
      <c r="E6031" s="33">
        <f t="shared" si="195"/>
        <v>5.0034506556245542E-3</v>
      </c>
    </row>
    <row r="6032" spans="1:5" x14ac:dyDescent="0.25">
      <c r="A6032" s="41">
        <v>43717</v>
      </c>
      <c r="B6032" s="29">
        <v>234.69</v>
      </c>
      <c r="C6032" s="37">
        <f t="shared" si="194"/>
        <v>39.115000000000002</v>
      </c>
      <c r="D6032" s="37">
        <v>3.056</v>
      </c>
      <c r="E6032" s="33">
        <f t="shared" si="195"/>
        <v>7.2532188841201621E-3</v>
      </c>
    </row>
    <row r="6033" spans="1:5" x14ac:dyDescent="0.25">
      <c r="A6033" s="41">
        <v>43717</v>
      </c>
      <c r="B6033" s="29">
        <v>236.68</v>
      </c>
      <c r="C6033" s="37">
        <f t="shared" si="194"/>
        <v>39.446666666666665</v>
      </c>
      <c r="D6033" s="37">
        <v>3.056</v>
      </c>
      <c r="E6033" s="33">
        <f t="shared" si="195"/>
        <v>8.4792705270783121E-3</v>
      </c>
    </row>
    <row r="6034" spans="1:5" x14ac:dyDescent="0.25">
      <c r="A6034" s="41">
        <v>43717</v>
      </c>
      <c r="B6034" s="29">
        <v>241.79</v>
      </c>
      <c r="C6034" s="37">
        <f t="shared" si="194"/>
        <v>40.298333333333332</v>
      </c>
      <c r="D6034" s="37">
        <v>3.056</v>
      </c>
      <c r="E6034" s="33">
        <f t="shared" si="195"/>
        <v>2.1590332938989289E-2</v>
      </c>
    </row>
    <row r="6035" spans="1:5" x14ac:dyDescent="0.25">
      <c r="A6035" s="41">
        <v>43717</v>
      </c>
      <c r="B6035" s="29">
        <v>244.15</v>
      </c>
      <c r="C6035" s="37">
        <f t="shared" si="194"/>
        <v>40.69166666666667</v>
      </c>
      <c r="D6035" s="37">
        <v>3.056</v>
      </c>
      <c r="E6035" s="33">
        <f t="shared" si="195"/>
        <v>9.7605360023161163E-3</v>
      </c>
    </row>
    <row r="6036" spans="1:5" x14ac:dyDescent="0.25">
      <c r="A6036" s="41">
        <v>43717</v>
      </c>
      <c r="B6036" s="29">
        <v>244.64</v>
      </c>
      <c r="C6036" s="37">
        <f t="shared" si="194"/>
        <v>40.773333333333333</v>
      </c>
      <c r="D6036" s="37">
        <v>3.056</v>
      </c>
      <c r="E6036" s="33">
        <f t="shared" si="195"/>
        <v>2.0069629326233082E-3</v>
      </c>
    </row>
    <row r="6037" spans="1:5" x14ac:dyDescent="0.25">
      <c r="A6037" s="41">
        <v>43717</v>
      </c>
      <c r="B6037" s="29">
        <v>244.83</v>
      </c>
      <c r="C6037" s="37">
        <f t="shared" si="194"/>
        <v>40.805</v>
      </c>
      <c r="D6037" s="37">
        <v>3.056</v>
      </c>
      <c r="E6037" s="33">
        <f t="shared" si="195"/>
        <v>7.7665140614791592E-4</v>
      </c>
    </row>
    <row r="6038" spans="1:5" x14ac:dyDescent="0.25">
      <c r="A6038" s="41">
        <v>43717</v>
      </c>
      <c r="B6038" s="29">
        <v>244.68</v>
      </c>
      <c r="C6038" s="37">
        <f t="shared" si="194"/>
        <v>40.78</v>
      </c>
      <c r="D6038" s="37">
        <v>3.056</v>
      </c>
      <c r="E6038" s="33">
        <f t="shared" si="195"/>
        <v>-6.1267001592944358E-4</v>
      </c>
    </row>
    <row r="6039" spans="1:5" x14ac:dyDescent="0.25">
      <c r="A6039" s="41">
        <v>43717</v>
      </c>
      <c r="B6039" s="29">
        <v>244.9</v>
      </c>
      <c r="C6039" s="37">
        <f t="shared" si="194"/>
        <v>40.81666666666667</v>
      </c>
      <c r="D6039" s="37">
        <v>3.056</v>
      </c>
      <c r="E6039" s="33">
        <f t="shared" si="195"/>
        <v>8.9913356220368995E-4</v>
      </c>
    </row>
    <row r="6040" spans="1:5" x14ac:dyDescent="0.25">
      <c r="A6040" s="41">
        <v>43717</v>
      </c>
      <c r="B6040" s="29">
        <v>245.32</v>
      </c>
      <c r="C6040" s="37">
        <f t="shared" si="194"/>
        <v>40.886666666666663</v>
      </c>
      <c r="D6040" s="37">
        <v>3.056</v>
      </c>
      <c r="E6040" s="33">
        <f t="shared" si="195"/>
        <v>1.7149857084523784E-3</v>
      </c>
    </row>
    <row r="6041" spans="1:5" x14ac:dyDescent="0.25">
      <c r="A6041" s="41">
        <v>43717</v>
      </c>
      <c r="B6041" s="29">
        <v>246.04</v>
      </c>
      <c r="C6041" s="37">
        <f t="shared" si="194"/>
        <v>41.006666666666668</v>
      </c>
      <c r="D6041" s="37">
        <v>3.056</v>
      </c>
      <c r="E6041" s="33">
        <f t="shared" si="195"/>
        <v>2.9349421164193662E-3</v>
      </c>
    </row>
    <row r="6042" spans="1:5" x14ac:dyDescent="0.25">
      <c r="A6042" s="41">
        <v>43717</v>
      </c>
      <c r="B6042" s="29">
        <v>245.45</v>
      </c>
      <c r="C6042" s="37">
        <f t="shared" si="194"/>
        <v>40.908333333333331</v>
      </c>
      <c r="D6042" s="37">
        <v>3.056</v>
      </c>
      <c r="E6042" s="33">
        <f t="shared" si="195"/>
        <v>-2.3979840676312935E-3</v>
      </c>
    </row>
    <row r="6043" spans="1:5" x14ac:dyDescent="0.25">
      <c r="A6043" s="41">
        <v>43717</v>
      </c>
      <c r="B6043" s="29">
        <v>244.63</v>
      </c>
      <c r="C6043" s="37">
        <f t="shared" si="194"/>
        <v>40.771666666666668</v>
      </c>
      <c r="D6043" s="37">
        <v>3.056</v>
      </c>
      <c r="E6043" s="33">
        <f t="shared" si="195"/>
        <v>-3.340802607455666E-3</v>
      </c>
    </row>
    <row r="6044" spans="1:5" x14ac:dyDescent="0.25">
      <c r="A6044" s="41">
        <v>43717</v>
      </c>
      <c r="B6044" s="29">
        <v>245.77</v>
      </c>
      <c r="C6044" s="37">
        <f t="shared" si="194"/>
        <v>40.961666666666666</v>
      </c>
      <c r="D6044" s="37">
        <v>3.056</v>
      </c>
      <c r="E6044" s="33">
        <f t="shared" si="195"/>
        <v>4.6600989249070629E-3</v>
      </c>
    </row>
    <row r="6045" spans="1:5" x14ac:dyDescent="0.25">
      <c r="A6045" s="41">
        <v>43717</v>
      </c>
      <c r="B6045" s="29">
        <v>245.1</v>
      </c>
      <c r="C6045" s="37">
        <f t="shared" si="194"/>
        <v>40.85</v>
      </c>
      <c r="D6045" s="37">
        <v>3.056</v>
      </c>
      <c r="E6045" s="33">
        <f t="shared" si="195"/>
        <v>-2.7261260528136707E-3</v>
      </c>
    </row>
    <row r="6046" spans="1:5" x14ac:dyDescent="0.25">
      <c r="A6046" s="41">
        <v>43717</v>
      </c>
      <c r="B6046" s="29">
        <v>244.48</v>
      </c>
      <c r="C6046" s="37">
        <f t="shared" si="194"/>
        <v>40.74666666666667</v>
      </c>
      <c r="D6046" s="37">
        <v>3.056</v>
      </c>
      <c r="E6046" s="33">
        <f t="shared" si="195"/>
        <v>-2.5295797633619116E-3</v>
      </c>
    </row>
    <row r="6047" spans="1:5" x14ac:dyDescent="0.25">
      <c r="A6047" s="41">
        <v>43717</v>
      </c>
      <c r="B6047" s="29">
        <v>244.41</v>
      </c>
      <c r="C6047" s="37">
        <f t="shared" si="194"/>
        <v>40.734999999999999</v>
      </c>
      <c r="D6047" s="37">
        <v>3.056</v>
      </c>
      <c r="E6047" s="33">
        <f t="shared" si="195"/>
        <v>-2.8632198952876792E-4</v>
      </c>
    </row>
    <row r="6048" spans="1:5" x14ac:dyDescent="0.25">
      <c r="A6048" s="41">
        <v>43717</v>
      </c>
      <c r="B6048" s="29">
        <v>244.28</v>
      </c>
      <c r="C6048" s="37">
        <f t="shared" si="194"/>
        <v>40.713333333333331</v>
      </c>
      <c r="D6048" s="37">
        <v>3.056</v>
      </c>
      <c r="E6048" s="33">
        <f t="shared" si="195"/>
        <v>-5.3189313039562808E-4</v>
      </c>
    </row>
    <row r="6049" spans="1:5" x14ac:dyDescent="0.25">
      <c r="A6049" s="41">
        <v>43717</v>
      </c>
      <c r="B6049" s="29">
        <v>241.44</v>
      </c>
      <c r="C6049" s="37">
        <f t="shared" si="194"/>
        <v>40.24</v>
      </c>
      <c r="D6049" s="37">
        <v>3.056</v>
      </c>
      <c r="E6049" s="33">
        <f t="shared" si="195"/>
        <v>-1.162600294743738E-2</v>
      </c>
    </row>
    <row r="6050" spans="1:5" x14ac:dyDescent="0.25">
      <c r="A6050" s="41">
        <v>43718</v>
      </c>
      <c r="B6050" s="29">
        <v>230.78</v>
      </c>
      <c r="C6050" s="37">
        <f t="shared" si="194"/>
        <v>38.463333333333331</v>
      </c>
      <c r="D6050" s="37">
        <v>2.9279999999999999</v>
      </c>
      <c r="E6050" s="33">
        <f t="shared" si="195"/>
        <v>-4.415175612988733E-2</v>
      </c>
    </row>
    <row r="6051" spans="1:5" x14ac:dyDescent="0.25">
      <c r="A6051" s="41">
        <v>43718</v>
      </c>
      <c r="B6051" s="29">
        <v>230.09</v>
      </c>
      <c r="C6051" s="37">
        <f t="shared" si="194"/>
        <v>38.348333333333336</v>
      </c>
      <c r="D6051" s="37">
        <v>2.9279999999999999</v>
      </c>
      <c r="E6051" s="33">
        <f t="shared" si="195"/>
        <v>-2.9898604731779083E-3</v>
      </c>
    </row>
    <row r="6052" spans="1:5" x14ac:dyDescent="0.25">
      <c r="A6052" s="41">
        <v>43718</v>
      </c>
      <c r="B6052" s="29">
        <v>230.05</v>
      </c>
      <c r="C6052" s="37">
        <f t="shared" si="194"/>
        <v>38.341666666666669</v>
      </c>
      <c r="D6052" s="37">
        <v>2.9279999999999999</v>
      </c>
      <c r="E6052" s="33">
        <f t="shared" si="195"/>
        <v>-1.7384501716716087E-4</v>
      </c>
    </row>
    <row r="6053" spans="1:5" x14ac:dyDescent="0.25">
      <c r="A6053" s="41">
        <v>43718</v>
      </c>
      <c r="B6053" s="29">
        <v>230.01</v>
      </c>
      <c r="C6053" s="37">
        <f t="shared" si="194"/>
        <v>38.335000000000001</v>
      </c>
      <c r="D6053" s="37">
        <v>2.9279999999999999</v>
      </c>
      <c r="E6053" s="33">
        <f t="shared" si="195"/>
        <v>-1.7387524451215153E-4</v>
      </c>
    </row>
    <row r="6054" spans="1:5" x14ac:dyDescent="0.25">
      <c r="A6054" s="41">
        <v>43718</v>
      </c>
      <c r="B6054" s="29">
        <v>230</v>
      </c>
      <c r="C6054" s="37">
        <f t="shared" si="194"/>
        <v>38.333333333333336</v>
      </c>
      <c r="D6054" s="37">
        <v>2.9279999999999999</v>
      </c>
      <c r="E6054" s="33">
        <f t="shared" si="195"/>
        <v>-4.347637059254339E-5</v>
      </c>
    </row>
    <row r="6055" spans="1:5" x14ac:dyDescent="0.25">
      <c r="A6055" s="41">
        <v>43718</v>
      </c>
      <c r="B6055" s="29">
        <v>231.44</v>
      </c>
      <c r="C6055" s="37">
        <f t="shared" si="194"/>
        <v>38.573333333333331</v>
      </c>
      <c r="D6055" s="37">
        <v>2.9279999999999999</v>
      </c>
      <c r="E6055" s="33">
        <f t="shared" si="195"/>
        <v>6.2608695652173812E-3</v>
      </c>
    </row>
    <row r="6056" spans="1:5" x14ac:dyDescent="0.25">
      <c r="A6056" s="41">
        <v>43718</v>
      </c>
      <c r="B6056" s="29">
        <v>233.88</v>
      </c>
      <c r="C6056" s="37">
        <f t="shared" si="194"/>
        <v>38.979999999999997</v>
      </c>
      <c r="D6056" s="37">
        <v>2.9279999999999999</v>
      </c>
      <c r="E6056" s="33">
        <f t="shared" si="195"/>
        <v>1.0542689249913575E-2</v>
      </c>
    </row>
    <row r="6057" spans="1:5" x14ac:dyDescent="0.25">
      <c r="A6057" s="41">
        <v>43718</v>
      </c>
      <c r="B6057" s="29">
        <v>236.64</v>
      </c>
      <c r="C6057" s="37">
        <f t="shared" si="194"/>
        <v>39.44</v>
      </c>
      <c r="D6057" s="37">
        <v>2.9279999999999999</v>
      </c>
      <c r="E6057" s="33">
        <f t="shared" si="195"/>
        <v>1.1800923550538699E-2</v>
      </c>
    </row>
    <row r="6058" spans="1:5" x14ac:dyDescent="0.25">
      <c r="A6058" s="41">
        <v>43718</v>
      </c>
      <c r="B6058" s="29">
        <v>240.46</v>
      </c>
      <c r="C6058" s="37">
        <f t="shared" si="194"/>
        <v>40.076666666666668</v>
      </c>
      <c r="D6058" s="37">
        <v>2.9279999999999999</v>
      </c>
      <c r="E6058" s="33">
        <f t="shared" si="195"/>
        <v>1.614266396213667E-2</v>
      </c>
    </row>
    <row r="6059" spans="1:5" x14ac:dyDescent="0.25">
      <c r="A6059" s="41">
        <v>43718</v>
      </c>
      <c r="B6059" s="29">
        <v>241.25</v>
      </c>
      <c r="C6059" s="37">
        <f t="shared" si="194"/>
        <v>40.208333333333336</v>
      </c>
      <c r="D6059" s="37">
        <v>2.9279999999999999</v>
      </c>
      <c r="E6059" s="33">
        <f t="shared" si="195"/>
        <v>3.2853697080595192E-3</v>
      </c>
    </row>
    <row r="6060" spans="1:5" x14ac:dyDescent="0.25">
      <c r="A6060" s="41">
        <v>43718</v>
      </c>
      <c r="B6060" s="29">
        <v>243.11</v>
      </c>
      <c r="C6060" s="37">
        <f t="shared" si="194"/>
        <v>40.518333333333331</v>
      </c>
      <c r="D6060" s="37">
        <v>2.9279999999999999</v>
      </c>
      <c r="E6060" s="33">
        <f t="shared" si="195"/>
        <v>7.7098445595855485E-3</v>
      </c>
    </row>
    <row r="6061" spans="1:5" x14ac:dyDescent="0.25">
      <c r="A6061" s="41">
        <v>43718</v>
      </c>
      <c r="B6061" s="29">
        <v>243.35</v>
      </c>
      <c r="C6061" s="37">
        <f t="shared" si="194"/>
        <v>40.55833333333333</v>
      </c>
      <c r="D6061" s="37">
        <v>2.9279999999999999</v>
      </c>
      <c r="E6061" s="33">
        <f t="shared" si="195"/>
        <v>9.8720743696261229E-4</v>
      </c>
    </row>
    <row r="6062" spans="1:5" x14ac:dyDescent="0.25">
      <c r="A6062" s="41">
        <v>43718</v>
      </c>
      <c r="B6062" s="29">
        <v>243.1</v>
      </c>
      <c r="C6062" s="37">
        <f t="shared" si="194"/>
        <v>40.516666666666666</v>
      </c>
      <c r="D6062" s="37">
        <v>2.9279999999999999</v>
      </c>
      <c r="E6062" s="33">
        <f t="shared" si="195"/>
        <v>-1.0273268954181221E-3</v>
      </c>
    </row>
    <row r="6063" spans="1:5" x14ac:dyDescent="0.25">
      <c r="A6063" s="41">
        <v>43718</v>
      </c>
      <c r="B6063" s="29">
        <v>243.62</v>
      </c>
      <c r="C6063" s="37">
        <f t="shared" si="194"/>
        <v>40.603333333333332</v>
      </c>
      <c r="D6063" s="37">
        <v>2.9279999999999999</v>
      </c>
      <c r="E6063" s="33">
        <f t="shared" si="195"/>
        <v>2.1390374331551223E-3</v>
      </c>
    </row>
    <row r="6064" spans="1:5" x14ac:dyDescent="0.25">
      <c r="A6064" s="41">
        <v>43718</v>
      </c>
      <c r="B6064" s="29">
        <v>244.08</v>
      </c>
      <c r="C6064" s="37">
        <f t="shared" si="194"/>
        <v>40.68</v>
      </c>
      <c r="D6064" s="37">
        <v>2.9279999999999999</v>
      </c>
      <c r="E6064" s="33">
        <f t="shared" si="195"/>
        <v>1.8881865199901812E-3</v>
      </c>
    </row>
    <row r="6065" spans="1:5" x14ac:dyDescent="0.25">
      <c r="A6065" s="41">
        <v>43718</v>
      </c>
      <c r="B6065" s="29">
        <v>244.2</v>
      </c>
      <c r="C6065" s="37">
        <f t="shared" si="194"/>
        <v>40.700000000000003</v>
      </c>
      <c r="D6065" s="37">
        <v>2.9279999999999999</v>
      </c>
      <c r="E6065" s="33">
        <f t="shared" si="195"/>
        <v>4.9164208456234067E-4</v>
      </c>
    </row>
    <row r="6066" spans="1:5" x14ac:dyDescent="0.25">
      <c r="A6066" s="41">
        <v>43718</v>
      </c>
      <c r="B6066" s="29">
        <v>244.18</v>
      </c>
      <c r="C6066" s="37">
        <f t="shared" si="194"/>
        <v>40.696666666666665</v>
      </c>
      <c r="D6066" s="37">
        <v>2.9279999999999999</v>
      </c>
      <c r="E6066" s="33">
        <f t="shared" si="195"/>
        <v>-8.1900081900007418E-5</v>
      </c>
    </row>
    <row r="6067" spans="1:5" x14ac:dyDescent="0.25">
      <c r="A6067" s="41">
        <v>43718</v>
      </c>
      <c r="B6067" s="29">
        <v>243.92</v>
      </c>
      <c r="C6067" s="37">
        <f t="shared" si="194"/>
        <v>40.653333333333336</v>
      </c>
      <c r="D6067" s="37">
        <v>2.9279999999999999</v>
      </c>
      <c r="E6067" s="33">
        <f t="shared" si="195"/>
        <v>-1.0647882709477407E-3</v>
      </c>
    </row>
    <row r="6068" spans="1:5" x14ac:dyDescent="0.25">
      <c r="A6068" s="41">
        <v>43718</v>
      </c>
      <c r="B6068" s="29">
        <v>245.48</v>
      </c>
      <c r="C6068" s="37">
        <f t="shared" si="194"/>
        <v>40.913333333333334</v>
      </c>
      <c r="D6068" s="37">
        <v>2.9279999999999999</v>
      </c>
      <c r="E6068" s="33">
        <f t="shared" si="195"/>
        <v>6.3955395211544863E-3</v>
      </c>
    </row>
    <row r="6069" spans="1:5" x14ac:dyDescent="0.25">
      <c r="A6069" s="41">
        <v>43718</v>
      </c>
      <c r="B6069" s="29">
        <v>244.52</v>
      </c>
      <c r="C6069" s="37">
        <f t="shared" si="194"/>
        <v>40.75333333333333</v>
      </c>
      <c r="D6069" s="37">
        <v>2.9279999999999999</v>
      </c>
      <c r="E6069" s="33">
        <f t="shared" si="195"/>
        <v>-3.9107055564607286E-3</v>
      </c>
    </row>
    <row r="6070" spans="1:5" x14ac:dyDescent="0.25">
      <c r="A6070" s="41">
        <v>43718</v>
      </c>
      <c r="B6070" s="29">
        <v>243.92</v>
      </c>
      <c r="C6070" s="37">
        <f t="shared" si="194"/>
        <v>40.653333333333336</v>
      </c>
      <c r="D6070" s="37">
        <v>2.9279999999999999</v>
      </c>
      <c r="E6070" s="33">
        <f t="shared" si="195"/>
        <v>-2.4537870112875133E-3</v>
      </c>
    </row>
    <row r="6071" spans="1:5" x14ac:dyDescent="0.25">
      <c r="A6071" s="41">
        <v>43718</v>
      </c>
      <c r="B6071" s="29">
        <v>243.77</v>
      </c>
      <c r="C6071" s="37">
        <f t="shared" si="194"/>
        <v>40.62833333333333</v>
      </c>
      <c r="D6071" s="37">
        <v>2.9279999999999999</v>
      </c>
      <c r="E6071" s="33">
        <f t="shared" si="195"/>
        <v>-6.1495572318783723E-4</v>
      </c>
    </row>
    <row r="6072" spans="1:5" x14ac:dyDescent="0.25">
      <c r="A6072" s="41">
        <v>43718</v>
      </c>
      <c r="B6072" s="29">
        <v>243.02</v>
      </c>
      <c r="C6072" s="37">
        <f t="shared" si="194"/>
        <v>40.50333333333333</v>
      </c>
      <c r="D6072" s="37">
        <v>2.9279999999999999</v>
      </c>
      <c r="E6072" s="33">
        <f t="shared" si="195"/>
        <v>-3.0766706321532591E-3</v>
      </c>
    </row>
    <row r="6073" spans="1:5" x14ac:dyDescent="0.25">
      <c r="A6073" s="41">
        <v>43718</v>
      </c>
      <c r="B6073" s="29">
        <v>240.02</v>
      </c>
      <c r="C6073" s="37">
        <f t="shared" si="194"/>
        <v>40.00333333333333</v>
      </c>
      <c r="D6073" s="37">
        <v>2.9279999999999999</v>
      </c>
      <c r="E6073" s="33">
        <f t="shared" si="195"/>
        <v>-1.2344662990700353E-2</v>
      </c>
    </row>
    <row r="6074" spans="1:5" x14ac:dyDescent="0.25">
      <c r="A6074" s="41">
        <v>43719</v>
      </c>
      <c r="B6074" s="29">
        <v>239.26</v>
      </c>
      <c r="C6074" s="37">
        <f t="shared" si="194"/>
        <v>39.876666666666665</v>
      </c>
      <c r="D6074" s="37">
        <v>2.82</v>
      </c>
      <c r="E6074" s="33">
        <f t="shared" si="195"/>
        <v>-3.1664027997667663E-3</v>
      </c>
    </row>
    <row r="6075" spans="1:5" x14ac:dyDescent="0.25">
      <c r="A6075" s="41">
        <v>43719</v>
      </c>
      <c r="B6075" s="29">
        <v>237.93</v>
      </c>
      <c r="C6075" s="37">
        <f t="shared" si="194"/>
        <v>39.655000000000001</v>
      </c>
      <c r="D6075" s="37">
        <v>2.82</v>
      </c>
      <c r="E6075" s="33">
        <f t="shared" si="195"/>
        <v>-5.5588063194850126E-3</v>
      </c>
    </row>
    <row r="6076" spans="1:5" x14ac:dyDescent="0.25">
      <c r="A6076" s="41">
        <v>43719</v>
      </c>
      <c r="B6076" s="29">
        <v>236.36</v>
      </c>
      <c r="C6076" s="37">
        <f t="shared" si="194"/>
        <v>39.393333333333331</v>
      </c>
      <c r="D6076" s="37">
        <v>2.82</v>
      </c>
      <c r="E6076" s="33">
        <f t="shared" si="195"/>
        <v>-6.5985794141133662E-3</v>
      </c>
    </row>
    <row r="6077" spans="1:5" x14ac:dyDescent="0.25">
      <c r="A6077" s="41">
        <v>43719</v>
      </c>
      <c r="B6077" s="29">
        <v>236.07</v>
      </c>
      <c r="C6077" s="37">
        <f t="shared" si="194"/>
        <v>39.344999999999999</v>
      </c>
      <c r="D6077" s="37">
        <v>2.82</v>
      </c>
      <c r="E6077" s="33">
        <f t="shared" si="195"/>
        <v>-1.2269419529532088E-3</v>
      </c>
    </row>
    <row r="6078" spans="1:5" x14ac:dyDescent="0.25">
      <c r="A6078" s="41">
        <v>43719</v>
      </c>
      <c r="B6078" s="29">
        <v>236.08</v>
      </c>
      <c r="C6078" s="37">
        <f t="shared" si="194"/>
        <v>39.346666666666664</v>
      </c>
      <c r="D6078" s="37">
        <v>2.82</v>
      </c>
      <c r="E6078" s="33">
        <f t="shared" si="195"/>
        <v>4.2360316855251944E-5</v>
      </c>
    </row>
    <row r="6079" spans="1:5" x14ac:dyDescent="0.25">
      <c r="A6079" s="41">
        <v>43719</v>
      </c>
      <c r="B6079" s="29">
        <v>237.45</v>
      </c>
      <c r="C6079" s="37">
        <f t="shared" si="194"/>
        <v>39.575000000000003</v>
      </c>
      <c r="D6079" s="37">
        <v>2.82</v>
      </c>
      <c r="E6079" s="33">
        <f t="shared" si="195"/>
        <v>5.8031175872584554E-3</v>
      </c>
    </row>
    <row r="6080" spans="1:5" x14ac:dyDescent="0.25">
      <c r="A6080" s="41">
        <v>43719</v>
      </c>
      <c r="B6080" s="29">
        <v>238.52</v>
      </c>
      <c r="C6080" s="37">
        <f t="shared" si="194"/>
        <v>39.75333333333333</v>
      </c>
      <c r="D6080" s="37">
        <v>2.82</v>
      </c>
      <c r="E6080" s="33">
        <f t="shared" si="195"/>
        <v>4.5062118340704217E-3</v>
      </c>
    </row>
    <row r="6081" spans="1:5" x14ac:dyDescent="0.25">
      <c r="A6081" s="41">
        <v>43719</v>
      </c>
      <c r="B6081" s="29">
        <v>241.51</v>
      </c>
      <c r="C6081" s="37">
        <f t="shared" si="194"/>
        <v>40.251666666666665</v>
      </c>
      <c r="D6081" s="37">
        <v>2.82</v>
      </c>
      <c r="E6081" s="33">
        <f t="shared" si="195"/>
        <v>1.2535636424618399E-2</v>
      </c>
    </row>
    <row r="6082" spans="1:5" x14ac:dyDescent="0.25">
      <c r="A6082" s="41">
        <v>43719</v>
      </c>
      <c r="B6082" s="29">
        <v>243.84</v>
      </c>
      <c r="C6082" s="37">
        <f t="shared" si="194"/>
        <v>40.64</v>
      </c>
      <c r="D6082" s="37">
        <v>2.82</v>
      </c>
      <c r="E6082" s="33">
        <f t="shared" si="195"/>
        <v>9.6476336383587123E-3</v>
      </c>
    </row>
    <row r="6083" spans="1:5" x14ac:dyDescent="0.25">
      <c r="A6083" s="41">
        <v>43719</v>
      </c>
      <c r="B6083" s="29">
        <v>247.04</v>
      </c>
      <c r="C6083" s="37">
        <f t="shared" ref="C6083:C6146" si="196">(B6083*100/600)</f>
        <v>41.173333333333332</v>
      </c>
      <c r="D6083" s="37">
        <v>2.82</v>
      </c>
      <c r="E6083" s="33">
        <f t="shared" si="195"/>
        <v>1.3123359580052446E-2</v>
      </c>
    </row>
    <row r="6084" spans="1:5" x14ac:dyDescent="0.25">
      <c r="A6084" s="41">
        <v>43719</v>
      </c>
      <c r="B6084" s="29">
        <v>248.02</v>
      </c>
      <c r="C6084" s="37">
        <f t="shared" si="196"/>
        <v>41.336666666666666</v>
      </c>
      <c r="D6084" s="37">
        <v>2.82</v>
      </c>
      <c r="E6084" s="33">
        <f t="shared" ref="E6084:E6147" si="197">(B6084-B6083)/B6083</f>
        <v>3.9669689119171724E-3</v>
      </c>
    </row>
    <row r="6085" spans="1:5" x14ac:dyDescent="0.25">
      <c r="A6085" s="41">
        <v>43719</v>
      </c>
      <c r="B6085" s="29">
        <v>248.78</v>
      </c>
      <c r="C6085" s="37">
        <f t="shared" si="196"/>
        <v>41.463333333333331</v>
      </c>
      <c r="D6085" s="37">
        <v>2.82</v>
      </c>
      <c r="E6085" s="33">
        <f t="shared" si="197"/>
        <v>3.0642690105636273E-3</v>
      </c>
    </row>
    <row r="6086" spans="1:5" x14ac:dyDescent="0.25">
      <c r="A6086" s="41">
        <v>43719</v>
      </c>
      <c r="B6086" s="29">
        <v>247.18</v>
      </c>
      <c r="C6086" s="37">
        <f t="shared" si="196"/>
        <v>41.196666666666665</v>
      </c>
      <c r="D6086" s="37">
        <v>2.82</v>
      </c>
      <c r="E6086" s="33">
        <f t="shared" si="197"/>
        <v>-6.4313851595787213E-3</v>
      </c>
    </row>
    <row r="6087" spans="1:5" x14ac:dyDescent="0.25">
      <c r="A6087" s="41">
        <v>43719</v>
      </c>
      <c r="B6087" s="29">
        <v>249.3</v>
      </c>
      <c r="C6087" s="37">
        <f t="shared" si="196"/>
        <v>41.55</v>
      </c>
      <c r="D6087" s="37">
        <v>2.82</v>
      </c>
      <c r="E6087" s="33">
        <f t="shared" si="197"/>
        <v>8.576745691398999E-3</v>
      </c>
    </row>
    <row r="6088" spans="1:5" x14ac:dyDescent="0.25">
      <c r="A6088" s="41">
        <v>43719</v>
      </c>
      <c r="B6088" s="29">
        <v>253.46</v>
      </c>
      <c r="C6088" s="37">
        <f t="shared" si="196"/>
        <v>42.243333333333332</v>
      </c>
      <c r="D6088" s="37">
        <v>2.82</v>
      </c>
      <c r="E6088" s="33">
        <f t="shared" si="197"/>
        <v>1.6686722823906926E-2</v>
      </c>
    </row>
    <row r="6089" spans="1:5" x14ac:dyDescent="0.25">
      <c r="A6089" s="41">
        <v>43719</v>
      </c>
      <c r="B6089" s="29">
        <v>254.04</v>
      </c>
      <c r="C6089" s="37">
        <f t="shared" si="196"/>
        <v>42.34</v>
      </c>
      <c r="D6089" s="37">
        <v>2.82</v>
      </c>
      <c r="E6089" s="33">
        <f t="shared" si="197"/>
        <v>2.288329519450738E-3</v>
      </c>
    </row>
    <row r="6090" spans="1:5" x14ac:dyDescent="0.25">
      <c r="A6090" s="41">
        <v>43719</v>
      </c>
      <c r="B6090" s="29">
        <v>253.74</v>
      </c>
      <c r="C6090" s="37">
        <f t="shared" si="196"/>
        <v>42.29</v>
      </c>
      <c r="D6090" s="37">
        <v>2.82</v>
      </c>
      <c r="E6090" s="33">
        <f t="shared" si="197"/>
        <v>-1.1809163911194417E-3</v>
      </c>
    </row>
    <row r="6091" spans="1:5" x14ac:dyDescent="0.25">
      <c r="A6091" s="41">
        <v>43719</v>
      </c>
      <c r="B6091" s="29">
        <v>248.58</v>
      </c>
      <c r="C6091" s="37">
        <f t="shared" si="196"/>
        <v>41.43</v>
      </c>
      <c r="D6091" s="37">
        <v>2.82</v>
      </c>
      <c r="E6091" s="33">
        <f t="shared" si="197"/>
        <v>-2.0335776779380452E-2</v>
      </c>
    </row>
    <row r="6092" spans="1:5" x14ac:dyDescent="0.25">
      <c r="A6092" s="41">
        <v>43719</v>
      </c>
      <c r="B6092" s="29">
        <v>252.76</v>
      </c>
      <c r="C6092" s="37">
        <f t="shared" si="196"/>
        <v>42.126666666666665</v>
      </c>
      <c r="D6092" s="37">
        <v>2.82</v>
      </c>
      <c r="E6092" s="33">
        <f t="shared" si="197"/>
        <v>1.6815512108777769E-2</v>
      </c>
    </row>
    <row r="6093" spans="1:5" x14ac:dyDescent="0.25">
      <c r="A6093" s="41">
        <v>43719</v>
      </c>
      <c r="B6093" s="29">
        <v>252.68</v>
      </c>
      <c r="C6093" s="37">
        <f t="shared" si="196"/>
        <v>42.113333333333337</v>
      </c>
      <c r="D6093" s="37">
        <v>2.82</v>
      </c>
      <c r="E6093" s="33">
        <f t="shared" si="197"/>
        <v>-3.1650577623035323E-4</v>
      </c>
    </row>
    <row r="6094" spans="1:5" x14ac:dyDescent="0.25">
      <c r="A6094" s="41">
        <v>43719</v>
      </c>
      <c r="B6094" s="29">
        <v>249.1</v>
      </c>
      <c r="C6094" s="37">
        <f t="shared" si="196"/>
        <v>41.516666666666666</v>
      </c>
      <c r="D6094" s="37">
        <v>2.82</v>
      </c>
      <c r="E6094" s="33">
        <f t="shared" si="197"/>
        <v>-1.4168117777426043E-2</v>
      </c>
    </row>
    <row r="6095" spans="1:5" x14ac:dyDescent="0.25">
      <c r="A6095" s="41">
        <v>43719</v>
      </c>
      <c r="B6095" s="29">
        <v>248.32</v>
      </c>
      <c r="C6095" s="37">
        <f t="shared" si="196"/>
        <v>41.386666666666663</v>
      </c>
      <c r="D6095" s="37">
        <v>2.82</v>
      </c>
      <c r="E6095" s="33">
        <f t="shared" si="197"/>
        <v>-3.1312725812926582E-3</v>
      </c>
    </row>
    <row r="6096" spans="1:5" x14ac:dyDescent="0.25">
      <c r="A6096" s="41">
        <v>43719</v>
      </c>
      <c r="B6096" s="29">
        <v>246.63</v>
      </c>
      <c r="C6096" s="37">
        <f t="shared" si="196"/>
        <v>41.104999999999997</v>
      </c>
      <c r="D6096" s="37">
        <v>2.82</v>
      </c>
      <c r="E6096" s="33">
        <f t="shared" si="197"/>
        <v>-6.8057345360824657E-3</v>
      </c>
    </row>
    <row r="6097" spans="1:5" x14ac:dyDescent="0.25">
      <c r="A6097" s="41">
        <v>43719</v>
      </c>
      <c r="B6097" s="29">
        <v>243.84</v>
      </c>
      <c r="C6097" s="37">
        <f t="shared" si="196"/>
        <v>40.64</v>
      </c>
      <c r="D6097" s="37">
        <v>2.82</v>
      </c>
      <c r="E6097" s="33">
        <f t="shared" si="197"/>
        <v>-1.1312492397518518E-2</v>
      </c>
    </row>
    <row r="6098" spans="1:5" x14ac:dyDescent="0.25">
      <c r="A6098" s="41">
        <v>43719</v>
      </c>
      <c r="B6098" s="29">
        <v>239.26</v>
      </c>
      <c r="C6098" s="37">
        <f t="shared" si="196"/>
        <v>39.876666666666665</v>
      </c>
      <c r="D6098" s="37">
        <v>2.7320000000000002</v>
      </c>
      <c r="E6098" s="33">
        <f t="shared" si="197"/>
        <v>-1.8782808398950183E-2</v>
      </c>
    </row>
    <row r="6099" spans="1:5" x14ac:dyDescent="0.25">
      <c r="A6099" s="41">
        <v>43720</v>
      </c>
      <c r="B6099" s="29">
        <v>240.28</v>
      </c>
      <c r="C6099" s="37">
        <f t="shared" si="196"/>
        <v>40.046666666666667</v>
      </c>
      <c r="D6099" s="37">
        <v>2.7320000000000002</v>
      </c>
      <c r="E6099" s="33">
        <f t="shared" si="197"/>
        <v>4.2631446961464946E-3</v>
      </c>
    </row>
    <row r="6100" spans="1:5" x14ac:dyDescent="0.25">
      <c r="A6100" s="41">
        <v>43720</v>
      </c>
      <c r="B6100" s="29">
        <v>238.63</v>
      </c>
      <c r="C6100" s="37">
        <f t="shared" si="196"/>
        <v>39.771666666666668</v>
      </c>
      <c r="D6100" s="37">
        <v>2.7320000000000002</v>
      </c>
      <c r="E6100" s="33">
        <f t="shared" si="197"/>
        <v>-6.8669885134010561E-3</v>
      </c>
    </row>
    <row r="6101" spans="1:5" x14ac:dyDescent="0.25">
      <c r="A6101" s="41">
        <v>43720</v>
      </c>
      <c r="B6101" s="29">
        <v>237.8</v>
      </c>
      <c r="C6101" s="37">
        <f t="shared" si="196"/>
        <v>39.633333333333333</v>
      </c>
      <c r="D6101" s="37">
        <v>2.7320000000000002</v>
      </c>
      <c r="E6101" s="33">
        <f t="shared" si="197"/>
        <v>-3.478187989774899E-3</v>
      </c>
    </row>
    <row r="6102" spans="1:5" x14ac:dyDescent="0.25">
      <c r="A6102" s="41">
        <v>43720</v>
      </c>
      <c r="B6102" s="29">
        <v>237.78</v>
      </c>
      <c r="C6102" s="37">
        <f t="shared" si="196"/>
        <v>39.630000000000003</v>
      </c>
      <c r="D6102" s="37">
        <v>2.7320000000000002</v>
      </c>
      <c r="E6102" s="33">
        <f t="shared" si="197"/>
        <v>-8.4104289318798282E-5</v>
      </c>
    </row>
    <row r="6103" spans="1:5" x14ac:dyDescent="0.25">
      <c r="A6103" s="41">
        <v>43720</v>
      </c>
      <c r="B6103" s="29">
        <v>238.96</v>
      </c>
      <c r="C6103" s="37">
        <f t="shared" si="196"/>
        <v>39.826666666666668</v>
      </c>
      <c r="D6103" s="37">
        <v>2.7320000000000002</v>
      </c>
      <c r="E6103" s="33">
        <f t="shared" si="197"/>
        <v>4.962570443266914E-3</v>
      </c>
    </row>
    <row r="6104" spans="1:5" x14ac:dyDescent="0.25">
      <c r="A6104" s="41">
        <v>43720</v>
      </c>
      <c r="B6104" s="29">
        <v>240.98</v>
      </c>
      <c r="C6104" s="37">
        <f t="shared" si="196"/>
        <v>40.163333333333334</v>
      </c>
      <c r="D6104" s="37">
        <v>2.7320000000000002</v>
      </c>
      <c r="E6104" s="33">
        <f t="shared" si="197"/>
        <v>8.4532976230330681E-3</v>
      </c>
    </row>
    <row r="6105" spans="1:5" x14ac:dyDescent="0.25">
      <c r="A6105" s="41">
        <v>43720</v>
      </c>
      <c r="B6105" s="29">
        <v>241.46</v>
      </c>
      <c r="C6105" s="37">
        <f t="shared" si="196"/>
        <v>40.243333333333332</v>
      </c>
      <c r="D6105" s="37">
        <v>2.7320000000000002</v>
      </c>
      <c r="E6105" s="33">
        <f t="shared" si="197"/>
        <v>1.9918665449415647E-3</v>
      </c>
    </row>
    <row r="6106" spans="1:5" x14ac:dyDescent="0.25">
      <c r="A6106" s="41">
        <v>43720</v>
      </c>
      <c r="B6106" s="29">
        <v>241.66</v>
      </c>
      <c r="C6106" s="37">
        <f t="shared" si="196"/>
        <v>40.276666666666664</v>
      </c>
      <c r="D6106" s="37">
        <v>2.7320000000000002</v>
      </c>
      <c r="E6106" s="33">
        <f t="shared" si="197"/>
        <v>8.282945415389242E-4</v>
      </c>
    </row>
    <row r="6107" spans="1:5" x14ac:dyDescent="0.25">
      <c r="A6107" s="41">
        <v>43720</v>
      </c>
      <c r="B6107" s="29">
        <v>245.28</v>
      </c>
      <c r="C6107" s="37">
        <f t="shared" si="196"/>
        <v>40.880000000000003</v>
      </c>
      <c r="D6107" s="37">
        <v>2.7320000000000002</v>
      </c>
      <c r="E6107" s="33">
        <f t="shared" si="197"/>
        <v>1.4979723578581497E-2</v>
      </c>
    </row>
    <row r="6108" spans="1:5" x14ac:dyDescent="0.25">
      <c r="A6108" s="41">
        <v>43720</v>
      </c>
      <c r="B6108" s="29">
        <v>250.63</v>
      </c>
      <c r="C6108" s="37">
        <f t="shared" si="196"/>
        <v>41.771666666666668</v>
      </c>
      <c r="D6108" s="37">
        <v>2.7320000000000002</v>
      </c>
      <c r="E6108" s="33">
        <f t="shared" si="197"/>
        <v>2.1811806914546619E-2</v>
      </c>
    </row>
    <row r="6109" spans="1:5" x14ac:dyDescent="0.25">
      <c r="A6109" s="41">
        <v>43720</v>
      </c>
      <c r="B6109" s="29">
        <v>252.04</v>
      </c>
      <c r="C6109" s="37">
        <f t="shared" si="196"/>
        <v>42.006666666666668</v>
      </c>
      <c r="D6109" s="37">
        <v>2.7320000000000002</v>
      </c>
      <c r="E6109" s="33">
        <f t="shared" si="197"/>
        <v>5.6258229262258971E-3</v>
      </c>
    </row>
    <row r="6110" spans="1:5" x14ac:dyDescent="0.25">
      <c r="A6110" s="41">
        <v>43720</v>
      </c>
      <c r="B6110" s="29">
        <v>248.94</v>
      </c>
      <c r="C6110" s="37">
        <f t="shared" si="196"/>
        <v>41.49</v>
      </c>
      <c r="D6110" s="37">
        <v>2.7320000000000002</v>
      </c>
      <c r="E6110" s="33">
        <f t="shared" si="197"/>
        <v>-1.2299634978574807E-2</v>
      </c>
    </row>
    <row r="6111" spans="1:5" x14ac:dyDescent="0.25">
      <c r="A6111" s="41">
        <v>43720</v>
      </c>
      <c r="B6111" s="29">
        <v>253.72</v>
      </c>
      <c r="C6111" s="37">
        <f t="shared" si="196"/>
        <v>42.286666666666669</v>
      </c>
      <c r="D6111" s="37">
        <v>2.7320000000000002</v>
      </c>
      <c r="E6111" s="33">
        <f t="shared" si="197"/>
        <v>1.9201413995340248E-2</v>
      </c>
    </row>
    <row r="6112" spans="1:5" x14ac:dyDescent="0.25">
      <c r="A6112" s="41">
        <v>43720</v>
      </c>
      <c r="B6112" s="29">
        <v>255.04</v>
      </c>
      <c r="C6112" s="37">
        <f t="shared" si="196"/>
        <v>42.506666666666668</v>
      </c>
      <c r="D6112" s="37">
        <v>2.7320000000000002</v>
      </c>
      <c r="E6112" s="33">
        <f t="shared" si="197"/>
        <v>5.2025855273529608E-3</v>
      </c>
    </row>
    <row r="6113" spans="1:5" x14ac:dyDescent="0.25">
      <c r="A6113" s="41">
        <v>43720</v>
      </c>
      <c r="B6113" s="29">
        <v>254.96</v>
      </c>
      <c r="C6113" s="37">
        <f t="shared" si="196"/>
        <v>42.493333333333332</v>
      </c>
      <c r="D6113" s="37">
        <v>2.7320000000000002</v>
      </c>
      <c r="E6113" s="33">
        <f t="shared" si="197"/>
        <v>-3.1367628607271048E-4</v>
      </c>
    </row>
    <row r="6114" spans="1:5" x14ac:dyDescent="0.25">
      <c r="A6114" s="41">
        <v>43720</v>
      </c>
      <c r="B6114" s="29">
        <v>254.9</v>
      </c>
      <c r="C6114" s="37">
        <f t="shared" si="196"/>
        <v>42.483333333333334</v>
      </c>
      <c r="D6114" s="37">
        <v>2.7320000000000002</v>
      </c>
      <c r="E6114" s="33">
        <f t="shared" si="197"/>
        <v>-2.3533103231880402E-4</v>
      </c>
    </row>
    <row r="6115" spans="1:5" x14ac:dyDescent="0.25">
      <c r="A6115" s="41">
        <v>43720</v>
      </c>
      <c r="B6115" s="29">
        <v>251</v>
      </c>
      <c r="C6115" s="37">
        <f t="shared" si="196"/>
        <v>41.833333333333336</v>
      </c>
      <c r="D6115" s="37">
        <v>2.7320000000000002</v>
      </c>
      <c r="E6115" s="33">
        <f t="shared" si="197"/>
        <v>-1.5300117693213046E-2</v>
      </c>
    </row>
    <row r="6116" spans="1:5" x14ac:dyDescent="0.25">
      <c r="A6116" s="41">
        <v>43720</v>
      </c>
      <c r="B6116" s="29">
        <v>254.5</v>
      </c>
      <c r="C6116" s="37">
        <f t="shared" si="196"/>
        <v>42.416666666666664</v>
      </c>
      <c r="D6116" s="37">
        <v>2.7320000000000002</v>
      </c>
      <c r="E6116" s="33">
        <f t="shared" si="197"/>
        <v>1.3944223107569721E-2</v>
      </c>
    </row>
    <row r="6117" spans="1:5" x14ac:dyDescent="0.25">
      <c r="A6117" s="41">
        <v>43720</v>
      </c>
      <c r="B6117" s="29">
        <v>254.69</v>
      </c>
      <c r="C6117" s="37">
        <f t="shared" si="196"/>
        <v>42.448333333333331</v>
      </c>
      <c r="D6117" s="37">
        <v>2.7320000000000002</v>
      </c>
      <c r="E6117" s="33">
        <f t="shared" si="197"/>
        <v>7.4656188605107157E-4</v>
      </c>
    </row>
    <row r="6118" spans="1:5" x14ac:dyDescent="0.25">
      <c r="A6118" s="41">
        <v>43720</v>
      </c>
      <c r="B6118" s="29">
        <v>252.58</v>
      </c>
      <c r="C6118" s="37">
        <f t="shared" si="196"/>
        <v>42.096666666666664</v>
      </c>
      <c r="D6118" s="37">
        <v>2.7320000000000002</v>
      </c>
      <c r="E6118" s="33">
        <f t="shared" si="197"/>
        <v>-8.2845812556440589E-3</v>
      </c>
    </row>
    <row r="6119" spans="1:5" x14ac:dyDescent="0.25">
      <c r="A6119" s="41">
        <v>43720</v>
      </c>
      <c r="B6119" s="29">
        <v>251.2</v>
      </c>
      <c r="C6119" s="37">
        <f t="shared" si="196"/>
        <v>41.866666666666667</v>
      </c>
      <c r="D6119" s="37">
        <v>2.7320000000000002</v>
      </c>
      <c r="E6119" s="33">
        <f t="shared" si="197"/>
        <v>-5.4636154881622604E-3</v>
      </c>
    </row>
    <row r="6120" spans="1:5" x14ac:dyDescent="0.25">
      <c r="A6120" s="41">
        <v>43720</v>
      </c>
      <c r="B6120" s="29">
        <v>246.97</v>
      </c>
      <c r="C6120" s="37">
        <f t="shared" si="196"/>
        <v>41.161666666666669</v>
      </c>
      <c r="D6120" s="37">
        <v>2.7320000000000002</v>
      </c>
      <c r="E6120" s="33">
        <f t="shared" si="197"/>
        <v>-1.6839171974522255E-2</v>
      </c>
    </row>
    <row r="6121" spans="1:5" x14ac:dyDescent="0.25">
      <c r="A6121" s="41">
        <v>43720</v>
      </c>
      <c r="B6121" s="29">
        <v>242.17</v>
      </c>
      <c r="C6121" s="37">
        <f t="shared" si="196"/>
        <v>40.361666666666665</v>
      </c>
      <c r="D6121" s="37">
        <v>2.7320000000000002</v>
      </c>
      <c r="E6121" s="33">
        <f t="shared" si="197"/>
        <v>-1.9435558974774308E-2</v>
      </c>
    </row>
    <row r="6122" spans="1:5" x14ac:dyDescent="0.25">
      <c r="A6122" s="41">
        <v>43721</v>
      </c>
      <c r="B6122" s="29">
        <v>241.52</v>
      </c>
      <c r="C6122" s="37">
        <f t="shared" si="196"/>
        <v>40.25333333333333</v>
      </c>
      <c r="D6122" s="37">
        <v>2.64</v>
      </c>
      <c r="E6122" s="33">
        <f t="shared" si="197"/>
        <v>-2.6840649130774963E-3</v>
      </c>
    </row>
    <row r="6123" spans="1:5" x14ac:dyDescent="0.25">
      <c r="A6123" s="41">
        <v>43721</v>
      </c>
      <c r="B6123" s="29">
        <v>240.8</v>
      </c>
      <c r="C6123" s="37">
        <f t="shared" si="196"/>
        <v>40.133333333333333</v>
      </c>
      <c r="D6123" s="37">
        <v>2.64</v>
      </c>
      <c r="E6123" s="33">
        <f t="shared" si="197"/>
        <v>-2.9811195760185445E-3</v>
      </c>
    </row>
    <row r="6124" spans="1:5" x14ac:dyDescent="0.25">
      <c r="A6124" s="41">
        <v>43721</v>
      </c>
      <c r="B6124" s="29">
        <v>240.02</v>
      </c>
      <c r="C6124" s="37">
        <f t="shared" si="196"/>
        <v>40.00333333333333</v>
      </c>
      <c r="D6124" s="37">
        <v>2.64</v>
      </c>
      <c r="E6124" s="33">
        <f t="shared" si="197"/>
        <v>-3.2392026578073134E-3</v>
      </c>
    </row>
    <row r="6125" spans="1:5" x14ac:dyDescent="0.25">
      <c r="A6125" s="41">
        <v>43721</v>
      </c>
      <c r="B6125" s="29">
        <v>239.84</v>
      </c>
      <c r="C6125" s="37">
        <f t="shared" si="196"/>
        <v>39.973333333333336</v>
      </c>
      <c r="D6125" s="37">
        <v>2.64</v>
      </c>
      <c r="E6125" s="33">
        <f t="shared" si="197"/>
        <v>-7.4993750520792768E-4</v>
      </c>
    </row>
    <row r="6126" spans="1:5" x14ac:dyDescent="0.25">
      <c r="A6126" s="41">
        <v>43721</v>
      </c>
      <c r="B6126" s="29">
        <v>239.73</v>
      </c>
      <c r="C6126" s="37">
        <f t="shared" si="196"/>
        <v>39.954999999999998</v>
      </c>
      <c r="D6126" s="37">
        <v>2.64</v>
      </c>
      <c r="E6126" s="33">
        <f t="shared" si="197"/>
        <v>-4.5863909272854251E-4</v>
      </c>
    </row>
    <row r="6127" spans="1:5" x14ac:dyDescent="0.25">
      <c r="A6127" s="41">
        <v>43721</v>
      </c>
      <c r="B6127" s="29">
        <v>240.02</v>
      </c>
      <c r="C6127" s="37">
        <f t="shared" si="196"/>
        <v>40.00333333333333</v>
      </c>
      <c r="D6127" s="37">
        <v>2.64</v>
      </c>
      <c r="E6127" s="33">
        <f t="shared" si="197"/>
        <v>1.2096942393526903E-3</v>
      </c>
    </row>
    <row r="6128" spans="1:5" x14ac:dyDescent="0.25">
      <c r="A6128" s="41">
        <v>43721</v>
      </c>
      <c r="B6128" s="29">
        <v>240.72</v>
      </c>
      <c r="C6128" s="37">
        <f t="shared" si="196"/>
        <v>40.119999999999997</v>
      </c>
      <c r="D6128" s="37">
        <v>2.64</v>
      </c>
      <c r="E6128" s="33">
        <f t="shared" si="197"/>
        <v>2.9164236313640054E-3</v>
      </c>
    </row>
    <row r="6129" spans="1:5" x14ac:dyDescent="0.25">
      <c r="A6129" s="41">
        <v>43721</v>
      </c>
      <c r="B6129" s="29">
        <v>242.08</v>
      </c>
      <c r="C6129" s="37">
        <f t="shared" si="196"/>
        <v>40.346666666666664</v>
      </c>
      <c r="D6129" s="37">
        <v>2.64</v>
      </c>
      <c r="E6129" s="33">
        <f t="shared" si="197"/>
        <v>5.6497175141243501E-3</v>
      </c>
    </row>
    <row r="6130" spans="1:5" x14ac:dyDescent="0.25">
      <c r="A6130" s="41">
        <v>43721</v>
      </c>
      <c r="B6130" s="29">
        <v>244.32</v>
      </c>
      <c r="C6130" s="37">
        <f t="shared" si="196"/>
        <v>40.72</v>
      </c>
      <c r="D6130" s="37">
        <v>2.64</v>
      </c>
      <c r="E6130" s="33">
        <f t="shared" si="197"/>
        <v>9.2531394580303225E-3</v>
      </c>
    </row>
    <row r="6131" spans="1:5" x14ac:dyDescent="0.25">
      <c r="A6131" s="41">
        <v>43721</v>
      </c>
      <c r="B6131" s="29">
        <v>245.18</v>
      </c>
      <c r="C6131" s="37">
        <f t="shared" si="196"/>
        <v>40.863333333333337</v>
      </c>
      <c r="D6131" s="37">
        <v>2.64</v>
      </c>
      <c r="E6131" s="33">
        <f t="shared" si="197"/>
        <v>3.5199738048461594E-3</v>
      </c>
    </row>
    <row r="6132" spans="1:5" x14ac:dyDescent="0.25">
      <c r="A6132" s="41">
        <v>43721</v>
      </c>
      <c r="B6132" s="29">
        <v>247.8</v>
      </c>
      <c r="C6132" s="37">
        <f t="shared" si="196"/>
        <v>41.3</v>
      </c>
      <c r="D6132" s="37">
        <v>2.64</v>
      </c>
      <c r="E6132" s="33">
        <f t="shared" si="197"/>
        <v>1.0686026592707417E-2</v>
      </c>
    </row>
    <row r="6133" spans="1:5" x14ac:dyDescent="0.25">
      <c r="A6133" s="41">
        <v>43721</v>
      </c>
      <c r="B6133" s="29">
        <v>247.77</v>
      </c>
      <c r="C6133" s="37">
        <f t="shared" si="196"/>
        <v>41.295000000000002</v>
      </c>
      <c r="D6133" s="37">
        <v>2.64</v>
      </c>
      <c r="E6133" s="33">
        <f t="shared" si="197"/>
        <v>-1.2106537530266802E-4</v>
      </c>
    </row>
    <row r="6134" spans="1:5" x14ac:dyDescent="0.25">
      <c r="A6134" s="41">
        <v>43721</v>
      </c>
      <c r="B6134" s="29">
        <v>246.72</v>
      </c>
      <c r="C6134" s="37">
        <f t="shared" si="196"/>
        <v>41.12</v>
      </c>
      <c r="D6134" s="37">
        <v>2.64</v>
      </c>
      <c r="E6134" s="33">
        <f t="shared" si="197"/>
        <v>-4.2378011865843775E-3</v>
      </c>
    </row>
    <row r="6135" spans="1:5" x14ac:dyDescent="0.25">
      <c r="A6135" s="41">
        <v>43721</v>
      </c>
      <c r="B6135" s="29">
        <v>247.9</v>
      </c>
      <c r="C6135" s="37">
        <f t="shared" si="196"/>
        <v>41.31666666666667</v>
      </c>
      <c r="D6135" s="37">
        <v>2.64</v>
      </c>
      <c r="E6135" s="33">
        <f t="shared" si="197"/>
        <v>4.7827496757458119E-3</v>
      </c>
    </row>
    <row r="6136" spans="1:5" x14ac:dyDescent="0.25">
      <c r="A6136" s="41">
        <v>43721</v>
      </c>
      <c r="B6136" s="29">
        <v>248.46</v>
      </c>
      <c r="C6136" s="37">
        <f t="shared" si="196"/>
        <v>41.41</v>
      </c>
      <c r="D6136" s="37">
        <v>2.64</v>
      </c>
      <c r="E6136" s="33">
        <f t="shared" si="197"/>
        <v>2.2589753933037605E-3</v>
      </c>
    </row>
    <row r="6137" spans="1:5" x14ac:dyDescent="0.25">
      <c r="A6137" s="41">
        <v>43721</v>
      </c>
      <c r="B6137" s="29">
        <v>247.94</v>
      </c>
      <c r="C6137" s="37">
        <f t="shared" si="196"/>
        <v>41.323333333333331</v>
      </c>
      <c r="D6137" s="37">
        <v>2.64</v>
      </c>
      <c r="E6137" s="33">
        <f t="shared" si="197"/>
        <v>-2.0928922160509144E-3</v>
      </c>
    </row>
    <row r="6138" spans="1:5" x14ac:dyDescent="0.25">
      <c r="A6138" s="41">
        <v>43721</v>
      </c>
      <c r="B6138" s="29">
        <v>246.91</v>
      </c>
      <c r="C6138" s="37">
        <f t="shared" si="196"/>
        <v>41.151666666666664</v>
      </c>
      <c r="D6138" s="37">
        <v>2.64</v>
      </c>
      <c r="E6138" s="33">
        <f t="shared" si="197"/>
        <v>-4.1542308623054008E-3</v>
      </c>
    </row>
    <row r="6139" spans="1:5" x14ac:dyDescent="0.25">
      <c r="A6139" s="41">
        <v>43721</v>
      </c>
      <c r="B6139" s="29">
        <v>246.24</v>
      </c>
      <c r="C6139" s="37">
        <f t="shared" si="196"/>
        <v>41.04</v>
      </c>
      <c r="D6139" s="37">
        <v>2.64</v>
      </c>
      <c r="E6139" s="33">
        <f t="shared" si="197"/>
        <v>-2.7135393463204711E-3</v>
      </c>
    </row>
    <row r="6140" spans="1:5" x14ac:dyDescent="0.25">
      <c r="A6140" s="41">
        <v>43721</v>
      </c>
      <c r="B6140" s="29">
        <v>246.66</v>
      </c>
      <c r="C6140" s="37">
        <f t="shared" si="196"/>
        <v>41.11</v>
      </c>
      <c r="D6140" s="37">
        <v>2.64</v>
      </c>
      <c r="E6140" s="33">
        <f t="shared" si="197"/>
        <v>1.7056530214424443E-3</v>
      </c>
    </row>
    <row r="6141" spans="1:5" x14ac:dyDescent="0.25">
      <c r="A6141" s="41">
        <v>43721</v>
      </c>
      <c r="B6141" s="29">
        <v>246.53</v>
      </c>
      <c r="C6141" s="37">
        <f t="shared" si="196"/>
        <v>41.088333333333331</v>
      </c>
      <c r="D6141" s="37">
        <v>2.64</v>
      </c>
      <c r="E6141" s="33">
        <f t="shared" si="197"/>
        <v>-5.2704127138569474E-4</v>
      </c>
    </row>
    <row r="6142" spans="1:5" x14ac:dyDescent="0.25">
      <c r="A6142" s="41">
        <v>43721</v>
      </c>
      <c r="B6142" s="29">
        <v>244.46</v>
      </c>
      <c r="C6142" s="37">
        <f t="shared" si="196"/>
        <v>40.743333333333332</v>
      </c>
      <c r="D6142" s="37">
        <v>2.64</v>
      </c>
      <c r="E6142" s="33">
        <f t="shared" si="197"/>
        <v>-8.3965440311523677E-3</v>
      </c>
    </row>
    <row r="6143" spans="1:5" x14ac:dyDescent="0.25">
      <c r="A6143" s="41">
        <v>43721</v>
      </c>
      <c r="B6143" s="29">
        <v>244.29</v>
      </c>
      <c r="C6143" s="37">
        <f t="shared" si="196"/>
        <v>40.715000000000003</v>
      </c>
      <c r="D6143" s="37">
        <v>2.64</v>
      </c>
      <c r="E6143" s="33">
        <f t="shared" si="197"/>
        <v>-6.954102920723878E-4</v>
      </c>
    </row>
    <row r="6144" spans="1:5" x14ac:dyDescent="0.25">
      <c r="A6144" s="41">
        <v>43721</v>
      </c>
      <c r="B6144" s="29">
        <v>243.18</v>
      </c>
      <c r="C6144" s="37">
        <f t="shared" si="196"/>
        <v>40.53</v>
      </c>
      <c r="D6144" s="37">
        <v>2.64</v>
      </c>
      <c r="E6144" s="33">
        <f t="shared" si="197"/>
        <v>-4.5437799336853135E-3</v>
      </c>
    </row>
    <row r="6145" spans="1:5" x14ac:dyDescent="0.25">
      <c r="A6145" s="41">
        <v>43721</v>
      </c>
      <c r="B6145" s="29">
        <v>240.86</v>
      </c>
      <c r="C6145" s="37">
        <f t="shared" si="196"/>
        <v>40.143333333333331</v>
      </c>
      <c r="D6145" s="37">
        <v>2.64</v>
      </c>
      <c r="E6145" s="33">
        <f t="shared" si="197"/>
        <v>-9.5402582449214297E-3</v>
      </c>
    </row>
    <row r="6146" spans="1:5" x14ac:dyDescent="0.25">
      <c r="A6146" s="41">
        <v>43722</v>
      </c>
      <c r="B6146" s="29">
        <v>256.8</v>
      </c>
      <c r="C6146" s="37">
        <f t="shared" si="196"/>
        <v>42.8</v>
      </c>
      <c r="D6146" s="37">
        <v>2.5350000000000001</v>
      </c>
      <c r="E6146" s="33">
        <f t="shared" si="197"/>
        <v>6.6179523374574431E-2</v>
      </c>
    </row>
    <row r="6147" spans="1:5" x14ac:dyDescent="0.25">
      <c r="A6147" s="41">
        <v>43722</v>
      </c>
      <c r="B6147" s="29">
        <v>256.8</v>
      </c>
      <c r="C6147" s="37">
        <f t="shared" ref="C6147:C6210" si="198">(B6147*100/600)</f>
        <v>42.8</v>
      </c>
      <c r="D6147" s="37">
        <v>2.5350000000000001</v>
      </c>
      <c r="E6147" s="33">
        <f t="shared" si="197"/>
        <v>0</v>
      </c>
    </row>
    <row r="6148" spans="1:5" x14ac:dyDescent="0.25">
      <c r="A6148" s="41">
        <v>43722</v>
      </c>
      <c r="B6148" s="29">
        <v>256.8</v>
      </c>
      <c r="C6148" s="37">
        <f t="shared" si="198"/>
        <v>42.8</v>
      </c>
      <c r="D6148" s="37">
        <v>2.5350000000000001</v>
      </c>
      <c r="E6148" s="33">
        <f t="shared" ref="E6148:E6211" si="199">(B6148-B6147)/B6147</f>
        <v>0</v>
      </c>
    </row>
    <row r="6149" spans="1:5" x14ac:dyDescent="0.25">
      <c r="A6149" s="41">
        <v>43722</v>
      </c>
      <c r="B6149" s="29">
        <v>256.8</v>
      </c>
      <c r="C6149" s="37">
        <f t="shared" si="198"/>
        <v>42.8</v>
      </c>
      <c r="D6149" s="37">
        <v>2.5350000000000001</v>
      </c>
      <c r="E6149" s="33">
        <f t="shared" si="199"/>
        <v>0</v>
      </c>
    </row>
    <row r="6150" spans="1:5" x14ac:dyDescent="0.25">
      <c r="A6150" s="41">
        <v>43722</v>
      </c>
      <c r="B6150" s="29">
        <v>256.8</v>
      </c>
      <c r="C6150" s="37">
        <f t="shared" si="198"/>
        <v>42.8</v>
      </c>
      <c r="D6150" s="37">
        <v>2.5350000000000001</v>
      </c>
      <c r="E6150" s="33">
        <f t="shared" si="199"/>
        <v>0</v>
      </c>
    </row>
    <row r="6151" spans="1:5" x14ac:dyDescent="0.25">
      <c r="A6151" s="41">
        <v>43722</v>
      </c>
      <c r="B6151" s="29">
        <v>256.8</v>
      </c>
      <c r="C6151" s="37">
        <f t="shared" si="198"/>
        <v>42.8</v>
      </c>
      <c r="D6151" s="37">
        <v>2.5350000000000001</v>
      </c>
      <c r="E6151" s="33">
        <f t="shared" si="199"/>
        <v>0</v>
      </c>
    </row>
    <row r="6152" spans="1:5" x14ac:dyDescent="0.25">
      <c r="A6152" s="41">
        <v>43722</v>
      </c>
      <c r="B6152" s="29">
        <v>256.8</v>
      </c>
      <c r="C6152" s="37">
        <f t="shared" si="198"/>
        <v>42.8</v>
      </c>
      <c r="D6152" s="37">
        <v>2.5350000000000001</v>
      </c>
      <c r="E6152" s="33">
        <f t="shared" si="199"/>
        <v>0</v>
      </c>
    </row>
    <row r="6153" spans="1:5" x14ac:dyDescent="0.25">
      <c r="A6153" s="41">
        <v>43722</v>
      </c>
      <c r="B6153" s="29">
        <v>256.8</v>
      </c>
      <c r="C6153" s="37">
        <f t="shared" si="198"/>
        <v>42.8</v>
      </c>
      <c r="D6153" s="37">
        <v>2.5350000000000001</v>
      </c>
      <c r="E6153" s="33">
        <f t="shared" si="199"/>
        <v>0</v>
      </c>
    </row>
    <row r="6154" spans="1:5" x14ac:dyDescent="0.25">
      <c r="A6154" s="41">
        <v>43722</v>
      </c>
      <c r="B6154" s="29">
        <v>256.8</v>
      </c>
      <c r="C6154" s="37">
        <f t="shared" si="198"/>
        <v>42.8</v>
      </c>
      <c r="D6154" s="37">
        <v>2.5350000000000001</v>
      </c>
      <c r="E6154" s="33">
        <f t="shared" si="199"/>
        <v>0</v>
      </c>
    </row>
    <row r="6155" spans="1:5" x14ac:dyDescent="0.25">
      <c r="A6155" s="41">
        <v>43722</v>
      </c>
      <c r="B6155" s="29">
        <v>256.8</v>
      </c>
      <c r="C6155" s="37">
        <f t="shared" si="198"/>
        <v>42.8</v>
      </c>
      <c r="D6155" s="37">
        <v>2.5350000000000001</v>
      </c>
      <c r="E6155" s="33">
        <f t="shared" si="199"/>
        <v>0</v>
      </c>
    </row>
    <row r="6156" spans="1:5" x14ac:dyDescent="0.25">
      <c r="A6156" s="41">
        <v>43722</v>
      </c>
      <c r="B6156" s="29">
        <v>256.8</v>
      </c>
      <c r="C6156" s="37">
        <f t="shared" si="198"/>
        <v>42.8</v>
      </c>
      <c r="D6156" s="37">
        <v>2.5350000000000001</v>
      </c>
      <c r="E6156" s="33">
        <f t="shared" si="199"/>
        <v>0</v>
      </c>
    </row>
    <row r="6157" spans="1:5" x14ac:dyDescent="0.25">
      <c r="A6157" s="41">
        <v>43722</v>
      </c>
      <c r="B6157" s="29">
        <v>256.8</v>
      </c>
      <c r="C6157" s="37">
        <f t="shared" si="198"/>
        <v>42.8</v>
      </c>
      <c r="D6157" s="37">
        <v>2.5350000000000001</v>
      </c>
      <c r="E6157" s="33">
        <f t="shared" si="199"/>
        <v>0</v>
      </c>
    </row>
    <row r="6158" spans="1:5" x14ac:dyDescent="0.25">
      <c r="A6158" s="41">
        <v>43722</v>
      </c>
      <c r="B6158" s="29">
        <v>256.8</v>
      </c>
      <c r="C6158" s="37">
        <f t="shared" si="198"/>
        <v>42.8</v>
      </c>
      <c r="D6158" s="37">
        <v>2.5350000000000001</v>
      </c>
      <c r="E6158" s="33">
        <f t="shared" si="199"/>
        <v>0</v>
      </c>
    </row>
    <row r="6159" spans="1:5" x14ac:dyDescent="0.25">
      <c r="A6159" s="41">
        <v>43722</v>
      </c>
      <c r="B6159" s="29">
        <v>256.8</v>
      </c>
      <c r="C6159" s="37">
        <f t="shared" si="198"/>
        <v>42.8</v>
      </c>
      <c r="D6159" s="37">
        <v>2.5350000000000001</v>
      </c>
      <c r="E6159" s="33">
        <f t="shared" si="199"/>
        <v>0</v>
      </c>
    </row>
    <row r="6160" spans="1:5" x14ac:dyDescent="0.25">
      <c r="A6160" s="41">
        <v>43722</v>
      </c>
      <c r="B6160" s="29">
        <v>256.8</v>
      </c>
      <c r="C6160" s="37">
        <f t="shared" si="198"/>
        <v>42.8</v>
      </c>
      <c r="D6160" s="37">
        <v>2.5350000000000001</v>
      </c>
      <c r="E6160" s="33">
        <f t="shared" si="199"/>
        <v>0</v>
      </c>
    </row>
    <row r="6161" spans="1:5" x14ac:dyDescent="0.25">
      <c r="A6161" s="41">
        <v>43722</v>
      </c>
      <c r="B6161" s="29">
        <v>256.8</v>
      </c>
      <c r="C6161" s="37">
        <f t="shared" si="198"/>
        <v>42.8</v>
      </c>
      <c r="D6161" s="37">
        <v>2.5350000000000001</v>
      </c>
      <c r="E6161" s="33">
        <f t="shared" si="199"/>
        <v>0</v>
      </c>
    </row>
    <row r="6162" spans="1:5" x14ac:dyDescent="0.25">
      <c r="A6162" s="41">
        <v>43722</v>
      </c>
      <c r="B6162" s="29">
        <v>256.8</v>
      </c>
      <c r="C6162" s="37">
        <f t="shared" si="198"/>
        <v>42.8</v>
      </c>
      <c r="D6162" s="37">
        <v>2.5350000000000001</v>
      </c>
      <c r="E6162" s="33">
        <f t="shared" si="199"/>
        <v>0</v>
      </c>
    </row>
    <row r="6163" spans="1:5" x14ac:dyDescent="0.25">
      <c r="A6163" s="41">
        <v>43722</v>
      </c>
      <c r="B6163" s="29">
        <v>265.81</v>
      </c>
      <c r="C6163" s="37">
        <f t="shared" si="198"/>
        <v>44.301666666666669</v>
      </c>
      <c r="D6163" s="37">
        <v>2.5350000000000001</v>
      </c>
      <c r="E6163" s="33">
        <f t="shared" si="199"/>
        <v>3.5085669781931429E-2</v>
      </c>
    </row>
    <row r="6164" spans="1:5" x14ac:dyDescent="0.25">
      <c r="A6164" s="41">
        <v>43722</v>
      </c>
      <c r="B6164" s="29">
        <v>265.81</v>
      </c>
      <c r="C6164" s="37">
        <f t="shared" si="198"/>
        <v>44.301666666666669</v>
      </c>
      <c r="D6164" s="37">
        <v>2.5350000000000001</v>
      </c>
      <c r="E6164" s="33">
        <f t="shared" si="199"/>
        <v>0</v>
      </c>
    </row>
    <row r="6165" spans="1:5" x14ac:dyDescent="0.25">
      <c r="A6165" s="41">
        <v>43722</v>
      </c>
      <c r="B6165" s="29">
        <v>265.81</v>
      </c>
      <c r="C6165" s="37">
        <f t="shared" si="198"/>
        <v>44.301666666666669</v>
      </c>
      <c r="D6165" s="37">
        <v>2.5350000000000001</v>
      </c>
      <c r="E6165" s="33">
        <f t="shared" si="199"/>
        <v>0</v>
      </c>
    </row>
    <row r="6166" spans="1:5" x14ac:dyDescent="0.25">
      <c r="A6166" s="41">
        <v>43722</v>
      </c>
      <c r="B6166" s="29">
        <v>265.81</v>
      </c>
      <c r="C6166" s="37">
        <f t="shared" si="198"/>
        <v>44.301666666666669</v>
      </c>
      <c r="D6166" s="37">
        <v>2.5350000000000001</v>
      </c>
      <c r="E6166" s="33">
        <f t="shared" si="199"/>
        <v>0</v>
      </c>
    </row>
    <row r="6167" spans="1:5" x14ac:dyDescent="0.25">
      <c r="A6167" s="41">
        <v>43722</v>
      </c>
      <c r="B6167" s="29">
        <v>256.8</v>
      </c>
      <c r="C6167" s="37">
        <f t="shared" si="198"/>
        <v>42.8</v>
      </c>
      <c r="D6167" s="37">
        <v>2.5350000000000001</v>
      </c>
      <c r="E6167" s="33">
        <f t="shared" si="199"/>
        <v>-3.3896392159813368E-2</v>
      </c>
    </row>
    <row r="6168" spans="1:5" x14ac:dyDescent="0.25">
      <c r="A6168" s="41">
        <v>43722</v>
      </c>
      <c r="B6168" s="29">
        <v>256.8</v>
      </c>
      <c r="C6168" s="37">
        <f t="shared" si="198"/>
        <v>42.8</v>
      </c>
      <c r="D6168" s="37">
        <v>2.5350000000000001</v>
      </c>
      <c r="E6168" s="33">
        <f t="shared" si="199"/>
        <v>0</v>
      </c>
    </row>
    <row r="6169" spans="1:5" x14ac:dyDescent="0.25">
      <c r="A6169" s="41">
        <v>43722</v>
      </c>
      <c r="B6169" s="29">
        <v>256.8</v>
      </c>
      <c r="C6169" s="37">
        <f t="shared" si="198"/>
        <v>42.8</v>
      </c>
      <c r="D6169" s="37">
        <v>2.5350000000000001</v>
      </c>
      <c r="E6169" s="33">
        <f t="shared" si="199"/>
        <v>0</v>
      </c>
    </row>
    <row r="6170" spans="1:5" x14ac:dyDescent="0.25">
      <c r="A6170" s="41">
        <v>43723</v>
      </c>
      <c r="B6170" s="29">
        <v>256.8</v>
      </c>
      <c r="C6170" s="37">
        <f t="shared" si="198"/>
        <v>42.8</v>
      </c>
      <c r="D6170" s="37">
        <v>2.4849999999999999</v>
      </c>
      <c r="E6170" s="33">
        <f t="shared" si="199"/>
        <v>0</v>
      </c>
    </row>
    <row r="6171" spans="1:5" x14ac:dyDescent="0.25">
      <c r="A6171" s="41">
        <v>43723</v>
      </c>
      <c r="B6171" s="29">
        <v>256.8</v>
      </c>
      <c r="C6171" s="37">
        <f t="shared" si="198"/>
        <v>42.8</v>
      </c>
      <c r="D6171" s="37">
        <v>2.4849999999999999</v>
      </c>
      <c r="E6171" s="33">
        <f t="shared" si="199"/>
        <v>0</v>
      </c>
    </row>
    <row r="6172" spans="1:5" x14ac:dyDescent="0.25">
      <c r="A6172" s="41">
        <v>43723</v>
      </c>
      <c r="B6172" s="29">
        <v>256.8</v>
      </c>
      <c r="C6172" s="37">
        <f t="shared" si="198"/>
        <v>42.8</v>
      </c>
      <c r="D6172" s="37">
        <v>2.4849999999999999</v>
      </c>
      <c r="E6172" s="33">
        <f t="shared" si="199"/>
        <v>0</v>
      </c>
    </row>
    <row r="6173" spans="1:5" x14ac:dyDescent="0.25">
      <c r="A6173" s="41">
        <v>43723</v>
      </c>
      <c r="B6173" s="29">
        <v>256.8</v>
      </c>
      <c r="C6173" s="37">
        <f t="shared" si="198"/>
        <v>42.8</v>
      </c>
      <c r="D6173" s="37">
        <v>2.4849999999999999</v>
      </c>
      <c r="E6173" s="33">
        <f t="shared" si="199"/>
        <v>0</v>
      </c>
    </row>
    <row r="6174" spans="1:5" x14ac:dyDescent="0.25">
      <c r="A6174" s="41">
        <v>43723</v>
      </c>
      <c r="B6174" s="29">
        <v>256.8</v>
      </c>
      <c r="C6174" s="37">
        <f t="shared" si="198"/>
        <v>42.8</v>
      </c>
      <c r="D6174" s="37">
        <v>2.4849999999999999</v>
      </c>
      <c r="E6174" s="33">
        <f t="shared" si="199"/>
        <v>0</v>
      </c>
    </row>
    <row r="6175" spans="1:5" x14ac:dyDescent="0.25">
      <c r="A6175" s="41">
        <v>43723</v>
      </c>
      <c r="B6175" s="29">
        <v>256.8</v>
      </c>
      <c r="C6175" s="37">
        <f t="shared" si="198"/>
        <v>42.8</v>
      </c>
      <c r="D6175" s="37">
        <v>2.4849999999999999</v>
      </c>
      <c r="E6175" s="33">
        <f t="shared" si="199"/>
        <v>0</v>
      </c>
    </row>
    <row r="6176" spans="1:5" x14ac:dyDescent="0.25">
      <c r="A6176" s="41">
        <v>43723</v>
      </c>
      <c r="B6176" s="29">
        <v>256.8</v>
      </c>
      <c r="C6176" s="37">
        <f t="shared" si="198"/>
        <v>42.8</v>
      </c>
      <c r="D6176" s="37">
        <v>2.4849999999999999</v>
      </c>
      <c r="E6176" s="33">
        <f t="shared" si="199"/>
        <v>0</v>
      </c>
    </row>
    <row r="6177" spans="1:5" x14ac:dyDescent="0.25">
      <c r="A6177" s="41">
        <v>43723</v>
      </c>
      <c r="B6177" s="29">
        <v>256.8</v>
      </c>
      <c r="C6177" s="37">
        <f t="shared" si="198"/>
        <v>42.8</v>
      </c>
      <c r="D6177" s="37">
        <v>2.4849999999999999</v>
      </c>
      <c r="E6177" s="33">
        <f t="shared" si="199"/>
        <v>0</v>
      </c>
    </row>
    <row r="6178" spans="1:5" x14ac:dyDescent="0.25">
      <c r="A6178" s="41">
        <v>43723</v>
      </c>
      <c r="B6178" s="29">
        <v>256.8</v>
      </c>
      <c r="C6178" s="37">
        <f t="shared" si="198"/>
        <v>42.8</v>
      </c>
      <c r="D6178" s="37">
        <v>2.4849999999999999</v>
      </c>
      <c r="E6178" s="33">
        <f t="shared" si="199"/>
        <v>0</v>
      </c>
    </row>
    <row r="6179" spans="1:5" x14ac:dyDescent="0.25">
      <c r="A6179" s="41">
        <v>43723</v>
      </c>
      <c r="B6179" s="29">
        <v>256.8</v>
      </c>
      <c r="C6179" s="37">
        <f t="shared" si="198"/>
        <v>42.8</v>
      </c>
      <c r="D6179" s="37">
        <v>2.4849999999999999</v>
      </c>
      <c r="E6179" s="33">
        <f t="shared" si="199"/>
        <v>0</v>
      </c>
    </row>
    <row r="6180" spans="1:5" x14ac:dyDescent="0.25">
      <c r="A6180" s="41">
        <v>43723</v>
      </c>
      <c r="B6180" s="29">
        <v>256.8</v>
      </c>
      <c r="C6180" s="37">
        <f t="shared" si="198"/>
        <v>42.8</v>
      </c>
      <c r="D6180" s="37">
        <v>2.4849999999999999</v>
      </c>
      <c r="E6180" s="33">
        <f t="shared" si="199"/>
        <v>0</v>
      </c>
    </row>
    <row r="6181" spans="1:5" x14ac:dyDescent="0.25">
      <c r="A6181" s="41">
        <v>43723</v>
      </c>
      <c r="B6181" s="29">
        <v>256.8</v>
      </c>
      <c r="C6181" s="37">
        <f t="shared" si="198"/>
        <v>42.8</v>
      </c>
      <c r="D6181" s="37">
        <v>2.4849999999999999</v>
      </c>
      <c r="E6181" s="33">
        <f t="shared" si="199"/>
        <v>0</v>
      </c>
    </row>
    <row r="6182" spans="1:5" x14ac:dyDescent="0.25">
      <c r="A6182" s="41">
        <v>43723</v>
      </c>
      <c r="B6182" s="29">
        <v>256.8</v>
      </c>
      <c r="C6182" s="37">
        <f t="shared" si="198"/>
        <v>42.8</v>
      </c>
      <c r="D6182" s="37">
        <v>2.4849999999999999</v>
      </c>
      <c r="E6182" s="33">
        <f t="shared" si="199"/>
        <v>0</v>
      </c>
    </row>
    <row r="6183" spans="1:5" x14ac:dyDescent="0.25">
      <c r="A6183" s="41">
        <v>43723</v>
      </c>
      <c r="B6183" s="29">
        <v>256.8</v>
      </c>
      <c r="C6183" s="37">
        <f t="shared" si="198"/>
        <v>42.8</v>
      </c>
      <c r="D6183" s="37">
        <v>2.4849999999999999</v>
      </c>
      <c r="E6183" s="33">
        <f t="shared" si="199"/>
        <v>0</v>
      </c>
    </row>
    <row r="6184" spans="1:5" x14ac:dyDescent="0.25">
      <c r="A6184" s="41">
        <v>43723</v>
      </c>
      <c r="B6184" s="29">
        <v>256.8</v>
      </c>
      <c r="C6184" s="37">
        <f t="shared" si="198"/>
        <v>42.8</v>
      </c>
      <c r="D6184" s="37">
        <v>2.4849999999999999</v>
      </c>
      <c r="E6184" s="33">
        <f t="shared" si="199"/>
        <v>0</v>
      </c>
    </row>
    <row r="6185" spans="1:5" x14ac:dyDescent="0.25">
      <c r="A6185" s="41">
        <v>43723</v>
      </c>
      <c r="B6185" s="29">
        <v>256.8</v>
      </c>
      <c r="C6185" s="37">
        <f t="shared" si="198"/>
        <v>42.8</v>
      </c>
      <c r="D6185" s="37">
        <v>2.4849999999999999</v>
      </c>
      <c r="E6185" s="33">
        <f t="shared" si="199"/>
        <v>0</v>
      </c>
    </row>
    <row r="6186" spans="1:5" x14ac:dyDescent="0.25">
      <c r="A6186" s="41">
        <v>43723</v>
      </c>
      <c r="B6186" s="29">
        <v>256.8</v>
      </c>
      <c r="C6186" s="37">
        <f t="shared" si="198"/>
        <v>42.8</v>
      </c>
      <c r="D6186" s="37">
        <v>2.4849999999999999</v>
      </c>
      <c r="E6186" s="33">
        <f t="shared" si="199"/>
        <v>0</v>
      </c>
    </row>
    <row r="6187" spans="1:5" x14ac:dyDescent="0.25">
      <c r="A6187" s="41">
        <v>43723</v>
      </c>
      <c r="B6187" s="29">
        <v>265.81</v>
      </c>
      <c r="C6187" s="37">
        <f t="shared" si="198"/>
        <v>44.301666666666669</v>
      </c>
      <c r="D6187" s="37">
        <v>2.4849999999999999</v>
      </c>
      <c r="E6187" s="33">
        <f t="shared" si="199"/>
        <v>3.5085669781931429E-2</v>
      </c>
    </row>
    <row r="6188" spans="1:5" x14ac:dyDescent="0.25">
      <c r="A6188" s="41">
        <v>43723</v>
      </c>
      <c r="B6188" s="29">
        <v>265.81</v>
      </c>
      <c r="C6188" s="37">
        <f t="shared" si="198"/>
        <v>44.301666666666669</v>
      </c>
      <c r="D6188" s="37">
        <v>2.4849999999999999</v>
      </c>
      <c r="E6188" s="33">
        <f t="shared" si="199"/>
        <v>0</v>
      </c>
    </row>
    <row r="6189" spans="1:5" x14ac:dyDescent="0.25">
      <c r="A6189" s="41">
        <v>43723</v>
      </c>
      <c r="B6189" s="29">
        <v>265.81</v>
      </c>
      <c r="C6189" s="37">
        <f t="shared" si="198"/>
        <v>44.301666666666669</v>
      </c>
      <c r="D6189" s="37">
        <v>2.4849999999999999</v>
      </c>
      <c r="E6189" s="33">
        <f t="shared" si="199"/>
        <v>0</v>
      </c>
    </row>
    <row r="6190" spans="1:5" x14ac:dyDescent="0.25">
      <c r="A6190" s="41">
        <v>43723</v>
      </c>
      <c r="B6190" s="29">
        <v>265.81</v>
      </c>
      <c r="C6190" s="37">
        <f t="shared" si="198"/>
        <v>44.301666666666669</v>
      </c>
      <c r="D6190" s="37">
        <v>2.4849999999999999</v>
      </c>
      <c r="E6190" s="33">
        <f t="shared" si="199"/>
        <v>0</v>
      </c>
    </row>
    <row r="6191" spans="1:5" x14ac:dyDescent="0.25">
      <c r="A6191" s="41">
        <v>43723</v>
      </c>
      <c r="B6191" s="29">
        <v>256.8</v>
      </c>
      <c r="C6191" s="37">
        <f t="shared" si="198"/>
        <v>42.8</v>
      </c>
      <c r="D6191" s="37">
        <v>2.4849999999999999</v>
      </c>
      <c r="E6191" s="33">
        <f t="shared" si="199"/>
        <v>-3.3896392159813368E-2</v>
      </c>
    </row>
    <row r="6192" spans="1:5" x14ac:dyDescent="0.25">
      <c r="A6192" s="41">
        <v>43723</v>
      </c>
      <c r="B6192" s="29">
        <v>256.8</v>
      </c>
      <c r="C6192" s="37">
        <f t="shared" si="198"/>
        <v>42.8</v>
      </c>
      <c r="D6192" s="37">
        <v>2.4849999999999999</v>
      </c>
      <c r="E6192" s="33">
        <f t="shared" si="199"/>
        <v>0</v>
      </c>
    </row>
    <row r="6193" spans="1:5" x14ac:dyDescent="0.25">
      <c r="A6193" s="41">
        <v>43723</v>
      </c>
      <c r="B6193" s="29">
        <v>256.8</v>
      </c>
      <c r="C6193" s="37">
        <f t="shared" si="198"/>
        <v>42.8</v>
      </c>
      <c r="D6193" s="37">
        <v>2.4849999999999999</v>
      </c>
      <c r="E6193" s="33">
        <f t="shared" si="199"/>
        <v>0</v>
      </c>
    </row>
    <row r="6194" spans="1:5" x14ac:dyDescent="0.25">
      <c r="A6194" s="41">
        <v>43724</v>
      </c>
      <c r="B6194" s="29">
        <v>246.19</v>
      </c>
      <c r="C6194" s="37">
        <f t="shared" si="198"/>
        <v>41.031666666666666</v>
      </c>
      <c r="D6194" s="37">
        <v>2.4649999999999999</v>
      </c>
      <c r="E6194" s="33">
        <f t="shared" si="199"/>
        <v>-4.1316199376947089E-2</v>
      </c>
    </row>
    <row r="6195" spans="1:5" x14ac:dyDescent="0.25">
      <c r="A6195" s="41">
        <v>43724</v>
      </c>
      <c r="B6195" s="29">
        <v>245.68</v>
      </c>
      <c r="C6195" s="37">
        <f t="shared" si="198"/>
        <v>40.946666666666665</v>
      </c>
      <c r="D6195" s="37">
        <v>2.4649999999999999</v>
      </c>
      <c r="E6195" s="33">
        <f t="shared" si="199"/>
        <v>-2.0715707380478121E-3</v>
      </c>
    </row>
    <row r="6196" spans="1:5" x14ac:dyDescent="0.25">
      <c r="A6196" s="41">
        <v>43724</v>
      </c>
      <c r="B6196" s="29">
        <v>245.64</v>
      </c>
      <c r="C6196" s="37">
        <f t="shared" si="198"/>
        <v>40.94</v>
      </c>
      <c r="D6196" s="37">
        <v>2.4649999999999999</v>
      </c>
      <c r="E6196" s="33">
        <f t="shared" si="199"/>
        <v>-1.628134158255473E-4</v>
      </c>
    </row>
    <row r="6197" spans="1:5" x14ac:dyDescent="0.25">
      <c r="A6197" s="41">
        <v>43724</v>
      </c>
      <c r="B6197" s="29">
        <v>245.6</v>
      </c>
      <c r="C6197" s="37">
        <f t="shared" si="198"/>
        <v>40.93333333333333</v>
      </c>
      <c r="D6197" s="37">
        <v>2.4649999999999999</v>
      </c>
      <c r="E6197" s="33">
        <f t="shared" si="199"/>
        <v>-1.6283992835039915E-4</v>
      </c>
    </row>
    <row r="6198" spans="1:5" x14ac:dyDescent="0.25">
      <c r="A6198" s="41">
        <v>43724</v>
      </c>
      <c r="B6198" s="29">
        <v>245.58</v>
      </c>
      <c r="C6198" s="37">
        <f t="shared" si="198"/>
        <v>40.93</v>
      </c>
      <c r="D6198" s="37">
        <v>2.4649999999999999</v>
      </c>
      <c r="E6198" s="33">
        <f t="shared" si="199"/>
        <v>-8.1433224755626265E-5</v>
      </c>
    </row>
    <row r="6199" spans="1:5" x14ac:dyDescent="0.25">
      <c r="A6199" s="41">
        <v>43724</v>
      </c>
      <c r="B6199" s="29">
        <v>247.94</v>
      </c>
      <c r="C6199" s="37">
        <f t="shared" si="198"/>
        <v>41.323333333333331</v>
      </c>
      <c r="D6199" s="37">
        <v>2.4649999999999999</v>
      </c>
      <c r="E6199" s="33">
        <f t="shared" si="199"/>
        <v>9.6099030865705072E-3</v>
      </c>
    </row>
    <row r="6200" spans="1:5" x14ac:dyDescent="0.25">
      <c r="A6200" s="41">
        <v>43724</v>
      </c>
      <c r="B6200" s="29">
        <v>252.42</v>
      </c>
      <c r="C6200" s="37">
        <f t="shared" si="198"/>
        <v>42.07</v>
      </c>
      <c r="D6200" s="37">
        <v>2.4649999999999999</v>
      </c>
      <c r="E6200" s="33">
        <f t="shared" si="199"/>
        <v>1.8068887634104986E-2</v>
      </c>
    </row>
    <row r="6201" spans="1:5" x14ac:dyDescent="0.25">
      <c r="A6201" s="41">
        <v>43724</v>
      </c>
      <c r="B6201" s="29">
        <v>255.94</v>
      </c>
      <c r="C6201" s="37">
        <f t="shared" si="198"/>
        <v>42.656666666666666</v>
      </c>
      <c r="D6201" s="37">
        <v>2.4649999999999999</v>
      </c>
      <c r="E6201" s="33">
        <f t="shared" si="199"/>
        <v>1.3945012281118812E-2</v>
      </c>
    </row>
    <row r="6202" spans="1:5" x14ac:dyDescent="0.25">
      <c r="A6202" s="41">
        <v>43724</v>
      </c>
      <c r="B6202" s="29">
        <v>261.23</v>
      </c>
      <c r="C6202" s="37">
        <f t="shared" si="198"/>
        <v>43.538333333333334</v>
      </c>
      <c r="D6202" s="37">
        <v>2.4649999999999999</v>
      </c>
      <c r="E6202" s="33">
        <f t="shared" si="199"/>
        <v>2.0668906775025475E-2</v>
      </c>
    </row>
    <row r="6203" spans="1:5" x14ac:dyDescent="0.25">
      <c r="A6203" s="41">
        <v>43724</v>
      </c>
      <c r="B6203" s="29">
        <v>263.33</v>
      </c>
      <c r="C6203" s="37">
        <f t="shared" si="198"/>
        <v>43.888333333333335</v>
      </c>
      <c r="D6203" s="37">
        <v>2.4649999999999999</v>
      </c>
      <c r="E6203" s="33">
        <f t="shared" si="199"/>
        <v>8.0388929296021355E-3</v>
      </c>
    </row>
    <row r="6204" spans="1:5" x14ac:dyDescent="0.25">
      <c r="A6204" s="41">
        <v>43724</v>
      </c>
      <c r="B6204" s="29">
        <v>265</v>
      </c>
      <c r="C6204" s="37">
        <f t="shared" si="198"/>
        <v>44.166666666666664</v>
      </c>
      <c r="D6204" s="37">
        <v>2.4649999999999999</v>
      </c>
      <c r="E6204" s="33">
        <f t="shared" si="199"/>
        <v>6.341852428511814E-3</v>
      </c>
    </row>
    <row r="6205" spans="1:5" x14ac:dyDescent="0.25">
      <c r="A6205" s="41">
        <v>43724</v>
      </c>
      <c r="B6205" s="29">
        <v>265.19</v>
      </c>
      <c r="C6205" s="37">
        <f t="shared" si="198"/>
        <v>44.198333333333331</v>
      </c>
      <c r="D6205" s="37">
        <v>2.4649999999999999</v>
      </c>
      <c r="E6205" s="33">
        <f t="shared" si="199"/>
        <v>7.1698113207546309E-4</v>
      </c>
    </row>
    <row r="6206" spans="1:5" x14ac:dyDescent="0.25">
      <c r="A6206" s="41">
        <v>43724</v>
      </c>
      <c r="B6206" s="29">
        <v>265.14999999999998</v>
      </c>
      <c r="C6206" s="37">
        <f t="shared" si="198"/>
        <v>44.191666666666663</v>
      </c>
      <c r="D6206" s="37">
        <v>2.4649999999999999</v>
      </c>
      <c r="E6206" s="33">
        <f t="shared" si="199"/>
        <v>-1.5083525019804844E-4</v>
      </c>
    </row>
    <row r="6207" spans="1:5" x14ac:dyDescent="0.25">
      <c r="A6207" s="41">
        <v>43724</v>
      </c>
      <c r="B6207" s="29">
        <v>265.86</v>
      </c>
      <c r="C6207" s="37">
        <f t="shared" si="198"/>
        <v>44.31</v>
      </c>
      <c r="D6207" s="37">
        <v>2.4649999999999999</v>
      </c>
      <c r="E6207" s="33">
        <f t="shared" si="199"/>
        <v>2.6777295870263492E-3</v>
      </c>
    </row>
    <row r="6208" spans="1:5" x14ac:dyDescent="0.25">
      <c r="A6208" s="41">
        <v>43724</v>
      </c>
      <c r="B6208" s="29">
        <v>266.14</v>
      </c>
      <c r="C6208" s="37">
        <f t="shared" si="198"/>
        <v>44.356666666666669</v>
      </c>
      <c r="D6208" s="37">
        <v>2.4649999999999999</v>
      </c>
      <c r="E6208" s="33">
        <f t="shared" si="199"/>
        <v>1.0531858873090074E-3</v>
      </c>
    </row>
    <row r="6209" spans="1:5" x14ac:dyDescent="0.25">
      <c r="A6209" s="41">
        <v>43724</v>
      </c>
      <c r="B6209" s="29">
        <v>266.02999999999997</v>
      </c>
      <c r="C6209" s="37">
        <f t="shared" si="198"/>
        <v>44.338333333333324</v>
      </c>
      <c r="D6209" s="37">
        <v>2.4649999999999999</v>
      </c>
      <c r="E6209" s="33">
        <f t="shared" si="199"/>
        <v>-4.1331629969194276E-4</v>
      </c>
    </row>
    <row r="6210" spans="1:5" x14ac:dyDescent="0.25">
      <c r="A6210" s="41">
        <v>43724</v>
      </c>
      <c r="B6210" s="29">
        <v>265.94</v>
      </c>
      <c r="C6210" s="37">
        <f t="shared" si="198"/>
        <v>44.323333333333331</v>
      </c>
      <c r="D6210" s="37">
        <v>2.4649999999999999</v>
      </c>
      <c r="E6210" s="33">
        <f t="shared" si="199"/>
        <v>-3.3830770965671164E-4</v>
      </c>
    </row>
    <row r="6211" spans="1:5" x14ac:dyDescent="0.25">
      <c r="A6211" s="41">
        <v>43724</v>
      </c>
      <c r="B6211" s="29">
        <v>265.81</v>
      </c>
      <c r="C6211" s="37">
        <f t="shared" ref="C6211:C6274" si="200">(B6211*100/600)</f>
        <v>44.301666666666669</v>
      </c>
      <c r="D6211" s="37">
        <v>2.4649999999999999</v>
      </c>
      <c r="E6211" s="33">
        <f t="shared" si="199"/>
        <v>-4.8883206738360328E-4</v>
      </c>
    </row>
    <row r="6212" spans="1:5" x14ac:dyDescent="0.25">
      <c r="A6212" s="41">
        <v>43724</v>
      </c>
      <c r="B6212" s="29">
        <v>266.19</v>
      </c>
      <c r="C6212" s="37">
        <f t="shared" si="200"/>
        <v>44.365000000000002</v>
      </c>
      <c r="D6212" s="37">
        <v>2.4649999999999999</v>
      </c>
      <c r="E6212" s="33">
        <f t="shared" ref="E6212:E6275" si="201">(B6212-B6211)/B6211</f>
        <v>1.4295925661186391E-3</v>
      </c>
    </row>
    <row r="6213" spans="1:5" x14ac:dyDescent="0.25">
      <c r="A6213" s="41">
        <v>43724</v>
      </c>
      <c r="B6213" s="29">
        <v>265.94</v>
      </c>
      <c r="C6213" s="37">
        <f t="shared" si="200"/>
        <v>44.323333333333331</v>
      </c>
      <c r="D6213" s="37">
        <v>2.4649999999999999</v>
      </c>
      <c r="E6213" s="33">
        <f t="shared" si="201"/>
        <v>-9.3917878207295537E-4</v>
      </c>
    </row>
    <row r="6214" spans="1:5" x14ac:dyDescent="0.25">
      <c r="A6214" s="41">
        <v>43724</v>
      </c>
      <c r="B6214" s="29">
        <v>265.68</v>
      </c>
      <c r="C6214" s="37">
        <f t="shared" si="200"/>
        <v>44.28</v>
      </c>
      <c r="D6214" s="37">
        <v>2.4649999999999999</v>
      </c>
      <c r="E6214" s="33">
        <f t="shared" si="201"/>
        <v>-9.7766413476720656E-4</v>
      </c>
    </row>
    <row r="6215" spans="1:5" x14ac:dyDescent="0.25">
      <c r="A6215" s="41">
        <v>43724</v>
      </c>
      <c r="B6215" s="29">
        <v>265.63</v>
      </c>
      <c r="C6215" s="37">
        <f t="shared" si="200"/>
        <v>44.271666666666668</v>
      </c>
      <c r="D6215" s="37">
        <v>2.4649999999999999</v>
      </c>
      <c r="E6215" s="33">
        <f t="shared" si="201"/>
        <v>-1.8819632640775132E-4</v>
      </c>
    </row>
    <row r="6216" spans="1:5" x14ac:dyDescent="0.25">
      <c r="A6216" s="41">
        <v>43724</v>
      </c>
      <c r="B6216" s="29">
        <v>265.35000000000002</v>
      </c>
      <c r="C6216" s="37">
        <f t="shared" si="200"/>
        <v>44.225000000000009</v>
      </c>
      <c r="D6216" s="37">
        <v>2.4649999999999999</v>
      </c>
      <c r="E6216" s="33">
        <f t="shared" si="201"/>
        <v>-1.0540978052176815E-3</v>
      </c>
    </row>
    <row r="6217" spans="1:5" x14ac:dyDescent="0.25">
      <c r="A6217" s="41">
        <v>43724</v>
      </c>
      <c r="B6217" s="29">
        <v>263.5</v>
      </c>
      <c r="C6217" s="37">
        <f t="shared" si="200"/>
        <v>43.916666666666664</v>
      </c>
      <c r="D6217" s="37">
        <v>2.4649999999999999</v>
      </c>
      <c r="E6217" s="33">
        <f t="shared" si="201"/>
        <v>-6.9719238741285947E-3</v>
      </c>
    </row>
    <row r="6218" spans="1:5" x14ac:dyDescent="0.25">
      <c r="A6218" s="41">
        <v>43725</v>
      </c>
      <c r="B6218" s="29">
        <v>256.89999999999998</v>
      </c>
      <c r="C6218" s="37">
        <f t="shared" si="200"/>
        <v>42.816666666666663</v>
      </c>
      <c r="D6218" s="37">
        <v>2.5089999999999999</v>
      </c>
      <c r="E6218" s="33">
        <f t="shared" si="201"/>
        <v>-2.5047438330170865E-2</v>
      </c>
    </row>
    <row r="6219" spans="1:5" x14ac:dyDescent="0.25">
      <c r="A6219" s="41">
        <v>43725</v>
      </c>
      <c r="B6219" s="29">
        <v>256.85000000000002</v>
      </c>
      <c r="C6219" s="37">
        <f t="shared" si="200"/>
        <v>42.808333333333337</v>
      </c>
      <c r="D6219" s="37">
        <v>2.5089999999999999</v>
      </c>
      <c r="E6219" s="33">
        <f t="shared" si="201"/>
        <v>-1.9462826002317838E-4</v>
      </c>
    </row>
    <row r="6220" spans="1:5" x14ac:dyDescent="0.25">
      <c r="A6220" s="41">
        <v>43725</v>
      </c>
      <c r="B6220" s="29">
        <v>256.81</v>
      </c>
      <c r="C6220" s="37">
        <f t="shared" si="200"/>
        <v>42.801666666666669</v>
      </c>
      <c r="D6220" s="37">
        <v>2.5089999999999999</v>
      </c>
      <c r="E6220" s="33">
        <f t="shared" si="201"/>
        <v>-1.5573291804563155E-4</v>
      </c>
    </row>
    <row r="6221" spans="1:5" x14ac:dyDescent="0.25">
      <c r="A6221" s="41">
        <v>43725</v>
      </c>
      <c r="B6221" s="29">
        <v>256.74</v>
      </c>
      <c r="C6221" s="37">
        <f t="shared" si="200"/>
        <v>42.79</v>
      </c>
      <c r="D6221" s="37">
        <v>2.5089999999999999</v>
      </c>
      <c r="E6221" s="33">
        <f t="shared" si="201"/>
        <v>-2.725750554884669E-4</v>
      </c>
    </row>
    <row r="6222" spans="1:5" x14ac:dyDescent="0.25">
      <c r="A6222" s="41">
        <v>43725</v>
      </c>
      <c r="B6222" s="29">
        <v>256.72000000000003</v>
      </c>
      <c r="C6222" s="37">
        <f t="shared" si="200"/>
        <v>42.786666666666676</v>
      </c>
      <c r="D6222" s="37">
        <v>2.5089999999999999</v>
      </c>
      <c r="E6222" s="33">
        <f t="shared" si="201"/>
        <v>-7.7899820830341232E-5</v>
      </c>
    </row>
    <row r="6223" spans="1:5" x14ac:dyDescent="0.25">
      <c r="A6223" s="41">
        <v>43725</v>
      </c>
      <c r="B6223" s="29">
        <v>256.91000000000003</v>
      </c>
      <c r="C6223" s="37">
        <f t="shared" si="200"/>
        <v>42.818333333333342</v>
      </c>
      <c r="D6223" s="37">
        <v>2.5089999999999999</v>
      </c>
      <c r="E6223" s="33">
        <f t="shared" si="201"/>
        <v>7.4010595200996307E-4</v>
      </c>
    </row>
    <row r="6224" spans="1:5" x14ac:dyDescent="0.25">
      <c r="A6224" s="41">
        <v>43725</v>
      </c>
      <c r="B6224" s="29">
        <v>257.89999999999998</v>
      </c>
      <c r="C6224" s="37">
        <f t="shared" si="200"/>
        <v>42.983333333333327</v>
      </c>
      <c r="D6224" s="37">
        <v>2.5089999999999999</v>
      </c>
      <c r="E6224" s="33">
        <f t="shared" si="201"/>
        <v>3.8534895488690677E-3</v>
      </c>
    </row>
    <row r="6225" spans="1:5" x14ac:dyDescent="0.25">
      <c r="A6225" s="41">
        <v>43725</v>
      </c>
      <c r="B6225" s="29">
        <v>260.91000000000003</v>
      </c>
      <c r="C6225" s="37">
        <f t="shared" si="200"/>
        <v>43.485000000000007</v>
      </c>
      <c r="D6225" s="37">
        <v>2.5089999999999999</v>
      </c>
      <c r="E6225" s="33">
        <f t="shared" si="201"/>
        <v>1.1671190383869903E-2</v>
      </c>
    </row>
    <row r="6226" spans="1:5" x14ac:dyDescent="0.25">
      <c r="A6226" s="41">
        <v>43725</v>
      </c>
      <c r="B6226" s="29">
        <v>264.98</v>
      </c>
      <c r="C6226" s="37">
        <f t="shared" si="200"/>
        <v>44.163333333333334</v>
      </c>
      <c r="D6226" s="37">
        <v>2.5089999999999999</v>
      </c>
      <c r="E6226" s="33">
        <f t="shared" si="201"/>
        <v>1.5599248783105257E-2</v>
      </c>
    </row>
    <row r="6227" spans="1:5" x14ac:dyDescent="0.25">
      <c r="A6227" s="41">
        <v>43725</v>
      </c>
      <c r="B6227" s="29">
        <v>267.27</v>
      </c>
      <c r="C6227" s="37">
        <f t="shared" si="200"/>
        <v>44.545000000000002</v>
      </c>
      <c r="D6227" s="37">
        <v>2.5089999999999999</v>
      </c>
      <c r="E6227" s="33">
        <f t="shared" si="201"/>
        <v>8.6421616725789255E-3</v>
      </c>
    </row>
    <row r="6228" spans="1:5" x14ac:dyDescent="0.25">
      <c r="A6228" s="41">
        <v>43725</v>
      </c>
      <c r="B6228" s="29">
        <v>270.2</v>
      </c>
      <c r="C6228" s="37">
        <f t="shared" si="200"/>
        <v>45.033333333333331</v>
      </c>
      <c r="D6228" s="37">
        <v>2.5089999999999999</v>
      </c>
      <c r="E6228" s="33">
        <f t="shared" si="201"/>
        <v>1.0962696898267696E-2</v>
      </c>
    </row>
    <row r="6229" spans="1:5" x14ac:dyDescent="0.25">
      <c r="A6229" s="41">
        <v>43725</v>
      </c>
      <c r="B6229" s="29">
        <v>270.64</v>
      </c>
      <c r="C6229" s="37">
        <f t="shared" si="200"/>
        <v>45.106666666666669</v>
      </c>
      <c r="D6229" s="37">
        <v>2.5089999999999999</v>
      </c>
      <c r="E6229" s="33">
        <f t="shared" si="201"/>
        <v>1.6284233900814129E-3</v>
      </c>
    </row>
    <row r="6230" spans="1:5" x14ac:dyDescent="0.25">
      <c r="A6230" s="41">
        <v>43725</v>
      </c>
      <c r="B6230" s="29">
        <v>269.86</v>
      </c>
      <c r="C6230" s="37">
        <f t="shared" si="200"/>
        <v>44.976666666666667</v>
      </c>
      <c r="D6230" s="37">
        <v>2.5089999999999999</v>
      </c>
      <c r="E6230" s="33">
        <f t="shared" si="201"/>
        <v>-2.8820573455511853E-3</v>
      </c>
    </row>
    <row r="6231" spans="1:5" x14ac:dyDescent="0.25">
      <c r="A6231" s="41">
        <v>43725</v>
      </c>
      <c r="B6231" s="29">
        <v>273.67</v>
      </c>
      <c r="C6231" s="37">
        <f t="shared" si="200"/>
        <v>45.611666666666665</v>
      </c>
      <c r="D6231" s="37">
        <v>2.5089999999999999</v>
      </c>
      <c r="E6231" s="33">
        <f t="shared" si="201"/>
        <v>1.41184317794412E-2</v>
      </c>
    </row>
    <row r="6232" spans="1:5" x14ac:dyDescent="0.25">
      <c r="A6232" s="41">
        <v>43725</v>
      </c>
      <c r="B6232" s="29">
        <v>276.33999999999997</v>
      </c>
      <c r="C6232" s="37">
        <f t="shared" si="200"/>
        <v>46.056666666666658</v>
      </c>
      <c r="D6232" s="37">
        <v>2.5089999999999999</v>
      </c>
      <c r="E6232" s="33">
        <f t="shared" si="201"/>
        <v>9.7562758066282711E-3</v>
      </c>
    </row>
    <row r="6233" spans="1:5" x14ac:dyDescent="0.25">
      <c r="A6233" s="41">
        <v>43725</v>
      </c>
      <c r="B6233" s="29">
        <v>276.26</v>
      </c>
      <c r="C6233" s="37">
        <f t="shared" si="200"/>
        <v>46.043333333333337</v>
      </c>
      <c r="D6233" s="37">
        <v>2.5089999999999999</v>
      </c>
      <c r="E6233" s="33">
        <f t="shared" si="201"/>
        <v>-2.8949844394580624E-4</v>
      </c>
    </row>
    <row r="6234" spans="1:5" x14ac:dyDescent="0.25">
      <c r="A6234" s="41">
        <v>43725</v>
      </c>
      <c r="B6234" s="29">
        <v>275.35000000000002</v>
      </c>
      <c r="C6234" s="37">
        <f t="shared" si="200"/>
        <v>45.891666666666673</v>
      </c>
      <c r="D6234" s="37">
        <v>2.5089999999999999</v>
      </c>
      <c r="E6234" s="33">
        <f t="shared" si="201"/>
        <v>-3.2939984072973584E-3</v>
      </c>
    </row>
    <row r="6235" spans="1:5" x14ac:dyDescent="0.25">
      <c r="A6235" s="41">
        <v>43725</v>
      </c>
      <c r="B6235" s="29">
        <v>270.08</v>
      </c>
      <c r="C6235" s="37">
        <f t="shared" si="200"/>
        <v>45.013333333333335</v>
      </c>
      <c r="D6235" s="37">
        <v>2.5089999999999999</v>
      </c>
      <c r="E6235" s="33">
        <f t="shared" si="201"/>
        <v>-1.9139277283457556E-2</v>
      </c>
    </row>
    <row r="6236" spans="1:5" x14ac:dyDescent="0.25">
      <c r="A6236" s="41">
        <v>43725</v>
      </c>
      <c r="B6236" s="29">
        <v>271.58</v>
      </c>
      <c r="C6236" s="37">
        <f t="shared" si="200"/>
        <v>45.263333333333335</v>
      </c>
      <c r="D6236" s="37">
        <v>2.5089999999999999</v>
      </c>
      <c r="E6236" s="33">
        <f t="shared" si="201"/>
        <v>5.5539099526066352E-3</v>
      </c>
    </row>
    <row r="6237" spans="1:5" x14ac:dyDescent="0.25">
      <c r="A6237" s="41">
        <v>43725</v>
      </c>
      <c r="B6237" s="29">
        <v>271.16000000000003</v>
      </c>
      <c r="C6237" s="37">
        <f t="shared" si="200"/>
        <v>45.193333333333342</v>
      </c>
      <c r="D6237" s="37">
        <v>2.5089999999999999</v>
      </c>
      <c r="E6237" s="33">
        <f t="shared" si="201"/>
        <v>-1.5465056336989437E-3</v>
      </c>
    </row>
    <row r="6238" spans="1:5" x14ac:dyDescent="0.25">
      <c r="A6238" s="41">
        <v>43725</v>
      </c>
      <c r="B6238" s="29">
        <v>269.83</v>
      </c>
      <c r="C6238" s="37">
        <f t="shared" si="200"/>
        <v>44.971666666666664</v>
      </c>
      <c r="D6238" s="37">
        <v>2.5089999999999999</v>
      </c>
      <c r="E6238" s="33">
        <f t="shared" si="201"/>
        <v>-4.9048532231894112E-3</v>
      </c>
    </row>
    <row r="6239" spans="1:5" x14ac:dyDescent="0.25">
      <c r="A6239" s="41">
        <v>43725</v>
      </c>
      <c r="B6239" s="29">
        <v>269.61</v>
      </c>
      <c r="C6239" s="37">
        <f t="shared" si="200"/>
        <v>44.935000000000002</v>
      </c>
      <c r="D6239" s="37">
        <v>2.5089999999999999</v>
      </c>
      <c r="E6239" s="33">
        <f t="shared" si="201"/>
        <v>-8.1532816958814977E-4</v>
      </c>
    </row>
    <row r="6240" spans="1:5" x14ac:dyDescent="0.25">
      <c r="A6240" s="41">
        <v>43725</v>
      </c>
      <c r="B6240" s="29">
        <v>266.25</v>
      </c>
      <c r="C6240" s="37">
        <f t="shared" si="200"/>
        <v>44.375</v>
      </c>
      <c r="D6240" s="37">
        <v>2.5089999999999999</v>
      </c>
      <c r="E6240" s="33">
        <f t="shared" si="201"/>
        <v>-1.2462445754979465E-2</v>
      </c>
    </row>
    <row r="6241" spans="1:5" x14ac:dyDescent="0.25">
      <c r="A6241" s="41">
        <v>43725</v>
      </c>
      <c r="B6241" s="29">
        <v>264.55</v>
      </c>
      <c r="C6241" s="37">
        <f t="shared" si="200"/>
        <v>44.091666666666669</v>
      </c>
      <c r="D6241" s="37">
        <v>2.5089999999999999</v>
      </c>
      <c r="E6241" s="33">
        <f t="shared" si="201"/>
        <v>-6.3849765258215535E-3</v>
      </c>
    </row>
    <row r="6242" spans="1:5" x14ac:dyDescent="0.25">
      <c r="A6242" s="41">
        <v>43726</v>
      </c>
      <c r="B6242" s="29">
        <v>259.94</v>
      </c>
      <c r="C6242" s="37">
        <f t="shared" si="200"/>
        <v>43.323333333333331</v>
      </c>
      <c r="D6242" s="37">
        <v>2.5950000000000002</v>
      </c>
      <c r="E6242" s="33">
        <f t="shared" si="201"/>
        <v>-1.7425817425817478E-2</v>
      </c>
    </row>
    <row r="6243" spans="1:5" x14ac:dyDescent="0.25">
      <c r="A6243" s="41">
        <v>43726</v>
      </c>
      <c r="B6243" s="29">
        <v>258.32</v>
      </c>
      <c r="C6243" s="37">
        <f t="shared" si="200"/>
        <v>43.053333333333335</v>
      </c>
      <c r="D6243" s="37">
        <v>2.5950000000000002</v>
      </c>
      <c r="E6243" s="33">
        <f t="shared" si="201"/>
        <v>-6.2322074324844372E-3</v>
      </c>
    </row>
    <row r="6244" spans="1:5" x14ac:dyDescent="0.25">
      <c r="A6244" s="41">
        <v>43726</v>
      </c>
      <c r="B6244" s="29">
        <v>257.02</v>
      </c>
      <c r="C6244" s="37">
        <f t="shared" si="200"/>
        <v>42.836666666666666</v>
      </c>
      <c r="D6244" s="37">
        <v>2.5950000000000002</v>
      </c>
      <c r="E6244" s="33">
        <f t="shared" si="201"/>
        <v>-5.0325178073707469E-3</v>
      </c>
    </row>
    <row r="6245" spans="1:5" x14ac:dyDescent="0.25">
      <c r="A6245" s="41">
        <v>43726</v>
      </c>
      <c r="B6245" s="29">
        <v>256.77</v>
      </c>
      <c r="C6245" s="37">
        <f t="shared" si="200"/>
        <v>42.795000000000002</v>
      </c>
      <c r="D6245" s="37">
        <v>2.5950000000000002</v>
      </c>
      <c r="E6245" s="33">
        <f t="shared" si="201"/>
        <v>-9.7268695043187313E-4</v>
      </c>
    </row>
    <row r="6246" spans="1:5" x14ac:dyDescent="0.25">
      <c r="A6246" s="41">
        <v>43726</v>
      </c>
      <c r="B6246" s="29">
        <v>256.70999999999998</v>
      </c>
      <c r="C6246" s="37">
        <f t="shared" si="200"/>
        <v>42.784999999999997</v>
      </c>
      <c r="D6246" s="37">
        <v>2.5950000000000002</v>
      </c>
      <c r="E6246" s="33">
        <f t="shared" si="201"/>
        <v>-2.3367215796238764E-4</v>
      </c>
    </row>
    <row r="6247" spans="1:5" x14ac:dyDescent="0.25">
      <c r="A6247" s="41">
        <v>43726</v>
      </c>
      <c r="B6247" s="29">
        <v>257.52999999999997</v>
      </c>
      <c r="C6247" s="37">
        <f t="shared" si="200"/>
        <v>42.92166666666666</v>
      </c>
      <c r="D6247" s="37">
        <v>2.5950000000000002</v>
      </c>
      <c r="E6247" s="33">
        <f t="shared" si="201"/>
        <v>3.1942659031591806E-3</v>
      </c>
    </row>
    <row r="6248" spans="1:5" x14ac:dyDescent="0.25">
      <c r="A6248" s="41">
        <v>43726</v>
      </c>
      <c r="B6248" s="29">
        <v>258.7</v>
      </c>
      <c r="C6248" s="37">
        <f t="shared" si="200"/>
        <v>43.116666666666667</v>
      </c>
      <c r="D6248" s="37">
        <v>2.5950000000000002</v>
      </c>
      <c r="E6248" s="33">
        <f t="shared" si="201"/>
        <v>4.5431600201918847E-3</v>
      </c>
    </row>
    <row r="6249" spans="1:5" x14ac:dyDescent="0.25">
      <c r="A6249" s="41">
        <v>43726</v>
      </c>
      <c r="B6249" s="29">
        <v>264.95999999999998</v>
      </c>
      <c r="C6249" s="37">
        <f t="shared" si="200"/>
        <v>44.16</v>
      </c>
      <c r="D6249" s="37">
        <v>2.5950000000000002</v>
      </c>
      <c r="E6249" s="33">
        <f t="shared" si="201"/>
        <v>2.4197912640123661E-2</v>
      </c>
    </row>
    <row r="6250" spans="1:5" x14ac:dyDescent="0.25">
      <c r="A6250" s="41">
        <v>43726</v>
      </c>
      <c r="B6250" s="29">
        <v>266.86</v>
      </c>
      <c r="C6250" s="37">
        <f t="shared" si="200"/>
        <v>44.476666666666667</v>
      </c>
      <c r="D6250" s="37">
        <v>2.5950000000000002</v>
      </c>
      <c r="E6250" s="33">
        <f t="shared" si="201"/>
        <v>7.1708937198068923E-3</v>
      </c>
    </row>
    <row r="6251" spans="1:5" x14ac:dyDescent="0.25">
      <c r="A6251" s="41">
        <v>43726</v>
      </c>
      <c r="B6251" s="29">
        <v>272.08</v>
      </c>
      <c r="C6251" s="37">
        <f t="shared" si="200"/>
        <v>45.346666666666664</v>
      </c>
      <c r="D6251" s="37">
        <v>2.5950000000000002</v>
      </c>
      <c r="E6251" s="33">
        <f t="shared" si="201"/>
        <v>1.9560818406655064E-2</v>
      </c>
    </row>
    <row r="6252" spans="1:5" x14ac:dyDescent="0.25">
      <c r="A6252" s="41">
        <v>43726</v>
      </c>
      <c r="B6252" s="29">
        <v>278.56</v>
      </c>
      <c r="C6252" s="37">
        <f t="shared" si="200"/>
        <v>46.426666666666669</v>
      </c>
      <c r="D6252" s="37">
        <v>2.5950000000000002</v>
      </c>
      <c r="E6252" s="33">
        <f t="shared" si="201"/>
        <v>2.3816524551602537E-2</v>
      </c>
    </row>
    <row r="6253" spans="1:5" x14ac:dyDescent="0.25">
      <c r="A6253" s="41">
        <v>43726</v>
      </c>
      <c r="B6253" s="29">
        <v>280.10000000000002</v>
      </c>
      <c r="C6253" s="37">
        <f t="shared" si="200"/>
        <v>46.683333333333337</v>
      </c>
      <c r="D6253" s="37">
        <v>2.5950000000000002</v>
      </c>
      <c r="E6253" s="33">
        <f t="shared" si="201"/>
        <v>5.528431935669229E-3</v>
      </c>
    </row>
    <row r="6254" spans="1:5" x14ac:dyDescent="0.25">
      <c r="A6254" s="41">
        <v>43726</v>
      </c>
      <c r="B6254" s="29">
        <v>276.16000000000003</v>
      </c>
      <c r="C6254" s="37">
        <f t="shared" si="200"/>
        <v>46.026666666666671</v>
      </c>
      <c r="D6254" s="37">
        <v>2.5950000000000002</v>
      </c>
      <c r="E6254" s="33">
        <f t="shared" si="201"/>
        <v>-1.4066404855408773E-2</v>
      </c>
    </row>
    <row r="6255" spans="1:5" x14ac:dyDescent="0.25">
      <c r="A6255" s="41">
        <v>43726</v>
      </c>
      <c r="B6255" s="29">
        <v>280.16000000000003</v>
      </c>
      <c r="C6255" s="37">
        <f t="shared" si="200"/>
        <v>46.693333333333342</v>
      </c>
      <c r="D6255" s="37">
        <v>2.5950000000000002</v>
      </c>
      <c r="E6255" s="33">
        <f t="shared" si="201"/>
        <v>1.4484356894553881E-2</v>
      </c>
    </row>
    <row r="6256" spans="1:5" x14ac:dyDescent="0.25">
      <c r="A6256" s="41">
        <v>43726</v>
      </c>
      <c r="B6256" s="29">
        <v>281.79000000000002</v>
      </c>
      <c r="C6256" s="37">
        <f t="shared" si="200"/>
        <v>46.965000000000003</v>
      </c>
      <c r="D6256" s="37">
        <v>2.5950000000000002</v>
      </c>
      <c r="E6256" s="33">
        <f t="shared" si="201"/>
        <v>5.8181039406053512E-3</v>
      </c>
    </row>
    <row r="6257" spans="1:5" x14ac:dyDescent="0.25">
      <c r="A6257" s="41">
        <v>43726</v>
      </c>
      <c r="B6257" s="29">
        <v>281.70999999999998</v>
      </c>
      <c r="C6257" s="37">
        <f t="shared" si="200"/>
        <v>46.951666666666661</v>
      </c>
      <c r="D6257" s="37">
        <v>2.5950000000000002</v>
      </c>
      <c r="E6257" s="33">
        <f t="shared" si="201"/>
        <v>-2.8389935767784849E-4</v>
      </c>
    </row>
    <row r="6258" spans="1:5" x14ac:dyDescent="0.25">
      <c r="A6258" s="41">
        <v>43726</v>
      </c>
      <c r="B6258" s="29">
        <v>281.63</v>
      </c>
      <c r="C6258" s="37">
        <f t="shared" si="200"/>
        <v>46.938333333333333</v>
      </c>
      <c r="D6258" s="37">
        <v>2.5950000000000002</v>
      </c>
      <c r="E6258" s="33">
        <f t="shared" si="201"/>
        <v>-2.8397997941139499E-4</v>
      </c>
    </row>
    <row r="6259" spans="1:5" x14ac:dyDescent="0.25">
      <c r="A6259" s="41">
        <v>43726</v>
      </c>
      <c r="B6259" s="29">
        <v>274.86</v>
      </c>
      <c r="C6259" s="37">
        <f t="shared" si="200"/>
        <v>45.81</v>
      </c>
      <c r="D6259" s="37">
        <v>2.5950000000000002</v>
      </c>
      <c r="E6259" s="33">
        <f t="shared" si="201"/>
        <v>-2.403863224798488E-2</v>
      </c>
    </row>
    <row r="6260" spans="1:5" x14ac:dyDescent="0.25">
      <c r="A6260" s="41">
        <v>43726</v>
      </c>
      <c r="B6260" s="29">
        <v>277.69</v>
      </c>
      <c r="C6260" s="37">
        <f t="shared" si="200"/>
        <v>46.281666666666666</v>
      </c>
      <c r="D6260" s="37">
        <v>2.5950000000000002</v>
      </c>
      <c r="E6260" s="33">
        <f t="shared" si="201"/>
        <v>1.029615076766348E-2</v>
      </c>
    </row>
    <row r="6261" spans="1:5" x14ac:dyDescent="0.25">
      <c r="A6261" s="41">
        <v>43726</v>
      </c>
      <c r="B6261" s="29">
        <v>276.83</v>
      </c>
      <c r="C6261" s="37">
        <f t="shared" si="200"/>
        <v>46.138333333333335</v>
      </c>
      <c r="D6261" s="37">
        <v>2.5950000000000002</v>
      </c>
      <c r="E6261" s="33">
        <f t="shared" si="201"/>
        <v>-3.0969786452519489E-3</v>
      </c>
    </row>
    <row r="6262" spans="1:5" x14ac:dyDescent="0.25">
      <c r="A6262" s="41">
        <v>43726</v>
      </c>
      <c r="B6262" s="29">
        <v>273.52</v>
      </c>
      <c r="C6262" s="37">
        <f t="shared" si="200"/>
        <v>45.586666666666666</v>
      </c>
      <c r="D6262" s="37">
        <v>2.5950000000000002</v>
      </c>
      <c r="E6262" s="33">
        <f t="shared" si="201"/>
        <v>-1.195679658996497E-2</v>
      </c>
    </row>
    <row r="6263" spans="1:5" x14ac:dyDescent="0.25">
      <c r="A6263" s="41">
        <v>43726</v>
      </c>
      <c r="B6263" s="29">
        <v>272.94</v>
      </c>
      <c r="C6263" s="37">
        <f t="shared" si="200"/>
        <v>45.49</v>
      </c>
      <c r="D6263" s="37">
        <v>2.5950000000000002</v>
      </c>
      <c r="E6263" s="33">
        <f t="shared" si="201"/>
        <v>-2.1205030710733552E-3</v>
      </c>
    </row>
    <row r="6264" spans="1:5" x14ac:dyDescent="0.25">
      <c r="A6264" s="41">
        <v>43726</v>
      </c>
      <c r="B6264" s="29">
        <v>268.39999999999998</v>
      </c>
      <c r="C6264" s="37">
        <f t="shared" si="200"/>
        <v>44.733333333333327</v>
      </c>
      <c r="D6264" s="37">
        <v>2.5950000000000002</v>
      </c>
      <c r="E6264" s="33">
        <f t="shared" si="201"/>
        <v>-1.6633692386605191E-2</v>
      </c>
    </row>
    <row r="6265" spans="1:5" x14ac:dyDescent="0.25">
      <c r="A6265" s="41">
        <v>43726</v>
      </c>
      <c r="B6265" s="29">
        <v>265.5</v>
      </c>
      <c r="C6265" s="37">
        <f t="shared" si="200"/>
        <v>44.25</v>
      </c>
      <c r="D6265" s="37">
        <v>2.5950000000000002</v>
      </c>
      <c r="E6265" s="33">
        <f t="shared" si="201"/>
        <v>-1.0804769001490229E-2</v>
      </c>
    </row>
    <row r="6266" spans="1:5" x14ac:dyDescent="0.25">
      <c r="A6266" s="41">
        <v>43727</v>
      </c>
      <c r="B6266" s="29">
        <v>259.01</v>
      </c>
      <c r="C6266" s="37">
        <f t="shared" si="200"/>
        <v>43.168333333333337</v>
      </c>
      <c r="D6266" s="37">
        <v>2.8</v>
      </c>
      <c r="E6266" s="33">
        <f t="shared" si="201"/>
        <v>-2.444444444444448E-2</v>
      </c>
    </row>
    <row r="6267" spans="1:5" x14ac:dyDescent="0.25">
      <c r="A6267" s="41">
        <v>43727</v>
      </c>
      <c r="B6267" s="29">
        <v>257.48</v>
      </c>
      <c r="C6267" s="37">
        <f t="shared" si="200"/>
        <v>42.913333333333334</v>
      </c>
      <c r="D6267" s="37">
        <v>2.8</v>
      </c>
      <c r="E6267" s="33">
        <f t="shared" si="201"/>
        <v>-5.9071078336742702E-3</v>
      </c>
    </row>
    <row r="6268" spans="1:5" x14ac:dyDescent="0.25">
      <c r="A6268" s="41">
        <v>43727</v>
      </c>
      <c r="B6268" s="29">
        <v>256.74</v>
      </c>
      <c r="C6268" s="37">
        <f t="shared" si="200"/>
        <v>42.79</v>
      </c>
      <c r="D6268" s="37">
        <v>2.8</v>
      </c>
      <c r="E6268" s="33">
        <f t="shared" si="201"/>
        <v>-2.8740096318160984E-3</v>
      </c>
    </row>
    <row r="6269" spans="1:5" x14ac:dyDescent="0.25">
      <c r="A6269" s="41">
        <v>43727</v>
      </c>
      <c r="B6269" s="29">
        <v>255.26</v>
      </c>
      <c r="C6269" s="37">
        <f t="shared" si="200"/>
        <v>42.543333333333337</v>
      </c>
      <c r="D6269" s="37">
        <v>2.8</v>
      </c>
      <c r="E6269" s="33">
        <f t="shared" si="201"/>
        <v>-5.7645867414505654E-3</v>
      </c>
    </row>
    <row r="6270" spans="1:5" x14ac:dyDescent="0.25">
      <c r="A6270" s="41">
        <v>43727</v>
      </c>
      <c r="B6270" s="29">
        <v>255.22</v>
      </c>
      <c r="C6270" s="37">
        <f t="shared" si="200"/>
        <v>42.536666666666669</v>
      </c>
      <c r="D6270" s="37">
        <v>2.8</v>
      </c>
      <c r="E6270" s="33">
        <f t="shared" si="201"/>
        <v>-1.5670296952124125E-4</v>
      </c>
    </row>
    <row r="6271" spans="1:5" x14ac:dyDescent="0.25">
      <c r="A6271" s="41">
        <v>43727</v>
      </c>
      <c r="B6271" s="29">
        <v>256.98</v>
      </c>
      <c r="C6271" s="37">
        <f t="shared" si="200"/>
        <v>42.83</v>
      </c>
      <c r="D6271" s="37">
        <v>2.8</v>
      </c>
      <c r="E6271" s="33">
        <f t="shared" si="201"/>
        <v>6.8960112843821772E-3</v>
      </c>
    </row>
    <row r="6272" spans="1:5" x14ac:dyDescent="0.25">
      <c r="A6272" s="41">
        <v>43727</v>
      </c>
      <c r="B6272" s="29">
        <v>258.44</v>
      </c>
      <c r="C6272" s="37">
        <f t="shared" si="200"/>
        <v>43.073333333333331</v>
      </c>
      <c r="D6272" s="37">
        <v>2.8</v>
      </c>
      <c r="E6272" s="33">
        <f t="shared" si="201"/>
        <v>5.6813759825666563E-3</v>
      </c>
    </row>
    <row r="6273" spans="1:5" x14ac:dyDescent="0.25">
      <c r="A6273" s="41">
        <v>43727</v>
      </c>
      <c r="B6273" s="29">
        <v>261.61</v>
      </c>
      <c r="C6273" s="37">
        <f t="shared" si="200"/>
        <v>43.601666666666667</v>
      </c>
      <c r="D6273" s="37">
        <v>2.8</v>
      </c>
      <c r="E6273" s="33">
        <f t="shared" si="201"/>
        <v>1.2265903110973595E-2</v>
      </c>
    </row>
    <row r="6274" spans="1:5" x14ac:dyDescent="0.25">
      <c r="A6274" s="41">
        <v>43727</v>
      </c>
      <c r="B6274" s="29">
        <v>265.52</v>
      </c>
      <c r="C6274" s="37">
        <f t="shared" si="200"/>
        <v>44.25333333333333</v>
      </c>
      <c r="D6274" s="37">
        <v>2.8</v>
      </c>
      <c r="E6274" s="33">
        <f t="shared" si="201"/>
        <v>1.4945911853522297E-2</v>
      </c>
    </row>
    <row r="6275" spans="1:5" x14ac:dyDescent="0.25">
      <c r="A6275" s="41">
        <v>43727</v>
      </c>
      <c r="B6275" s="29">
        <v>267.76</v>
      </c>
      <c r="C6275" s="37">
        <f t="shared" ref="C6275:C6338" si="202">(B6275*100/600)</f>
        <v>44.626666666666665</v>
      </c>
      <c r="D6275" s="37">
        <v>2.8</v>
      </c>
      <c r="E6275" s="33">
        <f t="shared" si="201"/>
        <v>8.4362759867430293E-3</v>
      </c>
    </row>
    <row r="6276" spans="1:5" x14ac:dyDescent="0.25">
      <c r="A6276" s="41">
        <v>43727</v>
      </c>
      <c r="B6276" s="29">
        <v>273.91000000000003</v>
      </c>
      <c r="C6276" s="37">
        <f t="shared" si="202"/>
        <v>45.651666666666671</v>
      </c>
      <c r="D6276" s="37">
        <v>2.8</v>
      </c>
      <c r="E6276" s="33">
        <f t="shared" ref="E6276:E6339" si="203">(B6276-B6275)/B6275</f>
        <v>2.2968329847624865E-2</v>
      </c>
    </row>
    <row r="6277" spans="1:5" x14ac:dyDescent="0.25">
      <c r="A6277" s="41">
        <v>43727</v>
      </c>
      <c r="B6277" s="29">
        <v>275.66000000000003</v>
      </c>
      <c r="C6277" s="37">
        <f t="shared" si="202"/>
        <v>45.943333333333342</v>
      </c>
      <c r="D6277" s="37">
        <v>2.8</v>
      </c>
      <c r="E6277" s="33">
        <f t="shared" si="203"/>
        <v>6.3889598773319697E-3</v>
      </c>
    </row>
    <row r="6278" spans="1:5" x14ac:dyDescent="0.25">
      <c r="A6278" s="41">
        <v>43727</v>
      </c>
      <c r="B6278" s="29">
        <v>272.01</v>
      </c>
      <c r="C6278" s="37">
        <f t="shared" si="202"/>
        <v>45.335000000000001</v>
      </c>
      <c r="D6278" s="37">
        <v>2.8</v>
      </c>
      <c r="E6278" s="33">
        <f t="shared" si="203"/>
        <v>-1.3240948995139062E-2</v>
      </c>
    </row>
    <row r="6279" spans="1:5" x14ac:dyDescent="0.25">
      <c r="A6279" s="41">
        <v>43727</v>
      </c>
      <c r="B6279" s="29">
        <v>276.18</v>
      </c>
      <c r="C6279" s="37">
        <f t="shared" si="202"/>
        <v>46.03</v>
      </c>
      <c r="D6279" s="37">
        <v>2.8</v>
      </c>
      <c r="E6279" s="33">
        <f t="shared" si="203"/>
        <v>1.533031873828174E-2</v>
      </c>
    </row>
    <row r="6280" spans="1:5" x14ac:dyDescent="0.25">
      <c r="A6280" s="41">
        <v>43727</v>
      </c>
      <c r="B6280" s="29">
        <v>278.39999999999998</v>
      </c>
      <c r="C6280" s="37">
        <f t="shared" si="202"/>
        <v>46.399999999999991</v>
      </c>
      <c r="D6280" s="37">
        <v>2.8</v>
      </c>
      <c r="E6280" s="33">
        <f t="shared" si="203"/>
        <v>8.0382359330870099E-3</v>
      </c>
    </row>
    <row r="6281" spans="1:5" x14ac:dyDescent="0.25">
      <c r="A6281" s="41">
        <v>43727</v>
      </c>
      <c r="B6281" s="29">
        <v>280.33</v>
      </c>
      <c r="C6281" s="37">
        <f t="shared" si="202"/>
        <v>46.721666666666664</v>
      </c>
      <c r="D6281" s="37">
        <v>2.8</v>
      </c>
      <c r="E6281" s="33">
        <f t="shared" si="203"/>
        <v>6.9324712643678409E-3</v>
      </c>
    </row>
    <row r="6282" spans="1:5" x14ac:dyDescent="0.25">
      <c r="A6282" s="41">
        <v>43727</v>
      </c>
      <c r="B6282" s="29">
        <v>278.64</v>
      </c>
      <c r="C6282" s="37">
        <f t="shared" si="202"/>
        <v>46.44</v>
      </c>
      <c r="D6282" s="37">
        <v>2.8</v>
      </c>
      <c r="E6282" s="33">
        <f t="shared" si="203"/>
        <v>-6.0286091392287586E-3</v>
      </c>
    </row>
    <row r="6283" spans="1:5" x14ac:dyDescent="0.25">
      <c r="A6283" s="41">
        <v>43727</v>
      </c>
      <c r="B6283" s="29">
        <v>271.88</v>
      </c>
      <c r="C6283" s="37">
        <f t="shared" si="202"/>
        <v>45.313333333333333</v>
      </c>
      <c r="D6283" s="37">
        <v>2.8</v>
      </c>
      <c r="E6283" s="33">
        <f t="shared" si="203"/>
        <v>-2.4260694803330429E-2</v>
      </c>
    </row>
    <row r="6284" spans="1:5" x14ac:dyDescent="0.25">
      <c r="A6284" s="41">
        <v>43727</v>
      </c>
      <c r="B6284" s="29">
        <v>273.02</v>
      </c>
      <c r="C6284" s="37">
        <f t="shared" si="202"/>
        <v>45.50333333333333</v>
      </c>
      <c r="D6284" s="37">
        <v>2.8</v>
      </c>
      <c r="E6284" s="33">
        <f t="shared" si="203"/>
        <v>4.1930263351478095E-3</v>
      </c>
    </row>
    <row r="6285" spans="1:5" x14ac:dyDescent="0.25">
      <c r="A6285" s="41">
        <v>43727</v>
      </c>
      <c r="B6285" s="29">
        <v>272.7</v>
      </c>
      <c r="C6285" s="37">
        <f t="shared" si="202"/>
        <v>45.45</v>
      </c>
      <c r="D6285" s="37">
        <v>2.8</v>
      </c>
      <c r="E6285" s="33">
        <f t="shared" si="203"/>
        <v>-1.1720753058383753E-3</v>
      </c>
    </row>
    <row r="6286" spans="1:5" x14ac:dyDescent="0.25">
      <c r="A6286" s="41">
        <v>43727</v>
      </c>
      <c r="B6286" s="29">
        <v>270.98</v>
      </c>
      <c r="C6286" s="37">
        <f t="shared" si="202"/>
        <v>45.163333333333334</v>
      </c>
      <c r="D6286" s="37">
        <v>2.8</v>
      </c>
      <c r="E6286" s="33">
        <f t="shared" si="203"/>
        <v>-6.3072973964061994E-3</v>
      </c>
    </row>
    <row r="6287" spans="1:5" x14ac:dyDescent="0.25">
      <c r="A6287" s="41">
        <v>43727</v>
      </c>
      <c r="B6287" s="29">
        <v>270.72000000000003</v>
      </c>
      <c r="C6287" s="37">
        <f t="shared" si="202"/>
        <v>45.120000000000005</v>
      </c>
      <c r="D6287" s="37">
        <v>2.8</v>
      </c>
      <c r="E6287" s="33">
        <f t="shared" si="203"/>
        <v>-9.5948040445785997E-4</v>
      </c>
    </row>
    <row r="6288" spans="1:5" x14ac:dyDescent="0.25">
      <c r="A6288" s="41">
        <v>43727</v>
      </c>
      <c r="B6288" s="29">
        <v>265.87</v>
      </c>
      <c r="C6288" s="37">
        <f t="shared" si="202"/>
        <v>44.311666666666667</v>
      </c>
      <c r="D6288" s="37">
        <v>2.8</v>
      </c>
      <c r="E6288" s="33">
        <f t="shared" si="203"/>
        <v>-1.7915189125295591E-2</v>
      </c>
    </row>
    <row r="6289" spans="1:5" x14ac:dyDescent="0.25">
      <c r="A6289" s="41">
        <v>43727</v>
      </c>
      <c r="B6289" s="29">
        <v>264.68</v>
      </c>
      <c r="C6289" s="37">
        <f t="shared" si="202"/>
        <v>44.113333333333337</v>
      </c>
      <c r="D6289" s="37">
        <v>2.8</v>
      </c>
      <c r="E6289" s="33">
        <f t="shared" si="203"/>
        <v>-4.475871666603971E-3</v>
      </c>
    </row>
    <row r="6290" spans="1:5" x14ac:dyDescent="0.25">
      <c r="A6290" s="41">
        <v>43728</v>
      </c>
      <c r="B6290" s="29">
        <v>258.31</v>
      </c>
      <c r="C6290" s="37">
        <f t="shared" si="202"/>
        <v>43.051666666666669</v>
      </c>
      <c r="D6290" s="37">
        <v>3.4790000000000001</v>
      </c>
      <c r="E6290" s="33">
        <f t="shared" si="203"/>
        <v>-2.4066797642436164E-2</v>
      </c>
    </row>
    <row r="6291" spans="1:5" x14ac:dyDescent="0.25">
      <c r="A6291" s="41">
        <v>43728</v>
      </c>
      <c r="B6291" s="29">
        <v>256.88</v>
      </c>
      <c r="C6291" s="37">
        <f t="shared" si="202"/>
        <v>42.813333333333333</v>
      </c>
      <c r="D6291" s="37">
        <v>3.4790000000000001</v>
      </c>
      <c r="E6291" s="33">
        <f t="shared" si="203"/>
        <v>-5.5359838953196036E-3</v>
      </c>
    </row>
    <row r="6292" spans="1:5" x14ac:dyDescent="0.25">
      <c r="A6292" s="41">
        <v>43728</v>
      </c>
      <c r="B6292" s="29">
        <v>255.33</v>
      </c>
      <c r="C6292" s="37">
        <f t="shared" si="202"/>
        <v>42.555</v>
      </c>
      <c r="D6292" s="37">
        <v>3.4790000000000001</v>
      </c>
      <c r="E6292" s="33">
        <f t="shared" si="203"/>
        <v>-6.0339458112736799E-3</v>
      </c>
    </row>
    <row r="6293" spans="1:5" x14ac:dyDescent="0.25">
      <c r="A6293" s="41">
        <v>43728</v>
      </c>
      <c r="B6293" s="29">
        <v>254.82</v>
      </c>
      <c r="C6293" s="37">
        <f t="shared" si="202"/>
        <v>42.47</v>
      </c>
      <c r="D6293" s="37">
        <v>3.4790000000000001</v>
      </c>
      <c r="E6293" s="33">
        <f t="shared" si="203"/>
        <v>-1.9974151098579068E-3</v>
      </c>
    </row>
    <row r="6294" spans="1:5" x14ac:dyDescent="0.25">
      <c r="A6294" s="41">
        <v>43728</v>
      </c>
      <c r="B6294" s="29">
        <v>254.98</v>
      </c>
      <c r="C6294" s="37">
        <f t="shared" si="202"/>
        <v>42.49666666666667</v>
      </c>
      <c r="D6294" s="37">
        <v>3.4790000000000001</v>
      </c>
      <c r="E6294" s="33">
        <f t="shared" si="203"/>
        <v>6.2789419982731576E-4</v>
      </c>
    </row>
    <row r="6295" spans="1:5" x14ac:dyDescent="0.25">
      <c r="A6295" s="41">
        <v>43728</v>
      </c>
      <c r="B6295" s="29">
        <v>256.02999999999997</v>
      </c>
      <c r="C6295" s="37">
        <f t="shared" si="202"/>
        <v>42.67166666666666</v>
      </c>
      <c r="D6295" s="37">
        <v>3.4790000000000001</v>
      </c>
      <c r="E6295" s="33">
        <f t="shared" si="203"/>
        <v>4.1179700368655699E-3</v>
      </c>
    </row>
    <row r="6296" spans="1:5" x14ac:dyDescent="0.25">
      <c r="A6296" s="41">
        <v>43728</v>
      </c>
      <c r="B6296" s="29">
        <v>257.08</v>
      </c>
      <c r="C6296" s="37">
        <f t="shared" si="202"/>
        <v>42.846666666666664</v>
      </c>
      <c r="D6296" s="37">
        <v>3.4790000000000001</v>
      </c>
      <c r="E6296" s="33">
        <f t="shared" si="203"/>
        <v>4.1010819044643657E-3</v>
      </c>
    </row>
    <row r="6297" spans="1:5" x14ac:dyDescent="0.25">
      <c r="A6297" s="41">
        <v>43728</v>
      </c>
      <c r="B6297" s="29">
        <v>259.41000000000003</v>
      </c>
      <c r="C6297" s="37">
        <f t="shared" si="202"/>
        <v>43.235000000000007</v>
      </c>
      <c r="D6297" s="37">
        <v>3.4790000000000001</v>
      </c>
      <c r="E6297" s="33">
        <f t="shared" si="203"/>
        <v>9.0633265909446127E-3</v>
      </c>
    </row>
    <row r="6298" spans="1:5" x14ac:dyDescent="0.25">
      <c r="A6298" s="41">
        <v>43728</v>
      </c>
      <c r="B6298" s="29">
        <v>263.27</v>
      </c>
      <c r="C6298" s="37">
        <f t="shared" si="202"/>
        <v>43.87833333333333</v>
      </c>
      <c r="D6298" s="37">
        <v>3.4790000000000001</v>
      </c>
      <c r="E6298" s="33">
        <f t="shared" si="203"/>
        <v>1.4879919818048482E-2</v>
      </c>
    </row>
    <row r="6299" spans="1:5" x14ac:dyDescent="0.25">
      <c r="A6299" s="41">
        <v>43728</v>
      </c>
      <c r="B6299" s="29">
        <v>265.58999999999997</v>
      </c>
      <c r="C6299" s="37">
        <f t="shared" si="202"/>
        <v>44.264999999999993</v>
      </c>
      <c r="D6299" s="37">
        <v>3.4790000000000001</v>
      </c>
      <c r="E6299" s="33">
        <f t="shared" si="203"/>
        <v>8.8122459832111269E-3</v>
      </c>
    </row>
    <row r="6300" spans="1:5" x14ac:dyDescent="0.25">
      <c r="A6300" s="41">
        <v>43728</v>
      </c>
      <c r="B6300" s="29">
        <v>269.14999999999998</v>
      </c>
      <c r="C6300" s="37">
        <f t="shared" si="202"/>
        <v>44.858333333333327</v>
      </c>
      <c r="D6300" s="37">
        <v>3.4790000000000001</v>
      </c>
      <c r="E6300" s="33">
        <f t="shared" si="203"/>
        <v>1.3404119130991387E-2</v>
      </c>
    </row>
    <row r="6301" spans="1:5" x14ac:dyDescent="0.25">
      <c r="A6301" s="41">
        <v>43728</v>
      </c>
      <c r="B6301" s="29">
        <v>269.88</v>
      </c>
      <c r="C6301" s="37">
        <f t="shared" si="202"/>
        <v>44.98</v>
      </c>
      <c r="D6301" s="37">
        <v>3.4790000000000001</v>
      </c>
      <c r="E6301" s="33">
        <f t="shared" si="203"/>
        <v>2.7122422441018699E-3</v>
      </c>
    </row>
    <row r="6302" spans="1:5" x14ac:dyDescent="0.25">
      <c r="A6302" s="41">
        <v>43728</v>
      </c>
      <c r="B6302" s="29">
        <v>268.66000000000003</v>
      </c>
      <c r="C6302" s="37">
        <f t="shared" si="202"/>
        <v>44.776666666666671</v>
      </c>
      <c r="D6302" s="37">
        <v>3.4790000000000001</v>
      </c>
      <c r="E6302" s="33">
        <f t="shared" si="203"/>
        <v>-4.5205276419148155E-3</v>
      </c>
    </row>
    <row r="6303" spans="1:5" x14ac:dyDescent="0.25">
      <c r="A6303" s="41">
        <v>43728</v>
      </c>
      <c r="B6303" s="29">
        <v>273</v>
      </c>
      <c r="C6303" s="37">
        <f t="shared" si="202"/>
        <v>45.5</v>
      </c>
      <c r="D6303" s="37">
        <v>3.4790000000000001</v>
      </c>
      <c r="E6303" s="33">
        <f t="shared" si="203"/>
        <v>1.6154247003647638E-2</v>
      </c>
    </row>
    <row r="6304" spans="1:5" x14ac:dyDescent="0.25">
      <c r="A6304" s="41">
        <v>43728</v>
      </c>
      <c r="B6304" s="29">
        <v>275.69</v>
      </c>
      <c r="C6304" s="37">
        <f t="shared" si="202"/>
        <v>45.948333333333331</v>
      </c>
      <c r="D6304" s="37">
        <v>3.4790000000000001</v>
      </c>
      <c r="E6304" s="33">
        <f t="shared" si="203"/>
        <v>9.8534798534798459E-3</v>
      </c>
    </row>
    <row r="6305" spans="1:5" x14ac:dyDescent="0.25">
      <c r="A6305" s="41">
        <v>43728</v>
      </c>
      <c r="B6305" s="29">
        <v>275.60000000000002</v>
      </c>
      <c r="C6305" s="37">
        <f t="shared" si="202"/>
        <v>45.933333333333337</v>
      </c>
      <c r="D6305" s="37">
        <v>3.4790000000000001</v>
      </c>
      <c r="E6305" s="33">
        <f t="shared" si="203"/>
        <v>-3.2645362544878303E-4</v>
      </c>
    </row>
    <row r="6306" spans="1:5" x14ac:dyDescent="0.25">
      <c r="A6306" s="41">
        <v>43728</v>
      </c>
      <c r="B6306" s="29">
        <v>273.58</v>
      </c>
      <c r="C6306" s="37">
        <f t="shared" si="202"/>
        <v>45.596666666666664</v>
      </c>
      <c r="D6306" s="37">
        <v>3.4790000000000001</v>
      </c>
      <c r="E6306" s="33">
        <f t="shared" si="203"/>
        <v>-7.3294629898404884E-3</v>
      </c>
    </row>
    <row r="6307" spans="1:5" x14ac:dyDescent="0.25">
      <c r="A6307" s="41">
        <v>43728</v>
      </c>
      <c r="B6307" s="29">
        <v>267.98</v>
      </c>
      <c r="C6307" s="37">
        <f t="shared" si="202"/>
        <v>44.663333333333334</v>
      </c>
      <c r="D6307" s="37">
        <v>3.4790000000000001</v>
      </c>
      <c r="E6307" s="33">
        <f t="shared" si="203"/>
        <v>-2.0469332553549113E-2</v>
      </c>
    </row>
    <row r="6308" spans="1:5" x14ac:dyDescent="0.25">
      <c r="A6308" s="41">
        <v>43728</v>
      </c>
      <c r="B6308" s="29">
        <v>269.47000000000003</v>
      </c>
      <c r="C6308" s="37">
        <f t="shared" si="202"/>
        <v>44.911666666666676</v>
      </c>
      <c r="D6308" s="37">
        <v>3.4790000000000001</v>
      </c>
      <c r="E6308" s="33">
        <f t="shared" si="203"/>
        <v>5.5601164265990334E-3</v>
      </c>
    </row>
    <row r="6309" spans="1:5" x14ac:dyDescent="0.25">
      <c r="A6309" s="41">
        <v>43728</v>
      </c>
      <c r="B6309" s="29">
        <v>269.35000000000002</v>
      </c>
      <c r="C6309" s="37">
        <f t="shared" si="202"/>
        <v>44.891666666666673</v>
      </c>
      <c r="D6309" s="37">
        <v>3.4790000000000001</v>
      </c>
      <c r="E6309" s="33">
        <f t="shared" si="203"/>
        <v>-4.4531858834009181E-4</v>
      </c>
    </row>
    <row r="6310" spans="1:5" x14ac:dyDescent="0.25">
      <c r="A6310" s="41">
        <v>43728</v>
      </c>
      <c r="B6310" s="29">
        <v>265.74</v>
      </c>
      <c r="C6310" s="37">
        <f t="shared" si="202"/>
        <v>44.29</v>
      </c>
      <c r="D6310" s="37">
        <v>3.4790000000000001</v>
      </c>
      <c r="E6310" s="33">
        <f t="shared" si="203"/>
        <v>-1.3402635975496615E-2</v>
      </c>
    </row>
    <row r="6311" spans="1:5" x14ac:dyDescent="0.25">
      <c r="A6311" s="41">
        <v>43728</v>
      </c>
      <c r="B6311" s="29">
        <v>265.32</v>
      </c>
      <c r="C6311" s="37">
        <f t="shared" si="202"/>
        <v>44.22</v>
      </c>
      <c r="D6311" s="37">
        <v>3.4790000000000001</v>
      </c>
      <c r="E6311" s="33">
        <f t="shared" si="203"/>
        <v>-1.5804922104313084E-3</v>
      </c>
    </row>
    <row r="6312" spans="1:5" x14ac:dyDescent="0.25">
      <c r="A6312" s="41">
        <v>43728</v>
      </c>
      <c r="B6312" s="29">
        <v>263.86</v>
      </c>
      <c r="C6312" s="37">
        <f t="shared" si="202"/>
        <v>43.976666666666667</v>
      </c>
      <c r="D6312" s="37">
        <v>3.4790000000000001</v>
      </c>
      <c r="E6312" s="33">
        <f t="shared" si="203"/>
        <v>-5.50278908487856E-3</v>
      </c>
    </row>
    <row r="6313" spans="1:5" x14ac:dyDescent="0.25">
      <c r="A6313" s="41">
        <v>43728</v>
      </c>
      <c r="B6313" s="29">
        <v>262.69</v>
      </c>
      <c r="C6313" s="37">
        <f t="shared" si="202"/>
        <v>43.781666666666666</v>
      </c>
      <c r="D6313" s="37">
        <v>3.4790000000000001</v>
      </c>
      <c r="E6313" s="33">
        <f t="shared" si="203"/>
        <v>-4.4341696354127788E-3</v>
      </c>
    </row>
    <row r="6314" spans="1:5" x14ac:dyDescent="0.25">
      <c r="A6314" s="41">
        <v>43729</v>
      </c>
      <c r="B6314" s="29">
        <v>272.39999999999998</v>
      </c>
      <c r="C6314" s="37">
        <f t="shared" si="202"/>
        <v>45.399999999999991</v>
      </c>
      <c r="D6314" s="37">
        <v>4.1669999999999998</v>
      </c>
      <c r="E6314" s="33">
        <f t="shared" si="203"/>
        <v>3.696372149682127E-2</v>
      </c>
    </row>
    <row r="6315" spans="1:5" x14ac:dyDescent="0.25">
      <c r="A6315" s="41">
        <v>43729</v>
      </c>
      <c r="B6315" s="29">
        <v>269.72000000000003</v>
      </c>
      <c r="C6315" s="37">
        <f t="shared" si="202"/>
        <v>44.95333333333334</v>
      </c>
      <c r="D6315" s="37">
        <v>4.1669999999999998</v>
      </c>
      <c r="E6315" s="33">
        <f t="shared" si="203"/>
        <v>-9.8384728340673647E-3</v>
      </c>
    </row>
    <row r="6316" spans="1:5" x14ac:dyDescent="0.25">
      <c r="A6316" s="41">
        <v>43729</v>
      </c>
      <c r="B6316" s="29">
        <v>267.45</v>
      </c>
      <c r="C6316" s="37">
        <f t="shared" si="202"/>
        <v>44.575000000000003</v>
      </c>
      <c r="D6316" s="37">
        <v>4.1669999999999998</v>
      </c>
      <c r="E6316" s="33">
        <f t="shared" si="203"/>
        <v>-8.4161352513719354E-3</v>
      </c>
    </row>
    <row r="6317" spans="1:5" x14ac:dyDescent="0.25">
      <c r="A6317" s="41">
        <v>43729</v>
      </c>
      <c r="B6317" s="29">
        <v>265.83</v>
      </c>
      <c r="C6317" s="37">
        <f t="shared" si="202"/>
        <v>44.305</v>
      </c>
      <c r="D6317" s="37">
        <v>4.1669999999999998</v>
      </c>
      <c r="E6317" s="33">
        <f t="shared" si="203"/>
        <v>-6.0572069545709647E-3</v>
      </c>
    </row>
    <row r="6318" spans="1:5" x14ac:dyDescent="0.25">
      <c r="A6318" s="41">
        <v>43729</v>
      </c>
      <c r="B6318" s="29">
        <v>265.74</v>
      </c>
      <c r="C6318" s="37">
        <f t="shared" si="202"/>
        <v>44.29</v>
      </c>
      <c r="D6318" s="37">
        <v>4.1669999999999998</v>
      </c>
      <c r="E6318" s="33">
        <f t="shared" si="203"/>
        <v>-3.3856223902484667E-4</v>
      </c>
    </row>
    <row r="6319" spans="1:5" x14ac:dyDescent="0.25">
      <c r="A6319" s="41">
        <v>43729</v>
      </c>
      <c r="B6319" s="29">
        <v>265.75</v>
      </c>
      <c r="C6319" s="37">
        <f t="shared" si="202"/>
        <v>44.291666666666664</v>
      </c>
      <c r="D6319" s="37">
        <v>4.1669999999999998</v>
      </c>
      <c r="E6319" s="33">
        <f t="shared" si="203"/>
        <v>3.7630766914995502E-5</v>
      </c>
    </row>
    <row r="6320" spans="1:5" x14ac:dyDescent="0.25">
      <c r="A6320" s="41">
        <v>43729</v>
      </c>
      <c r="B6320" s="29">
        <v>265.61</v>
      </c>
      <c r="C6320" s="37">
        <f t="shared" si="202"/>
        <v>44.268333333333331</v>
      </c>
      <c r="D6320" s="37">
        <v>4.1669999999999998</v>
      </c>
      <c r="E6320" s="33">
        <f t="shared" si="203"/>
        <v>-5.2681091251170786E-4</v>
      </c>
    </row>
    <row r="6321" spans="1:5" x14ac:dyDescent="0.25">
      <c r="A6321" s="41">
        <v>43729</v>
      </c>
      <c r="B6321" s="29">
        <v>267.14999999999998</v>
      </c>
      <c r="C6321" s="37">
        <f t="shared" si="202"/>
        <v>44.524999999999991</v>
      </c>
      <c r="D6321" s="37">
        <v>4.1669999999999998</v>
      </c>
      <c r="E6321" s="33">
        <f t="shared" si="203"/>
        <v>5.7979744738525041E-3</v>
      </c>
    </row>
    <row r="6322" spans="1:5" x14ac:dyDescent="0.25">
      <c r="A6322" s="41">
        <v>43729</v>
      </c>
      <c r="B6322" s="29">
        <v>270.67</v>
      </c>
      <c r="C6322" s="37">
        <f t="shared" si="202"/>
        <v>45.111666666666665</v>
      </c>
      <c r="D6322" s="37">
        <v>4.1669999999999998</v>
      </c>
      <c r="E6322" s="33">
        <f t="shared" si="203"/>
        <v>1.3176118285607483E-2</v>
      </c>
    </row>
    <row r="6323" spans="1:5" x14ac:dyDescent="0.25">
      <c r="A6323" s="41">
        <v>43729</v>
      </c>
      <c r="B6323" s="29">
        <v>272</v>
      </c>
      <c r="C6323" s="37">
        <f t="shared" si="202"/>
        <v>45.333333333333336</v>
      </c>
      <c r="D6323" s="37">
        <v>4.1669999999999998</v>
      </c>
      <c r="E6323" s="33">
        <f t="shared" si="203"/>
        <v>4.9137325895000699E-3</v>
      </c>
    </row>
    <row r="6324" spans="1:5" x14ac:dyDescent="0.25">
      <c r="A6324" s="41">
        <v>43729</v>
      </c>
      <c r="B6324" s="29">
        <v>273.7</v>
      </c>
      <c r="C6324" s="37">
        <f t="shared" si="202"/>
        <v>45.616666666666667</v>
      </c>
      <c r="D6324" s="37">
        <v>4.1669999999999998</v>
      </c>
      <c r="E6324" s="33">
        <f t="shared" si="203"/>
        <v>6.2499999999999578E-3</v>
      </c>
    </row>
    <row r="6325" spans="1:5" x14ac:dyDescent="0.25">
      <c r="A6325" s="41">
        <v>43729</v>
      </c>
      <c r="B6325" s="29">
        <v>273.7</v>
      </c>
      <c r="C6325" s="37">
        <f t="shared" si="202"/>
        <v>45.616666666666667</v>
      </c>
      <c r="D6325" s="37">
        <v>4.1669999999999998</v>
      </c>
      <c r="E6325" s="33">
        <f t="shared" si="203"/>
        <v>0</v>
      </c>
    </row>
    <row r="6326" spans="1:5" x14ac:dyDescent="0.25">
      <c r="A6326" s="41">
        <v>43729</v>
      </c>
      <c r="B6326" s="29">
        <v>273.7</v>
      </c>
      <c r="C6326" s="37">
        <f t="shared" si="202"/>
        <v>45.616666666666667</v>
      </c>
      <c r="D6326" s="37">
        <v>4.1669999999999998</v>
      </c>
      <c r="E6326" s="33">
        <f t="shared" si="203"/>
        <v>0</v>
      </c>
    </row>
    <row r="6327" spans="1:5" x14ac:dyDescent="0.25">
      <c r="A6327" s="41">
        <v>43729</v>
      </c>
      <c r="B6327" s="29">
        <v>273.7</v>
      </c>
      <c r="C6327" s="37">
        <f t="shared" si="202"/>
        <v>45.616666666666667</v>
      </c>
      <c r="D6327" s="37">
        <v>4.1669999999999998</v>
      </c>
      <c r="E6327" s="33">
        <f t="shared" si="203"/>
        <v>0</v>
      </c>
    </row>
    <row r="6328" spans="1:5" x14ac:dyDescent="0.25">
      <c r="A6328" s="41">
        <v>43729</v>
      </c>
      <c r="B6328" s="29">
        <v>273.7</v>
      </c>
      <c r="C6328" s="37">
        <f t="shared" si="202"/>
        <v>45.616666666666667</v>
      </c>
      <c r="D6328" s="37">
        <v>4.1669999999999998</v>
      </c>
      <c r="E6328" s="33">
        <f t="shared" si="203"/>
        <v>0</v>
      </c>
    </row>
    <row r="6329" spans="1:5" x14ac:dyDescent="0.25">
      <c r="A6329" s="41">
        <v>43729</v>
      </c>
      <c r="B6329" s="29">
        <v>273.7</v>
      </c>
      <c r="C6329" s="37">
        <f t="shared" si="202"/>
        <v>45.616666666666667</v>
      </c>
      <c r="D6329" s="37">
        <v>4.1669999999999998</v>
      </c>
      <c r="E6329" s="33">
        <f t="shared" si="203"/>
        <v>0</v>
      </c>
    </row>
    <row r="6330" spans="1:5" x14ac:dyDescent="0.25">
      <c r="A6330" s="41">
        <v>43729</v>
      </c>
      <c r="B6330" s="29">
        <v>273.7</v>
      </c>
      <c r="C6330" s="37">
        <f t="shared" si="202"/>
        <v>45.616666666666667</v>
      </c>
      <c r="D6330" s="37">
        <v>4.1669999999999998</v>
      </c>
      <c r="E6330" s="33">
        <f t="shared" si="203"/>
        <v>0</v>
      </c>
    </row>
    <row r="6331" spans="1:5" x14ac:dyDescent="0.25">
      <c r="A6331" s="41">
        <v>43729</v>
      </c>
      <c r="B6331" s="29">
        <v>273.74</v>
      </c>
      <c r="C6331" s="37">
        <f t="shared" si="202"/>
        <v>45.623333333333335</v>
      </c>
      <c r="D6331" s="37">
        <v>4.1669999999999998</v>
      </c>
      <c r="E6331" s="33">
        <f t="shared" si="203"/>
        <v>1.4614541468768895E-4</v>
      </c>
    </row>
    <row r="6332" spans="1:5" x14ac:dyDescent="0.25">
      <c r="A6332" s="41">
        <v>43729</v>
      </c>
      <c r="B6332" s="29">
        <v>279.26</v>
      </c>
      <c r="C6332" s="37">
        <f t="shared" si="202"/>
        <v>46.543333333333337</v>
      </c>
      <c r="D6332" s="37">
        <v>4.1669999999999998</v>
      </c>
      <c r="E6332" s="33">
        <f t="shared" si="203"/>
        <v>2.016512018703873E-2</v>
      </c>
    </row>
    <row r="6333" spans="1:5" x14ac:dyDescent="0.25">
      <c r="A6333" s="41">
        <v>43729</v>
      </c>
      <c r="B6333" s="29">
        <v>278.8</v>
      </c>
      <c r="C6333" s="37">
        <f t="shared" si="202"/>
        <v>46.466666666666669</v>
      </c>
      <c r="D6333" s="37">
        <v>4.1669999999999998</v>
      </c>
      <c r="E6333" s="33">
        <f t="shared" si="203"/>
        <v>-1.647210484852752E-3</v>
      </c>
    </row>
    <row r="6334" spans="1:5" x14ac:dyDescent="0.25">
      <c r="A6334" s="41">
        <v>43729</v>
      </c>
      <c r="B6334" s="29">
        <v>274.77999999999997</v>
      </c>
      <c r="C6334" s="37">
        <f t="shared" si="202"/>
        <v>45.79666666666666</v>
      </c>
      <c r="D6334" s="37">
        <v>4.1669999999999998</v>
      </c>
      <c r="E6334" s="33">
        <f t="shared" si="203"/>
        <v>-1.4418938307030267E-2</v>
      </c>
    </row>
    <row r="6335" spans="1:5" x14ac:dyDescent="0.25">
      <c r="A6335" s="41">
        <v>43729</v>
      </c>
      <c r="B6335" s="29">
        <v>273.85000000000002</v>
      </c>
      <c r="C6335" s="37">
        <f t="shared" si="202"/>
        <v>45.641666666666673</v>
      </c>
      <c r="D6335" s="37">
        <v>4.1669999999999998</v>
      </c>
      <c r="E6335" s="33">
        <f t="shared" si="203"/>
        <v>-3.384525802459968E-3</v>
      </c>
    </row>
    <row r="6336" spans="1:5" x14ac:dyDescent="0.25">
      <c r="A6336" s="41">
        <v>43729</v>
      </c>
      <c r="B6336" s="29">
        <v>273.69</v>
      </c>
      <c r="C6336" s="37">
        <f t="shared" si="202"/>
        <v>45.615000000000002</v>
      </c>
      <c r="D6336" s="37">
        <v>4.1669999999999998</v>
      </c>
      <c r="E6336" s="33">
        <f t="shared" si="203"/>
        <v>-5.8426145700209966E-4</v>
      </c>
    </row>
    <row r="6337" spans="1:5" x14ac:dyDescent="0.25">
      <c r="A6337" s="41">
        <v>43729</v>
      </c>
      <c r="B6337" s="29">
        <v>271</v>
      </c>
      <c r="C6337" s="37">
        <f t="shared" si="202"/>
        <v>45.166666666666664</v>
      </c>
      <c r="D6337" s="37">
        <v>4.1669999999999998</v>
      </c>
      <c r="E6337" s="33">
        <f t="shared" si="203"/>
        <v>-9.8286382403449078E-3</v>
      </c>
    </row>
    <row r="6338" spans="1:5" x14ac:dyDescent="0.25">
      <c r="A6338" s="41">
        <v>43730</v>
      </c>
      <c r="B6338" s="29">
        <v>265.49</v>
      </c>
      <c r="C6338" s="37">
        <f t="shared" si="202"/>
        <v>44.248333333333335</v>
      </c>
      <c r="D6338" s="37">
        <v>4.55</v>
      </c>
      <c r="E6338" s="33">
        <f t="shared" si="203"/>
        <v>-2.0332103321033176E-2</v>
      </c>
    </row>
    <row r="6339" spans="1:5" x14ac:dyDescent="0.25">
      <c r="A6339" s="41">
        <v>43730</v>
      </c>
      <c r="B6339" s="29">
        <v>263.91000000000003</v>
      </c>
      <c r="C6339" s="37">
        <f t="shared" ref="C6339:C6402" si="204">(B6339*100/600)</f>
        <v>43.985000000000007</v>
      </c>
      <c r="D6339" s="37">
        <v>4.55</v>
      </c>
      <c r="E6339" s="33">
        <f t="shared" si="203"/>
        <v>-5.9512599344607479E-3</v>
      </c>
    </row>
    <row r="6340" spans="1:5" x14ac:dyDescent="0.25">
      <c r="A6340" s="41">
        <v>43730</v>
      </c>
      <c r="B6340" s="29">
        <v>263.89999999999998</v>
      </c>
      <c r="C6340" s="37">
        <f t="shared" si="204"/>
        <v>43.983333333333327</v>
      </c>
      <c r="D6340" s="37">
        <v>4.55</v>
      </c>
      <c r="E6340" s="33">
        <f t="shared" ref="E6340:E6403" si="205">(B6340-B6339)/B6339</f>
        <v>-3.7891705505845734E-5</v>
      </c>
    </row>
    <row r="6341" spans="1:5" x14ac:dyDescent="0.25">
      <c r="A6341" s="41">
        <v>43730</v>
      </c>
      <c r="B6341" s="29">
        <v>262.98</v>
      </c>
      <c r="C6341" s="37">
        <f t="shared" si="204"/>
        <v>43.83</v>
      </c>
      <c r="D6341" s="37">
        <v>4.55</v>
      </c>
      <c r="E6341" s="33">
        <f t="shared" si="205"/>
        <v>-3.4861690034102277E-3</v>
      </c>
    </row>
    <row r="6342" spans="1:5" x14ac:dyDescent="0.25">
      <c r="A6342" s="41">
        <v>43730</v>
      </c>
      <c r="B6342" s="29">
        <v>262.8</v>
      </c>
      <c r="C6342" s="37">
        <f t="shared" si="204"/>
        <v>43.8</v>
      </c>
      <c r="D6342" s="37">
        <v>4.55</v>
      </c>
      <c r="E6342" s="33">
        <f t="shared" si="205"/>
        <v>-6.8446269678305123E-4</v>
      </c>
    </row>
    <row r="6343" spans="1:5" x14ac:dyDescent="0.25">
      <c r="A6343" s="41">
        <v>43730</v>
      </c>
      <c r="B6343" s="29">
        <v>261.95999999999998</v>
      </c>
      <c r="C6343" s="37">
        <f t="shared" si="204"/>
        <v>43.66</v>
      </c>
      <c r="D6343" s="37">
        <v>4.55</v>
      </c>
      <c r="E6343" s="33">
        <f t="shared" si="205"/>
        <v>-3.1963470319635915E-3</v>
      </c>
    </row>
    <row r="6344" spans="1:5" x14ac:dyDescent="0.25">
      <c r="A6344" s="41">
        <v>43730</v>
      </c>
      <c r="B6344" s="29">
        <v>261.16000000000003</v>
      </c>
      <c r="C6344" s="37">
        <f t="shared" si="204"/>
        <v>43.526666666666671</v>
      </c>
      <c r="D6344" s="37">
        <v>4.55</v>
      </c>
      <c r="E6344" s="33">
        <f t="shared" si="205"/>
        <v>-3.0539013589859312E-3</v>
      </c>
    </row>
    <row r="6345" spans="1:5" x14ac:dyDescent="0.25">
      <c r="A6345" s="41">
        <v>43730</v>
      </c>
      <c r="B6345" s="29">
        <v>261.06</v>
      </c>
      <c r="C6345" s="37">
        <f t="shared" si="204"/>
        <v>43.51</v>
      </c>
      <c r="D6345" s="37">
        <v>4.55</v>
      </c>
      <c r="E6345" s="33">
        <f t="shared" si="205"/>
        <v>-3.8290703017316099E-4</v>
      </c>
    </row>
    <row r="6346" spans="1:5" x14ac:dyDescent="0.25">
      <c r="A6346" s="41">
        <v>43730</v>
      </c>
      <c r="B6346" s="29">
        <v>261.06</v>
      </c>
      <c r="C6346" s="37">
        <f t="shared" si="204"/>
        <v>43.51</v>
      </c>
      <c r="D6346" s="37">
        <v>4.55</v>
      </c>
      <c r="E6346" s="33">
        <f t="shared" si="205"/>
        <v>0</v>
      </c>
    </row>
    <row r="6347" spans="1:5" x14ac:dyDescent="0.25">
      <c r="A6347" s="41">
        <v>43730</v>
      </c>
      <c r="B6347" s="29">
        <v>261.05</v>
      </c>
      <c r="C6347" s="37">
        <f t="shared" si="204"/>
        <v>43.508333333333333</v>
      </c>
      <c r="D6347" s="37">
        <v>4.55</v>
      </c>
      <c r="E6347" s="33">
        <f t="shared" si="205"/>
        <v>-3.8305370412897051E-5</v>
      </c>
    </row>
    <row r="6348" spans="1:5" x14ac:dyDescent="0.25">
      <c r="A6348" s="41">
        <v>43730</v>
      </c>
      <c r="B6348" s="29">
        <v>260.83999999999997</v>
      </c>
      <c r="C6348" s="37">
        <f t="shared" si="204"/>
        <v>43.473333333333329</v>
      </c>
      <c r="D6348" s="37">
        <v>4.55</v>
      </c>
      <c r="E6348" s="33">
        <f t="shared" si="205"/>
        <v>-8.0444359318152219E-4</v>
      </c>
    </row>
    <row r="6349" spans="1:5" x14ac:dyDescent="0.25">
      <c r="A6349" s="41">
        <v>43730</v>
      </c>
      <c r="B6349" s="29">
        <v>260.49</v>
      </c>
      <c r="C6349" s="37">
        <f t="shared" si="204"/>
        <v>43.414999999999999</v>
      </c>
      <c r="D6349" s="37">
        <v>4.55</v>
      </c>
      <c r="E6349" s="33">
        <f t="shared" si="205"/>
        <v>-1.3418187394570078E-3</v>
      </c>
    </row>
    <row r="6350" spans="1:5" x14ac:dyDescent="0.25">
      <c r="A6350" s="41">
        <v>43730</v>
      </c>
      <c r="B6350" s="29">
        <v>259.45999999999998</v>
      </c>
      <c r="C6350" s="37">
        <f t="shared" si="204"/>
        <v>43.243333333333325</v>
      </c>
      <c r="D6350" s="37">
        <v>4.55</v>
      </c>
      <c r="E6350" s="33">
        <f t="shared" si="205"/>
        <v>-3.9540865292334816E-3</v>
      </c>
    </row>
    <row r="6351" spans="1:5" x14ac:dyDescent="0.25">
      <c r="A6351" s="41">
        <v>43730</v>
      </c>
      <c r="B6351" s="29">
        <v>259.10000000000002</v>
      </c>
      <c r="C6351" s="37">
        <f t="shared" si="204"/>
        <v>43.183333333333337</v>
      </c>
      <c r="D6351" s="37">
        <v>4.55</v>
      </c>
      <c r="E6351" s="33">
        <f t="shared" si="205"/>
        <v>-1.3874971093808556E-3</v>
      </c>
    </row>
    <row r="6352" spans="1:5" x14ac:dyDescent="0.25">
      <c r="A6352" s="41">
        <v>43730</v>
      </c>
      <c r="B6352" s="29">
        <v>259</v>
      </c>
      <c r="C6352" s="37">
        <f t="shared" si="204"/>
        <v>43.166666666666664</v>
      </c>
      <c r="D6352" s="37">
        <v>4.55</v>
      </c>
      <c r="E6352" s="33">
        <f t="shared" si="205"/>
        <v>-3.8595137012745168E-4</v>
      </c>
    </row>
    <row r="6353" spans="1:5" x14ac:dyDescent="0.25">
      <c r="A6353" s="41">
        <v>43730</v>
      </c>
      <c r="B6353" s="29">
        <v>259</v>
      </c>
      <c r="C6353" s="37">
        <f t="shared" si="204"/>
        <v>43.166666666666664</v>
      </c>
      <c r="D6353" s="37">
        <v>4.55</v>
      </c>
      <c r="E6353" s="33">
        <f t="shared" si="205"/>
        <v>0</v>
      </c>
    </row>
    <row r="6354" spans="1:5" x14ac:dyDescent="0.25">
      <c r="A6354" s="41">
        <v>43730</v>
      </c>
      <c r="B6354" s="29">
        <v>259.95999999999998</v>
      </c>
      <c r="C6354" s="37">
        <f t="shared" si="204"/>
        <v>43.326666666666661</v>
      </c>
      <c r="D6354" s="37">
        <v>4.55</v>
      </c>
      <c r="E6354" s="33">
        <f t="shared" si="205"/>
        <v>3.7065637065636274E-3</v>
      </c>
    </row>
    <row r="6355" spans="1:5" x14ac:dyDescent="0.25">
      <c r="A6355" s="41">
        <v>43730</v>
      </c>
      <c r="B6355" s="29">
        <v>260.58</v>
      </c>
      <c r="C6355" s="37">
        <f t="shared" si="204"/>
        <v>43.43</v>
      </c>
      <c r="D6355" s="37">
        <v>4.55</v>
      </c>
      <c r="E6355" s="33">
        <f t="shared" si="205"/>
        <v>2.3849823049700131E-3</v>
      </c>
    </row>
    <row r="6356" spans="1:5" x14ac:dyDescent="0.25">
      <c r="A6356" s="41">
        <v>43730</v>
      </c>
      <c r="B6356" s="29">
        <v>261.16000000000003</v>
      </c>
      <c r="C6356" s="37">
        <f t="shared" si="204"/>
        <v>43.526666666666671</v>
      </c>
      <c r="D6356" s="37">
        <v>4.55</v>
      </c>
      <c r="E6356" s="33">
        <f t="shared" si="205"/>
        <v>2.2258039757465692E-3</v>
      </c>
    </row>
    <row r="6357" spans="1:5" x14ac:dyDescent="0.25">
      <c r="A6357" s="41">
        <v>43730</v>
      </c>
      <c r="B6357" s="29">
        <v>261.47000000000003</v>
      </c>
      <c r="C6357" s="37">
        <f t="shared" si="204"/>
        <v>43.57833333333334</v>
      </c>
      <c r="D6357" s="37">
        <v>4.55</v>
      </c>
      <c r="E6357" s="33">
        <f t="shared" si="205"/>
        <v>1.1870117935365379E-3</v>
      </c>
    </row>
    <row r="6358" spans="1:5" x14ac:dyDescent="0.25">
      <c r="A6358" s="41">
        <v>43730</v>
      </c>
      <c r="B6358" s="29">
        <v>262.88</v>
      </c>
      <c r="C6358" s="37">
        <f t="shared" si="204"/>
        <v>43.813333333333333</v>
      </c>
      <c r="D6358" s="37">
        <v>4.55</v>
      </c>
      <c r="E6358" s="33">
        <f t="shared" si="205"/>
        <v>5.3925880598155356E-3</v>
      </c>
    </row>
    <row r="6359" spans="1:5" x14ac:dyDescent="0.25">
      <c r="A6359" s="41">
        <v>43730</v>
      </c>
      <c r="B6359" s="29">
        <v>263.60000000000002</v>
      </c>
      <c r="C6359" s="37">
        <f t="shared" si="204"/>
        <v>43.933333333333337</v>
      </c>
      <c r="D6359" s="37">
        <v>4.55</v>
      </c>
      <c r="E6359" s="33">
        <f t="shared" si="205"/>
        <v>2.7388922702374745E-3</v>
      </c>
    </row>
    <row r="6360" spans="1:5" x14ac:dyDescent="0.25">
      <c r="A6360" s="41">
        <v>43730</v>
      </c>
      <c r="B6360" s="29">
        <v>263.64999999999998</v>
      </c>
      <c r="C6360" s="37">
        <f t="shared" si="204"/>
        <v>43.941666666666663</v>
      </c>
      <c r="D6360" s="37">
        <v>4.55</v>
      </c>
      <c r="E6360" s="33">
        <f t="shared" si="205"/>
        <v>1.8968133535642839E-4</v>
      </c>
    </row>
    <row r="6361" spans="1:5" x14ac:dyDescent="0.25">
      <c r="A6361" s="41">
        <v>43730</v>
      </c>
      <c r="B6361" s="29">
        <v>263.69</v>
      </c>
      <c r="C6361" s="37">
        <f t="shared" si="204"/>
        <v>43.948333333333331</v>
      </c>
      <c r="D6361" s="37">
        <v>4.55</v>
      </c>
      <c r="E6361" s="33">
        <f t="shared" si="205"/>
        <v>1.5171629053677401E-4</v>
      </c>
    </row>
    <row r="6362" spans="1:5" x14ac:dyDescent="0.25">
      <c r="A6362" s="41">
        <v>43731</v>
      </c>
      <c r="B6362" s="29">
        <v>263.16000000000003</v>
      </c>
      <c r="C6362" s="37">
        <f t="shared" si="204"/>
        <v>43.860000000000007</v>
      </c>
      <c r="D6362" s="37">
        <v>4.6539999999999999</v>
      </c>
      <c r="E6362" s="33">
        <f t="shared" si="205"/>
        <v>-2.009935909590704E-3</v>
      </c>
    </row>
    <row r="6363" spans="1:5" x14ac:dyDescent="0.25">
      <c r="A6363" s="41">
        <v>43731</v>
      </c>
      <c r="B6363" s="29">
        <v>261.45999999999998</v>
      </c>
      <c r="C6363" s="37">
        <f t="shared" si="204"/>
        <v>43.576666666666661</v>
      </c>
      <c r="D6363" s="37">
        <v>4.6539999999999999</v>
      </c>
      <c r="E6363" s="33">
        <f t="shared" si="205"/>
        <v>-6.4599483204136089E-3</v>
      </c>
    </row>
    <row r="6364" spans="1:5" x14ac:dyDescent="0.25">
      <c r="A6364" s="41">
        <v>43731</v>
      </c>
      <c r="B6364" s="29">
        <v>260.41000000000003</v>
      </c>
      <c r="C6364" s="37">
        <f t="shared" si="204"/>
        <v>43.401666666666671</v>
      </c>
      <c r="D6364" s="37">
        <v>4.6539999999999999</v>
      </c>
      <c r="E6364" s="33">
        <f t="shared" si="205"/>
        <v>-4.0159106555494326E-3</v>
      </c>
    </row>
    <row r="6365" spans="1:5" x14ac:dyDescent="0.25">
      <c r="A6365" s="41">
        <v>43731</v>
      </c>
      <c r="B6365" s="29">
        <v>260.3</v>
      </c>
      <c r="C6365" s="37">
        <f t="shared" si="204"/>
        <v>43.383333333333333</v>
      </c>
      <c r="D6365" s="37">
        <v>4.6539999999999999</v>
      </c>
      <c r="E6365" s="33">
        <f t="shared" si="205"/>
        <v>-4.224108137168835E-4</v>
      </c>
    </row>
    <row r="6366" spans="1:5" x14ac:dyDescent="0.25">
      <c r="A6366" s="41">
        <v>43731</v>
      </c>
      <c r="B6366" s="29">
        <v>260.51</v>
      </c>
      <c r="C6366" s="37">
        <f t="shared" si="204"/>
        <v>43.418333333333337</v>
      </c>
      <c r="D6366" s="37">
        <v>4.6539999999999999</v>
      </c>
      <c r="E6366" s="33">
        <f t="shared" si="205"/>
        <v>8.0676142912016727E-4</v>
      </c>
    </row>
    <row r="6367" spans="1:5" x14ac:dyDescent="0.25">
      <c r="A6367" s="41">
        <v>43731</v>
      </c>
      <c r="B6367" s="29">
        <v>261.39</v>
      </c>
      <c r="C6367" s="37">
        <f t="shared" si="204"/>
        <v>43.564999999999998</v>
      </c>
      <c r="D6367" s="37">
        <v>4.6539999999999999</v>
      </c>
      <c r="E6367" s="33">
        <f t="shared" si="205"/>
        <v>3.3779893286246037E-3</v>
      </c>
    </row>
    <row r="6368" spans="1:5" x14ac:dyDescent="0.25">
      <c r="A6368" s="41">
        <v>43731</v>
      </c>
      <c r="B6368" s="29">
        <v>263.44</v>
      </c>
      <c r="C6368" s="37">
        <f t="shared" si="204"/>
        <v>43.906666666666666</v>
      </c>
      <c r="D6368" s="37">
        <v>4.6539999999999999</v>
      </c>
      <c r="E6368" s="33">
        <f t="shared" si="205"/>
        <v>7.84268717242439E-3</v>
      </c>
    </row>
    <row r="6369" spans="1:5" x14ac:dyDescent="0.25">
      <c r="A6369" s="41">
        <v>43731</v>
      </c>
      <c r="B6369" s="29">
        <v>267.45999999999998</v>
      </c>
      <c r="C6369" s="37">
        <f t="shared" si="204"/>
        <v>44.576666666666661</v>
      </c>
      <c r="D6369" s="37">
        <v>4.6539999999999999</v>
      </c>
      <c r="E6369" s="33">
        <f t="shared" si="205"/>
        <v>1.5259641664135978E-2</v>
      </c>
    </row>
    <row r="6370" spans="1:5" x14ac:dyDescent="0.25">
      <c r="A6370" s="41">
        <v>43731</v>
      </c>
      <c r="B6370" s="29">
        <v>272.41000000000003</v>
      </c>
      <c r="C6370" s="37">
        <f t="shared" si="204"/>
        <v>45.401666666666671</v>
      </c>
      <c r="D6370" s="37">
        <v>4.6539999999999999</v>
      </c>
      <c r="E6370" s="33">
        <f t="shared" si="205"/>
        <v>1.850744036491455E-2</v>
      </c>
    </row>
    <row r="6371" spans="1:5" x14ac:dyDescent="0.25">
      <c r="A6371" s="41">
        <v>43731</v>
      </c>
      <c r="B6371" s="29">
        <v>274.14</v>
      </c>
      <c r="C6371" s="37">
        <f t="shared" si="204"/>
        <v>45.69</v>
      </c>
      <c r="D6371" s="37">
        <v>4.6539999999999999</v>
      </c>
      <c r="E6371" s="33">
        <f t="shared" si="205"/>
        <v>6.3507213391577446E-3</v>
      </c>
    </row>
    <row r="6372" spans="1:5" x14ac:dyDescent="0.25">
      <c r="A6372" s="41">
        <v>43731</v>
      </c>
      <c r="B6372" s="29">
        <v>276.64</v>
      </c>
      <c r="C6372" s="37">
        <f t="shared" si="204"/>
        <v>46.106666666666669</v>
      </c>
      <c r="D6372" s="37">
        <v>4.6539999999999999</v>
      </c>
      <c r="E6372" s="33">
        <f t="shared" si="205"/>
        <v>9.1194280294739916E-3</v>
      </c>
    </row>
    <row r="6373" spans="1:5" x14ac:dyDescent="0.25">
      <c r="A6373" s="41">
        <v>43731</v>
      </c>
      <c r="B6373" s="29">
        <v>276.89999999999998</v>
      </c>
      <c r="C6373" s="37">
        <f t="shared" si="204"/>
        <v>46.149999999999991</v>
      </c>
      <c r="D6373" s="37">
        <v>4.6539999999999999</v>
      </c>
      <c r="E6373" s="33">
        <f t="shared" si="205"/>
        <v>9.3984962406011758E-4</v>
      </c>
    </row>
    <row r="6374" spans="1:5" x14ac:dyDescent="0.25">
      <c r="A6374" s="41">
        <v>43731</v>
      </c>
      <c r="B6374" s="29">
        <v>276.52999999999997</v>
      </c>
      <c r="C6374" s="37">
        <f t="shared" si="204"/>
        <v>46.088333333333324</v>
      </c>
      <c r="D6374" s="37">
        <v>4.6539999999999999</v>
      </c>
      <c r="E6374" s="33">
        <f t="shared" si="205"/>
        <v>-1.3362224629830429E-3</v>
      </c>
    </row>
    <row r="6375" spans="1:5" x14ac:dyDescent="0.25">
      <c r="A6375" s="41">
        <v>43731</v>
      </c>
      <c r="B6375" s="29">
        <v>277.14999999999998</v>
      </c>
      <c r="C6375" s="37">
        <f t="shared" si="204"/>
        <v>46.191666666666663</v>
      </c>
      <c r="D6375" s="37">
        <v>4.6539999999999999</v>
      </c>
      <c r="E6375" s="33">
        <f t="shared" si="205"/>
        <v>2.242071384659909E-3</v>
      </c>
    </row>
    <row r="6376" spans="1:5" x14ac:dyDescent="0.25">
      <c r="A6376" s="41">
        <v>43731</v>
      </c>
      <c r="B6376" s="29">
        <v>277.77999999999997</v>
      </c>
      <c r="C6376" s="37">
        <f t="shared" si="204"/>
        <v>46.29666666666666</v>
      </c>
      <c r="D6376" s="37">
        <v>4.6539999999999999</v>
      </c>
      <c r="E6376" s="33">
        <f t="shared" si="205"/>
        <v>2.2731372902760074E-3</v>
      </c>
    </row>
    <row r="6377" spans="1:5" x14ac:dyDescent="0.25">
      <c r="A6377" s="41">
        <v>43731</v>
      </c>
      <c r="B6377" s="29">
        <v>277.93</v>
      </c>
      <c r="C6377" s="37">
        <f t="shared" si="204"/>
        <v>46.321666666666665</v>
      </c>
      <c r="D6377" s="37">
        <v>4.6539999999999999</v>
      </c>
      <c r="E6377" s="33">
        <f t="shared" si="205"/>
        <v>5.3999568003468257E-4</v>
      </c>
    </row>
    <row r="6378" spans="1:5" x14ac:dyDescent="0.25">
      <c r="A6378" s="41">
        <v>43731</v>
      </c>
      <c r="B6378" s="29">
        <v>277.66000000000003</v>
      </c>
      <c r="C6378" s="37">
        <f t="shared" si="204"/>
        <v>46.276666666666671</v>
      </c>
      <c r="D6378" s="37">
        <v>4.6539999999999999</v>
      </c>
      <c r="E6378" s="33">
        <f t="shared" si="205"/>
        <v>-9.7146763573555139E-4</v>
      </c>
    </row>
    <row r="6379" spans="1:5" x14ac:dyDescent="0.25">
      <c r="A6379" s="41">
        <v>43731</v>
      </c>
      <c r="B6379" s="29">
        <v>276.88</v>
      </c>
      <c r="C6379" s="37">
        <f t="shared" si="204"/>
        <v>46.146666666666668</v>
      </c>
      <c r="D6379" s="37">
        <v>4.6539999999999999</v>
      </c>
      <c r="E6379" s="33">
        <f t="shared" si="205"/>
        <v>-2.809191097025245E-3</v>
      </c>
    </row>
    <row r="6380" spans="1:5" x14ac:dyDescent="0.25">
      <c r="A6380" s="41">
        <v>43731</v>
      </c>
      <c r="B6380" s="29">
        <v>277.3</v>
      </c>
      <c r="C6380" s="37">
        <f t="shared" si="204"/>
        <v>46.216666666666669</v>
      </c>
      <c r="D6380" s="37">
        <v>4.6539999999999999</v>
      </c>
      <c r="E6380" s="33">
        <f t="shared" si="205"/>
        <v>1.5169026292979483E-3</v>
      </c>
    </row>
    <row r="6381" spans="1:5" x14ac:dyDescent="0.25">
      <c r="A6381" s="41">
        <v>43731</v>
      </c>
      <c r="B6381" s="29">
        <v>277.39</v>
      </c>
      <c r="C6381" s="37">
        <f t="shared" si="204"/>
        <v>46.231666666666669</v>
      </c>
      <c r="D6381" s="37">
        <v>4.6539999999999999</v>
      </c>
      <c r="E6381" s="33">
        <f t="shared" si="205"/>
        <v>3.2455824017300753E-4</v>
      </c>
    </row>
    <row r="6382" spans="1:5" x14ac:dyDescent="0.25">
      <c r="A6382" s="41">
        <v>43731</v>
      </c>
      <c r="B6382" s="29">
        <v>276.98</v>
      </c>
      <c r="C6382" s="37">
        <f t="shared" si="204"/>
        <v>46.163333333333334</v>
      </c>
      <c r="D6382" s="37">
        <v>4.6539999999999999</v>
      </c>
      <c r="E6382" s="33">
        <f t="shared" si="205"/>
        <v>-1.4780633764734424E-3</v>
      </c>
    </row>
    <row r="6383" spans="1:5" x14ac:dyDescent="0.25">
      <c r="A6383" s="41">
        <v>43731</v>
      </c>
      <c r="B6383" s="29">
        <v>276.98</v>
      </c>
      <c r="C6383" s="37">
        <f t="shared" si="204"/>
        <v>46.163333333333334</v>
      </c>
      <c r="D6383" s="37">
        <v>4.6539999999999999</v>
      </c>
      <c r="E6383" s="33">
        <f t="shared" si="205"/>
        <v>0</v>
      </c>
    </row>
    <row r="6384" spans="1:5" x14ac:dyDescent="0.25">
      <c r="A6384" s="41">
        <v>43731</v>
      </c>
      <c r="B6384" s="29">
        <v>274.88</v>
      </c>
      <c r="C6384" s="37">
        <f t="shared" si="204"/>
        <v>45.813333333333333</v>
      </c>
      <c r="D6384" s="37">
        <v>4.6539999999999999</v>
      </c>
      <c r="E6384" s="33">
        <f t="shared" si="205"/>
        <v>-7.581774857390507E-3</v>
      </c>
    </row>
    <row r="6385" spans="1:5" x14ac:dyDescent="0.25">
      <c r="A6385" s="41">
        <v>43731</v>
      </c>
      <c r="B6385" s="29">
        <v>272.05</v>
      </c>
      <c r="C6385" s="37">
        <f t="shared" si="204"/>
        <v>45.341666666666669</v>
      </c>
      <c r="D6385" s="37">
        <v>4.6539999999999999</v>
      </c>
      <c r="E6385" s="33">
        <f t="shared" si="205"/>
        <v>-1.0295401629802038E-2</v>
      </c>
    </row>
    <row r="6386" spans="1:5" x14ac:dyDescent="0.25">
      <c r="A6386" s="41">
        <v>43732</v>
      </c>
      <c r="B6386" s="29">
        <v>265.32</v>
      </c>
      <c r="C6386" s="37">
        <f t="shared" si="204"/>
        <v>44.22</v>
      </c>
      <c r="D6386" s="37">
        <v>4.6909999999999998</v>
      </c>
      <c r="E6386" s="33">
        <f t="shared" si="205"/>
        <v>-2.4738099614041602E-2</v>
      </c>
    </row>
    <row r="6387" spans="1:5" x14ac:dyDescent="0.25">
      <c r="A6387" s="41">
        <v>43732</v>
      </c>
      <c r="B6387" s="29">
        <v>263.02999999999997</v>
      </c>
      <c r="C6387" s="37">
        <f t="shared" si="204"/>
        <v>43.838333333333324</v>
      </c>
      <c r="D6387" s="37">
        <v>4.6909999999999998</v>
      </c>
      <c r="E6387" s="33">
        <f t="shared" si="205"/>
        <v>-8.6310869892960215E-3</v>
      </c>
    </row>
    <row r="6388" spans="1:5" x14ac:dyDescent="0.25">
      <c r="A6388" s="41">
        <v>43732</v>
      </c>
      <c r="B6388" s="29">
        <v>263.01</v>
      </c>
      <c r="C6388" s="37">
        <f t="shared" si="204"/>
        <v>43.835000000000001</v>
      </c>
      <c r="D6388" s="37">
        <v>4.6909999999999998</v>
      </c>
      <c r="E6388" s="33">
        <f t="shared" si="205"/>
        <v>-7.6036953959555232E-5</v>
      </c>
    </row>
    <row r="6389" spans="1:5" x14ac:dyDescent="0.25">
      <c r="A6389" s="41">
        <v>43732</v>
      </c>
      <c r="B6389" s="29">
        <v>262.73</v>
      </c>
      <c r="C6389" s="37">
        <f t="shared" si="204"/>
        <v>43.788333333333334</v>
      </c>
      <c r="D6389" s="37">
        <v>4.6909999999999998</v>
      </c>
      <c r="E6389" s="33">
        <f t="shared" si="205"/>
        <v>-1.064598304246883E-3</v>
      </c>
    </row>
    <row r="6390" spans="1:5" x14ac:dyDescent="0.25">
      <c r="A6390" s="41">
        <v>43732</v>
      </c>
      <c r="B6390" s="29">
        <v>261.89999999999998</v>
      </c>
      <c r="C6390" s="37">
        <f t="shared" si="204"/>
        <v>43.649999999999991</v>
      </c>
      <c r="D6390" s="37">
        <v>4.6909999999999998</v>
      </c>
      <c r="E6390" s="33">
        <f t="shared" si="205"/>
        <v>-3.1591367563660066E-3</v>
      </c>
    </row>
    <row r="6391" spans="1:5" x14ac:dyDescent="0.25">
      <c r="A6391" s="41">
        <v>43732</v>
      </c>
      <c r="B6391" s="29">
        <v>261.58</v>
      </c>
      <c r="C6391" s="37">
        <f t="shared" si="204"/>
        <v>43.596666666666664</v>
      </c>
      <c r="D6391" s="37">
        <v>4.6909999999999998</v>
      </c>
      <c r="E6391" s="33">
        <f t="shared" si="205"/>
        <v>-1.2218403970981032E-3</v>
      </c>
    </row>
    <row r="6392" spans="1:5" x14ac:dyDescent="0.25">
      <c r="A6392" s="41">
        <v>43732</v>
      </c>
      <c r="B6392" s="29">
        <v>261.57</v>
      </c>
      <c r="C6392" s="37">
        <f t="shared" si="204"/>
        <v>43.594999999999999</v>
      </c>
      <c r="D6392" s="37">
        <v>4.6909999999999998</v>
      </c>
      <c r="E6392" s="33">
        <f t="shared" si="205"/>
        <v>-3.8229222417581256E-5</v>
      </c>
    </row>
    <row r="6393" spans="1:5" x14ac:dyDescent="0.25">
      <c r="A6393" s="41">
        <v>43732</v>
      </c>
      <c r="B6393" s="29">
        <v>261.56</v>
      </c>
      <c r="C6393" s="37">
        <f t="shared" si="204"/>
        <v>43.593333333333334</v>
      </c>
      <c r="D6393" s="37">
        <v>4.6909999999999998</v>
      </c>
      <c r="E6393" s="33">
        <f t="shared" si="205"/>
        <v>-3.8230683946901039E-5</v>
      </c>
    </row>
    <row r="6394" spans="1:5" x14ac:dyDescent="0.25">
      <c r="A6394" s="41">
        <v>43732</v>
      </c>
      <c r="B6394" s="29">
        <v>261.55</v>
      </c>
      <c r="C6394" s="37">
        <f t="shared" si="204"/>
        <v>43.591666666666669</v>
      </c>
      <c r="D6394" s="37">
        <v>4.6909999999999998</v>
      </c>
      <c r="E6394" s="33">
        <f t="shared" si="205"/>
        <v>-3.8232145587975624E-5</v>
      </c>
    </row>
    <row r="6395" spans="1:5" x14ac:dyDescent="0.25">
      <c r="A6395" s="41">
        <v>43732</v>
      </c>
      <c r="B6395" s="29">
        <v>261.56</v>
      </c>
      <c r="C6395" s="37">
        <f t="shared" si="204"/>
        <v>43.593333333333334</v>
      </c>
      <c r="D6395" s="37">
        <v>4.6909999999999998</v>
      </c>
      <c r="E6395" s="33">
        <f t="shared" si="205"/>
        <v>3.8233607340817833E-5</v>
      </c>
    </row>
    <row r="6396" spans="1:5" x14ac:dyDescent="0.25">
      <c r="A6396" s="41">
        <v>43732</v>
      </c>
      <c r="B6396" s="29">
        <v>262.20999999999998</v>
      </c>
      <c r="C6396" s="37">
        <f t="shared" si="204"/>
        <v>43.701666666666661</v>
      </c>
      <c r="D6396" s="37">
        <v>4.6909999999999998</v>
      </c>
      <c r="E6396" s="33">
        <f t="shared" si="205"/>
        <v>2.4850894632205888E-3</v>
      </c>
    </row>
    <row r="6397" spans="1:5" x14ac:dyDescent="0.25">
      <c r="A6397" s="41">
        <v>43732</v>
      </c>
      <c r="B6397" s="29">
        <v>262.89999999999998</v>
      </c>
      <c r="C6397" s="37">
        <f t="shared" si="204"/>
        <v>43.816666666666663</v>
      </c>
      <c r="D6397" s="37">
        <v>4.6909999999999998</v>
      </c>
      <c r="E6397" s="33">
        <f t="shared" si="205"/>
        <v>2.6314785858662817E-3</v>
      </c>
    </row>
    <row r="6398" spans="1:5" x14ac:dyDescent="0.25">
      <c r="A6398" s="41">
        <v>43732</v>
      </c>
      <c r="B6398" s="29">
        <v>266.3</v>
      </c>
      <c r="C6398" s="37">
        <f t="shared" si="204"/>
        <v>44.383333333333333</v>
      </c>
      <c r="D6398" s="37">
        <v>4.6909999999999998</v>
      </c>
      <c r="E6398" s="33">
        <f t="shared" si="205"/>
        <v>1.293267402054026E-2</v>
      </c>
    </row>
    <row r="6399" spans="1:5" x14ac:dyDescent="0.25">
      <c r="A6399" s="41">
        <v>43732</v>
      </c>
      <c r="B6399" s="29">
        <v>266.35000000000002</v>
      </c>
      <c r="C6399" s="37">
        <f t="shared" si="204"/>
        <v>44.391666666666673</v>
      </c>
      <c r="D6399" s="37">
        <v>4.6909999999999998</v>
      </c>
      <c r="E6399" s="33">
        <f t="shared" si="205"/>
        <v>1.8775816748032808E-4</v>
      </c>
    </row>
    <row r="6400" spans="1:5" x14ac:dyDescent="0.25">
      <c r="A6400" s="41">
        <v>43732</v>
      </c>
      <c r="B6400" s="29">
        <v>268.13</v>
      </c>
      <c r="C6400" s="37">
        <f t="shared" si="204"/>
        <v>44.688333333333333</v>
      </c>
      <c r="D6400" s="37">
        <v>4.6909999999999998</v>
      </c>
      <c r="E6400" s="33">
        <f t="shared" si="205"/>
        <v>6.682935986483847E-3</v>
      </c>
    </row>
    <row r="6401" spans="1:5" x14ac:dyDescent="0.25">
      <c r="A6401" s="41">
        <v>43732</v>
      </c>
      <c r="B6401" s="29">
        <v>268.44</v>
      </c>
      <c r="C6401" s="37">
        <f t="shared" si="204"/>
        <v>44.74</v>
      </c>
      <c r="D6401" s="37">
        <v>4.6909999999999998</v>
      </c>
      <c r="E6401" s="33">
        <f t="shared" si="205"/>
        <v>1.1561555961660474E-3</v>
      </c>
    </row>
    <row r="6402" spans="1:5" x14ac:dyDescent="0.25">
      <c r="A6402" s="41">
        <v>43732</v>
      </c>
      <c r="B6402" s="29">
        <v>269.95</v>
      </c>
      <c r="C6402" s="37">
        <f t="shared" si="204"/>
        <v>44.991666666666667</v>
      </c>
      <c r="D6402" s="37">
        <v>4.6909999999999998</v>
      </c>
      <c r="E6402" s="33">
        <f t="shared" si="205"/>
        <v>5.6250931306809377E-3</v>
      </c>
    </row>
    <row r="6403" spans="1:5" x14ac:dyDescent="0.25">
      <c r="A6403" s="41">
        <v>43732</v>
      </c>
      <c r="B6403" s="29">
        <v>271.58999999999997</v>
      </c>
      <c r="C6403" s="37">
        <f t="shared" ref="C6403:C6466" si="206">(B6403*100/600)</f>
        <v>45.264999999999993</v>
      </c>
      <c r="D6403" s="37">
        <v>4.6909999999999998</v>
      </c>
      <c r="E6403" s="33">
        <f t="shared" si="205"/>
        <v>6.0751991109464212E-3</v>
      </c>
    </row>
    <row r="6404" spans="1:5" x14ac:dyDescent="0.25">
      <c r="A6404" s="41">
        <v>43732</v>
      </c>
      <c r="B6404" s="29">
        <v>272.39</v>
      </c>
      <c r="C6404" s="37">
        <f t="shared" si="206"/>
        <v>45.398333333333333</v>
      </c>
      <c r="D6404" s="37">
        <v>4.6909999999999998</v>
      </c>
      <c r="E6404" s="33">
        <f t="shared" ref="E6404:E6467" si="207">(B6404-B6403)/B6403</f>
        <v>2.9456165543650776E-3</v>
      </c>
    </row>
    <row r="6405" spans="1:5" x14ac:dyDescent="0.25">
      <c r="A6405" s="41">
        <v>43732</v>
      </c>
      <c r="B6405" s="29">
        <v>274.29000000000002</v>
      </c>
      <c r="C6405" s="37">
        <f t="shared" si="206"/>
        <v>45.715000000000003</v>
      </c>
      <c r="D6405" s="37">
        <v>4.6909999999999998</v>
      </c>
      <c r="E6405" s="33">
        <f t="shared" si="207"/>
        <v>6.9752927787364964E-3</v>
      </c>
    </row>
    <row r="6406" spans="1:5" x14ac:dyDescent="0.25">
      <c r="A6406" s="41">
        <v>43732</v>
      </c>
      <c r="B6406" s="29">
        <v>274.7</v>
      </c>
      <c r="C6406" s="37">
        <f t="shared" si="206"/>
        <v>45.783333333333331</v>
      </c>
      <c r="D6406" s="37">
        <v>4.6909999999999998</v>
      </c>
      <c r="E6406" s="33">
        <f t="shared" si="207"/>
        <v>1.4947683109116925E-3</v>
      </c>
    </row>
    <row r="6407" spans="1:5" x14ac:dyDescent="0.25">
      <c r="A6407" s="41">
        <v>43732</v>
      </c>
      <c r="B6407" s="29">
        <v>275.47000000000003</v>
      </c>
      <c r="C6407" s="37">
        <f t="shared" si="206"/>
        <v>45.911666666666676</v>
      </c>
      <c r="D6407" s="37">
        <v>4.6909999999999998</v>
      </c>
      <c r="E6407" s="33">
        <f t="shared" si="207"/>
        <v>2.8030578813252227E-3</v>
      </c>
    </row>
    <row r="6408" spans="1:5" x14ac:dyDescent="0.25">
      <c r="A6408" s="41">
        <v>43732</v>
      </c>
      <c r="B6408" s="29">
        <v>275.62</v>
      </c>
      <c r="C6408" s="37">
        <f t="shared" si="206"/>
        <v>45.936666666666667</v>
      </c>
      <c r="D6408" s="37">
        <v>4.6909999999999998</v>
      </c>
      <c r="E6408" s="33">
        <f t="shared" si="207"/>
        <v>5.4452390459932935E-4</v>
      </c>
    </row>
    <row r="6409" spans="1:5" x14ac:dyDescent="0.25">
      <c r="A6409" s="41">
        <v>43732</v>
      </c>
      <c r="B6409" s="29">
        <v>275.62</v>
      </c>
      <c r="C6409" s="37">
        <f t="shared" si="206"/>
        <v>45.936666666666667</v>
      </c>
      <c r="D6409" s="37">
        <v>4.6909999999999998</v>
      </c>
      <c r="E6409" s="33">
        <f t="shared" si="207"/>
        <v>0</v>
      </c>
    </row>
    <row r="6410" spans="1:5" x14ac:dyDescent="0.25">
      <c r="A6410" s="41">
        <v>43733</v>
      </c>
      <c r="B6410" s="29">
        <v>262.62</v>
      </c>
      <c r="C6410" s="37">
        <f t="shared" si="206"/>
        <v>43.77</v>
      </c>
      <c r="D6410" s="37">
        <v>4.6909999999999998</v>
      </c>
      <c r="E6410" s="33">
        <f t="shared" si="207"/>
        <v>-4.7166388505913939E-2</v>
      </c>
    </row>
    <row r="6411" spans="1:5" x14ac:dyDescent="0.25">
      <c r="A6411" s="41">
        <v>43733</v>
      </c>
      <c r="B6411" s="29">
        <v>261.88</v>
      </c>
      <c r="C6411" s="37">
        <f t="shared" si="206"/>
        <v>43.646666666666668</v>
      </c>
      <c r="D6411" s="37">
        <v>4.6909999999999998</v>
      </c>
      <c r="E6411" s="33">
        <f t="shared" si="207"/>
        <v>-2.8177595004188908E-3</v>
      </c>
    </row>
    <row r="6412" spans="1:5" x14ac:dyDescent="0.25">
      <c r="A6412" s="41">
        <v>43733</v>
      </c>
      <c r="B6412" s="29">
        <v>261.02</v>
      </c>
      <c r="C6412" s="37">
        <f t="shared" si="206"/>
        <v>43.50333333333333</v>
      </c>
      <c r="D6412" s="37">
        <v>4.6909999999999998</v>
      </c>
      <c r="E6412" s="33">
        <f t="shared" si="207"/>
        <v>-3.2839468458836629E-3</v>
      </c>
    </row>
    <row r="6413" spans="1:5" x14ac:dyDescent="0.25">
      <c r="A6413" s="41">
        <v>43733</v>
      </c>
      <c r="B6413" s="29">
        <v>260.98</v>
      </c>
      <c r="C6413" s="37">
        <f t="shared" si="206"/>
        <v>43.49666666666667</v>
      </c>
      <c r="D6413" s="37">
        <v>4.6909999999999998</v>
      </c>
      <c r="E6413" s="33">
        <f t="shared" si="207"/>
        <v>-1.5324496207173253E-4</v>
      </c>
    </row>
    <row r="6414" spans="1:5" x14ac:dyDescent="0.25">
      <c r="A6414" s="41">
        <v>43733</v>
      </c>
      <c r="B6414" s="29">
        <v>261.20999999999998</v>
      </c>
      <c r="C6414" s="37">
        <f t="shared" si="206"/>
        <v>43.534999999999997</v>
      </c>
      <c r="D6414" s="37">
        <v>4.6909999999999998</v>
      </c>
      <c r="E6414" s="33">
        <f t="shared" si="207"/>
        <v>8.8129358571523229E-4</v>
      </c>
    </row>
    <row r="6415" spans="1:5" x14ac:dyDescent="0.25">
      <c r="A6415" s="41">
        <v>43733</v>
      </c>
      <c r="B6415" s="29">
        <v>261.83</v>
      </c>
      <c r="C6415" s="37">
        <f t="shared" si="206"/>
        <v>43.638333333333335</v>
      </c>
      <c r="D6415" s="37">
        <v>4.6909999999999998</v>
      </c>
      <c r="E6415" s="33">
        <f t="shared" si="207"/>
        <v>2.3735691589143013E-3</v>
      </c>
    </row>
    <row r="6416" spans="1:5" x14ac:dyDescent="0.25">
      <c r="A6416" s="41">
        <v>43733</v>
      </c>
      <c r="B6416" s="29">
        <v>264.27</v>
      </c>
      <c r="C6416" s="37">
        <f t="shared" si="206"/>
        <v>44.045000000000002</v>
      </c>
      <c r="D6416" s="37">
        <v>4.6909999999999998</v>
      </c>
      <c r="E6416" s="33">
        <f t="shared" si="207"/>
        <v>9.3190237940648426E-3</v>
      </c>
    </row>
    <row r="6417" spans="1:5" x14ac:dyDescent="0.25">
      <c r="A6417" s="41">
        <v>43733</v>
      </c>
      <c r="B6417" s="29">
        <v>266.74</v>
      </c>
      <c r="C6417" s="37">
        <f t="shared" si="206"/>
        <v>44.456666666666663</v>
      </c>
      <c r="D6417" s="37">
        <v>4.6909999999999998</v>
      </c>
      <c r="E6417" s="33">
        <f t="shared" si="207"/>
        <v>9.3465016838840103E-3</v>
      </c>
    </row>
    <row r="6418" spans="1:5" x14ac:dyDescent="0.25">
      <c r="A6418" s="41">
        <v>43733</v>
      </c>
      <c r="B6418" s="29">
        <v>270.88</v>
      </c>
      <c r="C6418" s="37">
        <f t="shared" si="206"/>
        <v>45.146666666666668</v>
      </c>
      <c r="D6418" s="37">
        <v>4.6909999999999998</v>
      </c>
      <c r="E6418" s="33">
        <f t="shared" si="207"/>
        <v>1.552073179875529E-2</v>
      </c>
    </row>
    <row r="6419" spans="1:5" x14ac:dyDescent="0.25">
      <c r="A6419" s="41">
        <v>43733</v>
      </c>
      <c r="B6419" s="29">
        <v>272.52</v>
      </c>
      <c r="C6419" s="37">
        <f t="shared" si="206"/>
        <v>45.42</v>
      </c>
      <c r="D6419" s="37">
        <v>4.6909999999999998</v>
      </c>
      <c r="E6419" s="33">
        <f t="shared" si="207"/>
        <v>6.0543414057884909E-3</v>
      </c>
    </row>
    <row r="6420" spans="1:5" x14ac:dyDescent="0.25">
      <c r="A6420" s="41">
        <v>43733</v>
      </c>
      <c r="B6420" s="29">
        <v>273.89999999999998</v>
      </c>
      <c r="C6420" s="37">
        <f t="shared" si="206"/>
        <v>45.649999999999991</v>
      </c>
      <c r="D6420" s="37">
        <v>4.6909999999999998</v>
      </c>
      <c r="E6420" s="33">
        <f t="shared" si="207"/>
        <v>5.0638485248788914E-3</v>
      </c>
    </row>
    <row r="6421" spans="1:5" x14ac:dyDescent="0.25">
      <c r="A6421" s="41">
        <v>43733</v>
      </c>
      <c r="B6421" s="29">
        <v>275.12</v>
      </c>
      <c r="C6421" s="37">
        <f t="shared" si="206"/>
        <v>45.853333333333332</v>
      </c>
      <c r="D6421" s="37">
        <v>4.6909999999999998</v>
      </c>
      <c r="E6421" s="33">
        <f t="shared" si="207"/>
        <v>4.4541803577949155E-3</v>
      </c>
    </row>
    <row r="6422" spans="1:5" x14ac:dyDescent="0.25">
      <c r="A6422" s="41">
        <v>43733</v>
      </c>
      <c r="B6422" s="29">
        <v>273.41000000000003</v>
      </c>
      <c r="C6422" s="37">
        <f t="shared" si="206"/>
        <v>45.568333333333342</v>
      </c>
      <c r="D6422" s="37">
        <v>4.6909999999999998</v>
      </c>
      <c r="E6422" s="33">
        <f t="shared" si="207"/>
        <v>-6.2154696132595937E-3</v>
      </c>
    </row>
    <row r="6423" spans="1:5" x14ac:dyDescent="0.25">
      <c r="A6423" s="41">
        <v>43733</v>
      </c>
      <c r="B6423" s="29">
        <v>275.18</v>
      </c>
      <c r="C6423" s="37">
        <f t="shared" si="206"/>
        <v>45.863333333333337</v>
      </c>
      <c r="D6423" s="37">
        <v>4.6909999999999998</v>
      </c>
      <c r="E6423" s="33">
        <f t="shared" si="207"/>
        <v>6.4737939358471951E-3</v>
      </c>
    </row>
    <row r="6424" spans="1:5" x14ac:dyDescent="0.25">
      <c r="A6424" s="41">
        <v>43733</v>
      </c>
      <c r="B6424" s="29">
        <v>276.88</v>
      </c>
      <c r="C6424" s="37">
        <f t="shared" si="206"/>
        <v>46.146666666666668</v>
      </c>
      <c r="D6424" s="37">
        <v>4.6909999999999998</v>
      </c>
      <c r="E6424" s="33">
        <f t="shared" si="207"/>
        <v>6.1777745475688223E-3</v>
      </c>
    </row>
    <row r="6425" spans="1:5" x14ac:dyDescent="0.25">
      <c r="A6425" s="41">
        <v>43733</v>
      </c>
      <c r="B6425" s="29">
        <v>276.57</v>
      </c>
      <c r="C6425" s="37">
        <f t="shared" si="206"/>
        <v>46.094999999999999</v>
      </c>
      <c r="D6425" s="37">
        <v>4.6909999999999998</v>
      </c>
      <c r="E6425" s="33">
        <f t="shared" si="207"/>
        <v>-1.1196186073389276E-3</v>
      </c>
    </row>
    <row r="6426" spans="1:5" x14ac:dyDescent="0.25">
      <c r="A6426" s="41">
        <v>43733</v>
      </c>
      <c r="B6426" s="29">
        <v>275.77</v>
      </c>
      <c r="C6426" s="37">
        <f t="shared" si="206"/>
        <v>45.961666666666666</v>
      </c>
      <c r="D6426" s="37">
        <v>4.6909999999999998</v>
      </c>
      <c r="E6426" s="33">
        <f t="shared" si="207"/>
        <v>-2.8925769244676262E-3</v>
      </c>
    </row>
    <row r="6427" spans="1:5" x14ac:dyDescent="0.25">
      <c r="A6427" s="41">
        <v>43733</v>
      </c>
      <c r="B6427" s="29">
        <v>273.62</v>
      </c>
      <c r="C6427" s="37">
        <f t="shared" si="206"/>
        <v>45.603333333333332</v>
      </c>
      <c r="D6427" s="37">
        <v>4.6909999999999998</v>
      </c>
      <c r="E6427" s="33">
        <f t="shared" si="207"/>
        <v>-7.7963520324907621E-3</v>
      </c>
    </row>
    <row r="6428" spans="1:5" x14ac:dyDescent="0.25">
      <c r="A6428" s="41">
        <v>43733</v>
      </c>
      <c r="B6428" s="29">
        <v>275.18</v>
      </c>
      <c r="C6428" s="37">
        <f t="shared" si="206"/>
        <v>45.863333333333337</v>
      </c>
      <c r="D6428" s="37">
        <v>4.6909999999999998</v>
      </c>
      <c r="E6428" s="33">
        <f t="shared" si="207"/>
        <v>5.7013376215189031E-3</v>
      </c>
    </row>
    <row r="6429" spans="1:5" x14ac:dyDescent="0.25">
      <c r="A6429" s="41">
        <v>43733</v>
      </c>
      <c r="B6429" s="29">
        <v>274.77</v>
      </c>
      <c r="C6429" s="37">
        <f t="shared" si="206"/>
        <v>45.795000000000002</v>
      </c>
      <c r="D6429" s="37">
        <v>4.6909999999999998</v>
      </c>
      <c r="E6429" s="33">
        <f t="shared" si="207"/>
        <v>-1.4899338614725816E-3</v>
      </c>
    </row>
    <row r="6430" spans="1:5" x14ac:dyDescent="0.25">
      <c r="A6430" s="41">
        <v>43733</v>
      </c>
      <c r="B6430" s="29">
        <v>274.2</v>
      </c>
      <c r="C6430" s="37">
        <f t="shared" si="206"/>
        <v>45.7</v>
      </c>
      <c r="D6430" s="37">
        <v>4.6909999999999998</v>
      </c>
      <c r="E6430" s="33">
        <f t="shared" si="207"/>
        <v>-2.0744622775411914E-3</v>
      </c>
    </row>
    <row r="6431" spans="1:5" x14ac:dyDescent="0.25">
      <c r="A6431" s="41">
        <v>43733</v>
      </c>
      <c r="B6431" s="29">
        <v>273.66000000000003</v>
      </c>
      <c r="C6431" s="37">
        <f t="shared" si="206"/>
        <v>45.610000000000007</v>
      </c>
      <c r="D6431" s="37">
        <v>4.6909999999999998</v>
      </c>
      <c r="E6431" s="33">
        <f t="shared" si="207"/>
        <v>-1.9693654266957098E-3</v>
      </c>
    </row>
    <row r="6432" spans="1:5" x14ac:dyDescent="0.25">
      <c r="A6432" s="41">
        <v>43733</v>
      </c>
      <c r="B6432" s="29">
        <v>271.88</v>
      </c>
      <c r="C6432" s="37">
        <f t="shared" si="206"/>
        <v>45.313333333333333</v>
      </c>
      <c r="D6432" s="37">
        <v>4.6909999999999998</v>
      </c>
      <c r="E6432" s="33">
        <f t="shared" si="207"/>
        <v>-6.5044215449829327E-3</v>
      </c>
    </row>
    <row r="6433" spans="1:5" x14ac:dyDescent="0.25">
      <c r="A6433" s="41">
        <v>43733</v>
      </c>
      <c r="B6433" s="29">
        <v>267.52</v>
      </c>
      <c r="C6433" s="37">
        <f t="shared" si="206"/>
        <v>44.586666666666666</v>
      </c>
      <c r="D6433" s="37">
        <v>4.6909999999999998</v>
      </c>
      <c r="E6433" s="33">
        <f t="shared" si="207"/>
        <v>-1.603648668530239E-2</v>
      </c>
    </row>
    <row r="6434" spans="1:5" x14ac:dyDescent="0.25">
      <c r="A6434" s="41">
        <v>43734</v>
      </c>
      <c r="B6434" s="29">
        <v>265.2</v>
      </c>
      <c r="C6434" s="37">
        <f t="shared" si="206"/>
        <v>44.2</v>
      </c>
      <c r="D6434" s="37">
        <v>4.5679999999999996</v>
      </c>
      <c r="E6434" s="33">
        <f t="shared" si="207"/>
        <v>-8.6722488038277271E-3</v>
      </c>
    </row>
    <row r="6435" spans="1:5" x14ac:dyDescent="0.25">
      <c r="A6435" s="41">
        <v>43734</v>
      </c>
      <c r="B6435" s="29">
        <v>263.92</v>
      </c>
      <c r="C6435" s="37">
        <f t="shared" si="206"/>
        <v>43.986666666666665</v>
      </c>
      <c r="D6435" s="37">
        <v>4.5679999999999996</v>
      </c>
      <c r="E6435" s="33">
        <f t="shared" si="207"/>
        <v>-4.8265460030164882E-3</v>
      </c>
    </row>
    <row r="6436" spans="1:5" x14ac:dyDescent="0.25">
      <c r="A6436" s="41">
        <v>43734</v>
      </c>
      <c r="B6436" s="29">
        <v>263.08999999999997</v>
      </c>
      <c r="C6436" s="37">
        <f t="shared" si="206"/>
        <v>43.848333333333329</v>
      </c>
      <c r="D6436" s="37">
        <v>4.5679999999999996</v>
      </c>
      <c r="E6436" s="33">
        <f t="shared" si="207"/>
        <v>-3.1448923916339833E-3</v>
      </c>
    </row>
    <row r="6437" spans="1:5" x14ac:dyDescent="0.25">
      <c r="A6437" s="41">
        <v>43734</v>
      </c>
      <c r="B6437" s="29">
        <v>262.42</v>
      </c>
      <c r="C6437" s="37">
        <f t="shared" si="206"/>
        <v>43.736666666666665</v>
      </c>
      <c r="D6437" s="37">
        <v>4.5679999999999996</v>
      </c>
      <c r="E6437" s="33">
        <f t="shared" si="207"/>
        <v>-2.5466570375155236E-3</v>
      </c>
    </row>
    <row r="6438" spans="1:5" x14ac:dyDescent="0.25">
      <c r="A6438" s="41">
        <v>43734</v>
      </c>
      <c r="B6438" s="29">
        <v>262.38</v>
      </c>
      <c r="C6438" s="37">
        <f t="shared" si="206"/>
        <v>43.73</v>
      </c>
      <c r="D6438" s="37">
        <v>4.5679999999999996</v>
      </c>
      <c r="E6438" s="33">
        <f t="shared" si="207"/>
        <v>-1.5242740644775727E-4</v>
      </c>
    </row>
    <row r="6439" spans="1:5" x14ac:dyDescent="0.25">
      <c r="A6439" s="41">
        <v>43734</v>
      </c>
      <c r="B6439" s="29">
        <v>262.37</v>
      </c>
      <c r="C6439" s="37">
        <f t="shared" si="206"/>
        <v>43.728333333333332</v>
      </c>
      <c r="D6439" s="37">
        <v>4.5679999999999996</v>
      </c>
      <c r="E6439" s="33">
        <f t="shared" si="207"/>
        <v>-3.811266102595817E-5</v>
      </c>
    </row>
    <row r="6440" spans="1:5" x14ac:dyDescent="0.25">
      <c r="A6440" s="41">
        <v>43734</v>
      </c>
      <c r="B6440" s="29">
        <v>262.35000000000002</v>
      </c>
      <c r="C6440" s="37">
        <f t="shared" si="206"/>
        <v>43.725000000000009</v>
      </c>
      <c r="D6440" s="37">
        <v>4.5679999999999996</v>
      </c>
      <c r="E6440" s="33">
        <f t="shared" si="207"/>
        <v>-7.6228227312504515E-5</v>
      </c>
    </row>
    <row r="6441" spans="1:5" x14ac:dyDescent="0.25">
      <c r="A6441" s="41">
        <v>43734</v>
      </c>
      <c r="B6441" s="29">
        <v>262.33999999999997</v>
      </c>
      <c r="C6441" s="37">
        <f t="shared" si="206"/>
        <v>43.723333333333329</v>
      </c>
      <c r="D6441" s="37">
        <v>4.5679999999999996</v>
      </c>
      <c r="E6441" s="33">
        <f t="shared" si="207"/>
        <v>-3.8117019249276721E-5</v>
      </c>
    </row>
    <row r="6442" spans="1:5" x14ac:dyDescent="0.25">
      <c r="A6442" s="41">
        <v>43734</v>
      </c>
      <c r="B6442" s="29">
        <v>262.33</v>
      </c>
      <c r="C6442" s="37">
        <f t="shared" si="206"/>
        <v>43.721666666666664</v>
      </c>
      <c r="D6442" s="37">
        <v>4.5679999999999996</v>
      </c>
      <c r="E6442" s="33">
        <f t="shared" si="207"/>
        <v>-3.8118472211599091E-5</v>
      </c>
    </row>
    <row r="6443" spans="1:5" x14ac:dyDescent="0.25">
      <c r="A6443" s="41">
        <v>43734</v>
      </c>
      <c r="B6443" s="29">
        <v>262.37</v>
      </c>
      <c r="C6443" s="37">
        <f t="shared" si="206"/>
        <v>43.728333333333332</v>
      </c>
      <c r="D6443" s="37">
        <v>4.5679999999999996</v>
      </c>
      <c r="E6443" s="33">
        <f t="shared" si="207"/>
        <v>1.5247970113986379E-4</v>
      </c>
    </row>
    <row r="6444" spans="1:5" x14ac:dyDescent="0.25">
      <c r="A6444" s="41">
        <v>43734</v>
      </c>
      <c r="B6444" s="29">
        <v>262.98</v>
      </c>
      <c r="C6444" s="37">
        <f t="shared" si="206"/>
        <v>43.83</v>
      </c>
      <c r="D6444" s="37">
        <v>4.5679999999999996</v>
      </c>
      <c r="E6444" s="33">
        <f t="shared" si="207"/>
        <v>2.3249609330335541E-3</v>
      </c>
    </row>
    <row r="6445" spans="1:5" x14ac:dyDescent="0.25">
      <c r="A6445" s="41">
        <v>43734</v>
      </c>
      <c r="B6445" s="29">
        <v>264.27999999999997</v>
      </c>
      <c r="C6445" s="37">
        <f t="shared" si="206"/>
        <v>44.04666666666666</v>
      </c>
      <c r="D6445" s="37">
        <v>4.5679999999999996</v>
      </c>
      <c r="E6445" s="33">
        <f t="shared" si="207"/>
        <v>4.9433416989883433E-3</v>
      </c>
    </row>
    <row r="6446" spans="1:5" x14ac:dyDescent="0.25">
      <c r="A6446" s="41">
        <v>43734</v>
      </c>
      <c r="B6446" s="29">
        <v>265.64999999999998</v>
      </c>
      <c r="C6446" s="37">
        <f t="shared" si="206"/>
        <v>44.274999999999991</v>
      </c>
      <c r="D6446" s="37">
        <v>4.5679999999999996</v>
      </c>
      <c r="E6446" s="33">
        <f t="shared" si="207"/>
        <v>5.1838958680187853E-3</v>
      </c>
    </row>
    <row r="6447" spans="1:5" x14ac:dyDescent="0.25">
      <c r="A6447" s="41">
        <v>43734</v>
      </c>
      <c r="B6447" s="29">
        <v>265.67</v>
      </c>
      <c r="C6447" s="37">
        <f t="shared" si="206"/>
        <v>44.278333333333336</v>
      </c>
      <c r="D6447" s="37">
        <v>4.5679999999999996</v>
      </c>
      <c r="E6447" s="33">
        <f t="shared" si="207"/>
        <v>7.5287031808916448E-5</v>
      </c>
    </row>
    <row r="6448" spans="1:5" x14ac:dyDescent="0.25">
      <c r="A6448" s="41">
        <v>43734</v>
      </c>
      <c r="B6448" s="29">
        <v>266.43</v>
      </c>
      <c r="C6448" s="37">
        <f t="shared" si="206"/>
        <v>44.405000000000001</v>
      </c>
      <c r="D6448" s="37">
        <v>4.5679999999999996</v>
      </c>
      <c r="E6448" s="33">
        <f t="shared" si="207"/>
        <v>2.8606918357360293E-3</v>
      </c>
    </row>
    <row r="6449" spans="1:5" x14ac:dyDescent="0.25">
      <c r="A6449" s="41">
        <v>43734</v>
      </c>
      <c r="B6449" s="29">
        <v>269.56</v>
      </c>
      <c r="C6449" s="37">
        <f t="shared" si="206"/>
        <v>44.926666666666669</v>
      </c>
      <c r="D6449" s="37">
        <v>4.5679999999999996</v>
      </c>
      <c r="E6449" s="33">
        <f t="shared" si="207"/>
        <v>1.1747926284577544E-2</v>
      </c>
    </row>
    <row r="6450" spans="1:5" x14ac:dyDescent="0.25">
      <c r="A6450" s="41">
        <v>43734</v>
      </c>
      <c r="B6450" s="29">
        <v>270.08</v>
      </c>
      <c r="C6450" s="37">
        <f t="shared" si="206"/>
        <v>45.013333333333335</v>
      </c>
      <c r="D6450" s="37">
        <v>4.5679999999999996</v>
      </c>
      <c r="E6450" s="33">
        <f t="shared" si="207"/>
        <v>1.9290695948953175E-3</v>
      </c>
    </row>
    <row r="6451" spans="1:5" x14ac:dyDescent="0.25">
      <c r="A6451" s="41">
        <v>43734</v>
      </c>
      <c r="B6451" s="29">
        <v>271.82</v>
      </c>
      <c r="C6451" s="37">
        <f t="shared" si="206"/>
        <v>45.303333333333335</v>
      </c>
      <c r="D6451" s="37">
        <v>4.5679999999999996</v>
      </c>
      <c r="E6451" s="33">
        <f t="shared" si="207"/>
        <v>6.4425355450237311E-3</v>
      </c>
    </row>
    <row r="6452" spans="1:5" x14ac:dyDescent="0.25">
      <c r="A6452" s="41">
        <v>43734</v>
      </c>
      <c r="B6452" s="29">
        <v>274.18</v>
      </c>
      <c r="C6452" s="37">
        <f t="shared" si="206"/>
        <v>45.696666666666665</v>
      </c>
      <c r="D6452" s="37">
        <v>4.5679999999999996</v>
      </c>
      <c r="E6452" s="33">
        <f t="shared" si="207"/>
        <v>8.6822161724671235E-3</v>
      </c>
    </row>
    <row r="6453" spans="1:5" x14ac:dyDescent="0.25">
      <c r="A6453" s="41">
        <v>43734</v>
      </c>
      <c r="B6453" s="29">
        <v>275.52</v>
      </c>
      <c r="C6453" s="37">
        <f t="shared" si="206"/>
        <v>45.92</v>
      </c>
      <c r="D6453" s="37">
        <v>4.5679999999999996</v>
      </c>
      <c r="E6453" s="33">
        <f t="shared" si="207"/>
        <v>4.8873003136624665E-3</v>
      </c>
    </row>
    <row r="6454" spans="1:5" x14ac:dyDescent="0.25">
      <c r="A6454" s="41">
        <v>43734</v>
      </c>
      <c r="B6454" s="29">
        <v>276.74</v>
      </c>
      <c r="C6454" s="37">
        <f t="shared" si="206"/>
        <v>46.123333333333335</v>
      </c>
      <c r="D6454" s="37">
        <v>4.5679999999999996</v>
      </c>
      <c r="E6454" s="33">
        <f t="shared" si="207"/>
        <v>4.4279907084786123E-3</v>
      </c>
    </row>
    <row r="6455" spans="1:5" x14ac:dyDescent="0.25">
      <c r="A6455" s="41">
        <v>43734</v>
      </c>
      <c r="B6455" s="29">
        <v>277.24</v>
      </c>
      <c r="C6455" s="37">
        <f t="shared" si="206"/>
        <v>46.206666666666663</v>
      </c>
      <c r="D6455" s="37">
        <v>4.5679999999999996</v>
      </c>
      <c r="E6455" s="33">
        <f t="shared" si="207"/>
        <v>1.8067500180675002E-3</v>
      </c>
    </row>
    <row r="6456" spans="1:5" x14ac:dyDescent="0.25">
      <c r="A6456" s="41">
        <v>43734</v>
      </c>
      <c r="B6456" s="29">
        <v>277.20999999999998</v>
      </c>
      <c r="C6456" s="37">
        <f t="shared" si="206"/>
        <v>46.201666666666661</v>
      </c>
      <c r="D6456" s="37">
        <v>4.5679999999999996</v>
      </c>
      <c r="E6456" s="33">
        <f t="shared" si="207"/>
        <v>-1.0820949357967666E-4</v>
      </c>
    </row>
    <row r="6457" spans="1:5" x14ac:dyDescent="0.25">
      <c r="A6457" s="41">
        <v>43734</v>
      </c>
      <c r="B6457" s="29">
        <v>277.19</v>
      </c>
      <c r="C6457" s="37">
        <f t="shared" si="206"/>
        <v>46.198333333333331</v>
      </c>
      <c r="D6457" s="37">
        <v>4.5679999999999996</v>
      </c>
      <c r="E6457" s="33">
        <f t="shared" si="207"/>
        <v>-7.2147469427444221E-5</v>
      </c>
    </row>
    <row r="6458" spans="1:5" x14ac:dyDescent="0.25">
      <c r="A6458" s="41">
        <v>43735</v>
      </c>
      <c r="B6458" s="29">
        <v>263.42</v>
      </c>
      <c r="C6458" s="37">
        <f t="shared" si="206"/>
        <v>43.903333333333336</v>
      </c>
      <c r="D6458" s="37">
        <v>4.2969999999999997</v>
      </c>
      <c r="E6458" s="33">
        <f t="shared" si="207"/>
        <v>-4.9677116779104517E-2</v>
      </c>
    </row>
    <row r="6459" spans="1:5" x14ac:dyDescent="0.25">
      <c r="A6459" s="41">
        <v>43735</v>
      </c>
      <c r="B6459" s="29">
        <v>262.18</v>
      </c>
      <c r="C6459" s="37">
        <f t="shared" si="206"/>
        <v>43.696666666666665</v>
      </c>
      <c r="D6459" s="37">
        <v>4.2969999999999997</v>
      </c>
      <c r="E6459" s="33">
        <f t="shared" si="207"/>
        <v>-4.7073115177283771E-3</v>
      </c>
    </row>
    <row r="6460" spans="1:5" x14ac:dyDescent="0.25">
      <c r="A6460" s="41">
        <v>43735</v>
      </c>
      <c r="B6460" s="29">
        <v>262.12</v>
      </c>
      <c r="C6460" s="37">
        <f t="shared" si="206"/>
        <v>43.686666666666667</v>
      </c>
      <c r="D6460" s="37">
        <v>4.2969999999999997</v>
      </c>
      <c r="E6460" s="33">
        <f t="shared" si="207"/>
        <v>-2.2885040811656981E-4</v>
      </c>
    </row>
    <row r="6461" spans="1:5" x14ac:dyDescent="0.25">
      <c r="A6461" s="41">
        <v>43735</v>
      </c>
      <c r="B6461" s="29">
        <v>262.12</v>
      </c>
      <c r="C6461" s="37">
        <f t="shared" si="206"/>
        <v>43.686666666666667</v>
      </c>
      <c r="D6461" s="37">
        <v>4.2969999999999997</v>
      </c>
      <c r="E6461" s="33">
        <f t="shared" si="207"/>
        <v>0</v>
      </c>
    </row>
    <row r="6462" spans="1:5" x14ac:dyDescent="0.25">
      <c r="A6462" s="41">
        <v>43735</v>
      </c>
      <c r="B6462" s="29">
        <v>262.12</v>
      </c>
      <c r="C6462" s="37">
        <f t="shared" si="206"/>
        <v>43.686666666666667</v>
      </c>
      <c r="D6462" s="37">
        <v>4.2969999999999997</v>
      </c>
      <c r="E6462" s="33">
        <f t="shared" si="207"/>
        <v>0</v>
      </c>
    </row>
    <row r="6463" spans="1:5" x14ac:dyDescent="0.25">
      <c r="A6463" s="41">
        <v>43735</v>
      </c>
      <c r="B6463" s="29">
        <v>262.95999999999998</v>
      </c>
      <c r="C6463" s="37">
        <f t="shared" si="206"/>
        <v>43.826666666666661</v>
      </c>
      <c r="D6463" s="37">
        <v>4.2969999999999997</v>
      </c>
      <c r="E6463" s="33">
        <f t="shared" si="207"/>
        <v>3.2046390965968828E-3</v>
      </c>
    </row>
    <row r="6464" spans="1:5" x14ac:dyDescent="0.25">
      <c r="A6464" s="41">
        <v>43735</v>
      </c>
      <c r="B6464" s="29">
        <v>266.68</v>
      </c>
      <c r="C6464" s="37">
        <f t="shared" si="206"/>
        <v>44.446666666666665</v>
      </c>
      <c r="D6464" s="37">
        <v>4.2969999999999997</v>
      </c>
      <c r="E6464" s="33">
        <f t="shared" si="207"/>
        <v>1.4146638271980634E-2</v>
      </c>
    </row>
    <row r="6465" spans="1:5" x14ac:dyDescent="0.25">
      <c r="A6465" s="41">
        <v>43735</v>
      </c>
      <c r="B6465" s="29">
        <v>267.58999999999997</v>
      </c>
      <c r="C6465" s="37">
        <f t="shared" si="206"/>
        <v>44.598333333333329</v>
      </c>
      <c r="D6465" s="37">
        <v>4.2969999999999997</v>
      </c>
      <c r="E6465" s="33">
        <f t="shared" si="207"/>
        <v>3.4123293835307041E-3</v>
      </c>
    </row>
    <row r="6466" spans="1:5" x14ac:dyDescent="0.25">
      <c r="A6466" s="41">
        <v>43735</v>
      </c>
      <c r="B6466" s="29">
        <v>272.43</v>
      </c>
      <c r="C6466" s="37">
        <f t="shared" si="206"/>
        <v>45.405000000000001</v>
      </c>
      <c r="D6466" s="37">
        <v>4.2969999999999997</v>
      </c>
      <c r="E6466" s="33">
        <f t="shared" si="207"/>
        <v>1.8087372472813005E-2</v>
      </c>
    </row>
    <row r="6467" spans="1:5" x14ac:dyDescent="0.25">
      <c r="A6467" s="41">
        <v>43735</v>
      </c>
      <c r="B6467" s="29">
        <v>275.43</v>
      </c>
      <c r="C6467" s="37">
        <f t="shared" ref="C6467:C6530" si="208">(B6467*100/600)</f>
        <v>45.905000000000001</v>
      </c>
      <c r="D6467" s="37">
        <v>4.2969999999999997</v>
      </c>
      <c r="E6467" s="33">
        <f t="shared" si="207"/>
        <v>1.1012003083360863E-2</v>
      </c>
    </row>
    <row r="6468" spans="1:5" x14ac:dyDescent="0.25">
      <c r="A6468" s="41">
        <v>43735</v>
      </c>
      <c r="B6468" s="29">
        <v>276.45999999999998</v>
      </c>
      <c r="C6468" s="37">
        <f t="shared" si="208"/>
        <v>46.076666666666661</v>
      </c>
      <c r="D6468" s="37">
        <v>4.2969999999999997</v>
      </c>
      <c r="E6468" s="33">
        <f t="shared" ref="E6468:E6531" si="209">(B6468-B6467)/B6467</f>
        <v>3.7396071597138028E-3</v>
      </c>
    </row>
    <row r="6469" spans="1:5" x14ac:dyDescent="0.25">
      <c r="A6469" s="41">
        <v>43735</v>
      </c>
      <c r="B6469" s="29">
        <v>276.74</v>
      </c>
      <c r="C6469" s="37">
        <f t="shared" si="208"/>
        <v>46.123333333333335</v>
      </c>
      <c r="D6469" s="37">
        <v>4.2969999999999997</v>
      </c>
      <c r="E6469" s="33">
        <f t="shared" si="209"/>
        <v>1.0128047457137726E-3</v>
      </c>
    </row>
    <row r="6470" spans="1:5" x14ac:dyDescent="0.25">
      <c r="A6470" s="41">
        <v>43735</v>
      </c>
      <c r="B6470" s="29">
        <v>275.95999999999998</v>
      </c>
      <c r="C6470" s="37">
        <f t="shared" si="208"/>
        <v>45.993333333333325</v>
      </c>
      <c r="D6470" s="37">
        <v>4.2969999999999997</v>
      </c>
      <c r="E6470" s="33">
        <f t="shared" si="209"/>
        <v>-2.8185300281854072E-3</v>
      </c>
    </row>
    <row r="6471" spans="1:5" x14ac:dyDescent="0.25">
      <c r="A6471" s="41">
        <v>43735</v>
      </c>
      <c r="B6471" s="29">
        <v>276.92</v>
      </c>
      <c r="C6471" s="37">
        <f t="shared" si="208"/>
        <v>46.153333333333336</v>
      </c>
      <c r="D6471" s="37">
        <v>4.2969999999999997</v>
      </c>
      <c r="E6471" s="33">
        <f t="shared" si="209"/>
        <v>3.4787650384114962E-3</v>
      </c>
    </row>
    <row r="6472" spans="1:5" x14ac:dyDescent="0.25">
      <c r="A6472" s="41">
        <v>43735</v>
      </c>
      <c r="B6472" s="29">
        <v>277.32</v>
      </c>
      <c r="C6472" s="37">
        <f t="shared" si="208"/>
        <v>46.22</v>
      </c>
      <c r="D6472" s="37">
        <v>4.2969999999999997</v>
      </c>
      <c r="E6472" s="33">
        <f t="shared" si="209"/>
        <v>1.4444604940054067E-3</v>
      </c>
    </row>
    <row r="6473" spans="1:5" x14ac:dyDescent="0.25">
      <c r="A6473" s="41">
        <v>43735</v>
      </c>
      <c r="B6473" s="29">
        <v>277.02999999999997</v>
      </c>
      <c r="C6473" s="37">
        <f t="shared" si="208"/>
        <v>46.17166666666666</v>
      </c>
      <c r="D6473" s="37">
        <v>4.2969999999999997</v>
      </c>
      <c r="E6473" s="33">
        <f t="shared" si="209"/>
        <v>-1.0457233520843087E-3</v>
      </c>
    </row>
    <row r="6474" spans="1:5" x14ac:dyDescent="0.25">
      <c r="A6474" s="41">
        <v>43735</v>
      </c>
      <c r="B6474" s="29">
        <v>276.74</v>
      </c>
      <c r="C6474" s="37">
        <f t="shared" si="208"/>
        <v>46.123333333333335</v>
      </c>
      <c r="D6474" s="37">
        <v>4.2969999999999997</v>
      </c>
      <c r="E6474" s="33">
        <f t="shared" si="209"/>
        <v>-1.046818034147795E-3</v>
      </c>
    </row>
    <row r="6475" spans="1:5" x14ac:dyDescent="0.25">
      <c r="A6475" s="41">
        <v>43735</v>
      </c>
      <c r="B6475" s="29">
        <v>275.7</v>
      </c>
      <c r="C6475" s="37">
        <f t="shared" si="208"/>
        <v>45.95</v>
      </c>
      <c r="D6475" s="37">
        <v>4.2969999999999997</v>
      </c>
      <c r="E6475" s="33">
        <f t="shared" si="209"/>
        <v>-3.7580400375804741E-3</v>
      </c>
    </row>
    <row r="6476" spans="1:5" x14ac:dyDescent="0.25">
      <c r="A6476" s="41">
        <v>43735</v>
      </c>
      <c r="B6476" s="29">
        <v>276.25</v>
      </c>
      <c r="C6476" s="37">
        <f t="shared" si="208"/>
        <v>46.041666666666664</v>
      </c>
      <c r="D6476" s="37">
        <v>4.2969999999999997</v>
      </c>
      <c r="E6476" s="33">
        <f t="shared" si="209"/>
        <v>1.9949220166848437E-3</v>
      </c>
    </row>
    <row r="6477" spans="1:5" x14ac:dyDescent="0.25">
      <c r="A6477" s="41">
        <v>43735</v>
      </c>
      <c r="B6477" s="29">
        <v>275.70999999999998</v>
      </c>
      <c r="C6477" s="37">
        <f t="shared" si="208"/>
        <v>45.951666666666661</v>
      </c>
      <c r="D6477" s="37">
        <v>4.2969999999999997</v>
      </c>
      <c r="E6477" s="33">
        <f t="shared" si="209"/>
        <v>-1.9547511312217936E-3</v>
      </c>
    </row>
    <row r="6478" spans="1:5" x14ac:dyDescent="0.25">
      <c r="A6478" s="41">
        <v>43735</v>
      </c>
      <c r="B6478" s="29">
        <v>275.52999999999997</v>
      </c>
      <c r="C6478" s="37">
        <f t="shared" si="208"/>
        <v>45.92166666666666</v>
      </c>
      <c r="D6478" s="37">
        <v>4.2969999999999997</v>
      </c>
      <c r="E6478" s="33">
        <f t="shared" si="209"/>
        <v>-6.5285988901384365E-4</v>
      </c>
    </row>
    <row r="6479" spans="1:5" x14ac:dyDescent="0.25">
      <c r="A6479" s="41">
        <v>43735</v>
      </c>
      <c r="B6479" s="29">
        <v>274.98</v>
      </c>
      <c r="C6479" s="37">
        <f t="shared" si="208"/>
        <v>45.83</v>
      </c>
      <c r="D6479" s="37">
        <v>4.2969999999999997</v>
      </c>
      <c r="E6479" s="33">
        <f t="shared" si="209"/>
        <v>-1.9961528690159132E-3</v>
      </c>
    </row>
    <row r="6480" spans="1:5" x14ac:dyDescent="0.25">
      <c r="A6480" s="41">
        <v>43735</v>
      </c>
      <c r="B6480" s="29">
        <v>272.3</v>
      </c>
      <c r="C6480" s="37">
        <f t="shared" si="208"/>
        <v>45.383333333333333</v>
      </c>
      <c r="D6480" s="37">
        <v>4.2969999999999997</v>
      </c>
      <c r="E6480" s="33">
        <f t="shared" si="209"/>
        <v>-9.7461633573351029E-3</v>
      </c>
    </row>
    <row r="6481" spans="1:5" x14ac:dyDescent="0.25">
      <c r="A6481" s="41">
        <v>43735</v>
      </c>
      <c r="B6481" s="29">
        <v>268.39999999999998</v>
      </c>
      <c r="C6481" s="37">
        <f t="shared" si="208"/>
        <v>44.733333333333327</v>
      </c>
      <c r="D6481" s="37">
        <v>4.2969999999999997</v>
      </c>
      <c r="E6481" s="33">
        <f t="shared" si="209"/>
        <v>-1.4322438486963034E-2</v>
      </c>
    </row>
    <row r="6482" spans="1:5" x14ac:dyDescent="0.25">
      <c r="A6482" s="41">
        <v>43736</v>
      </c>
      <c r="B6482" s="29">
        <v>314.14</v>
      </c>
      <c r="C6482" s="37">
        <f t="shared" si="208"/>
        <v>52.356666666666669</v>
      </c>
      <c r="D6482" s="37">
        <v>4.0019999999999998</v>
      </c>
      <c r="E6482" s="33">
        <f t="shared" si="209"/>
        <v>0.17041728763040243</v>
      </c>
    </row>
    <row r="6483" spans="1:5" x14ac:dyDescent="0.25">
      <c r="A6483" s="41">
        <v>43736</v>
      </c>
      <c r="B6483" s="29">
        <v>312.81</v>
      </c>
      <c r="C6483" s="37">
        <f t="shared" si="208"/>
        <v>52.134999999999998</v>
      </c>
      <c r="D6483" s="37">
        <v>4.0019999999999998</v>
      </c>
      <c r="E6483" s="33">
        <f t="shared" si="209"/>
        <v>-4.2337811166995101E-3</v>
      </c>
    </row>
    <row r="6484" spans="1:5" x14ac:dyDescent="0.25">
      <c r="A6484" s="41">
        <v>43736</v>
      </c>
      <c r="B6484" s="29">
        <v>310.5</v>
      </c>
      <c r="C6484" s="37">
        <f t="shared" si="208"/>
        <v>51.75</v>
      </c>
      <c r="D6484" s="37">
        <v>4.0019999999999998</v>
      </c>
      <c r="E6484" s="33">
        <f t="shared" si="209"/>
        <v>-7.3846744029922393E-3</v>
      </c>
    </row>
    <row r="6485" spans="1:5" x14ac:dyDescent="0.25">
      <c r="A6485" s="41">
        <v>43736</v>
      </c>
      <c r="B6485" s="29">
        <v>309.52999999999997</v>
      </c>
      <c r="C6485" s="37">
        <f t="shared" si="208"/>
        <v>51.588333333333324</v>
      </c>
      <c r="D6485" s="37">
        <v>4.0019999999999998</v>
      </c>
      <c r="E6485" s="33">
        <f t="shared" si="209"/>
        <v>-3.1239935587762556E-3</v>
      </c>
    </row>
    <row r="6486" spans="1:5" x14ac:dyDescent="0.25">
      <c r="A6486" s="41">
        <v>43736</v>
      </c>
      <c r="B6486" s="29">
        <v>309.52999999999997</v>
      </c>
      <c r="C6486" s="37">
        <f t="shared" si="208"/>
        <v>51.588333333333324</v>
      </c>
      <c r="D6486" s="37">
        <v>4.0019999999999998</v>
      </c>
      <c r="E6486" s="33">
        <f t="shared" si="209"/>
        <v>0</v>
      </c>
    </row>
    <row r="6487" spans="1:5" x14ac:dyDescent="0.25">
      <c r="A6487" s="41">
        <v>43736</v>
      </c>
      <c r="B6487" s="29">
        <v>309.52999999999997</v>
      </c>
      <c r="C6487" s="37">
        <f t="shared" si="208"/>
        <v>51.588333333333324</v>
      </c>
      <c r="D6487" s="37">
        <v>4.0019999999999998</v>
      </c>
      <c r="E6487" s="33">
        <f t="shared" si="209"/>
        <v>0</v>
      </c>
    </row>
    <row r="6488" spans="1:5" x14ac:dyDescent="0.25">
      <c r="A6488" s="41">
        <v>43736</v>
      </c>
      <c r="B6488" s="29">
        <v>309.91000000000003</v>
      </c>
      <c r="C6488" s="37">
        <f t="shared" si="208"/>
        <v>51.651666666666671</v>
      </c>
      <c r="D6488" s="37">
        <v>4.0019999999999998</v>
      </c>
      <c r="E6488" s="33">
        <f t="shared" si="209"/>
        <v>1.2276677543373901E-3</v>
      </c>
    </row>
    <row r="6489" spans="1:5" x14ac:dyDescent="0.25">
      <c r="A6489" s="41">
        <v>43736</v>
      </c>
      <c r="B6489" s="29">
        <v>312.42</v>
      </c>
      <c r="C6489" s="37">
        <f t="shared" si="208"/>
        <v>52.07</v>
      </c>
      <c r="D6489" s="37">
        <v>4.0019999999999998</v>
      </c>
      <c r="E6489" s="33">
        <f t="shared" si="209"/>
        <v>8.0991255525797515E-3</v>
      </c>
    </row>
    <row r="6490" spans="1:5" x14ac:dyDescent="0.25">
      <c r="A6490" s="41">
        <v>43736</v>
      </c>
      <c r="B6490" s="29">
        <v>314</v>
      </c>
      <c r="C6490" s="37">
        <f t="shared" si="208"/>
        <v>52.333333333333336</v>
      </c>
      <c r="D6490" s="37">
        <v>4.0019999999999998</v>
      </c>
      <c r="E6490" s="33">
        <f t="shared" si="209"/>
        <v>5.0572946674348118E-3</v>
      </c>
    </row>
    <row r="6491" spans="1:5" x14ac:dyDescent="0.25">
      <c r="A6491" s="41">
        <v>43736</v>
      </c>
      <c r="B6491" s="29">
        <v>315.06</v>
      </c>
      <c r="C6491" s="37">
        <f t="shared" si="208"/>
        <v>52.51</v>
      </c>
      <c r="D6491" s="37">
        <v>4.0019999999999998</v>
      </c>
      <c r="E6491" s="33">
        <f t="shared" si="209"/>
        <v>3.3757961783439563E-3</v>
      </c>
    </row>
    <row r="6492" spans="1:5" x14ac:dyDescent="0.25">
      <c r="A6492" s="41">
        <v>43736</v>
      </c>
      <c r="B6492" s="29">
        <v>315.94</v>
      </c>
      <c r="C6492" s="37">
        <f t="shared" si="208"/>
        <v>52.656666666666666</v>
      </c>
      <c r="D6492" s="37">
        <v>4.0019999999999998</v>
      </c>
      <c r="E6492" s="33">
        <f t="shared" si="209"/>
        <v>2.7931187710277263E-3</v>
      </c>
    </row>
    <row r="6493" spans="1:5" x14ac:dyDescent="0.25">
      <c r="A6493" s="41">
        <v>43736</v>
      </c>
      <c r="B6493" s="29">
        <v>315.94</v>
      </c>
      <c r="C6493" s="37">
        <f t="shared" si="208"/>
        <v>52.656666666666666</v>
      </c>
      <c r="D6493" s="37">
        <v>4.0019999999999998</v>
      </c>
      <c r="E6493" s="33">
        <f t="shared" si="209"/>
        <v>0</v>
      </c>
    </row>
    <row r="6494" spans="1:5" x14ac:dyDescent="0.25">
      <c r="A6494" s="41">
        <v>43736</v>
      </c>
      <c r="B6494" s="29">
        <v>315.94</v>
      </c>
      <c r="C6494" s="37">
        <f t="shared" si="208"/>
        <v>52.656666666666666</v>
      </c>
      <c r="D6494" s="37">
        <v>4.0019999999999998</v>
      </c>
      <c r="E6494" s="33">
        <f t="shared" si="209"/>
        <v>0</v>
      </c>
    </row>
    <row r="6495" spans="1:5" x14ac:dyDescent="0.25">
      <c r="A6495" s="41">
        <v>43736</v>
      </c>
      <c r="B6495" s="29">
        <v>315.94</v>
      </c>
      <c r="C6495" s="37">
        <f t="shared" si="208"/>
        <v>52.656666666666666</v>
      </c>
      <c r="D6495" s="37">
        <v>4.0019999999999998</v>
      </c>
      <c r="E6495" s="33">
        <f t="shared" si="209"/>
        <v>0</v>
      </c>
    </row>
    <row r="6496" spans="1:5" x14ac:dyDescent="0.25">
      <c r="A6496" s="41">
        <v>43736</v>
      </c>
      <c r="B6496" s="29">
        <v>315.73</v>
      </c>
      <c r="C6496" s="37">
        <f t="shared" si="208"/>
        <v>52.62166666666667</v>
      </c>
      <c r="D6496" s="37">
        <v>4.0019999999999998</v>
      </c>
      <c r="E6496" s="33">
        <f t="shared" si="209"/>
        <v>-6.6468316769000295E-4</v>
      </c>
    </row>
    <row r="6497" spans="1:5" x14ac:dyDescent="0.25">
      <c r="A6497" s="41">
        <v>43736</v>
      </c>
      <c r="B6497" s="29">
        <v>315.64999999999998</v>
      </c>
      <c r="C6497" s="37">
        <f t="shared" si="208"/>
        <v>52.608333333333327</v>
      </c>
      <c r="D6497" s="37">
        <v>4.0019999999999998</v>
      </c>
      <c r="E6497" s="33">
        <f t="shared" si="209"/>
        <v>-2.5338105343185926E-4</v>
      </c>
    </row>
    <row r="6498" spans="1:5" x14ac:dyDescent="0.25">
      <c r="A6498" s="41">
        <v>43736</v>
      </c>
      <c r="B6498" s="29">
        <v>315.86</v>
      </c>
      <c r="C6498" s="37">
        <f t="shared" si="208"/>
        <v>52.643333333333331</v>
      </c>
      <c r="D6498" s="37">
        <v>4.0019999999999998</v>
      </c>
      <c r="E6498" s="33">
        <f t="shared" si="209"/>
        <v>6.6529383811194808E-4</v>
      </c>
    </row>
    <row r="6499" spans="1:5" x14ac:dyDescent="0.25">
      <c r="A6499" s="41">
        <v>43736</v>
      </c>
      <c r="B6499" s="29">
        <v>317.25</v>
      </c>
      <c r="C6499" s="37">
        <f t="shared" si="208"/>
        <v>52.875</v>
      </c>
      <c r="D6499" s="37">
        <v>4.0019999999999998</v>
      </c>
      <c r="E6499" s="33">
        <f t="shared" si="209"/>
        <v>4.400683847274065E-3</v>
      </c>
    </row>
    <row r="6500" spans="1:5" x14ac:dyDescent="0.25">
      <c r="A6500" s="41">
        <v>43736</v>
      </c>
      <c r="B6500" s="29">
        <v>322.8</v>
      </c>
      <c r="C6500" s="37">
        <f t="shared" si="208"/>
        <v>53.8</v>
      </c>
      <c r="D6500" s="37">
        <v>4.0019999999999998</v>
      </c>
      <c r="E6500" s="33">
        <f t="shared" si="209"/>
        <v>1.7494089834515402E-2</v>
      </c>
    </row>
    <row r="6501" spans="1:5" x14ac:dyDescent="0.25">
      <c r="A6501" s="41">
        <v>43736</v>
      </c>
      <c r="B6501" s="29">
        <v>322.73</v>
      </c>
      <c r="C6501" s="37">
        <f t="shared" si="208"/>
        <v>53.788333333333334</v>
      </c>
      <c r="D6501" s="37">
        <v>4.0019999999999998</v>
      </c>
      <c r="E6501" s="33">
        <f t="shared" si="209"/>
        <v>-2.1685254027259347E-4</v>
      </c>
    </row>
    <row r="6502" spans="1:5" x14ac:dyDescent="0.25">
      <c r="A6502" s="41">
        <v>43736</v>
      </c>
      <c r="B6502" s="29">
        <v>318.56</v>
      </c>
      <c r="C6502" s="37">
        <f t="shared" si="208"/>
        <v>53.093333333333334</v>
      </c>
      <c r="D6502" s="37">
        <v>4.0019999999999998</v>
      </c>
      <c r="E6502" s="33">
        <f t="shared" si="209"/>
        <v>-1.2921017568865665E-2</v>
      </c>
    </row>
    <row r="6503" spans="1:5" x14ac:dyDescent="0.25">
      <c r="A6503" s="41">
        <v>43736</v>
      </c>
      <c r="B6503" s="29">
        <v>317</v>
      </c>
      <c r="C6503" s="37">
        <f t="shared" si="208"/>
        <v>52.833333333333336</v>
      </c>
      <c r="D6503" s="37">
        <v>4.0019999999999998</v>
      </c>
      <c r="E6503" s="33">
        <f t="shared" si="209"/>
        <v>-4.897036664992473E-3</v>
      </c>
    </row>
    <row r="6504" spans="1:5" x14ac:dyDescent="0.25">
      <c r="A6504" s="41">
        <v>43736</v>
      </c>
      <c r="B6504" s="29">
        <v>315.38</v>
      </c>
      <c r="C6504" s="37">
        <f t="shared" si="208"/>
        <v>52.563333333333333</v>
      </c>
      <c r="D6504" s="37">
        <v>4.0019999999999998</v>
      </c>
      <c r="E6504" s="33">
        <f t="shared" si="209"/>
        <v>-5.1104100946372383E-3</v>
      </c>
    </row>
    <row r="6505" spans="1:5" x14ac:dyDescent="0.25">
      <c r="A6505" s="41">
        <v>43736</v>
      </c>
      <c r="B6505" s="29">
        <v>313.57</v>
      </c>
      <c r="C6505" s="37">
        <f t="shared" si="208"/>
        <v>52.261666666666663</v>
      </c>
      <c r="D6505" s="37">
        <v>4.0019999999999998</v>
      </c>
      <c r="E6505" s="33">
        <f t="shared" si="209"/>
        <v>-5.7391083771957709E-3</v>
      </c>
    </row>
    <row r="6506" spans="1:5" x14ac:dyDescent="0.25">
      <c r="A6506" s="41">
        <v>43737</v>
      </c>
      <c r="B6506" s="29">
        <v>310.32</v>
      </c>
      <c r="C6506" s="37">
        <f t="shared" si="208"/>
        <v>51.72</v>
      </c>
      <c r="D6506" s="37">
        <v>3.7160000000000002</v>
      </c>
      <c r="E6506" s="33">
        <f t="shared" si="209"/>
        <v>-1.0364511911215997E-2</v>
      </c>
    </row>
    <row r="6507" spans="1:5" x14ac:dyDescent="0.25">
      <c r="A6507" s="41">
        <v>43737</v>
      </c>
      <c r="B6507" s="29">
        <v>308.06</v>
      </c>
      <c r="C6507" s="37">
        <f t="shared" si="208"/>
        <v>51.343333333333334</v>
      </c>
      <c r="D6507" s="37">
        <v>3.7160000000000002</v>
      </c>
      <c r="E6507" s="33">
        <f t="shared" si="209"/>
        <v>-7.2828048466099223E-3</v>
      </c>
    </row>
    <row r="6508" spans="1:5" x14ac:dyDescent="0.25">
      <c r="A6508" s="41">
        <v>43737</v>
      </c>
      <c r="B6508" s="29">
        <v>306.27</v>
      </c>
      <c r="C6508" s="37">
        <f t="shared" si="208"/>
        <v>51.045000000000002</v>
      </c>
      <c r="D6508" s="37">
        <v>3.7160000000000002</v>
      </c>
      <c r="E6508" s="33">
        <f t="shared" si="209"/>
        <v>-5.810556385119848E-3</v>
      </c>
    </row>
    <row r="6509" spans="1:5" x14ac:dyDescent="0.25">
      <c r="A6509" s="41">
        <v>43737</v>
      </c>
      <c r="B6509" s="29">
        <v>304.39999999999998</v>
      </c>
      <c r="C6509" s="37">
        <f t="shared" si="208"/>
        <v>50.733333333333327</v>
      </c>
      <c r="D6509" s="37">
        <v>3.7160000000000002</v>
      </c>
      <c r="E6509" s="33">
        <f t="shared" si="209"/>
        <v>-6.1057237078395036E-3</v>
      </c>
    </row>
    <row r="6510" spans="1:5" x14ac:dyDescent="0.25">
      <c r="A6510" s="41">
        <v>43737</v>
      </c>
      <c r="B6510" s="29">
        <v>303.17</v>
      </c>
      <c r="C6510" s="37">
        <f t="shared" si="208"/>
        <v>50.528333333333336</v>
      </c>
      <c r="D6510" s="37">
        <v>3.7160000000000002</v>
      </c>
      <c r="E6510" s="33">
        <f t="shared" si="209"/>
        <v>-4.0407358738500706E-3</v>
      </c>
    </row>
    <row r="6511" spans="1:5" x14ac:dyDescent="0.25">
      <c r="A6511" s="41">
        <v>43737</v>
      </c>
      <c r="B6511" s="29">
        <v>301.58</v>
      </c>
      <c r="C6511" s="37">
        <f t="shared" si="208"/>
        <v>50.263333333333335</v>
      </c>
      <c r="D6511" s="37">
        <v>3.7160000000000002</v>
      </c>
      <c r="E6511" s="33">
        <f t="shared" si="209"/>
        <v>-5.2445822475839683E-3</v>
      </c>
    </row>
    <row r="6512" spans="1:5" x14ac:dyDescent="0.25">
      <c r="A6512" s="41">
        <v>43737</v>
      </c>
      <c r="B6512" s="29">
        <v>297.68</v>
      </c>
      <c r="C6512" s="37">
        <f t="shared" si="208"/>
        <v>49.613333333333337</v>
      </c>
      <c r="D6512" s="37">
        <v>3.7160000000000002</v>
      </c>
      <c r="E6512" s="33">
        <f t="shared" si="209"/>
        <v>-1.2931892035280779E-2</v>
      </c>
    </row>
    <row r="6513" spans="1:5" x14ac:dyDescent="0.25">
      <c r="A6513" s="41">
        <v>43737</v>
      </c>
      <c r="B6513" s="29">
        <v>299.27</v>
      </c>
      <c r="C6513" s="37">
        <f t="shared" si="208"/>
        <v>49.87833333333333</v>
      </c>
      <c r="D6513" s="37">
        <v>3.7160000000000002</v>
      </c>
      <c r="E6513" s="33">
        <f t="shared" si="209"/>
        <v>5.341306100510531E-3</v>
      </c>
    </row>
    <row r="6514" spans="1:5" x14ac:dyDescent="0.25">
      <c r="A6514" s="41">
        <v>43737</v>
      </c>
      <c r="B6514" s="29">
        <v>303.45999999999998</v>
      </c>
      <c r="C6514" s="37">
        <f t="shared" si="208"/>
        <v>50.576666666666661</v>
      </c>
      <c r="D6514" s="37">
        <v>3.7160000000000002</v>
      </c>
      <c r="E6514" s="33">
        <f t="shared" si="209"/>
        <v>1.4000735122130511E-2</v>
      </c>
    </row>
    <row r="6515" spans="1:5" x14ac:dyDescent="0.25">
      <c r="A6515" s="41">
        <v>43737</v>
      </c>
      <c r="B6515" s="29">
        <v>306.86</v>
      </c>
      <c r="C6515" s="37">
        <f t="shared" si="208"/>
        <v>51.143333333333331</v>
      </c>
      <c r="D6515" s="37">
        <v>3.7160000000000002</v>
      </c>
      <c r="E6515" s="33">
        <f t="shared" si="209"/>
        <v>1.1204112568378152E-2</v>
      </c>
    </row>
    <row r="6516" spans="1:5" x14ac:dyDescent="0.25">
      <c r="A6516" s="41">
        <v>43737</v>
      </c>
      <c r="B6516" s="29">
        <v>310.17</v>
      </c>
      <c r="C6516" s="37">
        <f t="shared" si="208"/>
        <v>51.695</v>
      </c>
      <c r="D6516" s="37">
        <v>3.7160000000000002</v>
      </c>
      <c r="E6516" s="33">
        <f t="shared" si="209"/>
        <v>1.0786677963892335E-2</v>
      </c>
    </row>
    <row r="6517" spans="1:5" x14ac:dyDescent="0.25">
      <c r="A6517" s="41">
        <v>43737</v>
      </c>
      <c r="B6517" s="29">
        <v>312.06</v>
      </c>
      <c r="C6517" s="37">
        <f t="shared" si="208"/>
        <v>52.01</v>
      </c>
      <c r="D6517" s="37">
        <v>3.7160000000000002</v>
      </c>
      <c r="E6517" s="33">
        <f t="shared" si="209"/>
        <v>6.0934326337169498E-3</v>
      </c>
    </row>
    <row r="6518" spans="1:5" x14ac:dyDescent="0.25">
      <c r="A6518" s="41">
        <v>43737</v>
      </c>
      <c r="B6518" s="29">
        <v>312.05</v>
      </c>
      <c r="C6518" s="37">
        <f t="shared" si="208"/>
        <v>52.008333333333333</v>
      </c>
      <c r="D6518" s="37">
        <v>3.7160000000000002</v>
      </c>
      <c r="E6518" s="33">
        <f t="shared" si="209"/>
        <v>-3.2045119528266695E-5</v>
      </c>
    </row>
    <row r="6519" spans="1:5" x14ac:dyDescent="0.25">
      <c r="A6519" s="41">
        <v>43737</v>
      </c>
      <c r="B6519" s="29">
        <v>311.68</v>
      </c>
      <c r="C6519" s="37">
        <f t="shared" si="208"/>
        <v>51.946666666666665</v>
      </c>
      <c r="D6519" s="37">
        <v>3.7160000000000002</v>
      </c>
      <c r="E6519" s="33">
        <f t="shared" si="209"/>
        <v>-1.185707418682918E-3</v>
      </c>
    </row>
    <row r="6520" spans="1:5" x14ac:dyDescent="0.25">
      <c r="A6520" s="41">
        <v>43737</v>
      </c>
      <c r="B6520" s="29">
        <v>311.62</v>
      </c>
      <c r="C6520" s="37">
        <f t="shared" si="208"/>
        <v>51.936666666666667</v>
      </c>
      <c r="D6520" s="37">
        <v>3.7160000000000002</v>
      </c>
      <c r="E6520" s="33">
        <f t="shared" si="209"/>
        <v>-1.9250513347023317E-4</v>
      </c>
    </row>
    <row r="6521" spans="1:5" x14ac:dyDescent="0.25">
      <c r="A6521" s="41">
        <v>43737</v>
      </c>
      <c r="B6521" s="29">
        <v>311.60000000000002</v>
      </c>
      <c r="C6521" s="37">
        <f t="shared" si="208"/>
        <v>51.933333333333337</v>
      </c>
      <c r="D6521" s="37">
        <v>3.7160000000000002</v>
      </c>
      <c r="E6521" s="33">
        <f t="shared" si="209"/>
        <v>-6.4180732943911847E-5</v>
      </c>
    </row>
    <row r="6522" spans="1:5" x14ac:dyDescent="0.25">
      <c r="A6522" s="41">
        <v>43737</v>
      </c>
      <c r="B6522" s="29">
        <v>312.2</v>
      </c>
      <c r="C6522" s="37">
        <f t="shared" si="208"/>
        <v>52.033333333333331</v>
      </c>
      <c r="D6522" s="37">
        <v>3.7160000000000002</v>
      </c>
      <c r="E6522" s="33">
        <f t="shared" si="209"/>
        <v>1.9255455712450765E-3</v>
      </c>
    </row>
    <row r="6523" spans="1:5" x14ac:dyDescent="0.25">
      <c r="A6523" s="41">
        <v>43737</v>
      </c>
      <c r="B6523" s="29">
        <v>314.29000000000002</v>
      </c>
      <c r="C6523" s="37">
        <f t="shared" si="208"/>
        <v>52.381666666666675</v>
      </c>
      <c r="D6523" s="37">
        <v>3.7160000000000002</v>
      </c>
      <c r="E6523" s="33">
        <f t="shared" si="209"/>
        <v>6.6944266495837026E-3</v>
      </c>
    </row>
    <row r="6524" spans="1:5" x14ac:dyDescent="0.25">
      <c r="A6524" s="41">
        <v>43737</v>
      </c>
      <c r="B6524" s="29">
        <v>318.67</v>
      </c>
      <c r="C6524" s="37">
        <f t="shared" si="208"/>
        <v>53.111666666666665</v>
      </c>
      <c r="D6524" s="37">
        <v>3.7160000000000002</v>
      </c>
      <c r="E6524" s="33">
        <f t="shared" si="209"/>
        <v>1.3936173597632745E-2</v>
      </c>
    </row>
    <row r="6525" spans="1:5" x14ac:dyDescent="0.25">
      <c r="A6525" s="41">
        <v>43737</v>
      </c>
      <c r="B6525" s="29">
        <v>318.52999999999997</v>
      </c>
      <c r="C6525" s="37">
        <f t="shared" si="208"/>
        <v>53.088333333333324</v>
      </c>
      <c r="D6525" s="37">
        <v>3.7160000000000002</v>
      </c>
      <c r="E6525" s="33">
        <f t="shared" si="209"/>
        <v>-4.3932594847347788E-4</v>
      </c>
    </row>
    <row r="6526" spans="1:5" x14ac:dyDescent="0.25">
      <c r="A6526" s="41">
        <v>43737</v>
      </c>
      <c r="B6526" s="29">
        <v>317.68</v>
      </c>
      <c r="C6526" s="37">
        <f t="shared" si="208"/>
        <v>52.946666666666665</v>
      </c>
      <c r="D6526" s="37">
        <v>3.7160000000000002</v>
      </c>
      <c r="E6526" s="33">
        <f t="shared" si="209"/>
        <v>-2.6685084607414246E-3</v>
      </c>
    </row>
    <row r="6527" spans="1:5" x14ac:dyDescent="0.25">
      <c r="A6527" s="41">
        <v>43737</v>
      </c>
      <c r="B6527" s="29">
        <v>315.95</v>
      </c>
      <c r="C6527" s="37">
        <f t="shared" si="208"/>
        <v>52.658333333333331</v>
      </c>
      <c r="D6527" s="37">
        <v>3.7160000000000002</v>
      </c>
      <c r="E6527" s="33">
        <f t="shared" si="209"/>
        <v>-5.4457315537648522E-3</v>
      </c>
    </row>
    <row r="6528" spans="1:5" x14ac:dyDescent="0.25">
      <c r="A6528" s="41">
        <v>43737</v>
      </c>
      <c r="B6528" s="29">
        <v>315.39999999999998</v>
      </c>
      <c r="C6528" s="37">
        <f t="shared" si="208"/>
        <v>52.566666666666663</v>
      </c>
      <c r="D6528" s="37">
        <v>3.7160000000000002</v>
      </c>
      <c r="E6528" s="33">
        <f t="shared" si="209"/>
        <v>-1.7407817692673252E-3</v>
      </c>
    </row>
    <row r="6529" spans="1:5" x14ac:dyDescent="0.25">
      <c r="A6529" s="41">
        <v>43737</v>
      </c>
      <c r="B6529" s="29">
        <v>313.08</v>
      </c>
      <c r="C6529" s="37">
        <f t="shared" si="208"/>
        <v>52.18</v>
      </c>
      <c r="D6529" s="37">
        <v>3.7160000000000002</v>
      </c>
      <c r="E6529" s="33">
        <f t="shared" si="209"/>
        <v>-7.3557387444514689E-3</v>
      </c>
    </row>
    <row r="6530" spans="1:5" x14ac:dyDescent="0.25">
      <c r="A6530" s="41">
        <v>43738</v>
      </c>
      <c r="B6530" s="29">
        <v>308.7</v>
      </c>
      <c r="C6530" s="37">
        <f t="shared" si="208"/>
        <v>51.45</v>
      </c>
      <c r="D6530" s="37">
        <v>3.4580000000000002</v>
      </c>
      <c r="E6530" s="33">
        <f t="shared" si="209"/>
        <v>-1.3990034495975455E-2</v>
      </c>
    </row>
    <row r="6531" spans="1:5" x14ac:dyDescent="0.25">
      <c r="A6531" s="41">
        <v>43738</v>
      </c>
      <c r="B6531" s="29">
        <v>307.08</v>
      </c>
      <c r="C6531" s="37">
        <f t="shared" ref="C6531:C6594" si="210">(B6531*100/600)</f>
        <v>51.18</v>
      </c>
      <c r="D6531" s="37">
        <v>3.4580000000000002</v>
      </c>
      <c r="E6531" s="33">
        <f t="shared" si="209"/>
        <v>-5.2478134110787323E-3</v>
      </c>
    </row>
    <row r="6532" spans="1:5" x14ac:dyDescent="0.25">
      <c r="A6532" s="41">
        <v>43738</v>
      </c>
      <c r="B6532" s="29">
        <v>306.48</v>
      </c>
      <c r="C6532" s="37">
        <f t="shared" si="210"/>
        <v>51.08</v>
      </c>
      <c r="D6532" s="37">
        <v>3.4580000000000002</v>
      </c>
      <c r="E6532" s="33">
        <f t="shared" ref="E6532:E6595" si="211">(B6532-B6531)/B6531</f>
        <v>-1.9538882375926985E-3</v>
      </c>
    </row>
    <row r="6533" spans="1:5" x14ac:dyDescent="0.25">
      <c r="A6533" s="41">
        <v>43738</v>
      </c>
      <c r="B6533" s="29">
        <v>306.62</v>
      </c>
      <c r="C6533" s="37">
        <f t="shared" si="210"/>
        <v>51.103333333333332</v>
      </c>
      <c r="D6533" s="37">
        <v>3.4580000000000002</v>
      </c>
      <c r="E6533" s="33">
        <f t="shared" si="211"/>
        <v>4.5679979117719378E-4</v>
      </c>
    </row>
    <row r="6534" spans="1:5" x14ac:dyDescent="0.25">
      <c r="A6534" s="41">
        <v>43738</v>
      </c>
      <c r="B6534" s="29">
        <v>306.94</v>
      </c>
      <c r="C6534" s="37">
        <f t="shared" si="210"/>
        <v>51.156666666666666</v>
      </c>
      <c r="D6534" s="37">
        <v>3.4580000000000002</v>
      </c>
      <c r="E6534" s="33">
        <f t="shared" si="211"/>
        <v>1.0436370752070745E-3</v>
      </c>
    </row>
    <row r="6535" spans="1:5" x14ac:dyDescent="0.25">
      <c r="A6535" s="41">
        <v>43738</v>
      </c>
      <c r="B6535" s="29">
        <v>308.77999999999997</v>
      </c>
      <c r="C6535" s="37">
        <f t="shared" si="210"/>
        <v>51.463333333333324</v>
      </c>
      <c r="D6535" s="37">
        <v>3.4580000000000002</v>
      </c>
      <c r="E6535" s="33">
        <f t="shared" si="211"/>
        <v>5.9946569362089499E-3</v>
      </c>
    </row>
    <row r="6536" spans="1:5" x14ac:dyDescent="0.25">
      <c r="A6536" s="41">
        <v>43738</v>
      </c>
      <c r="B6536" s="29">
        <v>312.99</v>
      </c>
      <c r="C6536" s="37">
        <f t="shared" si="210"/>
        <v>52.164999999999999</v>
      </c>
      <c r="D6536" s="37">
        <v>3.4580000000000002</v>
      </c>
      <c r="E6536" s="33">
        <f t="shared" si="211"/>
        <v>1.3634302739814873E-2</v>
      </c>
    </row>
    <row r="6537" spans="1:5" x14ac:dyDescent="0.25">
      <c r="A6537" s="41">
        <v>43738</v>
      </c>
      <c r="B6537" s="29">
        <v>314.89999999999998</v>
      </c>
      <c r="C6537" s="37">
        <f t="shared" si="210"/>
        <v>52.483333333333327</v>
      </c>
      <c r="D6537" s="37">
        <v>3.4580000000000002</v>
      </c>
      <c r="E6537" s="33">
        <f t="shared" si="211"/>
        <v>6.1024313875841663E-3</v>
      </c>
    </row>
    <row r="6538" spans="1:5" x14ac:dyDescent="0.25">
      <c r="A6538" s="41">
        <v>43738</v>
      </c>
      <c r="B6538" s="29">
        <v>318.5</v>
      </c>
      <c r="C6538" s="37">
        <f t="shared" si="210"/>
        <v>53.083333333333336</v>
      </c>
      <c r="D6538" s="37">
        <v>3.4580000000000002</v>
      </c>
      <c r="E6538" s="33">
        <f t="shared" si="211"/>
        <v>1.143220069863456E-2</v>
      </c>
    </row>
    <row r="6539" spans="1:5" x14ac:dyDescent="0.25">
      <c r="A6539" s="41">
        <v>43738</v>
      </c>
      <c r="B6539" s="29">
        <v>321.73</v>
      </c>
      <c r="C6539" s="37">
        <f t="shared" si="210"/>
        <v>53.62166666666667</v>
      </c>
      <c r="D6539" s="37">
        <v>3.4580000000000002</v>
      </c>
      <c r="E6539" s="33">
        <f t="shared" si="211"/>
        <v>1.0141287284144485E-2</v>
      </c>
    </row>
    <row r="6540" spans="1:5" x14ac:dyDescent="0.25">
      <c r="A6540" s="41">
        <v>43738</v>
      </c>
      <c r="B6540" s="29">
        <v>326.36</v>
      </c>
      <c r="C6540" s="37">
        <f t="shared" si="210"/>
        <v>54.393333333333331</v>
      </c>
      <c r="D6540" s="37">
        <v>3.4580000000000002</v>
      </c>
      <c r="E6540" s="33">
        <f t="shared" si="211"/>
        <v>1.439094893233455E-2</v>
      </c>
    </row>
    <row r="6541" spans="1:5" x14ac:dyDescent="0.25">
      <c r="A6541" s="41">
        <v>43738</v>
      </c>
      <c r="B6541" s="29">
        <v>326.62</v>
      </c>
      <c r="C6541" s="37">
        <f t="shared" si="210"/>
        <v>54.436666666666667</v>
      </c>
      <c r="D6541" s="37">
        <v>3.4580000000000002</v>
      </c>
      <c r="E6541" s="33">
        <f t="shared" si="211"/>
        <v>7.9666625811983976E-4</v>
      </c>
    </row>
    <row r="6542" spans="1:5" x14ac:dyDescent="0.25">
      <c r="A6542" s="41">
        <v>43738</v>
      </c>
      <c r="B6542" s="29">
        <v>326.52999999999997</v>
      </c>
      <c r="C6542" s="37">
        <f t="shared" si="210"/>
        <v>54.42166666666666</v>
      </c>
      <c r="D6542" s="37">
        <v>3.4580000000000002</v>
      </c>
      <c r="E6542" s="33">
        <f t="shared" si="211"/>
        <v>-2.7554956830577379E-4</v>
      </c>
    </row>
    <row r="6543" spans="1:5" x14ac:dyDescent="0.25">
      <c r="A6543" s="41">
        <v>43738</v>
      </c>
      <c r="B6543" s="29">
        <v>327.82</v>
      </c>
      <c r="C6543" s="37">
        <f t="shared" si="210"/>
        <v>54.636666666666663</v>
      </c>
      <c r="D6543" s="37">
        <v>3.4580000000000002</v>
      </c>
      <c r="E6543" s="33">
        <f t="shared" si="211"/>
        <v>3.9506324074358272E-3</v>
      </c>
    </row>
    <row r="6544" spans="1:5" x14ac:dyDescent="0.25">
      <c r="A6544" s="41">
        <v>43738</v>
      </c>
      <c r="B6544" s="29">
        <v>329.34</v>
      </c>
      <c r="C6544" s="37">
        <f t="shared" si="210"/>
        <v>54.89</v>
      </c>
      <c r="D6544" s="37">
        <v>3.4580000000000002</v>
      </c>
      <c r="E6544" s="33">
        <f t="shared" si="211"/>
        <v>4.6366908669391183E-3</v>
      </c>
    </row>
    <row r="6545" spans="1:5" x14ac:dyDescent="0.25">
      <c r="A6545" s="41">
        <v>43738</v>
      </c>
      <c r="B6545" s="29">
        <v>329.5</v>
      </c>
      <c r="C6545" s="37">
        <f t="shared" si="210"/>
        <v>54.916666666666664</v>
      </c>
      <c r="D6545" s="37">
        <v>3.4580000000000002</v>
      </c>
      <c r="E6545" s="33">
        <f t="shared" si="211"/>
        <v>4.8582012509875821E-4</v>
      </c>
    </row>
    <row r="6546" spans="1:5" x14ac:dyDescent="0.25">
      <c r="A6546" s="41">
        <v>43738</v>
      </c>
      <c r="B6546" s="29">
        <v>329.2</v>
      </c>
      <c r="C6546" s="37">
        <f t="shared" si="210"/>
        <v>54.866666666666667</v>
      </c>
      <c r="D6546" s="37">
        <v>3.4580000000000002</v>
      </c>
      <c r="E6546" s="33">
        <f t="shared" si="211"/>
        <v>-9.104704097117189E-4</v>
      </c>
    </row>
    <row r="6547" spans="1:5" x14ac:dyDescent="0.25">
      <c r="A6547" s="41">
        <v>43738</v>
      </c>
      <c r="B6547" s="29">
        <v>326.85000000000002</v>
      </c>
      <c r="C6547" s="37">
        <f t="shared" si="210"/>
        <v>54.475000000000009</v>
      </c>
      <c r="D6547" s="37">
        <v>3.4580000000000002</v>
      </c>
      <c r="E6547" s="33">
        <f t="shared" si="211"/>
        <v>-7.1385176184689128E-3</v>
      </c>
    </row>
    <row r="6548" spans="1:5" x14ac:dyDescent="0.25">
      <c r="A6548" s="41">
        <v>43738</v>
      </c>
      <c r="B6548" s="29">
        <v>328.16</v>
      </c>
      <c r="C6548" s="37">
        <f t="shared" si="210"/>
        <v>54.693333333333335</v>
      </c>
      <c r="D6548" s="37">
        <v>3.4580000000000002</v>
      </c>
      <c r="E6548" s="33">
        <f t="shared" si="211"/>
        <v>4.0079547192902014E-3</v>
      </c>
    </row>
    <row r="6549" spans="1:5" x14ac:dyDescent="0.25">
      <c r="A6549" s="41">
        <v>43738</v>
      </c>
      <c r="B6549" s="29">
        <v>328.21</v>
      </c>
      <c r="C6549" s="37">
        <f t="shared" si="210"/>
        <v>54.701666666666668</v>
      </c>
      <c r="D6549" s="37">
        <v>3.4580000000000002</v>
      </c>
      <c r="E6549" s="33">
        <f t="shared" si="211"/>
        <v>1.5236470014613152E-4</v>
      </c>
    </row>
    <row r="6550" spans="1:5" x14ac:dyDescent="0.25">
      <c r="A6550" s="41">
        <v>43738</v>
      </c>
      <c r="B6550" s="29">
        <v>327.02</v>
      </c>
      <c r="C6550" s="37">
        <f t="shared" si="210"/>
        <v>54.50333333333333</v>
      </c>
      <c r="D6550" s="37">
        <v>3.4580000000000002</v>
      </c>
      <c r="E6550" s="33">
        <f t="shared" si="211"/>
        <v>-3.6257274306084452E-3</v>
      </c>
    </row>
    <row r="6551" spans="1:5" x14ac:dyDescent="0.25">
      <c r="A6551" s="41">
        <v>43738</v>
      </c>
      <c r="B6551" s="29">
        <v>326.76</v>
      </c>
      <c r="C6551" s="37">
        <f t="shared" si="210"/>
        <v>54.46</v>
      </c>
      <c r="D6551" s="37">
        <v>3.4580000000000002</v>
      </c>
      <c r="E6551" s="33">
        <f t="shared" si="211"/>
        <v>-7.9505840621365946E-4</v>
      </c>
    </row>
    <row r="6552" spans="1:5" x14ac:dyDescent="0.25">
      <c r="A6552" s="41">
        <v>43738</v>
      </c>
      <c r="B6552" s="29">
        <v>323.14999999999998</v>
      </c>
      <c r="C6552" s="37">
        <f t="shared" si="210"/>
        <v>53.858333333333327</v>
      </c>
      <c r="D6552" s="37">
        <v>3.4580000000000002</v>
      </c>
      <c r="E6552" s="33">
        <f t="shared" si="211"/>
        <v>-1.1047863875627414E-2</v>
      </c>
    </row>
    <row r="6553" spans="1:5" x14ac:dyDescent="0.25">
      <c r="A6553" s="41">
        <v>43738</v>
      </c>
      <c r="B6553" s="29">
        <v>318.60000000000002</v>
      </c>
      <c r="C6553" s="37">
        <f t="shared" si="210"/>
        <v>53.100000000000009</v>
      </c>
      <c r="D6553" s="37">
        <v>3.4580000000000002</v>
      </c>
      <c r="E6553" s="33">
        <f t="shared" si="211"/>
        <v>-1.408014853783059E-2</v>
      </c>
    </row>
    <row r="6554" spans="1:5" x14ac:dyDescent="0.25">
      <c r="A6554" s="41">
        <v>43739</v>
      </c>
      <c r="B6554" s="29">
        <v>313.42</v>
      </c>
      <c r="C6554" s="37">
        <f t="shared" si="210"/>
        <v>52.236666666666665</v>
      </c>
      <c r="D6554" s="37">
        <v>3.274</v>
      </c>
      <c r="E6554" s="33">
        <f t="shared" si="211"/>
        <v>-1.6258631512868823E-2</v>
      </c>
    </row>
    <row r="6555" spans="1:5" x14ac:dyDescent="0.25">
      <c r="A6555" s="41">
        <v>43739</v>
      </c>
      <c r="B6555" s="29">
        <v>309.91000000000003</v>
      </c>
      <c r="C6555" s="37">
        <f t="shared" si="210"/>
        <v>51.651666666666671</v>
      </c>
      <c r="D6555" s="37">
        <v>3.274</v>
      </c>
      <c r="E6555" s="33">
        <f t="shared" si="211"/>
        <v>-1.1199030055516529E-2</v>
      </c>
    </row>
    <row r="6556" spans="1:5" x14ac:dyDescent="0.25">
      <c r="A6556" s="41">
        <v>43739</v>
      </c>
      <c r="B6556" s="29">
        <v>308.82</v>
      </c>
      <c r="C6556" s="37">
        <f t="shared" si="210"/>
        <v>51.47</v>
      </c>
      <c r="D6556" s="37">
        <v>3.274</v>
      </c>
      <c r="E6556" s="33">
        <f t="shared" si="211"/>
        <v>-3.5171501403634337E-3</v>
      </c>
    </row>
    <row r="6557" spans="1:5" x14ac:dyDescent="0.25">
      <c r="A6557" s="41">
        <v>43739</v>
      </c>
      <c r="B6557" s="29">
        <v>308.79000000000002</v>
      </c>
      <c r="C6557" s="37">
        <f t="shared" si="210"/>
        <v>51.465000000000003</v>
      </c>
      <c r="D6557" s="37">
        <v>3.274</v>
      </c>
      <c r="E6557" s="33">
        <f t="shared" si="211"/>
        <v>-9.7143967359538611E-5</v>
      </c>
    </row>
    <row r="6558" spans="1:5" x14ac:dyDescent="0.25">
      <c r="A6558" s="41">
        <v>43739</v>
      </c>
      <c r="B6558" s="29">
        <v>308.95</v>
      </c>
      <c r="C6558" s="37">
        <f t="shared" si="210"/>
        <v>51.491666666666667</v>
      </c>
      <c r="D6558" s="37">
        <v>3.274</v>
      </c>
      <c r="E6558" s="33">
        <f t="shared" si="211"/>
        <v>5.1815149454311393E-4</v>
      </c>
    </row>
    <row r="6559" spans="1:5" x14ac:dyDescent="0.25">
      <c r="A6559" s="41">
        <v>43739</v>
      </c>
      <c r="B6559" s="29">
        <v>309.60000000000002</v>
      </c>
      <c r="C6559" s="37">
        <f t="shared" si="210"/>
        <v>51.600000000000009</v>
      </c>
      <c r="D6559" s="37">
        <v>3.274</v>
      </c>
      <c r="E6559" s="33">
        <f t="shared" si="211"/>
        <v>2.1039003074932324E-3</v>
      </c>
    </row>
    <row r="6560" spans="1:5" x14ac:dyDescent="0.25">
      <c r="A6560" s="41">
        <v>43739</v>
      </c>
      <c r="B6560" s="29">
        <v>312.97000000000003</v>
      </c>
      <c r="C6560" s="37">
        <f t="shared" si="210"/>
        <v>52.161666666666676</v>
      </c>
      <c r="D6560" s="37">
        <v>3.274</v>
      </c>
      <c r="E6560" s="33">
        <f t="shared" si="211"/>
        <v>1.0885012919896655E-2</v>
      </c>
    </row>
    <row r="6561" spans="1:5" x14ac:dyDescent="0.25">
      <c r="A6561" s="41">
        <v>43739</v>
      </c>
      <c r="B6561" s="29">
        <v>316.14</v>
      </c>
      <c r="C6561" s="37">
        <f t="shared" si="210"/>
        <v>52.69</v>
      </c>
      <c r="D6561" s="37">
        <v>3.274</v>
      </c>
      <c r="E6561" s="33">
        <f t="shared" si="211"/>
        <v>1.012876633543138E-2</v>
      </c>
    </row>
    <row r="6562" spans="1:5" x14ac:dyDescent="0.25">
      <c r="A6562" s="41">
        <v>43739</v>
      </c>
      <c r="B6562" s="29">
        <v>318.02999999999997</v>
      </c>
      <c r="C6562" s="37">
        <f t="shared" si="210"/>
        <v>53.004999999999995</v>
      </c>
      <c r="D6562" s="37">
        <v>3.274</v>
      </c>
      <c r="E6562" s="33">
        <f t="shared" si="211"/>
        <v>5.9783640159422613E-3</v>
      </c>
    </row>
    <row r="6563" spans="1:5" x14ac:dyDescent="0.25">
      <c r="A6563" s="41">
        <v>43739</v>
      </c>
      <c r="B6563" s="29">
        <v>321.86</v>
      </c>
      <c r="C6563" s="37">
        <f t="shared" si="210"/>
        <v>53.643333333333331</v>
      </c>
      <c r="D6563" s="37">
        <v>3.274</v>
      </c>
      <c r="E6563" s="33">
        <f t="shared" si="211"/>
        <v>1.20428890356257E-2</v>
      </c>
    </row>
    <row r="6564" spans="1:5" x14ac:dyDescent="0.25">
      <c r="A6564" s="41">
        <v>43739</v>
      </c>
      <c r="B6564" s="29">
        <v>325.39</v>
      </c>
      <c r="C6564" s="37">
        <f t="shared" si="210"/>
        <v>54.231666666666669</v>
      </c>
      <c r="D6564" s="37">
        <v>3.274</v>
      </c>
      <c r="E6564" s="33">
        <f t="shared" si="211"/>
        <v>1.0967501398123322E-2</v>
      </c>
    </row>
    <row r="6565" spans="1:5" x14ac:dyDescent="0.25">
      <c r="A6565" s="41">
        <v>43739</v>
      </c>
      <c r="B6565" s="29">
        <v>325.64</v>
      </c>
      <c r="C6565" s="37">
        <f t="shared" si="210"/>
        <v>54.273333333333333</v>
      </c>
      <c r="D6565" s="37">
        <v>3.274</v>
      </c>
      <c r="E6565" s="33">
        <f t="shared" si="211"/>
        <v>7.6830879867236239E-4</v>
      </c>
    </row>
    <row r="6566" spans="1:5" x14ac:dyDescent="0.25">
      <c r="A6566" s="41">
        <v>43739</v>
      </c>
      <c r="B6566" s="29">
        <v>325.39</v>
      </c>
      <c r="C6566" s="37">
        <f t="shared" si="210"/>
        <v>54.231666666666669</v>
      </c>
      <c r="D6566" s="37">
        <v>3.274</v>
      </c>
      <c r="E6566" s="33">
        <f t="shared" si="211"/>
        <v>-7.6771895344552264E-4</v>
      </c>
    </row>
    <row r="6567" spans="1:5" x14ac:dyDescent="0.25">
      <c r="A6567" s="41">
        <v>43739</v>
      </c>
      <c r="B6567" s="29">
        <v>326.57</v>
      </c>
      <c r="C6567" s="37">
        <f t="shared" si="210"/>
        <v>54.428333333333335</v>
      </c>
      <c r="D6567" s="37">
        <v>3.274</v>
      </c>
      <c r="E6567" s="33">
        <f t="shared" si="211"/>
        <v>3.6264175297335715E-3</v>
      </c>
    </row>
    <row r="6568" spans="1:5" x14ac:dyDescent="0.25">
      <c r="A6568" s="41">
        <v>43739</v>
      </c>
      <c r="B6568" s="29">
        <v>327.88</v>
      </c>
      <c r="C6568" s="37">
        <f t="shared" si="210"/>
        <v>54.646666666666668</v>
      </c>
      <c r="D6568" s="37">
        <v>3.274</v>
      </c>
      <c r="E6568" s="33">
        <f t="shared" si="211"/>
        <v>4.0113911259454403E-3</v>
      </c>
    </row>
    <row r="6569" spans="1:5" x14ac:dyDescent="0.25">
      <c r="A6569" s="41">
        <v>43739</v>
      </c>
      <c r="B6569" s="29">
        <v>327.93</v>
      </c>
      <c r="C6569" s="37">
        <f t="shared" si="210"/>
        <v>54.655000000000001</v>
      </c>
      <c r="D6569" s="37">
        <v>3.274</v>
      </c>
      <c r="E6569" s="33">
        <f t="shared" si="211"/>
        <v>1.5249481517631868E-4</v>
      </c>
    </row>
    <row r="6570" spans="1:5" x14ac:dyDescent="0.25">
      <c r="A6570" s="41">
        <v>43739</v>
      </c>
      <c r="B6570" s="29">
        <v>327.87</v>
      </c>
      <c r="C6570" s="37">
        <f t="shared" si="210"/>
        <v>54.645000000000003</v>
      </c>
      <c r="D6570" s="37">
        <v>3.274</v>
      </c>
      <c r="E6570" s="33">
        <f t="shared" si="211"/>
        <v>-1.8296587686397181E-4</v>
      </c>
    </row>
    <row r="6571" spans="1:5" x14ac:dyDescent="0.25">
      <c r="A6571" s="41">
        <v>43739</v>
      </c>
      <c r="B6571" s="29">
        <v>325.61</v>
      </c>
      <c r="C6571" s="37">
        <f t="shared" si="210"/>
        <v>54.268333333333331</v>
      </c>
      <c r="D6571" s="37">
        <v>3.274</v>
      </c>
      <c r="E6571" s="33">
        <f t="shared" si="211"/>
        <v>-6.8929758745844109E-3</v>
      </c>
    </row>
    <row r="6572" spans="1:5" x14ac:dyDescent="0.25">
      <c r="A6572" s="41">
        <v>43739</v>
      </c>
      <c r="B6572" s="29">
        <v>326.72000000000003</v>
      </c>
      <c r="C6572" s="37">
        <f t="shared" si="210"/>
        <v>54.45333333333334</v>
      </c>
      <c r="D6572" s="37">
        <v>3.274</v>
      </c>
      <c r="E6572" s="33">
        <f t="shared" si="211"/>
        <v>3.4089862104972625E-3</v>
      </c>
    </row>
    <row r="6573" spans="1:5" x14ac:dyDescent="0.25">
      <c r="A6573" s="41">
        <v>43739</v>
      </c>
      <c r="B6573" s="29">
        <v>326.82</v>
      </c>
      <c r="C6573" s="37">
        <f t="shared" si="210"/>
        <v>54.47</v>
      </c>
      <c r="D6573" s="37">
        <v>3.274</v>
      </c>
      <c r="E6573" s="33">
        <f t="shared" si="211"/>
        <v>3.0607247796267715E-4</v>
      </c>
    </row>
    <row r="6574" spans="1:5" x14ac:dyDescent="0.25">
      <c r="A6574" s="41">
        <v>43739</v>
      </c>
      <c r="B6574" s="29">
        <v>325.64999999999998</v>
      </c>
      <c r="C6574" s="37">
        <f t="shared" si="210"/>
        <v>54.274999999999991</v>
      </c>
      <c r="D6574" s="37">
        <v>3.274</v>
      </c>
      <c r="E6574" s="33">
        <f t="shared" si="211"/>
        <v>-3.5799522673031514E-3</v>
      </c>
    </row>
    <row r="6575" spans="1:5" x14ac:dyDescent="0.25">
      <c r="A6575" s="41">
        <v>43739</v>
      </c>
      <c r="B6575" s="29">
        <v>325.61</v>
      </c>
      <c r="C6575" s="37">
        <f t="shared" si="210"/>
        <v>54.268333333333331</v>
      </c>
      <c r="D6575" s="37">
        <v>3.274</v>
      </c>
      <c r="E6575" s="33">
        <f t="shared" si="211"/>
        <v>-1.2283126055569974E-4</v>
      </c>
    </row>
    <row r="6576" spans="1:5" x14ac:dyDescent="0.25">
      <c r="A6576" s="41">
        <v>43739</v>
      </c>
      <c r="B6576" s="29">
        <v>323.45</v>
      </c>
      <c r="C6576" s="37">
        <f t="shared" si="210"/>
        <v>53.908333333333331</v>
      </c>
      <c r="D6576" s="37">
        <v>3.274</v>
      </c>
      <c r="E6576" s="33">
        <f t="shared" si="211"/>
        <v>-6.6337028961027762E-3</v>
      </c>
    </row>
    <row r="6577" spans="1:5" x14ac:dyDescent="0.25">
      <c r="A6577" s="41">
        <v>43739</v>
      </c>
      <c r="B6577" s="29">
        <v>318.38</v>
      </c>
      <c r="C6577" s="37">
        <f t="shared" si="210"/>
        <v>53.063333333333333</v>
      </c>
      <c r="D6577" s="37">
        <v>3.274</v>
      </c>
      <c r="E6577" s="33">
        <f t="shared" si="211"/>
        <v>-1.5674756531148533E-2</v>
      </c>
    </row>
    <row r="6578" spans="1:5" x14ac:dyDescent="0.25">
      <c r="A6578" s="41">
        <v>43740</v>
      </c>
      <c r="B6578" s="29">
        <v>315.35000000000002</v>
      </c>
      <c r="C6578" s="37">
        <f t="shared" si="210"/>
        <v>52.558333333333337</v>
      </c>
      <c r="D6578" s="37">
        <v>3.1629999999999998</v>
      </c>
      <c r="E6578" s="33">
        <f t="shared" si="211"/>
        <v>-9.5169294553677144E-3</v>
      </c>
    </row>
    <row r="6579" spans="1:5" x14ac:dyDescent="0.25">
      <c r="A6579" s="41">
        <v>43740</v>
      </c>
      <c r="B6579" s="29">
        <v>312.77999999999997</v>
      </c>
      <c r="C6579" s="37">
        <f t="shared" si="210"/>
        <v>52.129999999999995</v>
      </c>
      <c r="D6579" s="37">
        <v>3.1629999999999998</v>
      </c>
      <c r="E6579" s="33">
        <f t="shared" si="211"/>
        <v>-8.1496749643255109E-3</v>
      </c>
    </row>
    <row r="6580" spans="1:5" x14ac:dyDescent="0.25">
      <c r="A6580" s="41">
        <v>43740</v>
      </c>
      <c r="B6580" s="29">
        <v>312.10000000000002</v>
      </c>
      <c r="C6580" s="37">
        <f t="shared" si="210"/>
        <v>52.016666666666673</v>
      </c>
      <c r="D6580" s="37">
        <v>3.1629999999999998</v>
      </c>
      <c r="E6580" s="33">
        <f t="shared" si="211"/>
        <v>-2.1740520493636105E-3</v>
      </c>
    </row>
    <row r="6581" spans="1:5" x14ac:dyDescent="0.25">
      <c r="A6581" s="41">
        <v>43740</v>
      </c>
      <c r="B6581" s="29">
        <v>312.07</v>
      </c>
      <c r="C6581" s="37">
        <f t="shared" si="210"/>
        <v>52.011666666666663</v>
      </c>
      <c r="D6581" s="37">
        <v>3.1629999999999998</v>
      </c>
      <c r="E6581" s="33">
        <f t="shared" si="211"/>
        <v>-9.6123037488079319E-5</v>
      </c>
    </row>
    <row r="6582" spans="1:5" x14ac:dyDescent="0.25">
      <c r="A6582" s="41">
        <v>43740</v>
      </c>
      <c r="B6582" s="29">
        <v>312.04000000000002</v>
      </c>
      <c r="C6582" s="37">
        <f t="shared" si="210"/>
        <v>52.006666666666675</v>
      </c>
      <c r="D6582" s="37">
        <v>3.1629999999999998</v>
      </c>
      <c r="E6582" s="33">
        <f t="shared" si="211"/>
        <v>-9.6132278014460595E-5</v>
      </c>
    </row>
    <row r="6583" spans="1:5" x14ac:dyDescent="0.25">
      <c r="A6583" s="41">
        <v>43740</v>
      </c>
      <c r="B6583" s="29">
        <v>312.35000000000002</v>
      </c>
      <c r="C6583" s="37">
        <f t="shared" si="210"/>
        <v>52.058333333333337</v>
      </c>
      <c r="D6583" s="37">
        <v>3.1629999999999998</v>
      </c>
      <c r="E6583" s="33">
        <f t="shared" si="211"/>
        <v>9.9346237661838955E-4</v>
      </c>
    </row>
    <row r="6584" spans="1:5" x14ac:dyDescent="0.25">
      <c r="A6584" s="41">
        <v>43740</v>
      </c>
      <c r="B6584" s="29">
        <v>314.37</v>
      </c>
      <c r="C6584" s="37">
        <f t="shared" si="210"/>
        <v>52.395000000000003</v>
      </c>
      <c r="D6584" s="37">
        <v>3.1629999999999998</v>
      </c>
      <c r="E6584" s="33">
        <f t="shared" si="211"/>
        <v>6.4671042100207512E-3</v>
      </c>
    </row>
    <row r="6585" spans="1:5" x14ac:dyDescent="0.25">
      <c r="A6585" s="41">
        <v>43740</v>
      </c>
      <c r="B6585" s="29">
        <v>316.64999999999998</v>
      </c>
      <c r="C6585" s="37">
        <f t="shared" si="210"/>
        <v>52.774999999999991</v>
      </c>
      <c r="D6585" s="37">
        <v>3.1629999999999998</v>
      </c>
      <c r="E6585" s="33">
        <f t="shared" si="211"/>
        <v>7.252600438973098E-3</v>
      </c>
    </row>
    <row r="6586" spans="1:5" x14ac:dyDescent="0.25">
      <c r="A6586" s="41">
        <v>43740</v>
      </c>
      <c r="B6586" s="29">
        <v>321.13</v>
      </c>
      <c r="C6586" s="37">
        <f t="shared" si="210"/>
        <v>53.521666666666668</v>
      </c>
      <c r="D6586" s="37">
        <v>3.1629999999999998</v>
      </c>
      <c r="E6586" s="33">
        <f t="shared" si="211"/>
        <v>1.4148113058582089E-2</v>
      </c>
    </row>
    <row r="6587" spans="1:5" x14ac:dyDescent="0.25">
      <c r="A6587" s="41">
        <v>43740</v>
      </c>
      <c r="B6587" s="29">
        <v>326.38</v>
      </c>
      <c r="C6587" s="37">
        <f t="shared" si="210"/>
        <v>54.396666666666668</v>
      </c>
      <c r="D6587" s="37">
        <v>3.1629999999999998</v>
      </c>
      <c r="E6587" s="33">
        <f t="shared" si="211"/>
        <v>1.6348519291252764E-2</v>
      </c>
    </row>
    <row r="6588" spans="1:5" x14ac:dyDescent="0.25">
      <c r="A6588" s="41">
        <v>43740</v>
      </c>
      <c r="B6588" s="29">
        <v>328.02</v>
      </c>
      <c r="C6588" s="37">
        <f t="shared" si="210"/>
        <v>54.67</v>
      </c>
      <c r="D6588" s="37">
        <v>3.1629999999999998</v>
      </c>
      <c r="E6588" s="33">
        <f t="shared" si="211"/>
        <v>5.0248176971627746E-3</v>
      </c>
    </row>
    <row r="6589" spans="1:5" x14ac:dyDescent="0.25">
      <c r="A6589" s="41">
        <v>43740</v>
      </c>
      <c r="B6589" s="29">
        <v>328.76</v>
      </c>
      <c r="C6589" s="37">
        <f t="shared" si="210"/>
        <v>54.793333333333337</v>
      </c>
      <c r="D6589" s="37">
        <v>3.1629999999999998</v>
      </c>
      <c r="E6589" s="33">
        <f t="shared" si="211"/>
        <v>2.2559600024389037E-3</v>
      </c>
    </row>
    <row r="6590" spans="1:5" x14ac:dyDescent="0.25">
      <c r="A6590" s="41">
        <v>43740</v>
      </c>
      <c r="B6590" s="29">
        <v>327.98</v>
      </c>
      <c r="C6590" s="37">
        <f t="shared" si="210"/>
        <v>54.663333333333334</v>
      </c>
      <c r="D6590" s="37">
        <v>3.1629999999999998</v>
      </c>
      <c r="E6590" s="33">
        <f t="shared" si="211"/>
        <v>-2.3725514052803649E-3</v>
      </c>
    </row>
    <row r="6591" spans="1:5" x14ac:dyDescent="0.25">
      <c r="A6591" s="41">
        <v>43740</v>
      </c>
      <c r="B6591" s="29">
        <v>330.22</v>
      </c>
      <c r="C6591" s="37">
        <f t="shared" si="210"/>
        <v>55.036666666666669</v>
      </c>
      <c r="D6591" s="37">
        <v>3.1629999999999998</v>
      </c>
      <c r="E6591" s="33">
        <f t="shared" si="211"/>
        <v>6.8296847368742274E-3</v>
      </c>
    </row>
    <row r="6592" spans="1:5" x14ac:dyDescent="0.25">
      <c r="A6592" s="41">
        <v>43740</v>
      </c>
      <c r="B6592" s="29">
        <v>331.92</v>
      </c>
      <c r="C6592" s="37">
        <f t="shared" si="210"/>
        <v>55.32</v>
      </c>
      <c r="D6592" s="37">
        <v>3.1629999999999998</v>
      </c>
      <c r="E6592" s="33">
        <f t="shared" si="211"/>
        <v>5.1480830961177044E-3</v>
      </c>
    </row>
    <row r="6593" spans="1:5" x14ac:dyDescent="0.25">
      <c r="A6593" s="41">
        <v>43740</v>
      </c>
      <c r="B6593" s="29">
        <v>332</v>
      </c>
      <c r="C6593" s="37">
        <f t="shared" si="210"/>
        <v>55.333333333333336</v>
      </c>
      <c r="D6593" s="37">
        <v>3.1629999999999998</v>
      </c>
      <c r="E6593" s="33">
        <f t="shared" si="211"/>
        <v>2.4102193299585466E-4</v>
      </c>
    </row>
    <row r="6594" spans="1:5" x14ac:dyDescent="0.25">
      <c r="A6594" s="41">
        <v>43740</v>
      </c>
      <c r="B6594" s="29">
        <v>330.08</v>
      </c>
      <c r="C6594" s="37">
        <f t="shared" si="210"/>
        <v>55.013333333333335</v>
      </c>
      <c r="D6594" s="37">
        <v>3.1629999999999998</v>
      </c>
      <c r="E6594" s="33">
        <f t="shared" si="211"/>
        <v>-5.7831325301205298E-3</v>
      </c>
    </row>
    <row r="6595" spans="1:5" x14ac:dyDescent="0.25">
      <c r="A6595" s="41">
        <v>43740</v>
      </c>
      <c r="B6595" s="29">
        <v>327.48</v>
      </c>
      <c r="C6595" s="37">
        <f t="shared" ref="C6595:C6658" si="212">(B6595*100/600)</f>
        <v>54.58</v>
      </c>
      <c r="D6595" s="37">
        <v>3.1629999999999998</v>
      </c>
      <c r="E6595" s="33">
        <f t="shared" si="211"/>
        <v>-7.8768783325253462E-3</v>
      </c>
    </row>
    <row r="6596" spans="1:5" x14ac:dyDescent="0.25">
      <c r="A6596" s="41">
        <v>43740</v>
      </c>
      <c r="B6596" s="29">
        <v>328.66</v>
      </c>
      <c r="C6596" s="37">
        <f t="shared" si="212"/>
        <v>54.776666666666664</v>
      </c>
      <c r="D6596" s="37">
        <v>3.1629999999999998</v>
      </c>
      <c r="E6596" s="33">
        <f t="shared" ref="E6596:E6659" si="213">(B6596-B6595)/B6595</f>
        <v>3.603273482350088E-3</v>
      </c>
    </row>
    <row r="6597" spans="1:5" x14ac:dyDescent="0.25">
      <c r="A6597" s="41">
        <v>43740</v>
      </c>
      <c r="B6597" s="29">
        <v>328.44</v>
      </c>
      <c r="C6597" s="37">
        <f t="shared" si="212"/>
        <v>54.74</v>
      </c>
      <c r="D6597" s="37">
        <v>3.1629999999999998</v>
      </c>
      <c r="E6597" s="33">
        <f t="shared" si="213"/>
        <v>-6.6938477453912031E-4</v>
      </c>
    </row>
    <row r="6598" spans="1:5" x14ac:dyDescent="0.25">
      <c r="A6598" s="41">
        <v>43740</v>
      </c>
      <c r="B6598" s="29">
        <v>327.14999999999998</v>
      </c>
      <c r="C6598" s="37">
        <f t="shared" si="212"/>
        <v>54.524999999999991</v>
      </c>
      <c r="D6598" s="37">
        <v>3.1629999999999998</v>
      </c>
      <c r="E6598" s="33">
        <f t="shared" si="213"/>
        <v>-3.9276580197296932E-3</v>
      </c>
    </row>
    <row r="6599" spans="1:5" x14ac:dyDescent="0.25">
      <c r="A6599" s="41">
        <v>43740</v>
      </c>
      <c r="B6599" s="29">
        <v>327.10000000000002</v>
      </c>
      <c r="C6599" s="37">
        <f t="shared" si="212"/>
        <v>54.516666666666673</v>
      </c>
      <c r="D6599" s="37">
        <v>3.1629999999999998</v>
      </c>
      <c r="E6599" s="33">
        <f t="shared" si="213"/>
        <v>-1.5283509093674011E-4</v>
      </c>
    </row>
    <row r="6600" spans="1:5" x14ac:dyDescent="0.25">
      <c r="A6600" s="41">
        <v>43740</v>
      </c>
      <c r="B6600" s="29">
        <v>325.31</v>
      </c>
      <c r="C6600" s="37">
        <f t="shared" si="212"/>
        <v>54.218333333333334</v>
      </c>
      <c r="D6600" s="37">
        <v>3.1629999999999998</v>
      </c>
      <c r="E6600" s="33">
        <f t="shared" si="213"/>
        <v>-5.4723326199939476E-3</v>
      </c>
    </row>
    <row r="6601" spans="1:5" x14ac:dyDescent="0.25">
      <c r="A6601" s="41">
        <v>43740</v>
      </c>
      <c r="B6601" s="29">
        <v>320.33999999999997</v>
      </c>
      <c r="C6601" s="37">
        <f t="shared" si="212"/>
        <v>53.389999999999993</v>
      </c>
      <c r="D6601" s="37">
        <v>3.1629999999999998</v>
      </c>
      <c r="E6601" s="33">
        <f t="shared" si="213"/>
        <v>-1.5277735083458938E-2</v>
      </c>
    </row>
    <row r="6602" spans="1:5" x14ac:dyDescent="0.25">
      <c r="A6602" s="41">
        <v>43741</v>
      </c>
      <c r="B6602" s="29">
        <v>314.86</v>
      </c>
      <c r="C6602" s="37">
        <f t="shared" si="212"/>
        <v>52.476666666666667</v>
      </c>
      <c r="D6602" s="37">
        <v>3.2410000000000001</v>
      </c>
      <c r="E6602" s="33">
        <f t="shared" si="213"/>
        <v>-1.710682399950041E-2</v>
      </c>
    </row>
    <row r="6603" spans="1:5" x14ac:dyDescent="0.25">
      <c r="A6603" s="41">
        <v>43741</v>
      </c>
      <c r="B6603" s="29">
        <v>314.06</v>
      </c>
      <c r="C6603" s="37">
        <f t="shared" si="212"/>
        <v>52.343333333333334</v>
      </c>
      <c r="D6603" s="37">
        <v>3.2410000000000001</v>
      </c>
      <c r="E6603" s="33">
        <f t="shared" si="213"/>
        <v>-2.5408117893667387E-3</v>
      </c>
    </row>
    <row r="6604" spans="1:5" x14ac:dyDescent="0.25">
      <c r="A6604" s="41">
        <v>43741</v>
      </c>
      <c r="B6604" s="29">
        <v>313.29000000000002</v>
      </c>
      <c r="C6604" s="37">
        <f t="shared" si="212"/>
        <v>52.215000000000003</v>
      </c>
      <c r="D6604" s="37">
        <v>3.2410000000000001</v>
      </c>
      <c r="E6604" s="33">
        <f t="shared" si="213"/>
        <v>-2.4517608100362407E-3</v>
      </c>
    </row>
    <row r="6605" spans="1:5" x14ac:dyDescent="0.25">
      <c r="A6605" s="41">
        <v>43741</v>
      </c>
      <c r="B6605" s="29">
        <v>313.11</v>
      </c>
      <c r="C6605" s="37">
        <f t="shared" si="212"/>
        <v>52.185000000000002</v>
      </c>
      <c r="D6605" s="37">
        <v>3.2410000000000001</v>
      </c>
      <c r="E6605" s="33">
        <f t="shared" si="213"/>
        <v>-5.7454754380927193E-4</v>
      </c>
    </row>
    <row r="6606" spans="1:5" x14ac:dyDescent="0.25">
      <c r="A6606" s="41">
        <v>43741</v>
      </c>
      <c r="B6606" s="29">
        <v>313.29000000000002</v>
      </c>
      <c r="C6606" s="37">
        <f t="shared" si="212"/>
        <v>52.215000000000003</v>
      </c>
      <c r="D6606" s="37">
        <v>3.2410000000000001</v>
      </c>
      <c r="E6606" s="33">
        <f t="shared" si="213"/>
        <v>5.7487783845934916E-4</v>
      </c>
    </row>
    <row r="6607" spans="1:5" x14ac:dyDescent="0.25">
      <c r="A6607" s="41">
        <v>43741</v>
      </c>
      <c r="B6607" s="29">
        <v>313.5</v>
      </c>
      <c r="C6607" s="37">
        <f t="shared" si="212"/>
        <v>52.25</v>
      </c>
      <c r="D6607" s="37">
        <v>3.2410000000000001</v>
      </c>
      <c r="E6607" s="33">
        <f t="shared" si="213"/>
        <v>6.7030546777739326E-4</v>
      </c>
    </row>
    <row r="6608" spans="1:5" x14ac:dyDescent="0.25">
      <c r="A6608" s="41">
        <v>43741</v>
      </c>
      <c r="B6608" s="29">
        <v>314.62</v>
      </c>
      <c r="C6608" s="37">
        <f t="shared" si="212"/>
        <v>52.436666666666667</v>
      </c>
      <c r="D6608" s="37">
        <v>3.2410000000000001</v>
      </c>
      <c r="E6608" s="33">
        <f t="shared" si="213"/>
        <v>3.5725677830941134E-3</v>
      </c>
    </row>
    <row r="6609" spans="1:5" x14ac:dyDescent="0.25">
      <c r="A6609" s="41">
        <v>43741</v>
      </c>
      <c r="B6609" s="29">
        <v>316.51</v>
      </c>
      <c r="C6609" s="37">
        <f t="shared" si="212"/>
        <v>52.751666666666665</v>
      </c>
      <c r="D6609" s="37">
        <v>3.2410000000000001</v>
      </c>
      <c r="E6609" s="33">
        <f t="shared" si="213"/>
        <v>6.0072468374546637E-3</v>
      </c>
    </row>
    <row r="6610" spans="1:5" x14ac:dyDescent="0.25">
      <c r="A6610" s="41">
        <v>43741</v>
      </c>
      <c r="B6610" s="29">
        <v>320.77999999999997</v>
      </c>
      <c r="C6610" s="37">
        <f t="shared" si="212"/>
        <v>53.463333333333324</v>
      </c>
      <c r="D6610" s="37">
        <v>3.2410000000000001</v>
      </c>
      <c r="E6610" s="33">
        <f t="shared" si="213"/>
        <v>1.3490884964140096E-2</v>
      </c>
    </row>
    <row r="6611" spans="1:5" x14ac:dyDescent="0.25">
      <c r="A6611" s="41">
        <v>43741</v>
      </c>
      <c r="B6611" s="29">
        <v>325.38</v>
      </c>
      <c r="C6611" s="37">
        <f t="shared" si="212"/>
        <v>54.23</v>
      </c>
      <c r="D6611" s="37">
        <v>3.2410000000000001</v>
      </c>
      <c r="E6611" s="33">
        <f t="shared" si="213"/>
        <v>1.4340046137539818E-2</v>
      </c>
    </row>
    <row r="6612" spans="1:5" x14ac:dyDescent="0.25">
      <c r="A6612" s="41">
        <v>43741</v>
      </c>
      <c r="B6612" s="29">
        <v>328.15</v>
      </c>
      <c r="C6612" s="37">
        <f t="shared" si="212"/>
        <v>54.69166666666667</v>
      </c>
      <c r="D6612" s="37">
        <v>3.2410000000000001</v>
      </c>
      <c r="E6612" s="33">
        <f t="shared" si="213"/>
        <v>8.513123117585536E-3</v>
      </c>
    </row>
    <row r="6613" spans="1:5" x14ac:dyDescent="0.25">
      <c r="A6613" s="41">
        <v>43741</v>
      </c>
      <c r="B6613" s="29">
        <v>329.72</v>
      </c>
      <c r="C6613" s="37">
        <f t="shared" si="212"/>
        <v>54.953333333333333</v>
      </c>
      <c r="D6613" s="37">
        <v>3.2410000000000001</v>
      </c>
      <c r="E6613" s="33">
        <f t="shared" si="213"/>
        <v>4.7843973792474478E-3</v>
      </c>
    </row>
    <row r="6614" spans="1:5" x14ac:dyDescent="0.25">
      <c r="A6614" s="41">
        <v>43741</v>
      </c>
      <c r="B6614" s="29">
        <v>326.89999999999998</v>
      </c>
      <c r="C6614" s="37">
        <f t="shared" si="212"/>
        <v>54.483333333333327</v>
      </c>
      <c r="D6614" s="37">
        <v>3.2410000000000001</v>
      </c>
      <c r="E6614" s="33">
        <f t="shared" si="213"/>
        <v>-8.5527113914838342E-3</v>
      </c>
    </row>
    <row r="6615" spans="1:5" x14ac:dyDescent="0.25">
      <c r="A6615" s="41">
        <v>43741</v>
      </c>
      <c r="B6615" s="29">
        <v>330.69</v>
      </c>
      <c r="C6615" s="37">
        <f t="shared" si="212"/>
        <v>55.115000000000002</v>
      </c>
      <c r="D6615" s="37">
        <v>3.2410000000000001</v>
      </c>
      <c r="E6615" s="33">
        <f t="shared" si="213"/>
        <v>1.159375955949838E-2</v>
      </c>
    </row>
    <row r="6616" spans="1:5" x14ac:dyDescent="0.25">
      <c r="A6616" s="41">
        <v>43741</v>
      </c>
      <c r="B6616" s="29">
        <v>332.37</v>
      </c>
      <c r="C6616" s="37">
        <f t="shared" si="212"/>
        <v>55.395000000000003</v>
      </c>
      <c r="D6616" s="37">
        <v>3.2410000000000001</v>
      </c>
      <c r="E6616" s="33">
        <f t="shared" si="213"/>
        <v>5.0802866733194434E-3</v>
      </c>
    </row>
    <row r="6617" spans="1:5" x14ac:dyDescent="0.25">
      <c r="A6617" s="41">
        <v>43741</v>
      </c>
      <c r="B6617" s="29">
        <v>332.21</v>
      </c>
      <c r="C6617" s="37">
        <f t="shared" si="212"/>
        <v>55.368333333333332</v>
      </c>
      <c r="D6617" s="37">
        <v>3.2410000000000001</v>
      </c>
      <c r="E6617" s="33">
        <f t="shared" si="213"/>
        <v>-4.8139122062768904E-4</v>
      </c>
    </row>
    <row r="6618" spans="1:5" x14ac:dyDescent="0.25">
      <c r="A6618" s="41">
        <v>43741</v>
      </c>
      <c r="B6618" s="29">
        <v>332.14</v>
      </c>
      <c r="C6618" s="37">
        <f t="shared" si="212"/>
        <v>55.356666666666669</v>
      </c>
      <c r="D6618" s="37">
        <v>3.2410000000000001</v>
      </c>
      <c r="E6618" s="33">
        <f t="shared" si="213"/>
        <v>-2.1071009301343481E-4</v>
      </c>
    </row>
    <row r="6619" spans="1:5" x14ac:dyDescent="0.25">
      <c r="A6619" s="41">
        <v>43741</v>
      </c>
      <c r="B6619" s="29">
        <v>325.56</v>
      </c>
      <c r="C6619" s="37">
        <f t="shared" si="212"/>
        <v>54.26</v>
      </c>
      <c r="D6619" s="37">
        <v>3.2410000000000001</v>
      </c>
      <c r="E6619" s="33">
        <f t="shared" si="213"/>
        <v>-1.9810923104714832E-2</v>
      </c>
    </row>
    <row r="6620" spans="1:5" x14ac:dyDescent="0.25">
      <c r="A6620" s="41">
        <v>43741</v>
      </c>
      <c r="B6620" s="29">
        <v>328.04</v>
      </c>
      <c r="C6620" s="37">
        <f t="shared" si="212"/>
        <v>54.673333333333332</v>
      </c>
      <c r="D6620" s="37">
        <v>3.2410000000000001</v>
      </c>
      <c r="E6620" s="33">
        <f t="shared" si="213"/>
        <v>7.6176434451407362E-3</v>
      </c>
    </row>
    <row r="6621" spans="1:5" x14ac:dyDescent="0.25">
      <c r="A6621" s="41">
        <v>43741</v>
      </c>
      <c r="B6621" s="29">
        <v>327.11</v>
      </c>
      <c r="C6621" s="37">
        <f t="shared" si="212"/>
        <v>54.518333333333331</v>
      </c>
      <c r="D6621" s="37">
        <v>3.2410000000000001</v>
      </c>
      <c r="E6621" s="33">
        <f t="shared" si="213"/>
        <v>-2.8350201194976428E-3</v>
      </c>
    </row>
    <row r="6622" spans="1:5" x14ac:dyDescent="0.25">
      <c r="A6622" s="41">
        <v>43741</v>
      </c>
      <c r="B6622" s="29">
        <v>324.89999999999998</v>
      </c>
      <c r="C6622" s="37">
        <f t="shared" si="212"/>
        <v>54.149999999999991</v>
      </c>
      <c r="D6622" s="37">
        <v>3.2410000000000001</v>
      </c>
      <c r="E6622" s="33">
        <f t="shared" si="213"/>
        <v>-6.7561370792700816E-3</v>
      </c>
    </row>
    <row r="6623" spans="1:5" x14ac:dyDescent="0.25">
      <c r="A6623" s="41">
        <v>43741</v>
      </c>
      <c r="B6623" s="29">
        <v>324.83999999999997</v>
      </c>
      <c r="C6623" s="37">
        <f t="shared" si="212"/>
        <v>54.139999999999993</v>
      </c>
      <c r="D6623" s="37">
        <v>3.2410000000000001</v>
      </c>
      <c r="E6623" s="33">
        <f t="shared" si="213"/>
        <v>-1.8467220683287866E-4</v>
      </c>
    </row>
    <row r="6624" spans="1:5" x14ac:dyDescent="0.25">
      <c r="A6624" s="41">
        <v>43741</v>
      </c>
      <c r="B6624" s="29">
        <v>322.77999999999997</v>
      </c>
      <c r="C6624" s="37">
        <f t="shared" si="212"/>
        <v>53.79666666666666</v>
      </c>
      <c r="D6624" s="37">
        <v>3.2410000000000001</v>
      </c>
      <c r="E6624" s="33">
        <f t="shared" si="213"/>
        <v>-6.341583548824044E-3</v>
      </c>
    </row>
    <row r="6625" spans="1:5" x14ac:dyDescent="0.25">
      <c r="A6625" s="41">
        <v>43741</v>
      </c>
      <c r="B6625" s="29">
        <v>320.10000000000002</v>
      </c>
      <c r="C6625" s="37">
        <f t="shared" si="212"/>
        <v>53.350000000000009</v>
      </c>
      <c r="D6625" s="37">
        <v>3.2410000000000001</v>
      </c>
      <c r="E6625" s="33">
        <f t="shared" si="213"/>
        <v>-8.3028688270647202E-3</v>
      </c>
    </row>
    <row r="6626" spans="1:5" x14ac:dyDescent="0.25">
      <c r="A6626" s="41">
        <v>43742</v>
      </c>
      <c r="B6626" s="29">
        <v>313.44</v>
      </c>
      <c r="C6626" s="37">
        <f t="shared" si="212"/>
        <v>52.24</v>
      </c>
      <c r="D6626" s="37">
        <v>4.9710000000000001</v>
      </c>
      <c r="E6626" s="33">
        <f t="shared" si="213"/>
        <v>-2.0805998125585833E-2</v>
      </c>
    </row>
    <row r="6627" spans="1:5" x14ac:dyDescent="0.25">
      <c r="A6627" s="41">
        <v>43742</v>
      </c>
      <c r="B6627" s="29">
        <v>312.79000000000002</v>
      </c>
      <c r="C6627" s="37">
        <f t="shared" si="212"/>
        <v>52.131666666666675</v>
      </c>
      <c r="D6627" s="37">
        <v>4.9710000000000001</v>
      </c>
      <c r="E6627" s="33">
        <f t="shared" si="213"/>
        <v>-2.0737621235323422E-3</v>
      </c>
    </row>
    <row r="6628" spans="1:5" x14ac:dyDescent="0.25">
      <c r="A6628" s="41">
        <v>43742</v>
      </c>
      <c r="B6628" s="29">
        <v>311.44</v>
      </c>
      <c r="C6628" s="37">
        <f t="shared" si="212"/>
        <v>51.906666666666666</v>
      </c>
      <c r="D6628" s="37">
        <v>4.9710000000000001</v>
      </c>
      <c r="E6628" s="33">
        <f t="shared" si="213"/>
        <v>-4.3159947568657013E-3</v>
      </c>
    </row>
    <row r="6629" spans="1:5" x14ac:dyDescent="0.25">
      <c r="A6629" s="41">
        <v>43742</v>
      </c>
      <c r="B6629" s="29">
        <v>311.19</v>
      </c>
      <c r="C6629" s="37">
        <f t="shared" si="212"/>
        <v>51.865000000000002</v>
      </c>
      <c r="D6629" s="37">
        <v>4.9710000000000001</v>
      </c>
      <c r="E6629" s="33">
        <f t="shared" si="213"/>
        <v>-8.0272283585923455E-4</v>
      </c>
    </row>
    <row r="6630" spans="1:5" x14ac:dyDescent="0.25">
      <c r="A6630" s="41">
        <v>43742</v>
      </c>
      <c r="B6630" s="29">
        <v>311.45</v>
      </c>
      <c r="C6630" s="37">
        <f t="shared" si="212"/>
        <v>51.908333333333331</v>
      </c>
      <c r="D6630" s="37">
        <v>4.9710000000000001</v>
      </c>
      <c r="E6630" s="33">
        <f t="shared" si="213"/>
        <v>8.355024261704775E-4</v>
      </c>
    </row>
    <row r="6631" spans="1:5" x14ac:dyDescent="0.25">
      <c r="A6631" s="41">
        <v>43742</v>
      </c>
      <c r="B6631" s="29">
        <v>312.39999999999998</v>
      </c>
      <c r="C6631" s="37">
        <f t="shared" si="212"/>
        <v>52.066666666666663</v>
      </c>
      <c r="D6631" s="37">
        <v>4.9710000000000001</v>
      </c>
      <c r="E6631" s="33">
        <f t="shared" si="213"/>
        <v>3.0502488360892237E-3</v>
      </c>
    </row>
    <row r="6632" spans="1:5" x14ac:dyDescent="0.25">
      <c r="A6632" s="41">
        <v>43742</v>
      </c>
      <c r="B6632" s="29">
        <v>313.77999999999997</v>
      </c>
      <c r="C6632" s="37">
        <f t="shared" si="212"/>
        <v>52.29666666666666</v>
      </c>
      <c r="D6632" s="37">
        <v>4.9710000000000001</v>
      </c>
      <c r="E6632" s="33">
        <f t="shared" si="213"/>
        <v>4.4174135723431358E-3</v>
      </c>
    </row>
    <row r="6633" spans="1:5" x14ac:dyDescent="0.25">
      <c r="A6633" s="41">
        <v>43742</v>
      </c>
      <c r="B6633" s="29">
        <v>316.76</v>
      </c>
      <c r="C6633" s="37">
        <f t="shared" si="212"/>
        <v>52.793333333333337</v>
      </c>
      <c r="D6633" s="37">
        <v>4.9710000000000001</v>
      </c>
      <c r="E6633" s="33">
        <f t="shared" si="213"/>
        <v>9.4970998788961002E-3</v>
      </c>
    </row>
    <row r="6634" spans="1:5" x14ac:dyDescent="0.25">
      <c r="A6634" s="41">
        <v>43742</v>
      </c>
      <c r="B6634" s="29">
        <v>321.45999999999998</v>
      </c>
      <c r="C6634" s="37">
        <f t="shared" si="212"/>
        <v>53.576666666666661</v>
      </c>
      <c r="D6634" s="37">
        <v>4.9710000000000001</v>
      </c>
      <c r="E6634" s="33">
        <f t="shared" si="213"/>
        <v>1.4837732036873308E-2</v>
      </c>
    </row>
    <row r="6635" spans="1:5" x14ac:dyDescent="0.25">
      <c r="A6635" s="41">
        <v>43742</v>
      </c>
      <c r="B6635" s="29">
        <v>323.25</v>
      </c>
      <c r="C6635" s="37">
        <f t="shared" si="212"/>
        <v>53.875</v>
      </c>
      <c r="D6635" s="37">
        <v>4.9710000000000001</v>
      </c>
      <c r="E6635" s="33">
        <f t="shared" si="213"/>
        <v>5.5683444285448283E-3</v>
      </c>
    </row>
    <row r="6636" spans="1:5" x14ac:dyDescent="0.25">
      <c r="A6636" s="41">
        <v>43742</v>
      </c>
      <c r="B6636" s="29">
        <v>324.75</v>
      </c>
      <c r="C6636" s="37">
        <f t="shared" si="212"/>
        <v>54.125</v>
      </c>
      <c r="D6636" s="37">
        <v>4.9710000000000001</v>
      </c>
      <c r="E6636" s="33">
        <f t="shared" si="213"/>
        <v>4.6403712296983757E-3</v>
      </c>
    </row>
    <row r="6637" spans="1:5" x14ac:dyDescent="0.25">
      <c r="A6637" s="41">
        <v>43742</v>
      </c>
      <c r="B6637" s="29">
        <v>326.45</v>
      </c>
      <c r="C6637" s="37">
        <f t="shared" si="212"/>
        <v>54.408333333333331</v>
      </c>
      <c r="D6637" s="37">
        <v>4.9710000000000001</v>
      </c>
      <c r="E6637" s="33">
        <f t="shared" si="213"/>
        <v>5.2347959969206732E-3</v>
      </c>
    </row>
    <row r="6638" spans="1:5" x14ac:dyDescent="0.25">
      <c r="A6638" s="41">
        <v>43742</v>
      </c>
      <c r="B6638" s="29">
        <v>324.24</v>
      </c>
      <c r="C6638" s="37">
        <f t="shared" si="212"/>
        <v>54.04</v>
      </c>
      <c r="D6638" s="37">
        <v>4.9710000000000001</v>
      </c>
      <c r="E6638" s="33">
        <f t="shared" si="213"/>
        <v>-6.7697962934598855E-3</v>
      </c>
    </row>
    <row r="6639" spans="1:5" x14ac:dyDescent="0.25">
      <c r="A6639" s="41">
        <v>43742</v>
      </c>
      <c r="B6639" s="29">
        <v>328.77</v>
      </c>
      <c r="C6639" s="37">
        <f t="shared" si="212"/>
        <v>54.795000000000002</v>
      </c>
      <c r="D6639" s="37">
        <v>4.9710000000000001</v>
      </c>
      <c r="E6639" s="33">
        <f t="shared" si="213"/>
        <v>1.3971132494448472E-2</v>
      </c>
    </row>
    <row r="6640" spans="1:5" x14ac:dyDescent="0.25">
      <c r="A6640" s="41">
        <v>43742</v>
      </c>
      <c r="B6640" s="29">
        <v>331.4</v>
      </c>
      <c r="C6640" s="37">
        <f t="shared" si="212"/>
        <v>55.233333333333334</v>
      </c>
      <c r="D6640" s="37">
        <v>4.9710000000000001</v>
      </c>
      <c r="E6640" s="33">
        <f t="shared" si="213"/>
        <v>7.9995133375916159E-3</v>
      </c>
    </row>
    <row r="6641" spans="1:5" x14ac:dyDescent="0.25">
      <c r="A6641" s="41">
        <v>43742</v>
      </c>
      <c r="B6641" s="29">
        <v>331.05</v>
      </c>
      <c r="C6641" s="37">
        <f t="shared" si="212"/>
        <v>55.174999999999997</v>
      </c>
      <c r="D6641" s="37">
        <v>4.9710000000000001</v>
      </c>
      <c r="E6641" s="33">
        <f t="shared" si="213"/>
        <v>-1.0561255280626613E-3</v>
      </c>
    </row>
    <row r="6642" spans="1:5" x14ac:dyDescent="0.25">
      <c r="A6642" s="41">
        <v>43742</v>
      </c>
      <c r="B6642" s="29">
        <v>327.77</v>
      </c>
      <c r="C6642" s="37">
        <f t="shared" si="212"/>
        <v>54.62833333333333</v>
      </c>
      <c r="D6642" s="37">
        <v>4.9710000000000001</v>
      </c>
      <c r="E6642" s="33">
        <f t="shared" si="213"/>
        <v>-9.9078689019786413E-3</v>
      </c>
    </row>
    <row r="6643" spans="1:5" x14ac:dyDescent="0.25">
      <c r="A6643" s="41">
        <v>43742</v>
      </c>
      <c r="B6643" s="29">
        <v>323.60000000000002</v>
      </c>
      <c r="C6643" s="37">
        <f t="shared" si="212"/>
        <v>53.933333333333337</v>
      </c>
      <c r="D6643" s="37">
        <v>4.9710000000000001</v>
      </c>
      <c r="E6643" s="33">
        <f t="shared" si="213"/>
        <v>-1.2722335784238824E-2</v>
      </c>
    </row>
    <row r="6644" spans="1:5" x14ac:dyDescent="0.25">
      <c r="A6644" s="41">
        <v>43742</v>
      </c>
      <c r="B6644" s="29">
        <v>324.2</v>
      </c>
      <c r="C6644" s="37">
        <f t="shared" si="212"/>
        <v>54.033333333333331</v>
      </c>
      <c r="D6644" s="37">
        <v>4.9710000000000001</v>
      </c>
      <c r="E6644" s="33">
        <f t="shared" si="213"/>
        <v>1.8541409147094124E-3</v>
      </c>
    </row>
    <row r="6645" spans="1:5" x14ac:dyDescent="0.25">
      <c r="A6645" s="41">
        <v>43742</v>
      </c>
      <c r="B6645" s="29">
        <v>323.81</v>
      </c>
      <c r="C6645" s="37">
        <f t="shared" si="212"/>
        <v>53.968333333333334</v>
      </c>
      <c r="D6645" s="37">
        <v>4.9710000000000001</v>
      </c>
      <c r="E6645" s="33">
        <f t="shared" si="213"/>
        <v>-1.2029611351017471E-3</v>
      </c>
    </row>
    <row r="6646" spans="1:5" x14ac:dyDescent="0.25">
      <c r="A6646" s="41">
        <v>43742</v>
      </c>
      <c r="B6646" s="29">
        <v>323.42</v>
      </c>
      <c r="C6646" s="37">
        <f t="shared" si="212"/>
        <v>53.903333333333336</v>
      </c>
      <c r="D6646" s="37">
        <v>4.9710000000000001</v>
      </c>
      <c r="E6646" s="33">
        <f t="shared" si="213"/>
        <v>-1.2044099935146733E-3</v>
      </c>
    </row>
    <row r="6647" spans="1:5" x14ac:dyDescent="0.25">
      <c r="A6647" s="41">
        <v>43742</v>
      </c>
      <c r="B6647" s="29">
        <v>323.37</v>
      </c>
      <c r="C6647" s="37">
        <f t="shared" si="212"/>
        <v>53.895000000000003</v>
      </c>
      <c r="D6647" s="37">
        <v>4.9710000000000001</v>
      </c>
      <c r="E6647" s="33">
        <f t="shared" si="213"/>
        <v>-1.5459773668917E-4</v>
      </c>
    </row>
    <row r="6648" spans="1:5" x14ac:dyDescent="0.25">
      <c r="A6648" s="41">
        <v>43742</v>
      </c>
      <c r="B6648" s="29">
        <v>321.61</v>
      </c>
      <c r="C6648" s="37">
        <f t="shared" si="212"/>
        <v>53.601666666666667</v>
      </c>
      <c r="D6648" s="37">
        <v>4.9710000000000001</v>
      </c>
      <c r="E6648" s="33">
        <f t="shared" si="213"/>
        <v>-5.4426817577387853E-3</v>
      </c>
    </row>
    <row r="6649" spans="1:5" x14ac:dyDescent="0.25">
      <c r="A6649" s="41">
        <v>43742</v>
      </c>
      <c r="B6649" s="29">
        <v>316.7</v>
      </c>
      <c r="C6649" s="37">
        <f t="shared" si="212"/>
        <v>52.783333333333331</v>
      </c>
      <c r="D6649" s="37">
        <v>4.9710000000000001</v>
      </c>
      <c r="E6649" s="33">
        <f t="shared" si="213"/>
        <v>-1.5266938217095316E-2</v>
      </c>
    </row>
    <row r="6650" spans="1:5" x14ac:dyDescent="0.25">
      <c r="A6650" s="41">
        <v>43743</v>
      </c>
      <c r="B6650" s="37">
        <v>272.27</v>
      </c>
      <c r="C6650" s="37">
        <f t="shared" si="212"/>
        <v>45.37833333333333</v>
      </c>
      <c r="D6650" s="37">
        <v>5.8289999999999997</v>
      </c>
      <c r="E6650" s="33">
        <f t="shared" si="213"/>
        <v>-0.14029049573729083</v>
      </c>
    </row>
    <row r="6651" spans="1:5" x14ac:dyDescent="0.25">
      <c r="A6651" s="41">
        <v>43743</v>
      </c>
      <c r="B6651" s="37">
        <v>270.32</v>
      </c>
      <c r="C6651" s="37">
        <f t="shared" si="212"/>
        <v>45.053333333333335</v>
      </c>
      <c r="D6651" s="37">
        <v>5.8289999999999997</v>
      </c>
      <c r="E6651" s="33">
        <f t="shared" si="213"/>
        <v>-7.162008300583938E-3</v>
      </c>
    </row>
    <row r="6652" spans="1:5" x14ac:dyDescent="0.25">
      <c r="A6652" s="41">
        <v>43743</v>
      </c>
      <c r="B6652" s="37">
        <v>267.87</v>
      </c>
      <c r="C6652" s="37">
        <f t="shared" si="212"/>
        <v>44.645000000000003</v>
      </c>
      <c r="D6652" s="37">
        <v>5.8289999999999997</v>
      </c>
      <c r="E6652" s="33">
        <f t="shared" si="213"/>
        <v>-9.0633323468481373E-3</v>
      </c>
    </row>
    <row r="6653" spans="1:5" x14ac:dyDescent="0.25">
      <c r="A6653" s="41">
        <v>43743</v>
      </c>
      <c r="B6653" s="37">
        <v>267.39</v>
      </c>
      <c r="C6653" s="37">
        <f t="shared" si="212"/>
        <v>44.564999999999998</v>
      </c>
      <c r="D6653" s="37">
        <v>5.8289999999999997</v>
      </c>
      <c r="E6653" s="33">
        <f t="shared" si="213"/>
        <v>-1.7919139881286377E-3</v>
      </c>
    </row>
    <row r="6654" spans="1:5" x14ac:dyDescent="0.25">
      <c r="A6654" s="41">
        <v>43743</v>
      </c>
      <c r="B6654" s="37">
        <v>267.32</v>
      </c>
      <c r="C6654" s="37">
        <f t="shared" si="212"/>
        <v>44.553333333333335</v>
      </c>
      <c r="D6654" s="37">
        <v>5.8289999999999997</v>
      </c>
      <c r="E6654" s="33">
        <f t="shared" si="213"/>
        <v>-2.6178989491003096E-4</v>
      </c>
    </row>
    <row r="6655" spans="1:5" x14ac:dyDescent="0.25">
      <c r="A6655" s="41">
        <v>43743</v>
      </c>
      <c r="B6655" s="37">
        <v>267.16000000000003</v>
      </c>
      <c r="C6655" s="37">
        <f t="shared" si="212"/>
        <v>44.526666666666671</v>
      </c>
      <c r="D6655" s="37">
        <v>5.8289999999999997</v>
      </c>
      <c r="E6655" s="33">
        <f t="shared" si="213"/>
        <v>-5.9853359269777112E-4</v>
      </c>
    </row>
    <row r="6656" spans="1:5" x14ac:dyDescent="0.25">
      <c r="A6656" s="41">
        <v>43743</v>
      </c>
      <c r="B6656" s="37">
        <v>265.43</v>
      </c>
      <c r="C6656" s="37">
        <f t="shared" si="212"/>
        <v>44.238333333333337</v>
      </c>
      <c r="D6656" s="37">
        <v>5.8289999999999997</v>
      </c>
      <c r="E6656" s="33">
        <f t="shared" si="213"/>
        <v>-6.4755202874682517E-3</v>
      </c>
    </row>
    <row r="6657" spans="1:5" x14ac:dyDescent="0.25">
      <c r="A6657" s="41">
        <v>43743</v>
      </c>
      <c r="B6657" s="37">
        <v>268.37</v>
      </c>
      <c r="C6657" s="37">
        <f t="shared" si="212"/>
        <v>44.728333333333332</v>
      </c>
      <c r="D6657" s="37">
        <v>5.8289999999999997</v>
      </c>
      <c r="E6657" s="33">
        <f t="shared" si="213"/>
        <v>1.1076366650340947E-2</v>
      </c>
    </row>
    <row r="6658" spans="1:5" x14ac:dyDescent="0.25">
      <c r="A6658" s="41">
        <v>43743</v>
      </c>
      <c r="B6658" s="37">
        <v>271.55</v>
      </c>
      <c r="C6658" s="37">
        <f t="shared" si="212"/>
        <v>45.258333333333333</v>
      </c>
      <c r="D6658" s="37">
        <v>5.8289999999999997</v>
      </c>
      <c r="E6658" s="33">
        <f t="shared" si="213"/>
        <v>1.1849312516302146E-2</v>
      </c>
    </row>
    <row r="6659" spans="1:5" x14ac:dyDescent="0.25">
      <c r="A6659" s="41">
        <v>43743</v>
      </c>
      <c r="B6659" s="37">
        <v>272.85000000000002</v>
      </c>
      <c r="C6659" s="37">
        <f t="shared" ref="C6659:C6722" si="214">(B6659*100/600)</f>
        <v>45.475000000000009</v>
      </c>
      <c r="D6659" s="37">
        <v>5.8289999999999997</v>
      </c>
      <c r="E6659" s="33">
        <f t="shared" si="213"/>
        <v>4.7873319830602518E-3</v>
      </c>
    </row>
    <row r="6660" spans="1:5" x14ac:dyDescent="0.25">
      <c r="A6660" s="41">
        <v>43743</v>
      </c>
      <c r="B6660" s="37">
        <v>273.12</v>
      </c>
      <c r="C6660" s="37">
        <f t="shared" si="214"/>
        <v>45.52</v>
      </c>
      <c r="D6660" s="37">
        <v>5.8289999999999997</v>
      </c>
      <c r="E6660" s="33">
        <f t="shared" ref="E6660:E6723" si="215">(B6660-B6659)/B6659</f>
        <v>9.8955470038476008E-4</v>
      </c>
    </row>
    <row r="6661" spans="1:5" x14ac:dyDescent="0.25">
      <c r="A6661" s="41">
        <v>43743</v>
      </c>
      <c r="B6661" s="37">
        <v>273.29000000000002</v>
      </c>
      <c r="C6661" s="37">
        <f t="shared" si="214"/>
        <v>45.548333333333339</v>
      </c>
      <c r="D6661" s="37">
        <v>5.8289999999999997</v>
      </c>
      <c r="E6661" s="33">
        <f t="shared" si="215"/>
        <v>6.2243702401880462E-4</v>
      </c>
    </row>
    <row r="6662" spans="1:5" x14ac:dyDescent="0.25">
      <c r="A6662" s="41">
        <v>43743</v>
      </c>
      <c r="B6662" s="37">
        <v>273.3</v>
      </c>
      <c r="C6662" s="37">
        <f t="shared" si="214"/>
        <v>45.55</v>
      </c>
      <c r="D6662" s="37">
        <v>5.8289999999999997</v>
      </c>
      <c r="E6662" s="33">
        <f t="shared" si="215"/>
        <v>3.6591166892278916E-5</v>
      </c>
    </row>
    <row r="6663" spans="1:5" x14ac:dyDescent="0.25">
      <c r="A6663" s="41">
        <v>43743</v>
      </c>
      <c r="B6663" s="37">
        <v>273.35000000000002</v>
      </c>
      <c r="C6663" s="37">
        <f t="shared" si="214"/>
        <v>45.558333333333337</v>
      </c>
      <c r="D6663" s="37">
        <v>5.8289999999999997</v>
      </c>
      <c r="E6663" s="33">
        <f t="shared" si="215"/>
        <v>1.8294914013908294E-4</v>
      </c>
    </row>
    <row r="6664" spans="1:5" x14ac:dyDescent="0.25">
      <c r="A6664" s="41">
        <v>43743</v>
      </c>
      <c r="B6664" s="37">
        <v>273.35000000000002</v>
      </c>
      <c r="C6664" s="37">
        <f t="shared" si="214"/>
        <v>45.558333333333337</v>
      </c>
      <c r="D6664" s="37">
        <v>5.8289999999999997</v>
      </c>
      <c r="E6664" s="33">
        <f t="shared" si="215"/>
        <v>0</v>
      </c>
    </row>
    <row r="6665" spans="1:5" x14ac:dyDescent="0.25">
      <c r="A6665" s="41">
        <v>43743</v>
      </c>
      <c r="B6665" s="37">
        <v>273.29000000000002</v>
      </c>
      <c r="C6665" s="37">
        <f t="shared" si="214"/>
        <v>45.548333333333339</v>
      </c>
      <c r="D6665" s="37">
        <v>5.8289999999999997</v>
      </c>
      <c r="E6665" s="33">
        <f t="shared" si="215"/>
        <v>-2.1949881104811513E-4</v>
      </c>
    </row>
    <row r="6666" spans="1:5" x14ac:dyDescent="0.25">
      <c r="A6666" s="41">
        <v>43743</v>
      </c>
      <c r="B6666" s="37">
        <v>273.29000000000002</v>
      </c>
      <c r="C6666" s="37">
        <f t="shared" si="214"/>
        <v>45.548333333333339</v>
      </c>
      <c r="D6666" s="37">
        <v>5.8289999999999997</v>
      </c>
      <c r="E6666" s="33">
        <f t="shared" si="215"/>
        <v>0</v>
      </c>
    </row>
    <row r="6667" spans="1:5" x14ac:dyDescent="0.25">
      <c r="A6667" s="41">
        <v>43743</v>
      </c>
      <c r="B6667" s="37">
        <v>273.94</v>
      </c>
      <c r="C6667" s="37">
        <f t="shared" si="214"/>
        <v>45.656666666666666</v>
      </c>
      <c r="D6667" s="37">
        <v>5.8289999999999997</v>
      </c>
      <c r="E6667" s="33">
        <f t="shared" si="215"/>
        <v>2.3784258480002095E-3</v>
      </c>
    </row>
    <row r="6668" spans="1:5" x14ac:dyDescent="0.25">
      <c r="A6668" s="41">
        <v>43743</v>
      </c>
      <c r="B6668" s="37">
        <v>278.64</v>
      </c>
      <c r="C6668" s="37">
        <f t="shared" si="214"/>
        <v>46.44</v>
      </c>
      <c r="D6668" s="37">
        <v>5.8289999999999997</v>
      </c>
      <c r="E6668" s="33">
        <f t="shared" si="215"/>
        <v>1.7157041687960825E-2</v>
      </c>
    </row>
    <row r="6669" spans="1:5" x14ac:dyDescent="0.25">
      <c r="A6669" s="41">
        <v>43743</v>
      </c>
      <c r="B6669" s="37">
        <v>279.12</v>
      </c>
      <c r="C6669" s="37">
        <f t="shared" si="214"/>
        <v>46.52</v>
      </c>
      <c r="D6669" s="37">
        <v>5.8289999999999997</v>
      </c>
      <c r="E6669" s="33">
        <f t="shared" si="215"/>
        <v>1.7226528854436484E-3</v>
      </c>
    </row>
    <row r="6670" spans="1:5" x14ac:dyDescent="0.25">
      <c r="A6670" s="41">
        <v>43743</v>
      </c>
      <c r="B6670" s="37">
        <v>276.89999999999998</v>
      </c>
      <c r="C6670" s="37">
        <f t="shared" si="214"/>
        <v>46.149999999999991</v>
      </c>
      <c r="D6670" s="37">
        <v>5.8289999999999997</v>
      </c>
      <c r="E6670" s="33">
        <f t="shared" si="215"/>
        <v>-7.9535683576957127E-3</v>
      </c>
    </row>
    <row r="6671" spans="1:5" x14ac:dyDescent="0.25">
      <c r="A6671" s="41">
        <v>43743</v>
      </c>
      <c r="B6671" s="37">
        <v>275.18</v>
      </c>
      <c r="C6671" s="37">
        <f t="shared" si="214"/>
        <v>45.863333333333337</v>
      </c>
      <c r="D6671" s="37">
        <v>5.8289999999999997</v>
      </c>
      <c r="E6671" s="33">
        <f t="shared" si="215"/>
        <v>-6.2116287468399079E-3</v>
      </c>
    </row>
    <row r="6672" spans="1:5" x14ac:dyDescent="0.25">
      <c r="A6672" s="41">
        <v>43743</v>
      </c>
      <c r="B6672" s="37">
        <v>273.08</v>
      </c>
      <c r="C6672" s="37">
        <f t="shared" si="214"/>
        <v>45.513333333333335</v>
      </c>
      <c r="D6672" s="37">
        <v>5.8289999999999997</v>
      </c>
      <c r="E6672" s="33">
        <f t="shared" si="215"/>
        <v>-7.6313685587616207E-3</v>
      </c>
    </row>
    <row r="6673" spans="1:5" x14ac:dyDescent="0.25">
      <c r="A6673" s="41">
        <v>43743</v>
      </c>
      <c r="B6673" s="37">
        <v>271.93</v>
      </c>
      <c r="C6673" s="37">
        <f t="shared" si="214"/>
        <v>45.321666666666665</v>
      </c>
      <c r="D6673" s="37">
        <v>5.8289999999999997</v>
      </c>
      <c r="E6673" s="33">
        <f t="shared" si="215"/>
        <v>-4.2112201552657732E-3</v>
      </c>
    </row>
    <row r="6674" spans="1:5" x14ac:dyDescent="0.25">
      <c r="A6674" s="41">
        <v>43744</v>
      </c>
      <c r="B6674" s="37">
        <v>267.54000000000002</v>
      </c>
      <c r="C6674" s="37">
        <f t="shared" si="214"/>
        <v>44.59</v>
      </c>
      <c r="D6674" s="37">
        <v>6.133</v>
      </c>
      <c r="E6674" s="33">
        <f t="shared" si="215"/>
        <v>-1.6143860552347979E-2</v>
      </c>
    </row>
    <row r="6675" spans="1:5" x14ac:dyDescent="0.25">
      <c r="A6675" s="41">
        <v>43744</v>
      </c>
      <c r="B6675" s="37">
        <v>264.89</v>
      </c>
      <c r="C6675" s="37">
        <f t="shared" si="214"/>
        <v>44.148333333333333</v>
      </c>
      <c r="D6675" s="37">
        <v>6.133</v>
      </c>
      <c r="E6675" s="33">
        <f t="shared" si="215"/>
        <v>-9.9050609254692154E-3</v>
      </c>
    </row>
    <row r="6676" spans="1:5" x14ac:dyDescent="0.25">
      <c r="A6676" s="41">
        <v>43744</v>
      </c>
      <c r="B6676" s="37">
        <v>259.97000000000003</v>
      </c>
      <c r="C6676" s="37">
        <f t="shared" si="214"/>
        <v>43.32833333333334</v>
      </c>
      <c r="D6676" s="37">
        <v>6.133</v>
      </c>
      <c r="E6676" s="33">
        <f t="shared" si="215"/>
        <v>-1.8573747593340479E-2</v>
      </c>
    </row>
    <row r="6677" spans="1:5" x14ac:dyDescent="0.25">
      <c r="A6677" s="41">
        <v>43744</v>
      </c>
      <c r="B6677" s="37">
        <v>258.2</v>
      </c>
      <c r="C6677" s="37">
        <f t="shared" si="214"/>
        <v>43.033333333333331</v>
      </c>
      <c r="D6677" s="37">
        <v>6.133</v>
      </c>
      <c r="E6677" s="33">
        <f t="shared" si="215"/>
        <v>-6.8084779012964518E-3</v>
      </c>
    </row>
    <row r="6678" spans="1:5" x14ac:dyDescent="0.25">
      <c r="A6678" s="41">
        <v>43744</v>
      </c>
      <c r="B6678" s="37">
        <v>256.82</v>
      </c>
      <c r="C6678" s="37">
        <f t="shared" si="214"/>
        <v>42.803333333333335</v>
      </c>
      <c r="D6678" s="37">
        <v>6.133</v>
      </c>
      <c r="E6678" s="33">
        <f t="shared" si="215"/>
        <v>-5.3446940356312762E-3</v>
      </c>
    </row>
    <row r="6679" spans="1:5" x14ac:dyDescent="0.25">
      <c r="A6679" s="41">
        <v>43744</v>
      </c>
      <c r="B6679" s="37">
        <v>255.14</v>
      </c>
      <c r="C6679" s="37">
        <f t="shared" si="214"/>
        <v>42.523333333333333</v>
      </c>
      <c r="D6679" s="37">
        <v>6.133</v>
      </c>
      <c r="E6679" s="33">
        <f t="shared" si="215"/>
        <v>-6.5415466085196128E-3</v>
      </c>
    </row>
    <row r="6680" spans="1:5" x14ac:dyDescent="0.25">
      <c r="A6680" s="41">
        <v>43744</v>
      </c>
      <c r="B6680" s="37">
        <v>252.76999999999998</v>
      </c>
      <c r="C6680" s="37">
        <f t="shared" si="214"/>
        <v>42.12833333333333</v>
      </c>
      <c r="D6680" s="37">
        <v>6.133</v>
      </c>
      <c r="E6680" s="33">
        <f t="shared" si="215"/>
        <v>-9.2890177941522493E-3</v>
      </c>
    </row>
    <row r="6681" spans="1:5" x14ac:dyDescent="0.25">
      <c r="A6681" s="41">
        <v>43744</v>
      </c>
      <c r="B6681" s="37">
        <v>253.97000000000003</v>
      </c>
      <c r="C6681" s="37">
        <f t="shared" si="214"/>
        <v>42.32833333333334</v>
      </c>
      <c r="D6681" s="37">
        <v>6.133</v>
      </c>
      <c r="E6681" s="33">
        <f t="shared" si="215"/>
        <v>4.7473988210628062E-3</v>
      </c>
    </row>
    <row r="6682" spans="1:5" x14ac:dyDescent="0.25">
      <c r="A6682" s="41">
        <v>43744</v>
      </c>
      <c r="B6682" s="37">
        <v>257.20999999999998</v>
      </c>
      <c r="C6682" s="37">
        <f t="shared" si="214"/>
        <v>42.868333333333325</v>
      </c>
      <c r="D6682" s="37">
        <v>6.133</v>
      </c>
      <c r="E6682" s="33">
        <f t="shared" si="215"/>
        <v>1.2757412292790298E-2</v>
      </c>
    </row>
    <row r="6683" spans="1:5" x14ac:dyDescent="0.25">
      <c r="A6683" s="41">
        <v>43744</v>
      </c>
      <c r="B6683" s="37">
        <v>260.52999999999997</v>
      </c>
      <c r="C6683" s="37">
        <f t="shared" si="214"/>
        <v>43.42166666666666</v>
      </c>
      <c r="D6683" s="37">
        <v>6.133</v>
      </c>
      <c r="E6683" s="33">
        <f t="shared" si="215"/>
        <v>1.29077407565802E-2</v>
      </c>
    </row>
    <row r="6684" spans="1:5" x14ac:dyDescent="0.25">
      <c r="A6684" s="41">
        <v>43744</v>
      </c>
      <c r="B6684" s="37">
        <v>262.99</v>
      </c>
      <c r="C6684" s="37">
        <f t="shared" si="214"/>
        <v>43.831666666666663</v>
      </c>
      <c r="D6684" s="37">
        <v>6.133</v>
      </c>
      <c r="E6684" s="33">
        <f t="shared" si="215"/>
        <v>9.4422907150809379E-3</v>
      </c>
    </row>
    <row r="6685" spans="1:5" x14ac:dyDescent="0.25">
      <c r="A6685" s="41">
        <v>43744</v>
      </c>
      <c r="B6685" s="37">
        <v>263.72000000000003</v>
      </c>
      <c r="C6685" s="37">
        <f t="shared" si="214"/>
        <v>43.95333333333334</v>
      </c>
      <c r="D6685" s="37">
        <v>6.133</v>
      </c>
      <c r="E6685" s="33">
        <f t="shared" si="215"/>
        <v>2.7757709418609763E-3</v>
      </c>
    </row>
    <row r="6686" spans="1:5" x14ac:dyDescent="0.25">
      <c r="A6686" s="41">
        <v>43744</v>
      </c>
      <c r="B6686" s="37">
        <v>263.7</v>
      </c>
      <c r="C6686" s="37">
        <f t="shared" si="214"/>
        <v>43.95</v>
      </c>
      <c r="D6686" s="37">
        <v>6.133</v>
      </c>
      <c r="E6686" s="33">
        <f t="shared" si="215"/>
        <v>-7.583801001076388E-5</v>
      </c>
    </row>
    <row r="6687" spans="1:5" x14ac:dyDescent="0.25">
      <c r="A6687" s="41">
        <v>43744</v>
      </c>
      <c r="B6687" s="37">
        <v>263.7</v>
      </c>
      <c r="C6687" s="37">
        <f t="shared" si="214"/>
        <v>43.95</v>
      </c>
      <c r="D6687" s="37">
        <v>6.133</v>
      </c>
      <c r="E6687" s="33">
        <f t="shared" si="215"/>
        <v>0</v>
      </c>
    </row>
    <row r="6688" spans="1:5" x14ac:dyDescent="0.25">
      <c r="A6688" s="41">
        <v>43744</v>
      </c>
      <c r="B6688" s="37">
        <v>263.7</v>
      </c>
      <c r="C6688" s="37">
        <f t="shared" si="214"/>
        <v>43.95</v>
      </c>
      <c r="D6688" s="37">
        <v>6.133</v>
      </c>
      <c r="E6688" s="33">
        <f t="shared" si="215"/>
        <v>0</v>
      </c>
    </row>
    <row r="6689" spans="1:5" x14ac:dyDescent="0.25">
      <c r="A6689" s="41">
        <v>43744</v>
      </c>
      <c r="B6689" s="37">
        <v>264.08</v>
      </c>
      <c r="C6689" s="37">
        <f t="shared" si="214"/>
        <v>44.013333333333335</v>
      </c>
      <c r="D6689" s="37">
        <v>6.133</v>
      </c>
      <c r="E6689" s="33">
        <f t="shared" si="215"/>
        <v>1.4410314751611508E-3</v>
      </c>
    </row>
    <row r="6690" spans="1:5" x14ac:dyDescent="0.25">
      <c r="A6690" s="41">
        <v>43744</v>
      </c>
      <c r="B6690" s="37">
        <v>265.95</v>
      </c>
      <c r="C6690" s="37">
        <f t="shared" si="214"/>
        <v>44.325000000000003</v>
      </c>
      <c r="D6690" s="37">
        <v>6.133</v>
      </c>
      <c r="E6690" s="33">
        <f t="shared" si="215"/>
        <v>7.0811875189336739E-3</v>
      </c>
    </row>
    <row r="6691" spans="1:5" x14ac:dyDescent="0.25">
      <c r="A6691" s="41">
        <v>43744</v>
      </c>
      <c r="B6691" s="37">
        <v>269.26</v>
      </c>
      <c r="C6691" s="37">
        <f t="shared" si="214"/>
        <v>44.876666666666665</v>
      </c>
      <c r="D6691" s="37">
        <v>6.133</v>
      </c>
      <c r="E6691" s="33">
        <f t="shared" si="215"/>
        <v>1.2445948486557633E-2</v>
      </c>
    </row>
    <row r="6692" spans="1:5" x14ac:dyDescent="0.25">
      <c r="A6692" s="41">
        <v>43744</v>
      </c>
      <c r="B6692" s="37">
        <v>273.22000000000003</v>
      </c>
      <c r="C6692" s="37">
        <f t="shared" si="214"/>
        <v>45.536666666666676</v>
      </c>
      <c r="D6692" s="37">
        <v>6.133</v>
      </c>
      <c r="E6692" s="33">
        <f t="shared" si="215"/>
        <v>1.4706974671321534E-2</v>
      </c>
    </row>
    <row r="6693" spans="1:5" x14ac:dyDescent="0.25">
      <c r="A6693" s="41">
        <v>43744</v>
      </c>
      <c r="B6693" s="37">
        <v>273.25</v>
      </c>
      <c r="C6693" s="37">
        <f t="shared" si="214"/>
        <v>45.541666666666664</v>
      </c>
      <c r="D6693" s="37">
        <v>6.133</v>
      </c>
      <c r="E6693" s="33">
        <f t="shared" si="215"/>
        <v>1.0980162506395107E-4</v>
      </c>
    </row>
    <row r="6694" spans="1:5" x14ac:dyDescent="0.25">
      <c r="A6694" s="41">
        <v>43744</v>
      </c>
      <c r="B6694" s="37">
        <v>271.77</v>
      </c>
      <c r="C6694" s="37">
        <f t="shared" si="214"/>
        <v>45.295000000000002</v>
      </c>
      <c r="D6694" s="37">
        <v>6.133</v>
      </c>
      <c r="E6694" s="33">
        <f t="shared" si="215"/>
        <v>-5.4162854528820425E-3</v>
      </c>
    </row>
    <row r="6695" spans="1:5" x14ac:dyDescent="0.25">
      <c r="A6695" s="41">
        <v>43744</v>
      </c>
      <c r="B6695" s="37">
        <v>271.73</v>
      </c>
      <c r="C6695" s="37">
        <f t="shared" si="214"/>
        <v>45.288333333333334</v>
      </c>
      <c r="D6695" s="37">
        <v>6.133</v>
      </c>
      <c r="E6695" s="33">
        <f t="shared" si="215"/>
        <v>-1.4718327997926048E-4</v>
      </c>
    </row>
    <row r="6696" spans="1:5" x14ac:dyDescent="0.25">
      <c r="A6696" s="41">
        <v>43744</v>
      </c>
      <c r="B6696" s="37">
        <v>271.58</v>
      </c>
      <c r="C6696" s="37">
        <f t="shared" si="214"/>
        <v>45.263333333333335</v>
      </c>
      <c r="D6696" s="37">
        <v>6.133</v>
      </c>
      <c r="E6696" s="33">
        <f t="shared" si="215"/>
        <v>-5.5201854782333231E-4</v>
      </c>
    </row>
    <row r="6697" spans="1:5" x14ac:dyDescent="0.25">
      <c r="A6697" s="41">
        <v>43744</v>
      </c>
      <c r="B6697" s="37">
        <v>269.42</v>
      </c>
      <c r="C6697" s="37">
        <f t="shared" si="214"/>
        <v>44.903333333333336</v>
      </c>
      <c r="D6697" s="37">
        <v>6.133</v>
      </c>
      <c r="E6697" s="33">
        <f t="shared" si="215"/>
        <v>-7.9534575447380816E-3</v>
      </c>
    </row>
    <row r="6698" spans="1:5" x14ac:dyDescent="0.25">
      <c r="A6698" s="41">
        <v>43745</v>
      </c>
      <c r="B6698" s="37">
        <v>266.04000000000002</v>
      </c>
      <c r="C6698" s="37">
        <f t="shared" si="214"/>
        <v>44.34</v>
      </c>
      <c r="D6698" s="37">
        <v>6.141</v>
      </c>
      <c r="E6698" s="33">
        <f t="shared" si="215"/>
        <v>-1.2545468042461566E-2</v>
      </c>
    </row>
    <row r="6699" spans="1:5" x14ac:dyDescent="0.25">
      <c r="A6699" s="41">
        <v>43745</v>
      </c>
      <c r="B6699" s="37">
        <v>263.19</v>
      </c>
      <c r="C6699" s="37">
        <f t="shared" si="214"/>
        <v>43.865000000000002</v>
      </c>
      <c r="D6699" s="37">
        <v>6.141</v>
      </c>
      <c r="E6699" s="33">
        <f t="shared" si="215"/>
        <v>-1.0712674785746589E-2</v>
      </c>
    </row>
    <row r="6700" spans="1:5" x14ac:dyDescent="0.25">
      <c r="A6700" s="41">
        <v>43745</v>
      </c>
      <c r="B6700" s="37">
        <v>262.89</v>
      </c>
      <c r="C6700" s="37">
        <f t="shared" si="214"/>
        <v>43.814999999999998</v>
      </c>
      <c r="D6700" s="37">
        <v>6.141</v>
      </c>
      <c r="E6700" s="33">
        <f t="shared" si="215"/>
        <v>-1.1398609369657334E-3</v>
      </c>
    </row>
    <row r="6701" spans="1:5" x14ac:dyDescent="0.25">
      <c r="A6701" s="41">
        <v>43745</v>
      </c>
      <c r="B6701" s="37">
        <v>262.87</v>
      </c>
      <c r="C6701" s="37">
        <f t="shared" si="214"/>
        <v>43.811666666666667</v>
      </c>
      <c r="D6701" s="37">
        <v>6.141</v>
      </c>
      <c r="E6701" s="33">
        <f t="shared" si="215"/>
        <v>-7.6077446840814835E-5</v>
      </c>
    </row>
    <row r="6702" spans="1:5" x14ac:dyDescent="0.25">
      <c r="A6702" s="41">
        <v>43745</v>
      </c>
      <c r="B6702" s="37">
        <v>263.08</v>
      </c>
      <c r="C6702" s="37">
        <f t="shared" si="214"/>
        <v>43.846666666666664</v>
      </c>
      <c r="D6702" s="37">
        <v>6.141</v>
      </c>
      <c r="E6702" s="33">
        <f t="shared" si="215"/>
        <v>7.9887396812104662E-4</v>
      </c>
    </row>
    <row r="6703" spans="1:5" x14ac:dyDescent="0.25">
      <c r="A6703" s="41">
        <v>43745</v>
      </c>
      <c r="B6703" s="37">
        <v>264.19</v>
      </c>
      <c r="C6703" s="37">
        <f t="shared" si="214"/>
        <v>44.031666666666666</v>
      </c>
      <c r="D6703" s="37">
        <v>6.141</v>
      </c>
      <c r="E6703" s="33">
        <f t="shared" si="215"/>
        <v>4.2192488976737635E-3</v>
      </c>
    </row>
    <row r="6704" spans="1:5" x14ac:dyDescent="0.25">
      <c r="A6704" s="41">
        <v>43745</v>
      </c>
      <c r="B6704" s="37">
        <v>268.11</v>
      </c>
      <c r="C6704" s="37">
        <f t="shared" si="214"/>
        <v>44.685000000000002</v>
      </c>
      <c r="D6704" s="37">
        <v>6.141</v>
      </c>
      <c r="E6704" s="33">
        <f t="shared" si="215"/>
        <v>1.4837806124380241E-2</v>
      </c>
    </row>
    <row r="6705" spans="1:5" x14ac:dyDescent="0.25">
      <c r="A6705" s="41">
        <v>43745</v>
      </c>
      <c r="B6705" s="37">
        <v>271.02999999999997</v>
      </c>
      <c r="C6705" s="37">
        <f t="shared" si="214"/>
        <v>45.17166666666666</v>
      </c>
      <c r="D6705" s="37">
        <v>6.141</v>
      </c>
      <c r="E6705" s="33">
        <f t="shared" si="215"/>
        <v>1.0891052180075189E-2</v>
      </c>
    </row>
    <row r="6706" spans="1:5" x14ac:dyDescent="0.25">
      <c r="A6706" s="41">
        <v>43745</v>
      </c>
      <c r="B6706" s="37">
        <v>274.7</v>
      </c>
      <c r="C6706" s="37">
        <f t="shared" si="214"/>
        <v>45.783333333333331</v>
      </c>
      <c r="D6706" s="37">
        <v>6.141</v>
      </c>
      <c r="E6706" s="33">
        <f t="shared" si="215"/>
        <v>1.3540936427701791E-2</v>
      </c>
    </row>
    <row r="6707" spans="1:5" x14ac:dyDescent="0.25">
      <c r="A6707" s="41">
        <v>43745</v>
      </c>
      <c r="B6707" s="37">
        <v>278.75</v>
      </c>
      <c r="C6707" s="37">
        <f t="shared" si="214"/>
        <v>46.458333333333336</v>
      </c>
      <c r="D6707" s="37">
        <v>6.141</v>
      </c>
      <c r="E6707" s="33">
        <f t="shared" si="215"/>
        <v>1.474335638878781E-2</v>
      </c>
    </row>
    <row r="6708" spans="1:5" x14ac:dyDescent="0.25">
      <c r="A6708" s="41">
        <v>43745</v>
      </c>
      <c r="B6708" s="37">
        <v>280.93</v>
      </c>
      <c r="C6708" s="37">
        <f t="shared" si="214"/>
        <v>46.821666666666665</v>
      </c>
      <c r="D6708" s="37">
        <v>6.141</v>
      </c>
      <c r="E6708" s="33">
        <f t="shared" si="215"/>
        <v>7.8206278026906068E-3</v>
      </c>
    </row>
    <row r="6709" spans="1:5" x14ac:dyDescent="0.25">
      <c r="A6709" s="41">
        <v>43745</v>
      </c>
      <c r="B6709" s="37">
        <v>281.33</v>
      </c>
      <c r="C6709" s="37">
        <f t="shared" si="214"/>
        <v>46.888333333333335</v>
      </c>
      <c r="D6709" s="37">
        <v>6.141</v>
      </c>
      <c r="E6709" s="33">
        <f t="shared" si="215"/>
        <v>1.4238422382799175E-3</v>
      </c>
    </row>
    <row r="6710" spans="1:5" x14ac:dyDescent="0.25">
      <c r="A6710" s="41">
        <v>43745</v>
      </c>
      <c r="B6710" s="37">
        <v>280.88</v>
      </c>
      <c r="C6710" s="37">
        <f t="shared" si="214"/>
        <v>46.813333333333333</v>
      </c>
      <c r="D6710" s="37">
        <v>6.141</v>
      </c>
      <c r="E6710" s="33">
        <f t="shared" si="215"/>
        <v>-1.5995450183058637E-3</v>
      </c>
    </row>
    <row r="6711" spans="1:5" x14ac:dyDescent="0.25">
      <c r="A6711" s="41">
        <v>43745</v>
      </c>
      <c r="B6711" s="37">
        <v>281.57</v>
      </c>
      <c r="C6711" s="37">
        <f t="shared" si="214"/>
        <v>46.928333333333335</v>
      </c>
      <c r="D6711" s="37">
        <v>6.141</v>
      </c>
      <c r="E6711" s="33">
        <f t="shared" si="215"/>
        <v>2.4565650811734468E-3</v>
      </c>
    </row>
    <row r="6712" spans="1:5" x14ac:dyDescent="0.25">
      <c r="A6712" s="41">
        <v>43745</v>
      </c>
      <c r="B6712" s="37">
        <v>282.13</v>
      </c>
      <c r="C6712" s="37">
        <f t="shared" si="214"/>
        <v>47.021666666666668</v>
      </c>
      <c r="D6712" s="37">
        <v>6.141</v>
      </c>
      <c r="E6712" s="33">
        <f t="shared" si="215"/>
        <v>1.9888482437759787E-3</v>
      </c>
    </row>
    <row r="6713" spans="1:5" x14ac:dyDescent="0.25">
      <c r="A6713" s="41">
        <v>43745</v>
      </c>
      <c r="B6713" s="37">
        <v>281.95999999999998</v>
      </c>
      <c r="C6713" s="37">
        <f t="shared" si="214"/>
        <v>46.993333333333325</v>
      </c>
      <c r="D6713" s="37">
        <v>6.141</v>
      </c>
      <c r="E6713" s="33">
        <f t="shared" si="215"/>
        <v>-6.0255910395922417E-4</v>
      </c>
    </row>
    <row r="6714" spans="1:5" x14ac:dyDescent="0.25">
      <c r="A6714" s="41">
        <v>43745</v>
      </c>
      <c r="B6714" s="37">
        <v>281.68</v>
      </c>
      <c r="C6714" s="37">
        <f t="shared" si="214"/>
        <v>46.946666666666665</v>
      </c>
      <c r="D6714" s="37">
        <v>6.141</v>
      </c>
      <c r="E6714" s="33">
        <f t="shared" si="215"/>
        <v>-9.9304865938421309E-4</v>
      </c>
    </row>
    <row r="6715" spans="1:5" x14ac:dyDescent="0.25">
      <c r="A6715" s="41">
        <v>43745</v>
      </c>
      <c r="B6715" s="37">
        <v>281.07</v>
      </c>
      <c r="C6715" s="37">
        <f t="shared" si="214"/>
        <v>46.844999999999999</v>
      </c>
      <c r="D6715" s="37">
        <v>6.141</v>
      </c>
      <c r="E6715" s="33">
        <f t="shared" si="215"/>
        <v>-2.1655779608066375E-3</v>
      </c>
    </row>
    <row r="6716" spans="1:5" x14ac:dyDescent="0.25">
      <c r="A6716" s="41">
        <v>43745</v>
      </c>
      <c r="B6716" s="37">
        <v>281.60000000000002</v>
      </c>
      <c r="C6716" s="37">
        <f t="shared" si="214"/>
        <v>46.933333333333337</v>
      </c>
      <c r="D6716" s="37">
        <v>6.141</v>
      </c>
      <c r="E6716" s="33">
        <f t="shared" si="215"/>
        <v>1.8856512612517506E-3</v>
      </c>
    </row>
    <row r="6717" spans="1:5" x14ac:dyDescent="0.25">
      <c r="A6717" s="41">
        <v>43745</v>
      </c>
      <c r="B6717" s="37">
        <v>281.60000000000002</v>
      </c>
      <c r="C6717" s="37">
        <f t="shared" si="214"/>
        <v>46.933333333333337</v>
      </c>
      <c r="D6717" s="37">
        <v>6.141</v>
      </c>
      <c r="E6717" s="33">
        <f t="shared" si="215"/>
        <v>0</v>
      </c>
    </row>
    <row r="6718" spans="1:5" x14ac:dyDescent="0.25">
      <c r="A6718" s="41">
        <v>43745</v>
      </c>
      <c r="B6718" s="37">
        <v>281.43</v>
      </c>
      <c r="C6718" s="37">
        <f t="shared" si="214"/>
        <v>46.905000000000001</v>
      </c>
      <c r="D6718" s="37">
        <v>6.141</v>
      </c>
      <c r="E6718" s="33">
        <f t="shared" si="215"/>
        <v>-6.0369318181823829E-4</v>
      </c>
    </row>
    <row r="6719" spans="1:5" x14ac:dyDescent="0.25">
      <c r="A6719" s="41">
        <v>43745</v>
      </c>
      <c r="B6719" s="37">
        <v>281.02</v>
      </c>
      <c r="C6719" s="37">
        <f t="shared" si="214"/>
        <v>46.836666666666666</v>
      </c>
      <c r="D6719" s="37">
        <v>6.141</v>
      </c>
      <c r="E6719" s="33">
        <f t="shared" si="215"/>
        <v>-1.4568453967239634E-3</v>
      </c>
    </row>
    <row r="6720" spans="1:5" x14ac:dyDescent="0.25">
      <c r="A6720" s="41">
        <v>43745</v>
      </c>
      <c r="B6720" s="37">
        <v>276.95999999999998</v>
      </c>
      <c r="C6720" s="37">
        <f t="shared" si="214"/>
        <v>46.16</v>
      </c>
      <c r="D6720" s="37">
        <v>6.141</v>
      </c>
      <c r="E6720" s="33">
        <f t="shared" si="215"/>
        <v>-1.4447370293929267E-2</v>
      </c>
    </row>
    <row r="6721" spans="1:5" x14ac:dyDescent="0.25">
      <c r="A6721" s="41">
        <v>43745</v>
      </c>
      <c r="B6721" s="37">
        <v>272.38</v>
      </c>
      <c r="C6721" s="37">
        <f t="shared" si="214"/>
        <v>45.396666666666668</v>
      </c>
      <c r="D6721" s="37">
        <v>6.141</v>
      </c>
      <c r="E6721" s="33">
        <f t="shared" si="215"/>
        <v>-1.653668399768914E-2</v>
      </c>
    </row>
    <row r="6722" spans="1:5" x14ac:dyDescent="0.25">
      <c r="A6722" s="41">
        <v>43746</v>
      </c>
      <c r="B6722" s="37">
        <v>268.49</v>
      </c>
      <c r="C6722" s="37">
        <f t="shared" si="214"/>
        <v>44.748333333333335</v>
      </c>
      <c r="D6722" s="37">
        <v>5.5170000000000003</v>
      </c>
      <c r="E6722" s="33">
        <f t="shared" si="215"/>
        <v>-1.4281518466847736E-2</v>
      </c>
    </row>
    <row r="6723" spans="1:5" x14ac:dyDescent="0.25">
      <c r="A6723" s="41">
        <v>43746</v>
      </c>
      <c r="B6723" s="37">
        <v>266.39999999999998</v>
      </c>
      <c r="C6723" s="37">
        <f t="shared" ref="C6723:C6786" si="216">(B6723*100/600)</f>
        <v>44.399999999999991</v>
      </c>
      <c r="D6723" s="37">
        <v>5.5170000000000003</v>
      </c>
      <c r="E6723" s="33">
        <f t="shared" si="215"/>
        <v>-7.7842750195539195E-3</v>
      </c>
    </row>
    <row r="6724" spans="1:5" x14ac:dyDescent="0.25">
      <c r="A6724" s="41">
        <v>43746</v>
      </c>
      <c r="B6724" s="37">
        <v>265.76</v>
      </c>
      <c r="C6724" s="37">
        <f t="shared" si="216"/>
        <v>44.293333333333337</v>
      </c>
      <c r="D6724" s="37">
        <v>5.5170000000000003</v>
      </c>
      <c r="E6724" s="33">
        <f t="shared" ref="E6724:E6787" si="217">(B6724-B6723)/B6723</f>
        <v>-2.4024024024023516E-3</v>
      </c>
    </row>
    <row r="6725" spans="1:5" x14ac:dyDescent="0.25">
      <c r="A6725" s="41">
        <v>43746</v>
      </c>
      <c r="B6725" s="37">
        <v>265.89999999999998</v>
      </c>
      <c r="C6725" s="37">
        <f t="shared" si="216"/>
        <v>44.316666666666663</v>
      </c>
      <c r="D6725" s="37">
        <v>5.5170000000000003</v>
      </c>
      <c r="E6725" s="33">
        <f t="shared" si="217"/>
        <v>5.2679108970494571E-4</v>
      </c>
    </row>
    <row r="6726" spans="1:5" x14ac:dyDescent="0.25">
      <c r="A6726" s="41">
        <v>43746</v>
      </c>
      <c r="B6726" s="37">
        <v>265.98</v>
      </c>
      <c r="C6726" s="37">
        <f t="shared" si="216"/>
        <v>44.33</v>
      </c>
      <c r="D6726" s="37">
        <v>5.5170000000000003</v>
      </c>
      <c r="E6726" s="33">
        <f t="shared" si="217"/>
        <v>3.0086498683731079E-4</v>
      </c>
    </row>
    <row r="6727" spans="1:5" x14ac:dyDescent="0.25">
      <c r="A6727" s="41">
        <v>43746</v>
      </c>
      <c r="B6727" s="37">
        <v>266.56</v>
      </c>
      <c r="C6727" s="37">
        <f t="shared" si="216"/>
        <v>44.426666666666669</v>
      </c>
      <c r="D6727" s="37">
        <v>5.5170000000000003</v>
      </c>
      <c r="E6727" s="33">
        <f t="shared" si="217"/>
        <v>2.1806150838408304E-3</v>
      </c>
    </row>
    <row r="6728" spans="1:5" x14ac:dyDescent="0.25">
      <c r="A6728" s="41">
        <v>43746</v>
      </c>
      <c r="B6728" s="37">
        <v>268.62</v>
      </c>
      <c r="C6728" s="37">
        <f t="shared" si="216"/>
        <v>44.77</v>
      </c>
      <c r="D6728" s="37">
        <v>5.5170000000000003</v>
      </c>
      <c r="E6728" s="33">
        <f t="shared" si="217"/>
        <v>7.7280912364946063E-3</v>
      </c>
    </row>
    <row r="6729" spans="1:5" x14ac:dyDescent="0.25">
      <c r="A6729" s="41">
        <v>43746</v>
      </c>
      <c r="B6729" s="37">
        <v>271.74</v>
      </c>
      <c r="C6729" s="37">
        <f t="shared" si="216"/>
        <v>45.29</v>
      </c>
      <c r="D6729" s="37">
        <v>5.5170000000000003</v>
      </c>
      <c r="E6729" s="33">
        <f t="shared" si="217"/>
        <v>1.1614920705829814E-2</v>
      </c>
    </row>
    <row r="6730" spans="1:5" x14ac:dyDescent="0.25">
      <c r="A6730" s="41">
        <v>43746</v>
      </c>
      <c r="B6730" s="37">
        <v>278.02999999999997</v>
      </c>
      <c r="C6730" s="37">
        <f t="shared" si="216"/>
        <v>46.338333333333324</v>
      </c>
      <c r="D6730" s="37">
        <v>5.5170000000000003</v>
      </c>
      <c r="E6730" s="33">
        <f t="shared" si="217"/>
        <v>2.3147125929196891E-2</v>
      </c>
    </row>
    <row r="6731" spans="1:5" x14ac:dyDescent="0.25">
      <c r="A6731" s="41">
        <v>43746</v>
      </c>
      <c r="B6731" s="37">
        <v>280.08</v>
      </c>
      <c r="C6731" s="37">
        <f t="shared" si="216"/>
        <v>46.68</v>
      </c>
      <c r="D6731" s="37">
        <v>5.5170000000000003</v>
      </c>
      <c r="E6731" s="33">
        <f t="shared" si="217"/>
        <v>7.3733050390246075E-3</v>
      </c>
    </row>
    <row r="6732" spans="1:5" x14ac:dyDescent="0.25">
      <c r="A6732" s="41">
        <v>43746</v>
      </c>
      <c r="B6732" s="37">
        <v>281.54000000000002</v>
      </c>
      <c r="C6732" s="37">
        <f t="shared" si="216"/>
        <v>46.923333333333339</v>
      </c>
      <c r="D6732" s="37">
        <v>5.5170000000000003</v>
      </c>
      <c r="E6732" s="33">
        <f t="shared" si="217"/>
        <v>5.2127963439018727E-3</v>
      </c>
    </row>
    <row r="6733" spans="1:5" x14ac:dyDescent="0.25">
      <c r="A6733" s="41">
        <v>43746</v>
      </c>
      <c r="B6733" s="37">
        <v>282.06</v>
      </c>
      <c r="C6733" s="37">
        <f t="shared" si="216"/>
        <v>47.01</v>
      </c>
      <c r="D6733" s="37">
        <v>5.5170000000000003</v>
      </c>
      <c r="E6733" s="33">
        <f t="shared" si="217"/>
        <v>1.8469844427078986E-3</v>
      </c>
    </row>
    <row r="6734" spans="1:5" x14ac:dyDescent="0.25">
      <c r="A6734" s="41">
        <v>43746</v>
      </c>
      <c r="B6734" s="37">
        <v>281.94</v>
      </c>
      <c r="C6734" s="37">
        <f t="shared" si="216"/>
        <v>46.99</v>
      </c>
      <c r="D6734" s="37">
        <v>5.5170000000000003</v>
      </c>
      <c r="E6734" s="33">
        <f t="shared" si="217"/>
        <v>-4.254413954477932E-4</v>
      </c>
    </row>
    <row r="6735" spans="1:5" x14ac:dyDescent="0.25">
      <c r="A6735" s="41">
        <v>43746</v>
      </c>
      <c r="B6735" s="37">
        <v>282.7</v>
      </c>
      <c r="C6735" s="37">
        <f t="shared" si="216"/>
        <v>47.116666666666667</v>
      </c>
      <c r="D6735" s="37">
        <v>5.5170000000000003</v>
      </c>
      <c r="E6735" s="33">
        <f t="shared" si="217"/>
        <v>2.695608994821561E-3</v>
      </c>
    </row>
    <row r="6736" spans="1:5" x14ac:dyDescent="0.25">
      <c r="A6736" s="41">
        <v>43746</v>
      </c>
      <c r="B6736" s="37">
        <v>283.24</v>
      </c>
      <c r="C6736" s="37">
        <f t="shared" si="216"/>
        <v>47.206666666666663</v>
      </c>
      <c r="D6736" s="37">
        <v>5.5170000000000003</v>
      </c>
      <c r="E6736" s="33">
        <f t="shared" si="217"/>
        <v>1.9101521047047063E-3</v>
      </c>
    </row>
    <row r="6737" spans="1:5" x14ac:dyDescent="0.25">
      <c r="A6737" s="41">
        <v>43746</v>
      </c>
      <c r="B6737" s="37">
        <v>283.44</v>
      </c>
      <c r="C6737" s="37">
        <f t="shared" si="216"/>
        <v>47.24</v>
      </c>
      <c r="D6737" s="37">
        <v>5.5170000000000003</v>
      </c>
      <c r="E6737" s="33">
        <f t="shared" si="217"/>
        <v>7.0611495551471768E-4</v>
      </c>
    </row>
    <row r="6738" spans="1:5" x14ac:dyDescent="0.25">
      <c r="A6738" s="41">
        <v>43746</v>
      </c>
      <c r="B6738" s="37">
        <v>283.66000000000003</v>
      </c>
      <c r="C6738" s="37">
        <f t="shared" si="216"/>
        <v>47.276666666666671</v>
      </c>
      <c r="D6738" s="37">
        <v>5.5170000000000003</v>
      </c>
      <c r="E6738" s="33">
        <f t="shared" si="217"/>
        <v>7.7617837990413244E-4</v>
      </c>
    </row>
    <row r="6739" spans="1:5" x14ac:dyDescent="0.25">
      <c r="A6739" s="41">
        <v>43746</v>
      </c>
      <c r="B6739" s="37">
        <v>282.18</v>
      </c>
      <c r="C6739" s="37">
        <f t="shared" si="216"/>
        <v>47.03</v>
      </c>
      <c r="D6739" s="37">
        <v>5.5170000000000003</v>
      </c>
      <c r="E6739" s="33">
        <f t="shared" si="217"/>
        <v>-5.2175139251216885E-3</v>
      </c>
    </row>
    <row r="6740" spans="1:5" x14ac:dyDescent="0.25">
      <c r="A6740" s="41">
        <v>43746</v>
      </c>
      <c r="B6740" s="37">
        <v>283.63</v>
      </c>
      <c r="C6740" s="37">
        <f t="shared" si="216"/>
        <v>47.271666666666668</v>
      </c>
      <c r="D6740" s="37">
        <v>5.5170000000000003</v>
      </c>
      <c r="E6740" s="33">
        <f t="shared" si="217"/>
        <v>5.138564037139374E-3</v>
      </c>
    </row>
    <row r="6741" spans="1:5" x14ac:dyDescent="0.25">
      <c r="A6741" s="41">
        <v>43746</v>
      </c>
      <c r="B6741" s="37">
        <v>283.77999999999997</v>
      </c>
      <c r="C6741" s="37">
        <f t="shared" si="216"/>
        <v>47.29666666666666</v>
      </c>
      <c r="D6741" s="37">
        <v>5.5170000000000003</v>
      </c>
      <c r="E6741" s="33">
        <f t="shared" si="217"/>
        <v>5.2885801925035174E-4</v>
      </c>
    </row>
    <row r="6742" spans="1:5" x14ac:dyDescent="0.25">
      <c r="A6742" s="41">
        <v>43746</v>
      </c>
      <c r="B6742" s="37">
        <v>282.02</v>
      </c>
      <c r="C6742" s="37">
        <f t="shared" si="216"/>
        <v>47.00333333333333</v>
      </c>
      <c r="D6742" s="37">
        <v>5.5170000000000003</v>
      </c>
      <c r="E6742" s="33">
        <f t="shared" si="217"/>
        <v>-6.2019874550707978E-3</v>
      </c>
    </row>
    <row r="6743" spans="1:5" x14ac:dyDescent="0.25">
      <c r="A6743" s="41">
        <v>43746</v>
      </c>
      <c r="B6743" s="37">
        <v>281.91000000000003</v>
      </c>
      <c r="C6743" s="37">
        <f t="shared" si="216"/>
        <v>46.985000000000007</v>
      </c>
      <c r="D6743" s="37">
        <v>5.5170000000000003</v>
      </c>
      <c r="E6743" s="33">
        <f t="shared" si="217"/>
        <v>-3.900432593431558E-4</v>
      </c>
    </row>
    <row r="6744" spans="1:5" x14ac:dyDescent="0.25">
      <c r="A6744" s="41">
        <v>43746</v>
      </c>
      <c r="B6744" s="37">
        <v>279.64999999999998</v>
      </c>
      <c r="C6744" s="37">
        <f t="shared" si="216"/>
        <v>46.608333333333327</v>
      </c>
      <c r="D6744" s="37">
        <v>5.5170000000000003</v>
      </c>
      <c r="E6744" s="33">
        <f t="shared" si="217"/>
        <v>-8.0167429321416316E-3</v>
      </c>
    </row>
    <row r="6745" spans="1:5" x14ac:dyDescent="0.25">
      <c r="A6745" s="41">
        <v>43746</v>
      </c>
      <c r="B6745" s="37">
        <v>275.83999999999997</v>
      </c>
      <c r="C6745" s="37">
        <f t="shared" si="216"/>
        <v>45.973333333333329</v>
      </c>
      <c r="D6745" s="37">
        <v>5.5170000000000003</v>
      </c>
      <c r="E6745" s="33">
        <f t="shared" si="217"/>
        <v>-1.3624173073484722E-2</v>
      </c>
    </row>
    <row r="6746" spans="1:5" x14ac:dyDescent="0.25">
      <c r="A6746" s="41">
        <v>43747</v>
      </c>
      <c r="B6746" s="37">
        <v>265.2</v>
      </c>
      <c r="C6746" s="37">
        <f t="shared" si="216"/>
        <v>44.2</v>
      </c>
      <c r="D6746" s="37">
        <v>4.851</v>
      </c>
      <c r="E6746" s="33">
        <f t="shared" si="217"/>
        <v>-3.8573085846867701E-2</v>
      </c>
    </row>
    <row r="6747" spans="1:5" x14ac:dyDescent="0.25">
      <c r="A6747" s="41">
        <v>43747</v>
      </c>
      <c r="B6747" s="37">
        <v>262.18</v>
      </c>
      <c r="C6747" s="37">
        <f t="shared" si="216"/>
        <v>43.696666666666665</v>
      </c>
      <c r="D6747" s="37">
        <v>4.851</v>
      </c>
      <c r="E6747" s="33">
        <f t="shared" si="217"/>
        <v>-1.1387631975867202E-2</v>
      </c>
    </row>
    <row r="6748" spans="1:5" x14ac:dyDescent="0.25">
      <c r="A6748" s="41">
        <v>43747</v>
      </c>
      <c r="B6748" s="37">
        <v>261.74</v>
      </c>
      <c r="C6748" s="37">
        <f t="shared" si="216"/>
        <v>43.623333333333335</v>
      </c>
      <c r="D6748" s="37">
        <v>4.851</v>
      </c>
      <c r="E6748" s="33">
        <f t="shared" si="217"/>
        <v>-1.6782363261881063E-3</v>
      </c>
    </row>
    <row r="6749" spans="1:5" x14ac:dyDescent="0.25">
      <c r="A6749" s="41">
        <v>43747</v>
      </c>
      <c r="B6749" s="37">
        <v>261.82</v>
      </c>
      <c r="C6749" s="37">
        <f t="shared" si="216"/>
        <v>43.636666666666663</v>
      </c>
      <c r="D6749" s="37">
        <v>4.851</v>
      </c>
      <c r="E6749" s="33">
        <f t="shared" si="217"/>
        <v>3.0564682509354353E-4</v>
      </c>
    </row>
    <row r="6750" spans="1:5" x14ac:dyDescent="0.25">
      <c r="A6750" s="41">
        <v>43747</v>
      </c>
      <c r="B6750" s="37">
        <v>261.92</v>
      </c>
      <c r="C6750" s="37">
        <f t="shared" si="216"/>
        <v>43.653333333333336</v>
      </c>
      <c r="D6750" s="37">
        <v>4.851</v>
      </c>
      <c r="E6750" s="33">
        <f t="shared" si="217"/>
        <v>3.8194179207097528E-4</v>
      </c>
    </row>
    <row r="6751" spans="1:5" x14ac:dyDescent="0.25">
      <c r="A6751" s="41">
        <v>43747</v>
      </c>
      <c r="B6751" s="37">
        <v>263.91000000000003</v>
      </c>
      <c r="C6751" s="37">
        <f t="shared" si="216"/>
        <v>43.985000000000007</v>
      </c>
      <c r="D6751" s="37">
        <v>4.851</v>
      </c>
      <c r="E6751" s="33">
        <f t="shared" si="217"/>
        <v>7.5977397678680851E-3</v>
      </c>
    </row>
    <row r="6752" spans="1:5" x14ac:dyDescent="0.25">
      <c r="A6752" s="41">
        <v>43747</v>
      </c>
      <c r="B6752" s="37">
        <v>266.36</v>
      </c>
      <c r="C6752" s="37">
        <f t="shared" si="216"/>
        <v>44.393333333333331</v>
      </c>
      <c r="D6752" s="37">
        <v>4.851</v>
      </c>
      <c r="E6752" s="33">
        <f t="shared" si="217"/>
        <v>9.2834678488878351E-3</v>
      </c>
    </row>
    <row r="6753" spans="1:5" x14ac:dyDescent="0.25">
      <c r="A6753" s="41">
        <v>43747</v>
      </c>
      <c r="B6753" s="37">
        <v>270.42</v>
      </c>
      <c r="C6753" s="37">
        <f t="shared" si="216"/>
        <v>45.07</v>
      </c>
      <c r="D6753" s="37">
        <v>4.851</v>
      </c>
      <c r="E6753" s="33">
        <f t="shared" si="217"/>
        <v>1.5242528908244488E-2</v>
      </c>
    </row>
    <row r="6754" spans="1:5" x14ac:dyDescent="0.25">
      <c r="A6754" s="41">
        <v>43747</v>
      </c>
      <c r="B6754" s="37">
        <v>273.81</v>
      </c>
      <c r="C6754" s="37">
        <f t="shared" si="216"/>
        <v>45.634999999999998</v>
      </c>
      <c r="D6754" s="37">
        <v>4.851</v>
      </c>
      <c r="E6754" s="33">
        <f t="shared" si="217"/>
        <v>1.2536055025515812E-2</v>
      </c>
    </row>
    <row r="6755" spans="1:5" x14ac:dyDescent="0.25">
      <c r="A6755" s="41">
        <v>43747</v>
      </c>
      <c r="B6755" s="37">
        <v>276.02999999999997</v>
      </c>
      <c r="C6755" s="37">
        <f t="shared" si="216"/>
        <v>46.004999999999995</v>
      </c>
      <c r="D6755" s="37">
        <v>4.851</v>
      </c>
      <c r="E6755" s="33">
        <f t="shared" si="217"/>
        <v>8.1078119864138286E-3</v>
      </c>
    </row>
    <row r="6756" spans="1:5" x14ac:dyDescent="0.25">
      <c r="A6756" s="41">
        <v>43747</v>
      </c>
      <c r="B6756" s="37">
        <v>279.39</v>
      </c>
      <c r="C6756" s="37">
        <f t="shared" si="216"/>
        <v>46.564999999999998</v>
      </c>
      <c r="D6756" s="37">
        <v>4.851</v>
      </c>
      <c r="E6756" s="33">
        <f t="shared" si="217"/>
        <v>1.2172589935876586E-2</v>
      </c>
    </row>
    <row r="6757" spans="1:5" x14ac:dyDescent="0.25">
      <c r="A6757" s="41">
        <v>43747</v>
      </c>
      <c r="B6757" s="37">
        <v>279.88</v>
      </c>
      <c r="C6757" s="37">
        <f t="shared" si="216"/>
        <v>46.646666666666668</v>
      </c>
      <c r="D6757" s="37">
        <v>4.851</v>
      </c>
      <c r="E6757" s="33">
        <f t="shared" si="217"/>
        <v>1.7538208239378972E-3</v>
      </c>
    </row>
    <row r="6758" spans="1:5" x14ac:dyDescent="0.25">
      <c r="A6758" s="41">
        <v>43747</v>
      </c>
      <c r="B6758" s="37">
        <v>279.22000000000003</v>
      </c>
      <c r="C6758" s="37">
        <f t="shared" si="216"/>
        <v>46.536666666666676</v>
      </c>
      <c r="D6758" s="37">
        <v>4.851</v>
      </c>
      <c r="E6758" s="33">
        <f t="shared" si="217"/>
        <v>-2.3581534943546098E-3</v>
      </c>
    </row>
    <row r="6759" spans="1:5" x14ac:dyDescent="0.25">
      <c r="A6759" s="41">
        <v>43747</v>
      </c>
      <c r="B6759" s="37">
        <v>280.42</v>
      </c>
      <c r="C6759" s="37">
        <f t="shared" si="216"/>
        <v>46.736666666666665</v>
      </c>
      <c r="D6759" s="37">
        <v>4.851</v>
      </c>
      <c r="E6759" s="33">
        <f t="shared" si="217"/>
        <v>4.2976864121480858E-3</v>
      </c>
    </row>
    <row r="6760" spans="1:5" x14ac:dyDescent="0.25">
      <c r="A6760" s="41">
        <v>43747</v>
      </c>
      <c r="B6760" s="37">
        <v>282.64</v>
      </c>
      <c r="C6760" s="37">
        <f t="shared" si="216"/>
        <v>47.106666666666669</v>
      </c>
      <c r="D6760" s="37">
        <v>4.851</v>
      </c>
      <c r="E6760" s="33">
        <f t="shared" si="217"/>
        <v>7.9166963839953294E-3</v>
      </c>
    </row>
    <row r="6761" spans="1:5" x14ac:dyDescent="0.25">
      <c r="A6761" s="41">
        <v>43747</v>
      </c>
      <c r="B6761" s="37">
        <v>282.72000000000003</v>
      </c>
      <c r="C6761" s="37">
        <f t="shared" si="216"/>
        <v>47.120000000000005</v>
      </c>
      <c r="D6761" s="37">
        <v>4.851</v>
      </c>
      <c r="E6761" s="33">
        <f t="shared" si="217"/>
        <v>2.8304557033696906E-4</v>
      </c>
    </row>
    <row r="6762" spans="1:5" x14ac:dyDescent="0.25">
      <c r="A6762" s="41">
        <v>43747</v>
      </c>
      <c r="B6762" s="37">
        <v>281.02</v>
      </c>
      <c r="C6762" s="37">
        <f t="shared" si="216"/>
        <v>46.836666666666666</v>
      </c>
      <c r="D6762" s="37">
        <v>4.851</v>
      </c>
      <c r="E6762" s="33">
        <f t="shared" si="217"/>
        <v>-6.0130164119978962E-3</v>
      </c>
    </row>
    <row r="6763" spans="1:5" x14ac:dyDescent="0.25">
      <c r="A6763" s="41">
        <v>43747</v>
      </c>
      <c r="B6763" s="37">
        <v>279.02</v>
      </c>
      <c r="C6763" s="37">
        <f t="shared" si="216"/>
        <v>46.50333333333333</v>
      </c>
      <c r="D6763" s="37">
        <v>4.851</v>
      </c>
      <c r="E6763" s="33">
        <f t="shared" si="217"/>
        <v>-7.1169311792754972E-3</v>
      </c>
    </row>
    <row r="6764" spans="1:5" x14ac:dyDescent="0.25">
      <c r="A6764" s="41">
        <v>43747</v>
      </c>
      <c r="B6764" s="37">
        <v>279.77999999999997</v>
      </c>
      <c r="C6764" s="37">
        <f t="shared" si="216"/>
        <v>46.629999999999995</v>
      </c>
      <c r="D6764" s="37">
        <v>4.851</v>
      </c>
      <c r="E6764" s="33">
        <f t="shared" si="217"/>
        <v>2.7238190810694248E-3</v>
      </c>
    </row>
    <row r="6765" spans="1:5" x14ac:dyDescent="0.25">
      <c r="A6765" s="41">
        <v>43747</v>
      </c>
      <c r="B6765" s="37">
        <v>279.5</v>
      </c>
      <c r="C6765" s="37">
        <f t="shared" si="216"/>
        <v>46.583333333333336</v>
      </c>
      <c r="D6765" s="37">
        <v>4.851</v>
      </c>
      <c r="E6765" s="33">
        <f t="shared" si="217"/>
        <v>-1.0007863321179955E-3</v>
      </c>
    </row>
    <row r="6766" spans="1:5" x14ac:dyDescent="0.25">
      <c r="A6766" s="41">
        <v>43747</v>
      </c>
      <c r="B6766" s="37">
        <v>278.89999999999998</v>
      </c>
      <c r="C6766" s="37">
        <f t="shared" si="216"/>
        <v>46.483333333333327</v>
      </c>
      <c r="D6766" s="37">
        <v>4.851</v>
      </c>
      <c r="E6766" s="33">
        <f t="shared" si="217"/>
        <v>-2.1466905187836234E-3</v>
      </c>
    </row>
    <row r="6767" spans="1:5" x14ac:dyDescent="0.25">
      <c r="A6767" s="41">
        <v>43747</v>
      </c>
      <c r="B6767" s="37">
        <v>277.92</v>
      </c>
      <c r="C6767" s="37">
        <f t="shared" si="216"/>
        <v>46.32</v>
      </c>
      <c r="D6767" s="37">
        <v>4.851</v>
      </c>
      <c r="E6767" s="33">
        <f t="shared" si="217"/>
        <v>-3.5138042309069968E-3</v>
      </c>
    </row>
    <row r="6768" spans="1:5" x14ac:dyDescent="0.25">
      <c r="A6768" s="41">
        <v>43747</v>
      </c>
      <c r="B6768" s="37">
        <v>274.62</v>
      </c>
      <c r="C6768" s="37">
        <f t="shared" si="216"/>
        <v>45.77</v>
      </c>
      <c r="D6768" s="37">
        <v>4.851</v>
      </c>
      <c r="E6768" s="33">
        <f t="shared" si="217"/>
        <v>-1.187392055267707E-2</v>
      </c>
    </row>
    <row r="6769" spans="1:5" x14ac:dyDescent="0.25">
      <c r="A6769" s="41">
        <v>43747</v>
      </c>
      <c r="B6769" s="37">
        <v>270.26</v>
      </c>
      <c r="C6769" s="37">
        <f t="shared" si="216"/>
        <v>45.043333333333337</v>
      </c>
      <c r="D6769" s="37">
        <v>4.851</v>
      </c>
      <c r="E6769" s="33">
        <f t="shared" si="217"/>
        <v>-1.5876483868618504E-2</v>
      </c>
    </row>
    <row r="6770" spans="1:5" x14ac:dyDescent="0.25">
      <c r="A6770" s="41">
        <v>43748</v>
      </c>
      <c r="B6770" s="37">
        <v>265.37</v>
      </c>
      <c r="C6770" s="37">
        <f t="shared" si="216"/>
        <v>44.228333333333332</v>
      </c>
      <c r="D6770" s="37">
        <v>4.2649999999999997</v>
      </c>
      <c r="E6770" s="33">
        <f t="shared" si="217"/>
        <v>-1.8093687560127233E-2</v>
      </c>
    </row>
    <row r="6771" spans="1:5" x14ac:dyDescent="0.25">
      <c r="A6771" s="41">
        <v>43748</v>
      </c>
      <c r="B6771" s="37">
        <v>262.3</v>
      </c>
      <c r="C6771" s="37">
        <f t="shared" si="216"/>
        <v>43.716666666666669</v>
      </c>
      <c r="D6771" s="37">
        <v>4.2649999999999997</v>
      </c>
      <c r="E6771" s="33">
        <f t="shared" si="217"/>
        <v>-1.1568753061762796E-2</v>
      </c>
    </row>
    <row r="6772" spans="1:5" x14ac:dyDescent="0.25">
      <c r="A6772" s="41">
        <v>43748</v>
      </c>
      <c r="B6772" s="37">
        <v>261.33</v>
      </c>
      <c r="C6772" s="37">
        <f t="shared" si="216"/>
        <v>43.555</v>
      </c>
      <c r="D6772" s="37">
        <v>4.2649999999999997</v>
      </c>
      <c r="E6772" s="33">
        <f t="shared" si="217"/>
        <v>-3.6980556614564517E-3</v>
      </c>
    </row>
    <row r="6773" spans="1:5" x14ac:dyDescent="0.25">
      <c r="A6773" s="41">
        <v>43748</v>
      </c>
      <c r="B6773" s="37">
        <v>261.20999999999998</v>
      </c>
      <c r="C6773" s="37">
        <f t="shared" si="216"/>
        <v>43.534999999999997</v>
      </c>
      <c r="D6773" s="37">
        <v>4.2649999999999997</v>
      </c>
      <c r="E6773" s="33">
        <f t="shared" si="217"/>
        <v>-4.5918953047872251E-4</v>
      </c>
    </row>
    <row r="6774" spans="1:5" x14ac:dyDescent="0.25">
      <c r="A6774" s="41">
        <v>43748</v>
      </c>
      <c r="B6774" s="37">
        <v>261.56</v>
      </c>
      <c r="C6774" s="37">
        <f t="shared" si="216"/>
        <v>43.593333333333334</v>
      </c>
      <c r="D6774" s="37">
        <v>4.2649999999999997</v>
      </c>
      <c r="E6774" s="33">
        <f t="shared" si="217"/>
        <v>1.339918073580731E-3</v>
      </c>
    </row>
    <row r="6775" spans="1:5" x14ac:dyDescent="0.25">
      <c r="A6775" s="41">
        <v>43748</v>
      </c>
      <c r="B6775" s="37">
        <v>265.36</v>
      </c>
      <c r="C6775" s="37">
        <f t="shared" si="216"/>
        <v>44.226666666666667</v>
      </c>
      <c r="D6775" s="37">
        <v>4.2649999999999997</v>
      </c>
      <c r="E6775" s="33">
        <f t="shared" si="217"/>
        <v>1.4528215323443994E-2</v>
      </c>
    </row>
    <row r="6776" spans="1:5" x14ac:dyDescent="0.25">
      <c r="A6776" s="41">
        <v>43748</v>
      </c>
      <c r="B6776" s="37">
        <v>267.77999999999997</v>
      </c>
      <c r="C6776" s="37">
        <f t="shared" si="216"/>
        <v>44.629999999999995</v>
      </c>
      <c r="D6776" s="37">
        <v>4.2649999999999997</v>
      </c>
      <c r="E6776" s="33">
        <f t="shared" si="217"/>
        <v>9.1196864636718389E-3</v>
      </c>
    </row>
    <row r="6777" spans="1:5" x14ac:dyDescent="0.25">
      <c r="A6777" s="41">
        <v>43748</v>
      </c>
      <c r="B6777" s="37">
        <v>270.10000000000002</v>
      </c>
      <c r="C6777" s="37">
        <f t="shared" si="216"/>
        <v>45.016666666666673</v>
      </c>
      <c r="D6777" s="37">
        <v>4.2649999999999997</v>
      </c>
      <c r="E6777" s="33">
        <f t="shared" si="217"/>
        <v>8.6638285159461141E-3</v>
      </c>
    </row>
    <row r="6778" spans="1:5" x14ac:dyDescent="0.25">
      <c r="A6778" s="41">
        <v>43748</v>
      </c>
      <c r="B6778" s="37">
        <v>273.83999999999997</v>
      </c>
      <c r="C6778" s="37">
        <f t="shared" si="216"/>
        <v>45.639999999999993</v>
      </c>
      <c r="D6778" s="37">
        <v>4.2649999999999997</v>
      </c>
      <c r="E6778" s="33">
        <f t="shared" si="217"/>
        <v>1.3846723435764353E-2</v>
      </c>
    </row>
    <row r="6779" spans="1:5" x14ac:dyDescent="0.25">
      <c r="A6779" s="41">
        <v>43748</v>
      </c>
      <c r="B6779" s="37">
        <v>275.76</v>
      </c>
      <c r="C6779" s="37">
        <f t="shared" si="216"/>
        <v>45.96</v>
      </c>
      <c r="D6779" s="37">
        <v>4.2649999999999997</v>
      </c>
      <c r="E6779" s="33">
        <f t="shared" si="217"/>
        <v>7.0113935144610583E-3</v>
      </c>
    </row>
    <row r="6780" spans="1:5" x14ac:dyDescent="0.25">
      <c r="A6780" s="41">
        <v>43748</v>
      </c>
      <c r="B6780" s="37">
        <v>279.10000000000002</v>
      </c>
      <c r="C6780" s="37">
        <f t="shared" si="216"/>
        <v>46.516666666666673</v>
      </c>
      <c r="D6780" s="37">
        <v>4.2649999999999997</v>
      </c>
      <c r="E6780" s="33">
        <f t="shared" si="217"/>
        <v>1.2111981433130374E-2</v>
      </c>
    </row>
    <row r="6781" spans="1:5" x14ac:dyDescent="0.25">
      <c r="A6781" s="41">
        <v>43748</v>
      </c>
      <c r="B6781" s="37">
        <v>279.72000000000003</v>
      </c>
      <c r="C6781" s="37">
        <f t="shared" si="216"/>
        <v>46.620000000000005</v>
      </c>
      <c r="D6781" s="37">
        <v>4.2649999999999997</v>
      </c>
      <c r="E6781" s="33">
        <f t="shared" si="217"/>
        <v>2.2214260121820296E-3</v>
      </c>
    </row>
    <row r="6782" spans="1:5" x14ac:dyDescent="0.25">
      <c r="A6782" s="41">
        <v>43748</v>
      </c>
      <c r="B6782" s="37">
        <v>276.43</v>
      </c>
      <c r="C6782" s="37">
        <f t="shared" si="216"/>
        <v>46.071666666666665</v>
      </c>
      <c r="D6782" s="37">
        <v>4.2649999999999997</v>
      </c>
      <c r="E6782" s="33">
        <f t="shared" si="217"/>
        <v>-1.1761761761761833E-2</v>
      </c>
    </row>
    <row r="6783" spans="1:5" x14ac:dyDescent="0.25">
      <c r="A6783" s="41">
        <v>43748</v>
      </c>
      <c r="B6783" s="37">
        <v>280.02999999999997</v>
      </c>
      <c r="C6783" s="37">
        <f t="shared" si="216"/>
        <v>46.67166666666666</v>
      </c>
      <c r="D6783" s="37">
        <v>4.2649999999999997</v>
      </c>
      <c r="E6783" s="33">
        <f t="shared" si="217"/>
        <v>1.3023188510653568E-2</v>
      </c>
    </row>
    <row r="6784" spans="1:5" x14ac:dyDescent="0.25">
      <c r="A6784" s="41">
        <v>43748</v>
      </c>
      <c r="B6784" s="37">
        <v>281.19</v>
      </c>
      <c r="C6784" s="37">
        <f t="shared" si="216"/>
        <v>46.865000000000002</v>
      </c>
      <c r="D6784" s="37">
        <v>4.2649999999999997</v>
      </c>
      <c r="E6784" s="33">
        <f t="shared" si="217"/>
        <v>4.142413312859426E-3</v>
      </c>
    </row>
    <row r="6785" spans="1:5" x14ac:dyDescent="0.25">
      <c r="A6785" s="41">
        <v>43748</v>
      </c>
      <c r="B6785" s="37">
        <v>281.39</v>
      </c>
      <c r="C6785" s="37">
        <f t="shared" si="216"/>
        <v>46.898333333333333</v>
      </c>
      <c r="D6785" s="37">
        <v>4.2649999999999997</v>
      </c>
      <c r="E6785" s="33">
        <f t="shared" si="217"/>
        <v>7.1126284718513687E-4</v>
      </c>
    </row>
    <row r="6786" spans="1:5" x14ac:dyDescent="0.25">
      <c r="A6786" s="41">
        <v>43748</v>
      </c>
      <c r="B6786" s="37">
        <v>280.64</v>
      </c>
      <c r="C6786" s="37">
        <f t="shared" si="216"/>
        <v>46.773333333333333</v>
      </c>
      <c r="D6786" s="37">
        <v>4.2649999999999997</v>
      </c>
      <c r="E6786" s="33">
        <f t="shared" si="217"/>
        <v>-2.6653399196844237E-3</v>
      </c>
    </row>
    <row r="6787" spans="1:5" x14ac:dyDescent="0.25">
      <c r="A6787" s="41">
        <v>43748</v>
      </c>
      <c r="B6787" s="37">
        <v>278.27</v>
      </c>
      <c r="C6787" s="37">
        <f t="shared" ref="C6787:C6850" si="218">(B6787*100/600)</f>
        <v>46.37833333333333</v>
      </c>
      <c r="D6787" s="37">
        <v>4.2649999999999997</v>
      </c>
      <c r="E6787" s="33">
        <f t="shared" si="217"/>
        <v>-8.4449828962371888E-3</v>
      </c>
    </row>
    <row r="6788" spans="1:5" x14ac:dyDescent="0.25">
      <c r="A6788" s="41">
        <v>43748</v>
      </c>
      <c r="B6788" s="37">
        <v>279.3</v>
      </c>
      <c r="C6788" s="37">
        <f t="shared" si="218"/>
        <v>46.55</v>
      </c>
      <c r="D6788" s="37">
        <v>4.2649999999999997</v>
      </c>
      <c r="E6788" s="33">
        <f t="shared" ref="E6788:E6851" si="219">(B6788-B6787)/B6787</f>
        <v>3.7014410464657694E-3</v>
      </c>
    </row>
    <row r="6789" spans="1:5" x14ac:dyDescent="0.25">
      <c r="A6789" s="41">
        <v>43748</v>
      </c>
      <c r="B6789" s="37">
        <v>279.29000000000002</v>
      </c>
      <c r="C6789" s="37">
        <f t="shared" si="218"/>
        <v>46.548333333333339</v>
      </c>
      <c r="D6789" s="37">
        <v>4.2649999999999997</v>
      </c>
      <c r="E6789" s="33">
        <f t="shared" si="219"/>
        <v>-3.5803795202258875E-5</v>
      </c>
    </row>
    <row r="6790" spans="1:5" x14ac:dyDescent="0.25">
      <c r="A6790" s="41">
        <v>43748</v>
      </c>
      <c r="B6790" s="37">
        <v>278.69</v>
      </c>
      <c r="C6790" s="37">
        <f t="shared" si="218"/>
        <v>46.448333333333331</v>
      </c>
      <c r="D6790" s="37">
        <v>4.2649999999999997</v>
      </c>
      <c r="E6790" s="33">
        <f t="shared" si="219"/>
        <v>-2.1483046295965582E-3</v>
      </c>
    </row>
    <row r="6791" spans="1:5" x14ac:dyDescent="0.25">
      <c r="A6791" s="41">
        <v>43748</v>
      </c>
      <c r="B6791" s="37">
        <v>277.68</v>
      </c>
      <c r="C6791" s="37">
        <f t="shared" si="218"/>
        <v>46.28</v>
      </c>
      <c r="D6791" s="37">
        <v>4.2649999999999997</v>
      </c>
      <c r="E6791" s="33">
        <f t="shared" si="219"/>
        <v>-3.6240984606551755E-3</v>
      </c>
    </row>
    <row r="6792" spans="1:5" x14ac:dyDescent="0.25">
      <c r="A6792" s="41">
        <v>43748</v>
      </c>
      <c r="B6792" s="37">
        <v>274.94</v>
      </c>
      <c r="C6792" s="37">
        <f t="shared" si="218"/>
        <v>45.823333333333331</v>
      </c>
      <c r="D6792" s="37">
        <v>4.2649999999999997</v>
      </c>
      <c r="E6792" s="33">
        <f t="shared" si="219"/>
        <v>-9.86747335061945E-3</v>
      </c>
    </row>
    <row r="6793" spans="1:5" x14ac:dyDescent="0.25">
      <c r="A6793" s="41">
        <v>43748</v>
      </c>
      <c r="B6793" s="37">
        <v>269.48</v>
      </c>
      <c r="C6793" s="37">
        <f t="shared" si="218"/>
        <v>44.913333333333334</v>
      </c>
      <c r="D6793" s="37">
        <v>4.2649999999999997</v>
      </c>
      <c r="E6793" s="33">
        <f t="shared" si="219"/>
        <v>-1.9858878300720084E-2</v>
      </c>
    </row>
    <row r="6794" spans="1:5" x14ac:dyDescent="0.25">
      <c r="A6794" s="41">
        <v>43749</v>
      </c>
      <c r="B6794" s="37">
        <v>268.27999999999997</v>
      </c>
      <c r="C6794" s="37">
        <f t="shared" si="218"/>
        <v>44.713333333333324</v>
      </c>
      <c r="D6794" s="37">
        <v>3.8119999999999998</v>
      </c>
      <c r="E6794" s="33">
        <f t="shared" si="219"/>
        <v>-4.4530206323290982E-3</v>
      </c>
    </row>
    <row r="6795" spans="1:5" x14ac:dyDescent="0.25">
      <c r="A6795" s="41">
        <v>43749</v>
      </c>
      <c r="B6795" s="37">
        <v>265.35000000000002</v>
      </c>
      <c r="C6795" s="37">
        <f t="shared" si="218"/>
        <v>44.225000000000009</v>
      </c>
      <c r="D6795" s="37">
        <v>3.8119999999999998</v>
      </c>
      <c r="E6795" s="33">
        <f t="shared" si="219"/>
        <v>-1.0921425376472157E-2</v>
      </c>
    </row>
    <row r="6796" spans="1:5" x14ac:dyDescent="0.25">
      <c r="A6796" s="41">
        <v>43749</v>
      </c>
      <c r="B6796" s="37">
        <v>264.01</v>
      </c>
      <c r="C6796" s="37">
        <f t="shared" si="218"/>
        <v>44.001666666666665</v>
      </c>
      <c r="D6796" s="37">
        <v>3.8119999999999998</v>
      </c>
      <c r="E6796" s="33">
        <f t="shared" si="219"/>
        <v>-5.0499340493688778E-3</v>
      </c>
    </row>
    <row r="6797" spans="1:5" x14ac:dyDescent="0.25">
      <c r="A6797" s="41">
        <v>43749</v>
      </c>
      <c r="B6797" s="37">
        <v>263.83</v>
      </c>
      <c r="C6797" s="37">
        <f t="shared" si="218"/>
        <v>43.971666666666664</v>
      </c>
      <c r="D6797" s="37">
        <v>3.8119999999999998</v>
      </c>
      <c r="E6797" s="33">
        <f t="shared" si="219"/>
        <v>-6.8179235635016408E-4</v>
      </c>
    </row>
    <row r="6798" spans="1:5" x14ac:dyDescent="0.25">
      <c r="A6798" s="41">
        <v>43749</v>
      </c>
      <c r="B6798" s="37">
        <v>264.01</v>
      </c>
      <c r="C6798" s="37">
        <f t="shared" si="218"/>
        <v>44.001666666666665</v>
      </c>
      <c r="D6798" s="37">
        <v>3.8119999999999998</v>
      </c>
      <c r="E6798" s="33">
        <f t="shared" si="219"/>
        <v>6.8225751430848211E-4</v>
      </c>
    </row>
    <row r="6799" spans="1:5" x14ac:dyDescent="0.25">
      <c r="A6799" s="41">
        <v>43749</v>
      </c>
      <c r="B6799" s="37">
        <v>266.23</v>
      </c>
      <c r="C6799" s="37">
        <f t="shared" si="218"/>
        <v>44.37166666666667</v>
      </c>
      <c r="D6799" s="37">
        <v>3.8119999999999998</v>
      </c>
      <c r="E6799" s="33">
        <f t="shared" si="219"/>
        <v>8.4087723949851419E-3</v>
      </c>
    </row>
    <row r="6800" spans="1:5" x14ac:dyDescent="0.25">
      <c r="A6800" s="41">
        <v>43749</v>
      </c>
      <c r="B6800" s="37">
        <v>268.31</v>
      </c>
      <c r="C6800" s="37">
        <f t="shared" si="218"/>
        <v>44.718333333333334</v>
      </c>
      <c r="D6800" s="37">
        <v>3.8119999999999998</v>
      </c>
      <c r="E6800" s="33">
        <f t="shared" si="219"/>
        <v>7.8127934492731241E-3</v>
      </c>
    </row>
    <row r="6801" spans="1:5" x14ac:dyDescent="0.25">
      <c r="A6801" s="41">
        <v>43749</v>
      </c>
      <c r="B6801" s="37">
        <v>270.89999999999998</v>
      </c>
      <c r="C6801" s="37">
        <f t="shared" si="218"/>
        <v>45.149999999999991</v>
      </c>
      <c r="D6801" s="37">
        <v>3.8119999999999998</v>
      </c>
      <c r="E6801" s="33">
        <f t="shared" si="219"/>
        <v>9.6530133055047328E-3</v>
      </c>
    </row>
    <row r="6802" spans="1:5" x14ac:dyDescent="0.25">
      <c r="A6802" s="41">
        <v>43749</v>
      </c>
      <c r="B6802" s="37">
        <v>276.45</v>
      </c>
      <c r="C6802" s="37">
        <f t="shared" si="218"/>
        <v>46.075000000000003</v>
      </c>
      <c r="D6802" s="37">
        <v>3.8119999999999998</v>
      </c>
      <c r="E6802" s="33">
        <f t="shared" si="219"/>
        <v>2.0487264673311228E-2</v>
      </c>
    </row>
    <row r="6803" spans="1:5" x14ac:dyDescent="0.25">
      <c r="A6803" s="41">
        <v>43749</v>
      </c>
      <c r="B6803" s="37">
        <v>279.63</v>
      </c>
      <c r="C6803" s="37">
        <f t="shared" si="218"/>
        <v>46.604999999999997</v>
      </c>
      <c r="D6803" s="37">
        <v>3.8119999999999998</v>
      </c>
      <c r="E6803" s="33">
        <f t="shared" si="219"/>
        <v>1.1502984264785701E-2</v>
      </c>
    </row>
    <row r="6804" spans="1:5" x14ac:dyDescent="0.25">
      <c r="A6804" s="41">
        <v>43749</v>
      </c>
      <c r="B6804" s="37">
        <v>281.47000000000003</v>
      </c>
      <c r="C6804" s="37">
        <f t="shared" si="218"/>
        <v>46.911666666666676</v>
      </c>
      <c r="D6804" s="37">
        <v>3.8119999999999998</v>
      </c>
      <c r="E6804" s="33">
        <f t="shared" si="219"/>
        <v>6.580123734935564E-3</v>
      </c>
    </row>
    <row r="6805" spans="1:5" x14ac:dyDescent="0.25">
      <c r="A6805" s="41">
        <v>43749</v>
      </c>
      <c r="B6805" s="37">
        <v>281.61</v>
      </c>
      <c r="C6805" s="37">
        <f t="shared" si="218"/>
        <v>46.935000000000002</v>
      </c>
      <c r="D6805" s="37">
        <v>3.8119999999999998</v>
      </c>
      <c r="E6805" s="33">
        <f t="shared" si="219"/>
        <v>4.9738870927625088E-4</v>
      </c>
    </row>
    <row r="6806" spans="1:5" x14ac:dyDescent="0.25">
      <c r="A6806" s="41">
        <v>43749</v>
      </c>
      <c r="B6806" s="37">
        <v>280.04000000000002</v>
      </c>
      <c r="C6806" s="37">
        <f t="shared" si="218"/>
        <v>46.673333333333339</v>
      </c>
      <c r="D6806" s="37">
        <v>3.8119999999999998</v>
      </c>
      <c r="E6806" s="33">
        <f t="shared" si="219"/>
        <v>-5.575086111998839E-3</v>
      </c>
    </row>
    <row r="6807" spans="1:5" x14ac:dyDescent="0.25">
      <c r="A6807" s="41">
        <v>43749</v>
      </c>
      <c r="B6807" s="37">
        <v>281.72000000000003</v>
      </c>
      <c r="C6807" s="37">
        <f t="shared" si="218"/>
        <v>46.95333333333334</v>
      </c>
      <c r="D6807" s="37">
        <v>3.8119999999999998</v>
      </c>
      <c r="E6807" s="33">
        <f t="shared" si="219"/>
        <v>5.9991429795743702E-3</v>
      </c>
    </row>
    <row r="6808" spans="1:5" x14ac:dyDescent="0.25">
      <c r="A6808" s="41">
        <v>43749</v>
      </c>
      <c r="B6808" s="37">
        <v>282.25</v>
      </c>
      <c r="C6808" s="37">
        <f t="shared" si="218"/>
        <v>47.041666666666664</v>
      </c>
      <c r="D6808" s="37">
        <v>3.8119999999999998</v>
      </c>
      <c r="E6808" s="33">
        <f t="shared" si="219"/>
        <v>1.8813005821381964E-3</v>
      </c>
    </row>
    <row r="6809" spans="1:5" x14ac:dyDescent="0.25">
      <c r="A6809" s="41">
        <v>43749</v>
      </c>
      <c r="B6809" s="37">
        <v>282.33</v>
      </c>
      <c r="C6809" s="37">
        <f t="shared" si="218"/>
        <v>47.055</v>
      </c>
      <c r="D6809" s="37">
        <v>3.8119999999999998</v>
      </c>
      <c r="E6809" s="33">
        <f t="shared" si="219"/>
        <v>2.834366696190756E-4</v>
      </c>
    </row>
    <row r="6810" spans="1:5" x14ac:dyDescent="0.25">
      <c r="A6810" s="41">
        <v>43749</v>
      </c>
      <c r="B6810" s="37">
        <v>281.97000000000003</v>
      </c>
      <c r="C6810" s="37">
        <f t="shared" si="218"/>
        <v>46.995000000000005</v>
      </c>
      <c r="D6810" s="37">
        <v>3.8119999999999998</v>
      </c>
      <c r="E6810" s="33">
        <f t="shared" si="219"/>
        <v>-1.2751036021675232E-3</v>
      </c>
    </row>
    <row r="6811" spans="1:5" x14ac:dyDescent="0.25">
      <c r="A6811" s="41">
        <v>43749</v>
      </c>
      <c r="B6811" s="37">
        <v>280.02999999999997</v>
      </c>
      <c r="C6811" s="37">
        <f t="shared" si="218"/>
        <v>46.67166666666666</v>
      </c>
      <c r="D6811" s="37">
        <v>3.8119999999999998</v>
      </c>
      <c r="E6811" s="33">
        <f t="shared" si="219"/>
        <v>-6.8801645565132975E-3</v>
      </c>
    </row>
    <row r="6812" spans="1:5" x14ac:dyDescent="0.25">
      <c r="A6812" s="41">
        <v>43749</v>
      </c>
      <c r="B6812" s="37">
        <v>280.97000000000003</v>
      </c>
      <c r="C6812" s="37">
        <f t="shared" si="218"/>
        <v>46.82833333333334</v>
      </c>
      <c r="D6812" s="37">
        <v>3.8119999999999998</v>
      </c>
      <c r="E6812" s="33">
        <f t="shared" si="219"/>
        <v>3.3567832018000024E-3</v>
      </c>
    </row>
    <row r="6813" spans="1:5" x14ac:dyDescent="0.25">
      <c r="A6813" s="41">
        <v>43749</v>
      </c>
      <c r="B6813" s="37">
        <v>281.52999999999997</v>
      </c>
      <c r="C6813" s="37">
        <f t="shared" si="218"/>
        <v>46.92166666666666</v>
      </c>
      <c r="D6813" s="37">
        <v>3.8119999999999998</v>
      </c>
      <c r="E6813" s="33">
        <f t="shared" si="219"/>
        <v>1.9930953482576266E-3</v>
      </c>
    </row>
    <row r="6814" spans="1:5" x14ac:dyDescent="0.25">
      <c r="A6814" s="41">
        <v>43749</v>
      </c>
      <c r="B6814" s="37">
        <v>279.95999999999998</v>
      </c>
      <c r="C6814" s="37">
        <f t="shared" si="218"/>
        <v>46.66</v>
      </c>
      <c r="D6814" s="37">
        <v>3.8119999999999998</v>
      </c>
      <c r="E6814" s="33">
        <f t="shared" si="219"/>
        <v>-5.5766703370866101E-3</v>
      </c>
    </row>
    <row r="6815" spans="1:5" x14ac:dyDescent="0.25">
      <c r="A6815" s="41">
        <v>43749</v>
      </c>
      <c r="B6815" s="37">
        <v>279.35000000000002</v>
      </c>
      <c r="C6815" s="37">
        <f t="shared" si="218"/>
        <v>46.558333333333337</v>
      </c>
      <c r="D6815" s="37">
        <v>3.8119999999999998</v>
      </c>
      <c r="E6815" s="33">
        <f t="shared" si="219"/>
        <v>-2.178882697528064E-3</v>
      </c>
    </row>
    <row r="6816" spans="1:5" x14ac:dyDescent="0.25">
      <c r="A6816" s="41">
        <v>43749</v>
      </c>
      <c r="B6816" s="37">
        <v>277.23</v>
      </c>
      <c r="C6816" s="37">
        <f t="shared" si="218"/>
        <v>46.204999999999998</v>
      </c>
      <c r="D6816" s="37">
        <v>3.8119999999999998</v>
      </c>
      <c r="E6816" s="33">
        <f t="shared" si="219"/>
        <v>-7.5890459996420419E-3</v>
      </c>
    </row>
    <row r="6817" spans="1:5" x14ac:dyDescent="0.25">
      <c r="A6817" s="41">
        <v>43749</v>
      </c>
      <c r="B6817" s="37">
        <v>271.72000000000003</v>
      </c>
      <c r="C6817" s="37">
        <f t="shared" si="218"/>
        <v>45.286666666666676</v>
      </c>
      <c r="D6817" s="37">
        <v>3.8119999999999998</v>
      </c>
      <c r="E6817" s="33">
        <f t="shared" si="219"/>
        <v>-1.9875193882335933E-2</v>
      </c>
    </row>
    <row r="6818" spans="1:5" x14ac:dyDescent="0.25">
      <c r="A6818" s="41">
        <v>43750</v>
      </c>
      <c r="B6818" s="37">
        <v>272.77999999999997</v>
      </c>
      <c r="C6818" s="37">
        <f t="shared" si="218"/>
        <v>45.463333333333324</v>
      </c>
      <c r="D6818" s="37">
        <v>3.5179999999999998</v>
      </c>
      <c r="E6818" s="33">
        <f t="shared" si="219"/>
        <v>3.9010746356541487E-3</v>
      </c>
    </row>
    <row r="6819" spans="1:5" x14ac:dyDescent="0.25">
      <c r="A6819" s="41">
        <v>43750</v>
      </c>
      <c r="B6819" s="37">
        <v>271.33999999999997</v>
      </c>
      <c r="C6819" s="37">
        <f t="shared" si="218"/>
        <v>45.223333333333329</v>
      </c>
      <c r="D6819" s="37">
        <v>3.5179999999999998</v>
      </c>
      <c r="E6819" s="33">
        <f t="shared" si="219"/>
        <v>-5.2789793973165109E-3</v>
      </c>
    </row>
    <row r="6820" spans="1:5" x14ac:dyDescent="0.25">
      <c r="A6820" s="41">
        <v>43750</v>
      </c>
      <c r="B6820" s="37">
        <v>267.20999999999998</v>
      </c>
      <c r="C6820" s="37">
        <f t="shared" si="218"/>
        <v>44.534999999999997</v>
      </c>
      <c r="D6820" s="37">
        <v>3.5179999999999998</v>
      </c>
      <c r="E6820" s="33">
        <f t="shared" si="219"/>
        <v>-1.5220756246775248E-2</v>
      </c>
    </row>
    <row r="6821" spans="1:5" x14ac:dyDescent="0.25">
      <c r="A6821" s="41">
        <v>43750</v>
      </c>
      <c r="B6821" s="37">
        <v>265.87</v>
      </c>
      <c r="C6821" s="37">
        <f t="shared" si="218"/>
        <v>44.311666666666667</v>
      </c>
      <c r="D6821" s="37">
        <v>3.5179999999999998</v>
      </c>
      <c r="E6821" s="33">
        <f t="shared" si="219"/>
        <v>-5.0147823808988252E-3</v>
      </c>
    </row>
    <row r="6822" spans="1:5" x14ac:dyDescent="0.25">
      <c r="A6822" s="41">
        <v>43750</v>
      </c>
      <c r="B6822" s="37">
        <v>265.16000000000003</v>
      </c>
      <c r="C6822" s="37">
        <f t="shared" si="218"/>
        <v>44.193333333333342</v>
      </c>
      <c r="D6822" s="37">
        <v>3.5179999999999998</v>
      </c>
      <c r="E6822" s="33">
        <f t="shared" si="219"/>
        <v>-2.6704780531838098E-3</v>
      </c>
    </row>
    <row r="6823" spans="1:5" x14ac:dyDescent="0.25">
      <c r="A6823" s="41">
        <v>43750</v>
      </c>
      <c r="B6823" s="37">
        <v>264.54000000000002</v>
      </c>
      <c r="C6823" s="37">
        <f t="shared" si="218"/>
        <v>44.09</v>
      </c>
      <c r="D6823" s="37">
        <v>3.5179999999999998</v>
      </c>
      <c r="E6823" s="33">
        <f t="shared" si="219"/>
        <v>-2.338210891537202E-3</v>
      </c>
    </row>
    <row r="6824" spans="1:5" x14ac:dyDescent="0.25">
      <c r="A6824" s="41">
        <v>43750</v>
      </c>
      <c r="B6824" s="37">
        <v>262.52</v>
      </c>
      <c r="C6824" s="37">
        <f t="shared" si="218"/>
        <v>43.75333333333333</v>
      </c>
      <c r="D6824" s="37">
        <v>3.5179999999999998</v>
      </c>
      <c r="E6824" s="33">
        <f t="shared" si="219"/>
        <v>-7.6358962727755293E-3</v>
      </c>
    </row>
    <row r="6825" spans="1:5" x14ac:dyDescent="0.25">
      <c r="A6825" s="41">
        <v>43750</v>
      </c>
      <c r="B6825" s="37">
        <v>266</v>
      </c>
      <c r="C6825" s="37">
        <f t="shared" si="218"/>
        <v>44.333333333333336</v>
      </c>
      <c r="D6825" s="37">
        <v>3.5179999999999998</v>
      </c>
      <c r="E6825" s="33">
        <f t="shared" si="219"/>
        <v>1.3256132866067418E-2</v>
      </c>
    </row>
    <row r="6826" spans="1:5" x14ac:dyDescent="0.25">
      <c r="A6826" s="41">
        <v>43750</v>
      </c>
      <c r="B6826" s="37">
        <v>269.56</v>
      </c>
      <c r="C6826" s="37">
        <f t="shared" si="218"/>
        <v>44.926666666666669</v>
      </c>
      <c r="D6826" s="37">
        <v>3.5179999999999998</v>
      </c>
      <c r="E6826" s="33">
        <f t="shared" si="219"/>
        <v>1.3383458646616549E-2</v>
      </c>
    </row>
    <row r="6827" spans="1:5" x14ac:dyDescent="0.25">
      <c r="A6827" s="41">
        <v>43750</v>
      </c>
      <c r="B6827" s="37">
        <v>272.66000000000003</v>
      </c>
      <c r="C6827" s="37">
        <f t="shared" si="218"/>
        <v>45.443333333333342</v>
      </c>
      <c r="D6827" s="37">
        <v>3.5179999999999998</v>
      </c>
      <c r="E6827" s="33">
        <f t="shared" si="219"/>
        <v>1.1500222584953342E-2</v>
      </c>
    </row>
    <row r="6828" spans="1:5" x14ac:dyDescent="0.25">
      <c r="A6828" s="41">
        <v>43750</v>
      </c>
      <c r="B6828" s="37">
        <v>274.05</v>
      </c>
      <c r="C6828" s="37">
        <f t="shared" si="218"/>
        <v>45.674999999999997</v>
      </c>
      <c r="D6828" s="37">
        <v>3.5179999999999998</v>
      </c>
      <c r="E6828" s="33">
        <f t="shared" si="219"/>
        <v>5.0979241546247568E-3</v>
      </c>
    </row>
    <row r="6829" spans="1:5" x14ac:dyDescent="0.25">
      <c r="A6829" s="41">
        <v>43750</v>
      </c>
      <c r="B6829" s="37">
        <v>274.08999999999997</v>
      </c>
      <c r="C6829" s="37">
        <f t="shared" si="218"/>
        <v>45.681666666666658</v>
      </c>
      <c r="D6829" s="37">
        <v>3.5179999999999998</v>
      </c>
      <c r="E6829" s="33">
        <f t="shared" si="219"/>
        <v>1.4595876664828906E-4</v>
      </c>
    </row>
    <row r="6830" spans="1:5" x14ac:dyDescent="0.25">
      <c r="A6830" s="41">
        <v>43750</v>
      </c>
      <c r="B6830" s="37">
        <v>274.08999999999997</v>
      </c>
      <c r="C6830" s="37">
        <f t="shared" si="218"/>
        <v>45.681666666666658</v>
      </c>
      <c r="D6830" s="37">
        <v>3.5179999999999998</v>
      </c>
      <c r="E6830" s="33">
        <f t="shared" si="219"/>
        <v>0</v>
      </c>
    </row>
    <row r="6831" spans="1:5" x14ac:dyDescent="0.25">
      <c r="A6831" s="41">
        <v>43750</v>
      </c>
      <c r="B6831" s="37">
        <v>274.01</v>
      </c>
      <c r="C6831" s="37">
        <f t="shared" si="218"/>
        <v>45.668333333333337</v>
      </c>
      <c r="D6831" s="37">
        <v>3.5179999999999998</v>
      </c>
      <c r="E6831" s="33">
        <f t="shared" si="219"/>
        <v>-2.9187493159175487E-4</v>
      </c>
    </row>
    <row r="6832" spans="1:5" x14ac:dyDescent="0.25">
      <c r="A6832" s="41">
        <v>43750</v>
      </c>
      <c r="B6832" s="37">
        <v>273.83</v>
      </c>
      <c r="C6832" s="37">
        <f t="shared" si="218"/>
        <v>45.638333333333335</v>
      </c>
      <c r="D6832" s="37">
        <v>3.5179999999999998</v>
      </c>
      <c r="E6832" s="33">
        <f t="shared" si="219"/>
        <v>-6.5691033173974247E-4</v>
      </c>
    </row>
    <row r="6833" spans="1:5" x14ac:dyDescent="0.25">
      <c r="A6833" s="41">
        <v>43750</v>
      </c>
      <c r="B6833" s="37">
        <v>273.8</v>
      </c>
      <c r="C6833" s="37">
        <f t="shared" si="218"/>
        <v>45.633333333333333</v>
      </c>
      <c r="D6833" s="37">
        <v>3.5179999999999998</v>
      </c>
      <c r="E6833" s="33">
        <f t="shared" si="219"/>
        <v>-1.0955702443111682E-4</v>
      </c>
    </row>
    <row r="6834" spans="1:5" x14ac:dyDescent="0.25">
      <c r="A6834" s="41">
        <v>43750</v>
      </c>
      <c r="B6834" s="37">
        <v>274.2</v>
      </c>
      <c r="C6834" s="37">
        <f t="shared" si="218"/>
        <v>45.7</v>
      </c>
      <c r="D6834" s="37">
        <v>3.5179999999999998</v>
      </c>
      <c r="E6834" s="33">
        <f t="shared" si="219"/>
        <v>1.4609203798392157E-3</v>
      </c>
    </row>
    <row r="6835" spans="1:5" x14ac:dyDescent="0.25">
      <c r="A6835" s="41">
        <v>43750</v>
      </c>
      <c r="B6835" s="37">
        <v>275.76</v>
      </c>
      <c r="C6835" s="37">
        <f t="shared" si="218"/>
        <v>45.96</v>
      </c>
      <c r="D6835" s="37">
        <v>3.5179999999999998</v>
      </c>
      <c r="E6835" s="33">
        <f t="shared" si="219"/>
        <v>5.6892778993435532E-3</v>
      </c>
    </row>
    <row r="6836" spans="1:5" x14ac:dyDescent="0.25">
      <c r="A6836" s="41">
        <v>43750</v>
      </c>
      <c r="B6836" s="37">
        <v>284.31</v>
      </c>
      <c r="C6836" s="37">
        <f t="shared" si="218"/>
        <v>47.384999999999998</v>
      </c>
      <c r="D6836" s="37">
        <v>3.5179999999999998</v>
      </c>
      <c r="E6836" s="33">
        <f t="shared" si="219"/>
        <v>3.1005221932114926E-2</v>
      </c>
    </row>
    <row r="6837" spans="1:5" x14ac:dyDescent="0.25">
      <c r="A6837" s="41">
        <v>43750</v>
      </c>
      <c r="B6837" s="37">
        <v>284.91000000000003</v>
      </c>
      <c r="C6837" s="37">
        <f t="shared" si="218"/>
        <v>47.485000000000007</v>
      </c>
      <c r="D6837" s="37">
        <v>3.5179999999999998</v>
      </c>
      <c r="E6837" s="33">
        <f t="shared" si="219"/>
        <v>2.1103724807429313E-3</v>
      </c>
    </row>
    <row r="6838" spans="1:5" x14ac:dyDescent="0.25">
      <c r="A6838" s="41">
        <v>43750</v>
      </c>
      <c r="B6838" s="37">
        <v>282.73</v>
      </c>
      <c r="C6838" s="37">
        <f t="shared" si="218"/>
        <v>47.12166666666667</v>
      </c>
      <c r="D6838" s="37">
        <v>3.5179999999999998</v>
      </c>
      <c r="E6838" s="33">
        <f t="shared" si="219"/>
        <v>-7.6515390825173096E-3</v>
      </c>
    </row>
    <row r="6839" spans="1:5" x14ac:dyDescent="0.25">
      <c r="A6839" s="41">
        <v>43750</v>
      </c>
      <c r="B6839" s="37">
        <v>281.45999999999998</v>
      </c>
      <c r="C6839" s="37">
        <f t="shared" si="218"/>
        <v>46.91</v>
      </c>
      <c r="D6839" s="37">
        <v>3.5179999999999998</v>
      </c>
      <c r="E6839" s="33">
        <f t="shared" si="219"/>
        <v>-4.4919180843916049E-3</v>
      </c>
    </row>
    <row r="6840" spans="1:5" x14ac:dyDescent="0.25">
      <c r="A6840" s="41">
        <v>43750</v>
      </c>
      <c r="B6840" s="37">
        <v>277.51</v>
      </c>
      <c r="C6840" s="37">
        <f t="shared" si="218"/>
        <v>46.251666666666665</v>
      </c>
      <c r="D6840" s="37">
        <v>3.5179999999999998</v>
      </c>
      <c r="E6840" s="33">
        <f t="shared" si="219"/>
        <v>-1.4033965750017726E-2</v>
      </c>
    </row>
    <row r="6841" spans="1:5" x14ac:dyDescent="0.25">
      <c r="A6841" s="41">
        <v>43750</v>
      </c>
      <c r="B6841" s="37">
        <v>274.02999999999997</v>
      </c>
      <c r="C6841" s="37">
        <f t="shared" si="218"/>
        <v>45.67166666666666</v>
      </c>
      <c r="D6841" s="37">
        <v>3.5179999999999998</v>
      </c>
      <c r="E6841" s="33">
        <f t="shared" si="219"/>
        <v>-1.2540088645454283E-2</v>
      </c>
    </row>
    <row r="6842" spans="1:5" x14ac:dyDescent="0.25">
      <c r="A6842" s="41">
        <v>43751</v>
      </c>
      <c r="B6842" s="37">
        <v>265.29000000000002</v>
      </c>
      <c r="C6842" s="37">
        <f t="shared" si="218"/>
        <v>44.215000000000003</v>
      </c>
      <c r="D6842" s="37">
        <v>3.3820000000000001</v>
      </c>
      <c r="E6842" s="33">
        <f t="shared" si="219"/>
        <v>-3.1894318140349424E-2</v>
      </c>
    </row>
    <row r="6843" spans="1:5" x14ac:dyDescent="0.25">
      <c r="A6843" s="41">
        <v>43751</v>
      </c>
      <c r="B6843" s="37">
        <v>261.58999999999997</v>
      </c>
      <c r="C6843" s="37">
        <f t="shared" si="218"/>
        <v>43.598333333333329</v>
      </c>
      <c r="D6843" s="37">
        <v>3.3820000000000001</v>
      </c>
      <c r="E6843" s="33">
        <f t="shared" si="219"/>
        <v>-1.3947001394700309E-2</v>
      </c>
    </row>
    <row r="6844" spans="1:5" x14ac:dyDescent="0.25">
      <c r="A6844" s="41">
        <v>43751</v>
      </c>
      <c r="B6844" s="37">
        <v>257.94</v>
      </c>
      <c r="C6844" s="37">
        <f t="shared" si="218"/>
        <v>42.99</v>
      </c>
      <c r="D6844" s="37">
        <v>3.3820000000000001</v>
      </c>
      <c r="E6844" s="33">
        <f t="shared" si="219"/>
        <v>-1.3953132765013868E-2</v>
      </c>
    </row>
    <row r="6845" spans="1:5" x14ac:dyDescent="0.25">
      <c r="A6845" s="41">
        <v>43751</v>
      </c>
      <c r="B6845" s="37">
        <v>256.29000000000002</v>
      </c>
      <c r="C6845" s="37">
        <f t="shared" si="218"/>
        <v>42.715000000000003</v>
      </c>
      <c r="D6845" s="37">
        <v>3.3820000000000001</v>
      </c>
      <c r="E6845" s="33">
        <f t="shared" si="219"/>
        <v>-6.396836473598423E-3</v>
      </c>
    </row>
    <row r="6846" spans="1:5" x14ac:dyDescent="0.25">
      <c r="A6846" s="41">
        <v>43751</v>
      </c>
      <c r="B6846" s="37">
        <v>256.24</v>
      </c>
      <c r="C6846" s="37">
        <f t="shared" si="218"/>
        <v>42.706666666666663</v>
      </c>
      <c r="D6846" s="37">
        <v>3.3820000000000001</v>
      </c>
      <c r="E6846" s="33">
        <f t="shared" si="219"/>
        <v>-1.9509149791256531E-4</v>
      </c>
    </row>
    <row r="6847" spans="1:5" x14ac:dyDescent="0.25">
      <c r="A6847" s="41">
        <v>43751</v>
      </c>
      <c r="B6847" s="37">
        <v>255.66000000000003</v>
      </c>
      <c r="C6847" s="37">
        <f t="shared" si="218"/>
        <v>42.610000000000007</v>
      </c>
      <c r="D6847" s="37">
        <v>3.3820000000000001</v>
      </c>
      <c r="E6847" s="33">
        <f t="shared" si="219"/>
        <v>-2.2635029659693415E-3</v>
      </c>
    </row>
    <row r="6848" spans="1:5" x14ac:dyDescent="0.25">
      <c r="A6848" s="41">
        <v>43751</v>
      </c>
      <c r="B6848" s="37">
        <v>249.72000000000003</v>
      </c>
      <c r="C6848" s="37">
        <f t="shared" si="218"/>
        <v>41.620000000000005</v>
      </c>
      <c r="D6848" s="37">
        <v>3.3820000000000001</v>
      </c>
      <c r="E6848" s="33">
        <f t="shared" si="219"/>
        <v>-2.3233982633184689E-2</v>
      </c>
    </row>
    <row r="6849" spans="1:5" x14ac:dyDescent="0.25">
      <c r="A6849" s="41">
        <v>43751</v>
      </c>
      <c r="B6849" s="37">
        <v>253.95</v>
      </c>
      <c r="C6849" s="37">
        <f t="shared" si="218"/>
        <v>42.325000000000003</v>
      </c>
      <c r="D6849" s="37">
        <v>3.3820000000000001</v>
      </c>
      <c r="E6849" s="33">
        <f t="shared" si="219"/>
        <v>1.6938971648245878E-2</v>
      </c>
    </row>
    <row r="6850" spans="1:5" x14ac:dyDescent="0.25">
      <c r="A6850" s="41">
        <v>43751</v>
      </c>
      <c r="B6850" s="37">
        <v>259.88</v>
      </c>
      <c r="C6850" s="37">
        <f t="shared" si="218"/>
        <v>43.313333333333333</v>
      </c>
      <c r="D6850" s="37">
        <v>3.3820000000000001</v>
      </c>
      <c r="E6850" s="33">
        <f t="shared" si="219"/>
        <v>2.3351053356960059E-2</v>
      </c>
    </row>
    <row r="6851" spans="1:5" x14ac:dyDescent="0.25">
      <c r="A6851" s="41">
        <v>43751</v>
      </c>
      <c r="B6851" s="37">
        <v>263.3</v>
      </c>
      <c r="C6851" s="37">
        <f t="shared" ref="C6851:C6914" si="220">(B6851*100/600)</f>
        <v>43.883333333333333</v>
      </c>
      <c r="D6851" s="37">
        <v>3.3820000000000001</v>
      </c>
      <c r="E6851" s="33">
        <f t="shared" si="219"/>
        <v>1.3159919963059935E-2</v>
      </c>
    </row>
    <row r="6852" spans="1:5" x14ac:dyDescent="0.25">
      <c r="A6852" s="41">
        <v>43751</v>
      </c>
      <c r="B6852" s="37">
        <v>265.79000000000002</v>
      </c>
      <c r="C6852" s="37">
        <f t="shared" si="220"/>
        <v>44.298333333333339</v>
      </c>
      <c r="D6852" s="37">
        <v>3.3820000000000001</v>
      </c>
      <c r="E6852" s="33">
        <f t="shared" ref="E6852:E6915" si="221">(B6852-B6851)/B6851</f>
        <v>9.4568932776301143E-3</v>
      </c>
    </row>
    <row r="6853" spans="1:5" x14ac:dyDescent="0.25">
      <c r="A6853" s="41">
        <v>43751</v>
      </c>
      <c r="B6853" s="37">
        <v>266.18</v>
      </c>
      <c r="C6853" s="37">
        <f t="shared" si="220"/>
        <v>44.363333333333337</v>
      </c>
      <c r="D6853" s="37">
        <v>3.3820000000000001</v>
      </c>
      <c r="E6853" s="33">
        <f t="shared" si="221"/>
        <v>1.467323827081479E-3</v>
      </c>
    </row>
    <row r="6854" spans="1:5" x14ac:dyDescent="0.25">
      <c r="A6854" s="41">
        <v>43751</v>
      </c>
      <c r="B6854" s="37">
        <v>265.8</v>
      </c>
      <c r="C6854" s="37">
        <f t="shared" si="220"/>
        <v>44.3</v>
      </c>
      <c r="D6854" s="37">
        <v>3.3820000000000001</v>
      </c>
      <c r="E6854" s="33">
        <f t="shared" si="221"/>
        <v>-1.4276053798181511E-3</v>
      </c>
    </row>
    <row r="6855" spans="1:5" x14ac:dyDescent="0.25">
      <c r="A6855" s="41">
        <v>43751</v>
      </c>
      <c r="B6855" s="37">
        <v>265.45</v>
      </c>
      <c r="C6855" s="37">
        <f t="shared" si="220"/>
        <v>44.241666666666667</v>
      </c>
      <c r="D6855" s="37">
        <v>3.3820000000000001</v>
      </c>
      <c r="E6855" s="33">
        <f t="shared" si="221"/>
        <v>-1.316779533483908E-3</v>
      </c>
    </row>
    <row r="6856" spans="1:5" x14ac:dyDescent="0.25">
      <c r="A6856" s="41">
        <v>43751</v>
      </c>
      <c r="B6856" s="37">
        <v>266.08999999999997</v>
      </c>
      <c r="C6856" s="37">
        <f t="shared" si="220"/>
        <v>44.348333333333329</v>
      </c>
      <c r="D6856" s="37">
        <v>3.3820000000000001</v>
      </c>
      <c r="E6856" s="33">
        <f t="shared" si="221"/>
        <v>2.4110001883593385E-3</v>
      </c>
    </row>
    <row r="6857" spans="1:5" x14ac:dyDescent="0.25">
      <c r="A6857" s="41">
        <v>43751</v>
      </c>
      <c r="B6857" s="37">
        <v>267.39</v>
      </c>
      <c r="C6857" s="37">
        <f t="shared" si="220"/>
        <v>44.564999999999998</v>
      </c>
      <c r="D6857" s="37">
        <v>3.3820000000000001</v>
      </c>
      <c r="E6857" s="33">
        <f t="shared" si="221"/>
        <v>4.8855650343869045E-3</v>
      </c>
    </row>
    <row r="6858" spans="1:5" x14ac:dyDescent="0.25">
      <c r="A6858" s="41">
        <v>43751</v>
      </c>
      <c r="B6858" s="37">
        <v>269.5</v>
      </c>
      <c r="C6858" s="37">
        <f t="shared" si="220"/>
        <v>44.916666666666664</v>
      </c>
      <c r="D6858" s="37">
        <v>3.3820000000000001</v>
      </c>
      <c r="E6858" s="33">
        <f t="shared" si="221"/>
        <v>7.8910954037174682E-3</v>
      </c>
    </row>
    <row r="6859" spans="1:5" x14ac:dyDescent="0.25">
      <c r="A6859" s="41">
        <v>43751</v>
      </c>
      <c r="B6859" s="37">
        <v>271.12</v>
      </c>
      <c r="C6859" s="37">
        <f t="shared" si="220"/>
        <v>45.186666666666667</v>
      </c>
      <c r="D6859" s="37">
        <v>3.3820000000000001</v>
      </c>
      <c r="E6859" s="33">
        <f t="shared" si="221"/>
        <v>6.0111317254174564E-3</v>
      </c>
    </row>
    <row r="6860" spans="1:5" x14ac:dyDescent="0.25">
      <c r="A6860" s="41">
        <v>43751</v>
      </c>
      <c r="B6860" s="37">
        <v>277.52</v>
      </c>
      <c r="C6860" s="37">
        <f t="shared" si="220"/>
        <v>46.25333333333333</v>
      </c>
      <c r="D6860" s="37">
        <v>3.3820000000000001</v>
      </c>
      <c r="E6860" s="33">
        <f t="shared" si="221"/>
        <v>2.3605783416937066E-2</v>
      </c>
    </row>
    <row r="6861" spans="1:5" x14ac:dyDescent="0.25">
      <c r="A6861" s="41">
        <v>43751</v>
      </c>
      <c r="B6861" s="37">
        <v>277.55</v>
      </c>
      <c r="C6861" s="37">
        <f t="shared" si="220"/>
        <v>46.258333333333333</v>
      </c>
      <c r="D6861" s="37">
        <v>3.3820000000000001</v>
      </c>
      <c r="E6861" s="33">
        <f t="shared" si="221"/>
        <v>1.0810031709436999E-4</v>
      </c>
    </row>
    <row r="6862" spans="1:5" x14ac:dyDescent="0.25">
      <c r="A6862" s="41">
        <v>43751</v>
      </c>
      <c r="B6862" s="37">
        <v>276.27</v>
      </c>
      <c r="C6862" s="37">
        <f t="shared" si="220"/>
        <v>46.045000000000002</v>
      </c>
      <c r="D6862" s="37">
        <v>3.3820000000000001</v>
      </c>
      <c r="E6862" s="33">
        <f t="shared" si="221"/>
        <v>-4.6117816609620955E-3</v>
      </c>
    </row>
    <row r="6863" spans="1:5" x14ac:dyDescent="0.25">
      <c r="A6863" s="41">
        <v>43751</v>
      </c>
      <c r="B6863" s="37">
        <v>275.51</v>
      </c>
      <c r="C6863" s="37">
        <f t="shared" si="220"/>
        <v>45.918333333333337</v>
      </c>
      <c r="D6863" s="37">
        <v>3.3820000000000001</v>
      </c>
      <c r="E6863" s="33">
        <f t="shared" si="221"/>
        <v>-2.7509320592173994E-3</v>
      </c>
    </row>
    <row r="6864" spans="1:5" x14ac:dyDescent="0.25">
      <c r="A6864" s="41">
        <v>43751</v>
      </c>
      <c r="B6864" s="37">
        <v>274.23</v>
      </c>
      <c r="C6864" s="37">
        <f t="shared" si="220"/>
        <v>45.704999999999998</v>
      </c>
      <c r="D6864" s="37">
        <v>3.3820000000000001</v>
      </c>
      <c r="E6864" s="33">
        <f t="shared" si="221"/>
        <v>-4.6459293673549885E-3</v>
      </c>
    </row>
    <row r="6865" spans="1:5" x14ac:dyDescent="0.25">
      <c r="A6865" s="41">
        <v>43751</v>
      </c>
      <c r="B6865" s="37">
        <v>270.83</v>
      </c>
      <c r="C6865" s="37">
        <f t="shared" si="220"/>
        <v>45.138333333333335</v>
      </c>
      <c r="D6865" s="37">
        <v>3.3820000000000001</v>
      </c>
      <c r="E6865" s="33">
        <f t="shared" si="221"/>
        <v>-1.2398351748532377E-2</v>
      </c>
    </row>
    <row r="6866" spans="1:5" x14ac:dyDescent="0.25">
      <c r="A6866" s="41">
        <v>43752</v>
      </c>
      <c r="B6866" s="37">
        <v>266.22000000000003</v>
      </c>
      <c r="C6866" s="37">
        <f t="shared" si="220"/>
        <v>44.370000000000005</v>
      </c>
      <c r="D6866" s="37">
        <v>3.3090000000000002</v>
      </c>
      <c r="E6866" s="33">
        <f t="shared" si="221"/>
        <v>-1.7021747959974732E-2</v>
      </c>
    </row>
    <row r="6867" spans="1:5" x14ac:dyDescent="0.25">
      <c r="A6867" s="41">
        <v>43752</v>
      </c>
      <c r="B6867" s="37">
        <v>265.25</v>
      </c>
      <c r="C6867" s="37">
        <f t="shared" si="220"/>
        <v>44.208333333333336</v>
      </c>
      <c r="D6867" s="37">
        <v>3.3090000000000002</v>
      </c>
      <c r="E6867" s="33">
        <f t="shared" si="221"/>
        <v>-3.6436030350838673E-3</v>
      </c>
    </row>
    <row r="6868" spans="1:5" x14ac:dyDescent="0.25">
      <c r="A6868" s="41">
        <v>43752</v>
      </c>
      <c r="B6868" s="37">
        <v>264.43</v>
      </c>
      <c r="C6868" s="37">
        <f t="shared" si="220"/>
        <v>44.071666666666665</v>
      </c>
      <c r="D6868" s="37">
        <v>3.3090000000000002</v>
      </c>
      <c r="E6868" s="33">
        <f t="shared" si="221"/>
        <v>-3.0914231856738667E-3</v>
      </c>
    </row>
    <row r="6869" spans="1:5" x14ac:dyDescent="0.25">
      <c r="A6869" s="41">
        <v>43752</v>
      </c>
      <c r="B6869" s="37">
        <v>264.14</v>
      </c>
      <c r="C6869" s="37">
        <f t="shared" si="220"/>
        <v>44.023333333333333</v>
      </c>
      <c r="D6869" s="37">
        <v>3.3090000000000002</v>
      </c>
      <c r="E6869" s="33">
        <f t="shared" si="221"/>
        <v>-1.0966985591650737E-3</v>
      </c>
    </row>
    <row r="6870" spans="1:5" x14ac:dyDescent="0.25">
      <c r="A6870" s="41">
        <v>43752</v>
      </c>
      <c r="B6870" s="37">
        <v>264.39999999999998</v>
      </c>
      <c r="C6870" s="37">
        <f t="shared" si="220"/>
        <v>44.066666666666663</v>
      </c>
      <c r="D6870" s="37">
        <v>3.3090000000000002</v>
      </c>
      <c r="E6870" s="33">
        <f t="shared" si="221"/>
        <v>9.8432649352612599E-4</v>
      </c>
    </row>
    <row r="6871" spans="1:5" x14ac:dyDescent="0.25">
      <c r="A6871" s="41">
        <v>43752</v>
      </c>
      <c r="B6871" s="37">
        <v>265.42</v>
      </c>
      <c r="C6871" s="37">
        <f t="shared" si="220"/>
        <v>44.236666666666665</v>
      </c>
      <c r="D6871" s="37">
        <v>3.3090000000000002</v>
      </c>
      <c r="E6871" s="33">
        <f t="shared" si="221"/>
        <v>3.8577912254161829E-3</v>
      </c>
    </row>
    <row r="6872" spans="1:5" x14ac:dyDescent="0.25">
      <c r="A6872" s="41">
        <v>43752</v>
      </c>
      <c r="B6872" s="37">
        <v>268.54000000000002</v>
      </c>
      <c r="C6872" s="37">
        <f t="shared" si="220"/>
        <v>44.756666666666675</v>
      </c>
      <c r="D6872" s="37">
        <v>3.3090000000000002</v>
      </c>
      <c r="E6872" s="33">
        <f t="shared" si="221"/>
        <v>1.1754954411875535E-2</v>
      </c>
    </row>
    <row r="6873" spans="1:5" x14ac:dyDescent="0.25">
      <c r="A6873" s="41">
        <v>43752</v>
      </c>
      <c r="B6873" s="37">
        <v>273.98</v>
      </c>
      <c r="C6873" s="37">
        <f t="shared" si="220"/>
        <v>45.663333333333334</v>
      </c>
      <c r="D6873" s="37">
        <v>3.3090000000000002</v>
      </c>
      <c r="E6873" s="33">
        <f t="shared" si="221"/>
        <v>2.0257689729649205E-2</v>
      </c>
    </row>
    <row r="6874" spans="1:5" x14ac:dyDescent="0.25">
      <c r="A6874" s="41">
        <v>43752</v>
      </c>
      <c r="B6874" s="37">
        <v>279.02</v>
      </c>
      <c r="C6874" s="37">
        <f t="shared" si="220"/>
        <v>46.50333333333333</v>
      </c>
      <c r="D6874" s="37">
        <v>3.3090000000000002</v>
      </c>
      <c r="E6874" s="33">
        <f t="shared" si="221"/>
        <v>1.8395503321410187E-2</v>
      </c>
    </row>
    <row r="6875" spans="1:5" x14ac:dyDescent="0.25">
      <c r="A6875" s="41">
        <v>43752</v>
      </c>
      <c r="B6875" s="37">
        <v>282.89</v>
      </c>
      <c r="C6875" s="37">
        <f t="shared" si="220"/>
        <v>47.148333333333333</v>
      </c>
      <c r="D6875" s="37">
        <v>3.3090000000000002</v>
      </c>
      <c r="E6875" s="33">
        <f t="shared" si="221"/>
        <v>1.3869973478603701E-2</v>
      </c>
    </row>
    <row r="6876" spans="1:5" x14ac:dyDescent="0.25">
      <c r="A6876" s="41">
        <v>43752</v>
      </c>
      <c r="B6876" s="37">
        <v>284.87</v>
      </c>
      <c r="C6876" s="37">
        <f t="shared" si="220"/>
        <v>47.478333333333332</v>
      </c>
      <c r="D6876" s="37">
        <v>3.3090000000000002</v>
      </c>
      <c r="E6876" s="33">
        <f t="shared" si="221"/>
        <v>6.9991869631306101E-3</v>
      </c>
    </row>
    <row r="6877" spans="1:5" x14ac:dyDescent="0.25">
      <c r="A6877" s="41">
        <v>43752</v>
      </c>
      <c r="B6877" s="37">
        <v>285.88</v>
      </c>
      <c r="C6877" s="37">
        <f t="shared" si="220"/>
        <v>47.646666666666668</v>
      </c>
      <c r="D6877" s="37">
        <v>3.3090000000000002</v>
      </c>
      <c r="E6877" s="33">
        <f t="shared" si="221"/>
        <v>3.5454768841927577E-3</v>
      </c>
    </row>
    <row r="6878" spans="1:5" x14ac:dyDescent="0.25">
      <c r="A6878" s="41">
        <v>43752</v>
      </c>
      <c r="B6878" s="37">
        <v>284.93</v>
      </c>
      <c r="C6878" s="37">
        <f t="shared" si="220"/>
        <v>47.488333333333337</v>
      </c>
      <c r="D6878" s="37">
        <v>3.3090000000000002</v>
      </c>
      <c r="E6878" s="33">
        <f t="shared" si="221"/>
        <v>-3.323072617881589E-3</v>
      </c>
    </row>
    <row r="6879" spans="1:5" x14ac:dyDescent="0.25">
      <c r="A6879" s="41">
        <v>43752</v>
      </c>
      <c r="B6879" s="37">
        <v>286.22000000000003</v>
      </c>
      <c r="C6879" s="37">
        <f t="shared" si="220"/>
        <v>47.70333333333334</v>
      </c>
      <c r="D6879" s="37">
        <v>3.3090000000000002</v>
      </c>
      <c r="E6879" s="33">
        <f t="shared" si="221"/>
        <v>4.5274277892816493E-3</v>
      </c>
    </row>
    <row r="6880" spans="1:5" x14ac:dyDescent="0.25">
      <c r="A6880" s="41">
        <v>43752</v>
      </c>
      <c r="B6880" s="37">
        <v>287.43</v>
      </c>
      <c r="C6880" s="37">
        <f t="shared" si="220"/>
        <v>47.905000000000001</v>
      </c>
      <c r="D6880" s="37">
        <v>3.3090000000000002</v>
      </c>
      <c r="E6880" s="33">
        <f t="shared" si="221"/>
        <v>4.2275172943888597E-3</v>
      </c>
    </row>
    <row r="6881" spans="1:5" x14ac:dyDescent="0.25">
      <c r="A6881" s="41">
        <v>43752</v>
      </c>
      <c r="B6881" s="37">
        <v>286.69</v>
      </c>
      <c r="C6881" s="37">
        <f t="shared" si="220"/>
        <v>47.781666666666666</v>
      </c>
      <c r="D6881" s="37">
        <v>3.3090000000000002</v>
      </c>
      <c r="E6881" s="33">
        <f t="shared" si="221"/>
        <v>-2.5745398879727555E-3</v>
      </c>
    </row>
    <row r="6882" spans="1:5" x14ac:dyDescent="0.25">
      <c r="A6882" s="41">
        <v>43752</v>
      </c>
      <c r="B6882" s="37">
        <v>286.60000000000002</v>
      </c>
      <c r="C6882" s="37">
        <f t="shared" si="220"/>
        <v>47.766666666666673</v>
      </c>
      <c r="D6882" s="37">
        <v>3.3090000000000002</v>
      </c>
      <c r="E6882" s="33">
        <f t="shared" si="221"/>
        <v>-3.1392793609813735E-4</v>
      </c>
    </row>
    <row r="6883" spans="1:5" x14ac:dyDescent="0.25">
      <c r="A6883" s="41">
        <v>43752</v>
      </c>
      <c r="B6883" s="37">
        <v>285.48</v>
      </c>
      <c r="C6883" s="37">
        <f t="shared" si="220"/>
        <v>47.58</v>
      </c>
      <c r="D6883" s="37">
        <v>3.3090000000000002</v>
      </c>
      <c r="E6883" s="33">
        <f t="shared" si="221"/>
        <v>-3.9078855547801973E-3</v>
      </c>
    </row>
    <row r="6884" spans="1:5" x14ac:dyDescent="0.25">
      <c r="A6884" s="41">
        <v>43752</v>
      </c>
      <c r="B6884" s="37">
        <v>285.82</v>
      </c>
      <c r="C6884" s="37">
        <f t="shared" si="220"/>
        <v>47.636666666666663</v>
      </c>
      <c r="D6884" s="37">
        <v>3.3090000000000002</v>
      </c>
      <c r="E6884" s="33">
        <f t="shared" si="221"/>
        <v>1.1909766008125788E-3</v>
      </c>
    </row>
    <row r="6885" spans="1:5" x14ac:dyDescent="0.25">
      <c r="A6885" s="41">
        <v>43752</v>
      </c>
      <c r="B6885" s="37">
        <v>285.94</v>
      </c>
      <c r="C6885" s="37">
        <f t="shared" si="220"/>
        <v>47.656666666666666</v>
      </c>
      <c r="D6885" s="37">
        <v>3.3090000000000002</v>
      </c>
      <c r="E6885" s="33">
        <f t="shared" si="221"/>
        <v>4.1984465747674953E-4</v>
      </c>
    </row>
    <row r="6886" spans="1:5" x14ac:dyDescent="0.25">
      <c r="A6886" s="41">
        <v>43752</v>
      </c>
      <c r="B6886" s="37">
        <v>285.68</v>
      </c>
      <c r="C6886" s="37">
        <f t="shared" si="220"/>
        <v>47.613333333333337</v>
      </c>
      <c r="D6886" s="37">
        <v>3.3090000000000002</v>
      </c>
      <c r="E6886" s="33">
        <f t="shared" si="221"/>
        <v>-9.0928166748265688E-4</v>
      </c>
    </row>
    <row r="6887" spans="1:5" x14ac:dyDescent="0.25">
      <c r="A6887" s="41">
        <v>43752</v>
      </c>
      <c r="B6887" s="37">
        <v>285.8</v>
      </c>
      <c r="C6887" s="37">
        <f t="shared" si="220"/>
        <v>47.633333333333333</v>
      </c>
      <c r="D6887" s="37">
        <v>3.3090000000000002</v>
      </c>
      <c r="E6887" s="33">
        <f t="shared" si="221"/>
        <v>4.2005040604874177E-4</v>
      </c>
    </row>
    <row r="6888" spans="1:5" x14ac:dyDescent="0.25">
      <c r="A6888" s="41">
        <v>43752</v>
      </c>
      <c r="B6888" s="37">
        <v>283.33</v>
      </c>
      <c r="C6888" s="37">
        <f t="shared" si="220"/>
        <v>47.221666666666664</v>
      </c>
      <c r="D6888" s="37">
        <v>3.3090000000000002</v>
      </c>
      <c r="E6888" s="33">
        <f t="shared" si="221"/>
        <v>-8.64240727781675E-3</v>
      </c>
    </row>
    <row r="6889" spans="1:5" x14ac:dyDescent="0.25">
      <c r="A6889" s="41">
        <v>43752</v>
      </c>
      <c r="B6889" s="37">
        <v>278.77</v>
      </c>
      <c r="C6889" s="37">
        <f t="shared" si="220"/>
        <v>46.461666666666666</v>
      </c>
      <c r="D6889" s="37">
        <v>3.3090000000000002</v>
      </c>
      <c r="E6889" s="33">
        <f t="shared" si="221"/>
        <v>-1.6094306991846972E-2</v>
      </c>
    </row>
    <row r="6890" spans="1:5" x14ac:dyDescent="0.25">
      <c r="A6890" s="41">
        <v>43753</v>
      </c>
      <c r="B6890" s="37">
        <v>273.36</v>
      </c>
      <c r="C6890" s="37">
        <f t="shared" si="220"/>
        <v>45.56</v>
      </c>
      <c r="D6890" s="37">
        <v>3.4609999999999999</v>
      </c>
      <c r="E6890" s="33">
        <f t="shared" si="221"/>
        <v>-1.9406679341392431E-2</v>
      </c>
    </row>
    <row r="6891" spans="1:5" x14ac:dyDescent="0.25">
      <c r="A6891" s="41">
        <v>43753</v>
      </c>
      <c r="B6891" s="37">
        <v>271.25</v>
      </c>
      <c r="C6891" s="37">
        <f t="shared" si="220"/>
        <v>45.208333333333336</v>
      </c>
      <c r="D6891" s="37">
        <v>3.4609999999999999</v>
      </c>
      <c r="E6891" s="33">
        <f t="shared" si="221"/>
        <v>-7.7187591454492737E-3</v>
      </c>
    </row>
    <row r="6892" spans="1:5" x14ac:dyDescent="0.25">
      <c r="A6892" s="41">
        <v>43753</v>
      </c>
      <c r="B6892" s="37">
        <v>269.61</v>
      </c>
      <c r="C6892" s="37">
        <f t="shared" si="220"/>
        <v>44.935000000000002</v>
      </c>
      <c r="D6892" s="37">
        <v>3.4609999999999999</v>
      </c>
      <c r="E6892" s="33">
        <f t="shared" si="221"/>
        <v>-6.0460829493087058E-3</v>
      </c>
    </row>
    <row r="6893" spans="1:5" x14ac:dyDescent="0.25">
      <c r="A6893" s="41">
        <v>43753</v>
      </c>
      <c r="B6893" s="37">
        <v>269.11</v>
      </c>
      <c r="C6893" s="37">
        <f t="shared" si="220"/>
        <v>44.851666666666667</v>
      </c>
      <c r="D6893" s="37">
        <v>3.4609999999999999</v>
      </c>
      <c r="E6893" s="33">
        <f t="shared" si="221"/>
        <v>-1.8545306183005081E-3</v>
      </c>
    </row>
    <row r="6894" spans="1:5" x14ac:dyDescent="0.25">
      <c r="A6894" s="41">
        <v>43753</v>
      </c>
      <c r="B6894" s="37">
        <v>269.08</v>
      </c>
      <c r="C6894" s="37">
        <f t="shared" si="220"/>
        <v>44.846666666666664</v>
      </c>
      <c r="D6894" s="37">
        <v>3.4609999999999999</v>
      </c>
      <c r="E6894" s="33">
        <f t="shared" si="221"/>
        <v>-1.114785775334605E-4</v>
      </c>
    </row>
    <row r="6895" spans="1:5" x14ac:dyDescent="0.25">
      <c r="A6895" s="41">
        <v>43753</v>
      </c>
      <c r="B6895" s="37">
        <v>270.70999999999998</v>
      </c>
      <c r="C6895" s="37">
        <f t="shared" si="220"/>
        <v>45.118333333333325</v>
      </c>
      <c r="D6895" s="37">
        <v>3.4609999999999999</v>
      </c>
      <c r="E6895" s="33">
        <f t="shared" si="221"/>
        <v>6.0576780139735232E-3</v>
      </c>
    </row>
    <row r="6896" spans="1:5" x14ac:dyDescent="0.25">
      <c r="A6896" s="41">
        <v>43753</v>
      </c>
      <c r="B6896" s="37">
        <v>273.49</v>
      </c>
      <c r="C6896" s="37">
        <f t="shared" si="220"/>
        <v>45.581666666666663</v>
      </c>
      <c r="D6896" s="37">
        <v>3.4609999999999999</v>
      </c>
      <c r="E6896" s="33">
        <f t="shared" si="221"/>
        <v>1.0269291862140408E-2</v>
      </c>
    </row>
    <row r="6897" spans="1:5" x14ac:dyDescent="0.25">
      <c r="A6897" s="41">
        <v>43753</v>
      </c>
      <c r="B6897" s="37">
        <v>276.02</v>
      </c>
      <c r="C6897" s="37">
        <f t="shared" si="220"/>
        <v>46.00333333333333</v>
      </c>
      <c r="D6897" s="37">
        <v>3.4609999999999999</v>
      </c>
      <c r="E6897" s="33">
        <f t="shared" si="221"/>
        <v>9.2507952758783592E-3</v>
      </c>
    </row>
    <row r="6898" spans="1:5" x14ac:dyDescent="0.25">
      <c r="A6898" s="41">
        <v>43753</v>
      </c>
      <c r="B6898" s="37">
        <v>281.37</v>
      </c>
      <c r="C6898" s="37">
        <f t="shared" si="220"/>
        <v>46.895000000000003</v>
      </c>
      <c r="D6898" s="37">
        <v>3.4609999999999999</v>
      </c>
      <c r="E6898" s="33">
        <f t="shared" si="221"/>
        <v>1.9382653430910887E-2</v>
      </c>
    </row>
    <row r="6899" spans="1:5" x14ac:dyDescent="0.25">
      <c r="A6899" s="41">
        <v>43753</v>
      </c>
      <c r="B6899" s="37">
        <v>285.70999999999998</v>
      </c>
      <c r="C6899" s="37">
        <f t="shared" si="220"/>
        <v>47.618333333333325</v>
      </c>
      <c r="D6899" s="37">
        <v>3.4609999999999999</v>
      </c>
      <c r="E6899" s="33">
        <f t="shared" si="221"/>
        <v>1.5424529978320271E-2</v>
      </c>
    </row>
    <row r="6900" spans="1:5" x14ac:dyDescent="0.25">
      <c r="A6900" s="41">
        <v>43753</v>
      </c>
      <c r="B6900" s="37">
        <v>286.88</v>
      </c>
      <c r="C6900" s="37">
        <f t="shared" si="220"/>
        <v>47.813333333333333</v>
      </c>
      <c r="D6900" s="37">
        <v>3.4609999999999999</v>
      </c>
      <c r="E6900" s="33">
        <f t="shared" si="221"/>
        <v>4.0950614259214445E-3</v>
      </c>
    </row>
    <row r="6901" spans="1:5" x14ac:dyDescent="0.25">
      <c r="A6901" s="41">
        <v>43753</v>
      </c>
      <c r="B6901" s="37">
        <v>287.01</v>
      </c>
      <c r="C6901" s="37">
        <f t="shared" si="220"/>
        <v>47.835000000000001</v>
      </c>
      <c r="D6901" s="37">
        <v>3.4609999999999999</v>
      </c>
      <c r="E6901" s="33">
        <f t="shared" si="221"/>
        <v>4.5315114333517657E-4</v>
      </c>
    </row>
    <row r="6902" spans="1:5" x14ac:dyDescent="0.25">
      <c r="A6902" s="41">
        <v>43753</v>
      </c>
      <c r="B6902" s="37">
        <v>286.22000000000003</v>
      </c>
      <c r="C6902" s="37">
        <f t="shared" si="220"/>
        <v>47.70333333333334</v>
      </c>
      <c r="D6902" s="37">
        <v>3.4609999999999999</v>
      </c>
      <c r="E6902" s="33">
        <f t="shared" si="221"/>
        <v>-2.7525173338906785E-3</v>
      </c>
    </row>
    <row r="6903" spans="1:5" x14ac:dyDescent="0.25">
      <c r="A6903" s="41">
        <v>43753</v>
      </c>
      <c r="B6903" s="37">
        <v>287</v>
      </c>
      <c r="C6903" s="37">
        <f t="shared" si="220"/>
        <v>47.833333333333336</v>
      </c>
      <c r="D6903" s="37">
        <v>3.4609999999999999</v>
      </c>
      <c r="E6903" s="33">
        <f t="shared" si="221"/>
        <v>2.7251764377051661E-3</v>
      </c>
    </row>
    <row r="6904" spans="1:5" x14ac:dyDescent="0.25">
      <c r="A6904" s="41">
        <v>43753</v>
      </c>
      <c r="B6904" s="37">
        <v>288.69</v>
      </c>
      <c r="C6904" s="37">
        <f t="shared" si="220"/>
        <v>48.115000000000002</v>
      </c>
      <c r="D6904" s="37">
        <v>3.4609999999999999</v>
      </c>
      <c r="E6904" s="33">
        <f t="shared" si="221"/>
        <v>5.8885017421602707E-3</v>
      </c>
    </row>
    <row r="6905" spans="1:5" x14ac:dyDescent="0.25">
      <c r="A6905" s="41">
        <v>43753</v>
      </c>
      <c r="B6905" s="37">
        <v>288.85000000000002</v>
      </c>
      <c r="C6905" s="37">
        <f t="shared" si="220"/>
        <v>48.141666666666673</v>
      </c>
      <c r="D6905" s="37">
        <v>3.4609999999999999</v>
      </c>
      <c r="E6905" s="33">
        <f t="shared" si="221"/>
        <v>5.5422771831384885E-4</v>
      </c>
    </row>
    <row r="6906" spans="1:5" x14ac:dyDescent="0.25">
      <c r="A6906" s="41">
        <v>43753</v>
      </c>
      <c r="B6906" s="37">
        <v>288.05</v>
      </c>
      <c r="C6906" s="37">
        <f t="shared" si="220"/>
        <v>48.008333333333333</v>
      </c>
      <c r="D6906" s="37">
        <v>3.4609999999999999</v>
      </c>
      <c r="E6906" s="33">
        <f t="shared" si="221"/>
        <v>-2.7696036004847199E-3</v>
      </c>
    </row>
    <row r="6907" spans="1:5" x14ac:dyDescent="0.25">
      <c r="A6907" s="41">
        <v>43753</v>
      </c>
      <c r="B6907" s="37">
        <v>286.44</v>
      </c>
      <c r="C6907" s="37">
        <f t="shared" si="220"/>
        <v>47.74</v>
      </c>
      <c r="D6907" s="37">
        <v>3.4609999999999999</v>
      </c>
      <c r="E6907" s="33">
        <f t="shared" si="221"/>
        <v>-5.5893074119077023E-3</v>
      </c>
    </row>
    <row r="6908" spans="1:5" x14ac:dyDescent="0.25">
      <c r="A6908" s="41">
        <v>43753</v>
      </c>
      <c r="B6908" s="37">
        <v>286.89</v>
      </c>
      <c r="C6908" s="37">
        <f t="shared" si="220"/>
        <v>47.814999999999998</v>
      </c>
      <c r="D6908" s="37">
        <v>3.4609999999999999</v>
      </c>
      <c r="E6908" s="33">
        <f t="shared" si="221"/>
        <v>1.5710096355257249E-3</v>
      </c>
    </row>
    <row r="6909" spans="1:5" x14ac:dyDescent="0.25">
      <c r="A6909" s="41">
        <v>43753</v>
      </c>
      <c r="B6909" s="37">
        <v>286.8</v>
      </c>
      <c r="C6909" s="37">
        <f t="shared" si="220"/>
        <v>47.8</v>
      </c>
      <c r="D6909" s="37">
        <v>3.4609999999999999</v>
      </c>
      <c r="E6909" s="33">
        <f t="shared" si="221"/>
        <v>-3.1370908710646935E-4</v>
      </c>
    </row>
    <row r="6910" spans="1:5" x14ac:dyDescent="0.25">
      <c r="A6910" s="41">
        <v>43753</v>
      </c>
      <c r="B6910" s="37">
        <v>285.93</v>
      </c>
      <c r="C6910" s="37">
        <f t="shared" si="220"/>
        <v>47.655000000000001</v>
      </c>
      <c r="D6910" s="37">
        <v>3.4609999999999999</v>
      </c>
      <c r="E6910" s="33">
        <f t="shared" si="221"/>
        <v>-3.033472803347296E-3</v>
      </c>
    </row>
    <row r="6911" spans="1:5" x14ac:dyDescent="0.25">
      <c r="A6911" s="41">
        <v>43753</v>
      </c>
      <c r="B6911" s="37">
        <v>285.49</v>
      </c>
      <c r="C6911" s="37">
        <f t="shared" si="220"/>
        <v>47.581666666666663</v>
      </c>
      <c r="D6911" s="37">
        <v>3.4609999999999999</v>
      </c>
      <c r="E6911" s="33">
        <f t="shared" si="221"/>
        <v>-1.5388381771762241E-3</v>
      </c>
    </row>
    <row r="6912" spans="1:5" x14ac:dyDescent="0.25">
      <c r="A6912" s="41">
        <v>43753</v>
      </c>
      <c r="B6912" s="37">
        <v>282.83999999999997</v>
      </c>
      <c r="C6912" s="37">
        <f t="shared" si="220"/>
        <v>47.139999999999993</v>
      </c>
      <c r="D6912" s="37">
        <v>3.4609999999999999</v>
      </c>
      <c r="E6912" s="33">
        <f t="shared" si="221"/>
        <v>-9.2822865949771759E-3</v>
      </c>
    </row>
    <row r="6913" spans="1:5" x14ac:dyDescent="0.25">
      <c r="A6913" s="41">
        <v>43753</v>
      </c>
      <c r="B6913" s="37">
        <v>277.48</v>
      </c>
      <c r="C6913" s="37">
        <f t="shared" si="220"/>
        <v>46.24666666666667</v>
      </c>
      <c r="D6913" s="37">
        <v>3.4609999999999999</v>
      </c>
      <c r="E6913" s="33">
        <f t="shared" si="221"/>
        <v>-1.8950643473341668E-2</v>
      </c>
    </row>
    <row r="6914" spans="1:5" x14ac:dyDescent="0.25">
      <c r="A6914" s="41">
        <v>43754</v>
      </c>
      <c r="B6914" s="37">
        <v>272.08</v>
      </c>
      <c r="C6914" s="37">
        <f t="shared" si="220"/>
        <v>45.346666666666664</v>
      </c>
      <c r="D6914" s="37">
        <v>4.1639999999999997</v>
      </c>
      <c r="E6914" s="33">
        <f t="shared" si="221"/>
        <v>-1.9460862044111408E-2</v>
      </c>
    </row>
    <row r="6915" spans="1:5" x14ac:dyDescent="0.25">
      <c r="A6915" s="41">
        <v>43754</v>
      </c>
      <c r="B6915" s="37">
        <v>269.66000000000003</v>
      </c>
      <c r="C6915" s="37">
        <f t="shared" ref="C6915:C6978" si="222">(B6915*100/600)</f>
        <v>44.943333333333342</v>
      </c>
      <c r="D6915" s="37">
        <v>4.1639999999999997</v>
      </c>
      <c r="E6915" s="33">
        <f t="shared" si="221"/>
        <v>-8.8944428109378089E-3</v>
      </c>
    </row>
    <row r="6916" spans="1:5" x14ac:dyDescent="0.25">
      <c r="A6916" s="41">
        <v>43754</v>
      </c>
      <c r="B6916" s="37">
        <v>267.36</v>
      </c>
      <c r="C6916" s="37">
        <f t="shared" si="222"/>
        <v>44.56</v>
      </c>
      <c r="D6916" s="37">
        <v>4.1639999999999997</v>
      </c>
      <c r="E6916" s="33">
        <f t="shared" ref="E6916:E6979" si="223">(B6916-B6915)/B6915</f>
        <v>-8.5292590669732663E-3</v>
      </c>
    </row>
    <row r="6917" spans="1:5" x14ac:dyDescent="0.25">
      <c r="A6917" s="41">
        <v>43754</v>
      </c>
      <c r="B6917" s="37">
        <v>267.25</v>
      </c>
      <c r="C6917" s="37">
        <f t="shared" si="222"/>
        <v>44.541666666666664</v>
      </c>
      <c r="D6917" s="37">
        <v>4.1639999999999997</v>
      </c>
      <c r="E6917" s="33">
        <f t="shared" si="223"/>
        <v>-4.1143028126875239E-4</v>
      </c>
    </row>
    <row r="6918" spans="1:5" x14ac:dyDescent="0.25">
      <c r="A6918" s="41">
        <v>43754</v>
      </c>
      <c r="B6918" s="37">
        <v>267.25</v>
      </c>
      <c r="C6918" s="37">
        <f t="shared" si="222"/>
        <v>44.541666666666664</v>
      </c>
      <c r="D6918" s="37">
        <v>4.1639999999999997</v>
      </c>
      <c r="E6918" s="33">
        <f t="shared" si="223"/>
        <v>0</v>
      </c>
    </row>
    <row r="6919" spans="1:5" x14ac:dyDescent="0.25">
      <c r="A6919" s="41">
        <v>43754</v>
      </c>
      <c r="B6919" s="37">
        <v>269.64999999999998</v>
      </c>
      <c r="C6919" s="37">
        <f t="shared" si="222"/>
        <v>44.941666666666663</v>
      </c>
      <c r="D6919" s="37">
        <v>4.1639999999999997</v>
      </c>
      <c r="E6919" s="33">
        <f t="shared" si="223"/>
        <v>8.9803554724040315E-3</v>
      </c>
    </row>
    <row r="6920" spans="1:5" x14ac:dyDescent="0.25">
      <c r="A6920" s="41">
        <v>43754</v>
      </c>
      <c r="B6920" s="37">
        <v>273.39</v>
      </c>
      <c r="C6920" s="37">
        <f t="shared" si="222"/>
        <v>45.564999999999998</v>
      </c>
      <c r="D6920" s="37">
        <v>4.1639999999999997</v>
      </c>
      <c r="E6920" s="33">
        <f t="shared" si="223"/>
        <v>1.3869831262748041E-2</v>
      </c>
    </row>
    <row r="6921" spans="1:5" x14ac:dyDescent="0.25">
      <c r="A6921" s="41">
        <v>43754</v>
      </c>
      <c r="B6921" s="37">
        <v>275.8</v>
      </c>
      <c r="C6921" s="37">
        <f t="shared" si="222"/>
        <v>45.966666666666669</v>
      </c>
      <c r="D6921" s="37">
        <v>4.1639999999999997</v>
      </c>
      <c r="E6921" s="33">
        <f t="shared" si="223"/>
        <v>8.8152456198106188E-3</v>
      </c>
    </row>
    <row r="6922" spans="1:5" x14ac:dyDescent="0.25">
      <c r="A6922" s="41">
        <v>43754</v>
      </c>
      <c r="B6922" s="37">
        <v>283.56</v>
      </c>
      <c r="C6922" s="37">
        <f t="shared" si="222"/>
        <v>47.26</v>
      </c>
      <c r="D6922" s="37">
        <v>4.1639999999999997</v>
      </c>
      <c r="E6922" s="33">
        <f t="shared" si="223"/>
        <v>2.8136330674401706E-2</v>
      </c>
    </row>
    <row r="6923" spans="1:5" x14ac:dyDescent="0.25">
      <c r="A6923" s="41">
        <v>43754</v>
      </c>
      <c r="B6923" s="37">
        <v>286.98</v>
      </c>
      <c r="C6923" s="37">
        <f t="shared" si="222"/>
        <v>47.83</v>
      </c>
      <c r="D6923" s="37">
        <v>4.1639999999999997</v>
      </c>
      <c r="E6923" s="33">
        <f t="shared" si="223"/>
        <v>1.2060939483707208E-2</v>
      </c>
    </row>
    <row r="6924" spans="1:5" x14ac:dyDescent="0.25">
      <c r="A6924" s="41">
        <v>43754</v>
      </c>
      <c r="B6924" s="37">
        <v>288.82</v>
      </c>
      <c r="C6924" s="37">
        <f t="shared" si="222"/>
        <v>48.136666666666663</v>
      </c>
      <c r="D6924" s="37">
        <v>4.1639999999999997</v>
      </c>
      <c r="E6924" s="33">
        <f t="shared" si="223"/>
        <v>6.4115966269425563E-3</v>
      </c>
    </row>
    <row r="6925" spans="1:5" x14ac:dyDescent="0.25">
      <c r="A6925" s="41">
        <v>43754</v>
      </c>
      <c r="B6925" s="37">
        <v>289.77</v>
      </c>
      <c r="C6925" s="37">
        <f t="shared" si="222"/>
        <v>48.295000000000002</v>
      </c>
      <c r="D6925" s="37">
        <v>4.1639999999999997</v>
      </c>
      <c r="E6925" s="33">
        <f t="shared" si="223"/>
        <v>3.2892458970984998E-3</v>
      </c>
    </row>
    <row r="6926" spans="1:5" x14ac:dyDescent="0.25">
      <c r="A6926" s="41">
        <v>43754</v>
      </c>
      <c r="B6926" s="37">
        <v>287.47000000000003</v>
      </c>
      <c r="C6926" s="37">
        <f t="shared" si="222"/>
        <v>47.911666666666676</v>
      </c>
      <c r="D6926" s="37">
        <v>4.1639999999999997</v>
      </c>
      <c r="E6926" s="33">
        <f t="shared" si="223"/>
        <v>-7.937329606239274E-3</v>
      </c>
    </row>
    <row r="6927" spans="1:5" x14ac:dyDescent="0.25">
      <c r="A6927" s="41">
        <v>43754</v>
      </c>
      <c r="B6927" s="37">
        <v>291.48</v>
      </c>
      <c r="C6927" s="37">
        <f t="shared" si="222"/>
        <v>48.58</v>
      </c>
      <c r="D6927" s="37">
        <v>4.1639999999999997</v>
      </c>
      <c r="E6927" s="33">
        <f t="shared" si="223"/>
        <v>1.394928166417362E-2</v>
      </c>
    </row>
    <row r="6928" spans="1:5" x14ac:dyDescent="0.25">
      <c r="A6928" s="41">
        <v>43754</v>
      </c>
      <c r="B6928" s="37">
        <v>294.63</v>
      </c>
      <c r="C6928" s="37">
        <f t="shared" si="222"/>
        <v>49.104999999999997</v>
      </c>
      <c r="D6928" s="37">
        <v>4.1639999999999997</v>
      </c>
      <c r="E6928" s="33">
        <f t="shared" si="223"/>
        <v>1.0806916426512889E-2</v>
      </c>
    </row>
    <row r="6929" spans="1:5" x14ac:dyDescent="0.25">
      <c r="A6929" s="41">
        <v>43754</v>
      </c>
      <c r="B6929" s="37">
        <v>294.56</v>
      </c>
      <c r="C6929" s="37">
        <f t="shared" si="222"/>
        <v>49.093333333333334</v>
      </c>
      <c r="D6929" s="37">
        <v>4.1639999999999997</v>
      </c>
      <c r="E6929" s="33">
        <f t="shared" si="223"/>
        <v>-2.3758612497027859E-4</v>
      </c>
    </row>
    <row r="6930" spans="1:5" x14ac:dyDescent="0.25">
      <c r="A6930" s="41">
        <v>43754</v>
      </c>
      <c r="B6930" s="37">
        <v>292.89</v>
      </c>
      <c r="C6930" s="37">
        <f t="shared" si="222"/>
        <v>48.814999999999998</v>
      </c>
      <c r="D6930" s="37">
        <v>4.1639999999999997</v>
      </c>
      <c r="E6930" s="33">
        <f t="shared" si="223"/>
        <v>-5.6694731124389457E-3</v>
      </c>
    </row>
    <row r="6931" spans="1:5" x14ac:dyDescent="0.25">
      <c r="A6931" s="41">
        <v>43754</v>
      </c>
      <c r="B6931" s="37">
        <v>287.70999999999998</v>
      </c>
      <c r="C6931" s="37">
        <f t="shared" si="222"/>
        <v>47.951666666666661</v>
      </c>
      <c r="D6931" s="37">
        <v>4.1639999999999997</v>
      </c>
      <c r="E6931" s="33">
        <f t="shared" si="223"/>
        <v>-1.7685820615248069E-2</v>
      </c>
    </row>
    <row r="6932" spans="1:5" x14ac:dyDescent="0.25">
      <c r="A6932" s="41">
        <v>43754</v>
      </c>
      <c r="B6932" s="37">
        <v>288.93</v>
      </c>
      <c r="C6932" s="37">
        <f t="shared" si="222"/>
        <v>48.155000000000001</v>
      </c>
      <c r="D6932" s="37">
        <v>4.1639999999999997</v>
      </c>
      <c r="E6932" s="33">
        <f t="shared" si="223"/>
        <v>4.2403809391402016E-3</v>
      </c>
    </row>
    <row r="6933" spans="1:5" x14ac:dyDescent="0.25">
      <c r="A6933" s="41">
        <v>43754</v>
      </c>
      <c r="B6933" s="37">
        <v>288.64</v>
      </c>
      <c r="C6933" s="37">
        <f t="shared" si="222"/>
        <v>48.106666666666669</v>
      </c>
      <c r="D6933" s="37">
        <v>4.1639999999999997</v>
      </c>
      <c r="E6933" s="33">
        <f t="shared" si="223"/>
        <v>-1.0037033191431159E-3</v>
      </c>
    </row>
    <row r="6934" spans="1:5" x14ac:dyDescent="0.25">
      <c r="A6934" s="41">
        <v>43754</v>
      </c>
      <c r="B6934" s="37">
        <v>287.66000000000003</v>
      </c>
      <c r="C6934" s="37">
        <f t="shared" si="222"/>
        <v>47.943333333333342</v>
      </c>
      <c r="D6934" s="37">
        <v>4.1639999999999997</v>
      </c>
      <c r="E6934" s="33">
        <f t="shared" si="223"/>
        <v>-3.3952328159643896E-3</v>
      </c>
    </row>
    <row r="6935" spans="1:5" x14ac:dyDescent="0.25">
      <c r="A6935" s="41">
        <v>43754</v>
      </c>
      <c r="B6935" s="37">
        <v>287.64</v>
      </c>
      <c r="C6935" s="37">
        <f t="shared" si="222"/>
        <v>47.94</v>
      </c>
      <c r="D6935" s="37">
        <v>4.1639999999999997</v>
      </c>
      <c r="E6935" s="33">
        <f t="shared" si="223"/>
        <v>-6.9526524369181158E-5</v>
      </c>
    </row>
    <row r="6936" spans="1:5" x14ac:dyDescent="0.25">
      <c r="A6936" s="41">
        <v>43754</v>
      </c>
      <c r="B6936" s="37">
        <v>285.26</v>
      </c>
      <c r="C6936" s="37">
        <f t="shared" si="222"/>
        <v>47.543333333333337</v>
      </c>
      <c r="D6936" s="37">
        <v>4.1639999999999997</v>
      </c>
      <c r="E6936" s="33">
        <f t="shared" si="223"/>
        <v>-8.2742316784869818E-3</v>
      </c>
    </row>
    <row r="6937" spans="1:5" x14ac:dyDescent="0.25">
      <c r="A6937" s="41">
        <v>43754</v>
      </c>
      <c r="B6937" s="37">
        <v>277.17</v>
      </c>
      <c r="C6937" s="37">
        <f t="shared" si="222"/>
        <v>46.195</v>
      </c>
      <c r="D6937" s="37">
        <v>4.1639999999999997</v>
      </c>
      <c r="E6937" s="33">
        <f t="shared" si="223"/>
        <v>-2.8360092547149881E-2</v>
      </c>
    </row>
    <row r="6938" spans="1:5" x14ac:dyDescent="0.25">
      <c r="A6938" s="41">
        <v>43755</v>
      </c>
      <c r="B6938" s="37">
        <v>272</v>
      </c>
      <c r="C6938" s="37">
        <f t="shared" si="222"/>
        <v>45.333333333333336</v>
      </c>
      <c r="D6938" s="37">
        <v>5.09</v>
      </c>
      <c r="E6938" s="33">
        <f t="shared" si="223"/>
        <v>-1.865281235342936E-2</v>
      </c>
    </row>
    <row r="6939" spans="1:5" x14ac:dyDescent="0.25">
      <c r="A6939" s="41">
        <v>43755</v>
      </c>
      <c r="B6939" s="37">
        <v>270.35000000000002</v>
      </c>
      <c r="C6939" s="37">
        <f t="shared" si="222"/>
        <v>45.058333333333337</v>
      </c>
      <c r="D6939" s="37">
        <v>5.09</v>
      </c>
      <c r="E6939" s="33">
        <f t="shared" si="223"/>
        <v>-6.0661764705881513E-3</v>
      </c>
    </row>
    <row r="6940" spans="1:5" x14ac:dyDescent="0.25">
      <c r="A6940" s="41">
        <v>43755</v>
      </c>
      <c r="B6940" s="37">
        <v>267.18</v>
      </c>
      <c r="C6940" s="37">
        <f t="shared" si="222"/>
        <v>44.53</v>
      </c>
      <c r="D6940" s="37">
        <v>5.09</v>
      </c>
      <c r="E6940" s="33">
        <f t="shared" si="223"/>
        <v>-1.1725540965415261E-2</v>
      </c>
    </row>
    <row r="6941" spans="1:5" x14ac:dyDescent="0.25">
      <c r="A6941" s="41">
        <v>43755</v>
      </c>
      <c r="B6941" s="37">
        <v>266.66000000000003</v>
      </c>
      <c r="C6941" s="37">
        <f t="shared" si="222"/>
        <v>44.443333333333342</v>
      </c>
      <c r="D6941" s="37">
        <v>5.09</v>
      </c>
      <c r="E6941" s="33">
        <f t="shared" si="223"/>
        <v>-1.9462534620854172E-3</v>
      </c>
    </row>
    <row r="6942" spans="1:5" x14ac:dyDescent="0.25">
      <c r="A6942" s="41">
        <v>43755</v>
      </c>
      <c r="B6942" s="37">
        <v>267.57</v>
      </c>
      <c r="C6942" s="37">
        <f t="shared" si="222"/>
        <v>44.594999999999999</v>
      </c>
      <c r="D6942" s="37">
        <v>5.09</v>
      </c>
      <c r="E6942" s="33">
        <f t="shared" si="223"/>
        <v>3.4125853146327462E-3</v>
      </c>
    </row>
    <row r="6943" spans="1:5" x14ac:dyDescent="0.25">
      <c r="A6943" s="41">
        <v>43755</v>
      </c>
      <c r="B6943" s="37">
        <v>270.52999999999997</v>
      </c>
      <c r="C6943" s="37">
        <f t="shared" si="222"/>
        <v>45.088333333333324</v>
      </c>
      <c r="D6943" s="37">
        <v>5.09</v>
      </c>
      <c r="E6943" s="33">
        <f t="shared" si="223"/>
        <v>1.1062525694210784E-2</v>
      </c>
    </row>
    <row r="6944" spans="1:5" x14ac:dyDescent="0.25">
      <c r="A6944" s="41">
        <v>43755</v>
      </c>
      <c r="B6944" s="37">
        <v>272.5</v>
      </c>
      <c r="C6944" s="37">
        <f t="shared" si="222"/>
        <v>45.416666666666664</v>
      </c>
      <c r="D6944" s="37">
        <v>5.09</v>
      </c>
      <c r="E6944" s="33">
        <f t="shared" si="223"/>
        <v>7.2820019960818669E-3</v>
      </c>
    </row>
    <row r="6945" spans="1:5" x14ac:dyDescent="0.25">
      <c r="A6945" s="41">
        <v>43755</v>
      </c>
      <c r="B6945" s="37">
        <v>276.41000000000003</v>
      </c>
      <c r="C6945" s="37">
        <f t="shared" si="222"/>
        <v>46.068333333333342</v>
      </c>
      <c r="D6945" s="37">
        <v>5.09</v>
      </c>
      <c r="E6945" s="33">
        <f t="shared" si="223"/>
        <v>1.43486238532111E-2</v>
      </c>
    </row>
    <row r="6946" spans="1:5" x14ac:dyDescent="0.25">
      <c r="A6946" s="41">
        <v>43755</v>
      </c>
      <c r="B6946" s="37">
        <v>281.42</v>
      </c>
      <c r="C6946" s="37">
        <f t="shared" si="222"/>
        <v>46.903333333333336</v>
      </c>
      <c r="D6946" s="37">
        <v>5.09</v>
      </c>
      <c r="E6946" s="33">
        <f t="shared" si="223"/>
        <v>1.8125248724720489E-2</v>
      </c>
    </row>
    <row r="6947" spans="1:5" x14ac:dyDescent="0.25">
      <c r="A6947" s="41">
        <v>43755</v>
      </c>
      <c r="B6947" s="37">
        <v>286.02999999999997</v>
      </c>
      <c r="C6947" s="37">
        <f t="shared" si="222"/>
        <v>47.67166666666666</v>
      </c>
      <c r="D6947" s="37">
        <v>5.09</v>
      </c>
      <c r="E6947" s="33">
        <f t="shared" si="223"/>
        <v>1.6381209579987052E-2</v>
      </c>
    </row>
    <row r="6948" spans="1:5" x14ac:dyDescent="0.25">
      <c r="A6948" s="41">
        <v>43755</v>
      </c>
      <c r="B6948" s="37">
        <v>291.54000000000002</v>
      </c>
      <c r="C6948" s="37">
        <f t="shared" si="222"/>
        <v>48.59</v>
      </c>
      <c r="D6948" s="37">
        <v>5.09</v>
      </c>
      <c r="E6948" s="33">
        <f t="shared" si="223"/>
        <v>1.9263713596476061E-2</v>
      </c>
    </row>
    <row r="6949" spans="1:5" x14ac:dyDescent="0.25">
      <c r="A6949" s="41">
        <v>43755</v>
      </c>
      <c r="B6949" s="37">
        <v>292.25</v>
      </c>
      <c r="C6949" s="37">
        <f t="shared" si="222"/>
        <v>48.708333333333336</v>
      </c>
      <c r="D6949" s="37">
        <v>5.09</v>
      </c>
      <c r="E6949" s="33">
        <f t="shared" si="223"/>
        <v>2.4353433491115439E-3</v>
      </c>
    </row>
    <row r="6950" spans="1:5" x14ac:dyDescent="0.25">
      <c r="A6950" s="41">
        <v>43755</v>
      </c>
      <c r="B6950" s="37">
        <v>287.64</v>
      </c>
      <c r="C6950" s="37">
        <f t="shared" si="222"/>
        <v>47.94</v>
      </c>
      <c r="D6950" s="37">
        <v>5.09</v>
      </c>
      <c r="E6950" s="33">
        <f t="shared" si="223"/>
        <v>-1.5774165953806717E-2</v>
      </c>
    </row>
    <row r="6951" spans="1:5" x14ac:dyDescent="0.25">
      <c r="A6951" s="41">
        <v>43755</v>
      </c>
      <c r="B6951" s="37">
        <v>292.63</v>
      </c>
      <c r="C6951" s="37">
        <f t="shared" si="222"/>
        <v>48.771666666666668</v>
      </c>
      <c r="D6951" s="37">
        <v>5.09</v>
      </c>
      <c r="E6951" s="33">
        <f t="shared" si="223"/>
        <v>1.734807398136563E-2</v>
      </c>
    </row>
    <row r="6952" spans="1:5" x14ac:dyDescent="0.25">
      <c r="A6952" s="41">
        <v>43755</v>
      </c>
      <c r="B6952" s="37">
        <v>293.05</v>
      </c>
      <c r="C6952" s="37">
        <f t="shared" si="222"/>
        <v>48.841666666666669</v>
      </c>
      <c r="D6952" s="37">
        <v>5.09</v>
      </c>
      <c r="E6952" s="33">
        <f t="shared" si="223"/>
        <v>1.4352595427673716E-3</v>
      </c>
    </row>
    <row r="6953" spans="1:5" x14ac:dyDescent="0.25">
      <c r="A6953" s="41">
        <v>43755</v>
      </c>
      <c r="B6953" s="37">
        <v>293.39</v>
      </c>
      <c r="C6953" s="37">
        <f t="shared" si="222"/>
        <v>48.898333333333333</v>
      </c>
      <c r="D6953" s="37">
        <v>5.09</v>
      </c>
      <c r="E6953" s="33">
        <f t="shared" si="223"/>
        <v>1.1602115679917248E-3</v>
      </c>
    </row>
    <row r="6954" spans="1:5" x14ac:dyDescent="0.25">
      <c r="A6954" s="41">
        <v>43755</v>
      </c>
      <c r="B6954" s="37">
        <v>292.62</v>
      </c>
      <c r="C6954" s="37">
        <f t="shared" si="222"/>
        <v>48.77</v>
      </c>
      <c r="D6954" s="37">
        <v>5.09</v>
      </c>
      <c r="E6954" s="33">
        <f t="shared" si="223"/>
        <v>-2.624492995671229E-3</v>
      </c>
    </row>
    <row r="6955" spans="1:5" x14ac:dyDescent="0.25">
      <c r="A6955" s="41">
        <v>43755</v>
      </c>
      <c r="B6955" s="37">
        <v>287.47000000000003</v>
      </c>
      <c r="C6955" s="37">
        <f t="shared" si="222"/>
        <v>47.911666666666676</v>
      </c>
      <c r="D6955" s="37">
        <v>5.09</v>
      </c>
      <c r="E6955" s="33">
        <f t="shared" si="223"/>
        <v>-1.759961725104223E-2</v>
      </c>
    </row>
    <row r="6956" spans="1:5" x14ac:dyDescent="0.25">
      <c r="A6956" s="41">
        <v>43755</v>
      </c>
      <c r="B6956" s="37">
        <v>289.3</v>
      </c>
      <c r="C6956" s="37">
        <f t="shared" si="222"/>
        <v>48.216666666666669</v>
      </c>
      <c r="D6956" s="37">
        <v>5.09</v>
      </c>
      <c r="E6956" s="33">
        <f t="shared" si="223"/>
        <v>6.3658816572163494E-3</v>
      </c>
    </row>
    <row r="6957" spans="1:5" x14ac:dyDescent="0.25">
      <c r="A6957" s="41">
        <v>43755</v>
      </c>
      <c r="B6957" s="37">
        <v>290.43</v>
      </c>
      <c r="C6957" s="37">
        <f t="shared" si="222"/>
        <v>48.405000000000001</v>
      </c>
      <c r="D6957" s="37">
        <v>5.09</v>
      </c>
      <c r="E6957" s="33">
        <f t="shared" si="223"/>
        <v>3.905979951607312E-3</v>
      </c>
    </row>
    <row r="6958" spans="1:5" x14ac:dyDescent="0.25">
      <c r="A6958" s="41">
        <v>43755</v>
      </c>
      <c r="B6958" s="37">
        <v>288.25</v>
      </c>
      <c r="C6958" s="37">
        <f t="shared" si="222"/>
        <v>48.041666666666664</v>
      </c>
      <c r="D6958" s="37">
        <v>5.09</v>
      </c>
      <c r="E6958" s="33">
        <f t="shared" si="223"/>
        <v>-7.506111627586705E-3</v>
      </c>
    </row>
    <row r="6959" spans="1:5" x14ac:dyDescent="0.25">
      <c r="A6959" s="41">
        <v>43755</v>
      </c>
      <c r="B6959" s="37">
        <v>287.94</v>
      </c>
      <c r="C6959" s="37">
        <f t="shared" si="222"/>
        <v>47.99</v>
      </c>
      <c r="D6959" s="37">
        <v>5.09</v>
      </c>
      <c r="E6959" s="33">
        <f t="shared" si="223"/>
        <v>-1.0754553339115431E-3</v>
      </c>
    </row>
    <row r="6960" spans="1:5" x14ac:dyDescent="0.25">
      <c r="A6960" s="41">
        <v>43755</v>
      </c>
      <c r="B6960" s="37">
        <v>284.73</v>
      </c>
      <c r="C6960" s="37">
        <f t="shared" si="222"/>
        <v>47.454999999999998</v>
      </c>
      <c r="D6960" s="37">
        <v>5.09</v>
      </c>
      <c r="E6960" s="33">
        <f t="shared" si="223"/>
        <v>-1.1148155865805306E-2</v>
      </c>
    </row>
    <row r="6961" spans="1:5" x14ac:dyDescent="0.25">
      <c r="A6961" s="41">
        <v>43755</v>
      </c>
      <c r="B6961" s="37">
        <v>279.10000000000002</v>
      </c>
      <c r="C6961" s="37">
        <f t="shared" si="222"/>
        <v>46.516666666666673</v>
      </c>
      <c r="D6961" s="37">
        <v>5.09</v>
      </c>
      <c r="E6961" s="33">
        <f t="shared" si="223"/>
        <v>-1.9773118392863397E-2</v>
      </c>
    </row>
    <row r="6962" spans="1:5" x14ac:dyDescent="0.25">
      <c r="A6962" s="41">
        <v>43756</v>
      </c>
      <c r="B6962" s="37">
        <v>272.75</v>
      </c>
      <c r="C6962" s="37">
        <f t="shared" si="222"/>
        <v>45.458333333333336</v>
      </c>
      <c r="D6962" s="37">
        <v>6.3109999999999999</v>
      </c>
      <c r="E6962" s="33">
        <f t="shared" si="223"/>
        <v>-2.2751701898961026E-2</v>
      </c>
    </row>
    <row r="6963" spans="1:5" x14ac:dyDescent="0.25">
      <c r="A6963" s="41">
        <v>43756</v>
      </c>
      <c r="B6963" s="37">
        <v>272.10000000000002</v>
      </c>
      <c r="C6963" s="37">
        <f t="shared" si="222"/>
        <v>45.350000000000009</v>
      </c>
      <c r="D6963" s="37">
        <v>6.3109999999999999</v>
      </c>
      <c r="E6963" s="33">
        <f t="shared" si="223"/>
        <v>-2.3831347387716856E-3</v>
      </c>
    </row>
    <row r="6964" spans="1:5" x14ac:dyDescent="0.25">
      <c r="A6964" s="41">
        <v>43756</v>
      </c>
      <c r="B6964" s="37">
        <v>272.02</v>
      </c>
      <c r="C6964" s="37">
        <f t="shared" si="222"/>
        <v>45.336666666666666</v>
      </c>
      <c r="D6964" s="37">
        <v>6.3109999999999999</v>
      </c>
      <c r="E6964" s="33">
        <f t="shared" si="223"/>
        <v>-2.94009555310698E-4</v>
      </c>
    </row>
    <row r="6965" spans="1:5" x14ac:dyDescent="0.25">
      <c r="A6965" s="41">
        <v>43756</v>
      </c>
      <c r="B6965" s="37">
        <v>272.02</v>
      </c>
      <c r="C6965" s="37">
        <f t="shared" si="222"/>
        <v>45.336666666666666</v>
      </c>
      <c r="D6965" s="37">
        <v>6.3109999999999999</v>
      </c>
      <c r="E6965" s="33">
        <f t="shared" si="223"/>
        <v>0</v>
      </c>
    </row>
    <row r="6966" spans="1:5" x14ac:dyDescent="0.25">
      <c r="A6966" s="41">
        <v>43756</v>
      </c>
      <c r="B6966" s="37">
        <v>271.97000000000003</v>
      </c>
      <c r="C6966" s="37">
        <f t="shared" si="222"/>
        <v>45.32833333333334</v>
      </c>
      <c r="D6966" s="37">
        <v>6.3109999999999999</v>
      </c>
      <c r="E6966" s="33">
        <f t="shared" si="223"/>
        <v>-1.8381001396939391E-4</v>
      </c>
    </row>
    <row r="6967" spans="1:5" x14ac:dyDescent="0.25">
      <c r="A6967" s="41">
        <v>43756</v>
      </c>
      <c r="B6967" s="37">
        <v>272.02</v>
      </c>
      <c r="C6967" s="37">
        <f t="shared" si="222"/>
        <v>45.336666666666666</v>
      </c>
      <c r="D6967" s="37">
        <v>6.3109999999999999</v>
      </c>
      <c r="E6967" s="33">
        <f t="shared" si="223"/>
        <v>1.8384380630199844E-4</v>
      </c>
    </row>
    <row r="6968" spans="1:5" x14ac:dyDescent="0.25">
      <c r="A6968" s="41">
        <v>43756</v>
      </c>
      <c r="B6968" s="37">
        <v>272.52</v>
      </c>
      <c r="C6968" s="37">
        <f t="shared" si="222"/>
        <v>45.42</v>
      </c>
      <c r="D6968" s="37">
        <v>6.3109999999999999</v>
      </c>
      <c r="E6968" s="33">
        <f t="shared" si="223"/>
        <v>1.8381001396956108E-3</v>
      </c>
    </row>
    <row r="6969" spans="1:5" x14ac:dyDescent="0.25">
      <c r="A6969" s="41">
        <v>43756</v>
      </c>
      <c r="B6969" s="37">
        <v>277.5</v>
      </c>
      <c r="C6969" s="37">
        <f t="shared" si="222"/>
        <v>46.25</v>
      </c>
      <c r="D6969" s="37">
        <v>6.3109999999999999</v>
      </c>
      <c r="E6969" s="33">
        <f t="shared" si="223"/>
        <v>1.8273888154997867E-2</v>
      </c>
    </row>
    <row r="6970" spans="1:5" x14ac:dyDescent="0.25">
      <c r="A6970" s="41">
        <v>43756</v>
      </c>
      <c r="B6970" s="37">
        <v>284.72000000000003</v>
      </c>
      <c r="C6970" s="37">
        <f t="shared" si="222"/>
        <v>47.45333333333334</v>
      </c>
      <c r="D6970" s="37">
        <v>6.3109999999999999</v>
      </c>
      <c r="E6970" s="33">
        <f t="shared" si="223"/>
        <v>2.6018018018018115E-2</v>
      </c>
    </row>
    <row r="6971" spans="1:5" x14ac:dyDescent="0.25">
      <c r="A6971" s="41">
        <v>43756</v>
      </c>
      <c r="B6971" s="37">
        <v>290.26</v>
      </c>
      <c r="C6971" s="37">
        <f t="shared" si="222"/>
        <v>48.376666666666665</v>
      </c>
      <c r="D6971" s="37">
        <v>6.3109999999999999</v>
      </c>
      <c r="E6971" s="33">
        <f t="shared" si="223"/>
        <v>1.9457712840685457E-2</v>
      </c>
    </row>
    <row r="6972" spans="1:5" x14ac:dyDescent="0.25">
      <c r="A6972" s="41">
        <v>43756</v>
      </c>
      <c r="B6972" s="37">
        <v>291.39999999999998</v>
      </c>
      <c r="C6972" s="37">
        <f t="shared" si="222"/>
        <v>48.566666666666663</v>
      </c>
      <c r="D6972" s="37">
        <v>6.3109999999999999</v>
      </c>
      <c r="E6972" s="33">
        <f t="shared" si="223"/>
        <v>3.9275132639701865E-3</v>
      </c>
    </row>
    <row r="6973" spans="1:5" x14ac:dyDescent="0.25">
      <c r="A6973" s="41">
        <v>43756</v>
      </c>
      <c r="B6973" s="37">
        <v>292.47000000000003</v>
      </c>
      <c r="C6973" s="37">
        <f t="shared" si="222"/>
        <v>48.745000000000005</v>
      </c>
      <c r="D6973" s="37">
        <v>6.3109999999999999</v>
      </c>
      <c r="E6973" s="33">
        <f t="shared" si="223"/>
        <v>3.6719286204531577E-3</v>
      </c>
    </row>
    <row r="6974" spans="1:5" x14ac:dyDescent="0.25">
      <c r="A6974" s="41">
        <v>43756</v>
      </c>
      <c r="B6974" s="37">
        <v>290.8</v>
      </c>
      <c r="C6974" s="37">
        <f t="shared" si="222"/>
        <v>48.466666666666669</v>
      </c>
      <c r="D6974" s="37">
        <v>6.3109999999999999</v>
      </c>
      <c r="E6974" s="33">
        <f t="shared" si="223"/>
        <v>-5.7099873491298792E-3</v>
      </c>
    </row>
    <row r="6975" spans="1:5" x14ac:dyDescent="0.25">
      <c r="A6975" s="41">
        <v>43756</v>
      </c>
      <c r="B6975" s="37">
        <v>297.95999999999998</v>
      </c>
      <c r="C6975" s="37">
        <f t="shared" si="222"/>
        <v>49.66</v>
      </c>
      <c r="D6975" s="37">
        <v>6.3109999999999999</v>
      </c>
      <c r="E6975" s="33">
        <f t="shared" si="223"/>
        <v>2.4621733149931112E-2</v>
      </c>
    </row>
    <row r="6976" spans="1:5" x14ac:dyDescent="0.25">
      <c r="A6976" s="41">
        <v>43756</v>
      </c>
      <c r="B6976" s="37">
        <v>303.74</v>
      </c>
      <c r="C6976" s="37">
        <f t="shared" si="222"/>
        <v>50.623333333333335</v>
      </c>
      <c r="D6976" s="37">
        <v>6.3109999999999999</v>
      </c>
      <c r="E6976" s="33">
        <f t="shared" si="223"/>
        <v>1.9398576990200127E-2</v>
      </c>
    </row>
    <row r="6977" spans="1:5" x14ac:dyDescent="0.25">
      <c r="A6977" s="41">
        <v>43756</v>
      </c>
      <c r="B6977" s="37">
        <v>303.68</v>
      </c>
      <c r="C6977" s="37">
        <f t="shared" si="222"/>
        <v>50.613333333333337</v>
      </c>
      <c r="D6977" s="37">
        <v>6.3109999999999999</v>
      </c>
      <c r="E6977" s="33">
        <f t="shared" si="223"/>
        <v>-1.975373674853568E-4</v>
      </c>
    </row>
    <row r="6978" spans="1:5" x14ac:dyDescent="0.25">
      <c r="A6978" s="41">
        <v>43756</v>
      </c>
      <c r="B6978" s="37">
        <v>295.32</v>
      </c>
      <c r="C6978" s="37">
        <f t="shared" si="222"/>
        <v>49.22</v>
      </c>
      <c r="D6978" s="37">
        <v>6.3109999999999999</v>
      </c>
      <c r="E6978" s="33">
        <f t="shared" si="223"/>
        <v>-2.752897787144367E-2</v>
      </c>
    </row>
    <row r="6979" spans="1:5" x14ac:dyDescent="0.25">
      <c r="A6979" s="41">
        <v>43756</v>
      </c>
      <c r="B6979" s="37">
        <v>289.64999999999998</v>
      </c>
      <c r="C6979" s="37">
        <f t="shared" ref="C6979:C7042" si="224">(B6979*100/600)</f>
        <v>48.274999999999991</v>
      </c>
      <c r="D6979" s="37">
        <v>6.3109999999999999</v>
      </c>
      <c r="E6979" s="33">
        <f t="shared" si="223"/>
        <v>-1.9199512393336098E-2</v>
      </c>
    </row>
    <row r="6980" spans="1:5" x14ac:dyDescent="0.25">
      <c r="A6980" s="41">
        <v>43756</v>
      </c>
      <c r="B6980" s="37">
        <v>290.02999999999997</v>
      </c>
      <c r="C6980" s="37">
        <f t="shared" si="224"/>
        <v>48.338333333333324</v>
      </c>
      <c r="D6980" s="37">
        <v>6.3109999999999999</v>
      </c>
      <c r="E6980" s="33">
        <f t="shared" ref="E6980:E7043" si="225">(B6980-B6979)/B6979</f>
        <v>1.3119281891938392E-3</v>
      </c>
    </row>
    <row r="6981" spans="1:5" x14ac:dyDescent="0.25">
      <c r="A6981" s="41">
        <v>43756</v>
      </c>
      <c r="B6981" s="37">
        <v>290.23</v>
      </c>
      <c r="C6981" s="37">
        <f t="shared" si="224"/>
        <v>48.37166666666667</v>
      </c>
      <c r="D6981" s="37">
        <v>6.3109999999999999</v>
      </c>
      <c r="E6981" s="33">
        <f t="shared" si="225"/>
        <v>6.8958383615503737E-4</v>
      </c>
    </row>
    <row r="6982" spans="1:5" x14ac:dyDescent="0.25">
      <c r="A6982" s="41">
        <v>43756</v>
      </c>
      <c r="B6982" s="37">
        <v>288.16000000000003</v>
      </c>
      <c r="C6982" s="37">
        <f t="shared" si="224"/>
        <v>48.026666666666671</v>
      </c>
      <c r="D6982" s="37">
        <v>6.3109999999999999</v>
      </c>
      <c r="E6982" s="33">
        <f t="shared" si="225"/>
        <v>-7.1322744030596187E-3</v>
      </c>
    </row>
    <row r="6983" spans="1:5" x14ac:dyDescent="0.25">
      <c r="A6983" s="41">
        <v>43756</v>
      </c>
      <c r="B6983" s="37">
        <v>286.66000000000003</v>
      </c>
      <c r="C6983" s="37">
        <f t="shared" si="224"/>
        <v>47.776666666666671</v>
      </c>
      <c r="D6983" s="37">
        <v>6.3109999999999999</v>
      </c>
      <c r="E6983" s="33">
        <f t="shared" si="225"/>
        <v>-5.2054414214325372E-3</v>
      </c>
    </row>
    <row r="6984" spans="1:5" x14ac:dyDescent="0.25">
      <c r="A6984" s="41">
        <v>43756</v>
      </c>
      <c r="B6984" s="37">
        <v>284</v>
      </c>
      <c r="C6984" s="37">
        <f t="shared" si="224"/>
        <v>47.333333333333336</v>
      </c>
      <c r="D6984" s="37">
        <v>6.3109999999999999</v>
      </c>
      <c r="E6984" s="33">
        <f t="shared" si="225"/>
        <v>-9.2792855647806632E-3</v>
      </c>
    </row>
    <row r="6985" spans="1:5" x14ac:dyDescent="0.25">
      <c r="A6985" s="41">
        <v>43756</v>
      </c>
      <c r="B6985" s="37">
        <v>278.23</v>
      </c>
      <c r="C6985" s="37">
        <f t="shared" si="224"/>
        <v>46.37166666666667</v>
      </c>
      <c r="D6985" s="37">
        <v>6.3109999999999999</v>
      </c>
      <c r="E6985" s="33">
        <f t="shared" si="225"/>
        <v>-2.031690140845064E-2</v>
      </c>
    </row>
    <row r="6986" spans="1:5" x14ac:dyDescent="0.25">
      <c r="A6986" s="41">
        <v>43757</v>
      </c>
      <c r="B6986" s="37">
        <v>283.04000000000002</v>
      </c>
      <c r="C6986" s="37">
        <f t="shared" si="224"/>
        <v>47.173333333333339</v>
      </c>
      <c r="D6986" s="37">
        <v>7.3719999999999999</v>
      </c>
      <c r="E6986" s="33">
        <f t="shared" si="225"/>
        <v>1.7287855371455278E-2</v>
      </c>
    </row>
    <row r="6987" spans="1:5" x14ac:dyDescent="0.25">
      <c r="A6987" s="41">
        <v>43757</v>
      </c>
      <c r="B6987" s="37">
        <v>281.31</v>
      </c>
      <c r="C6987" s="37">
        <f t="shared" si="224"/>
        <v>46.884999999999998</v>
      </c>
      <c r="D6987" s="37">
        <v>7.3719999999999999</v>
      </c>
      <c r="E6987" s="33">
        <f t="shared" si="225"/>
        <v>-6.1122102882985377E-3</v>
      </c>
    </row>
    <row r="6988" spans="1:5" x14ac:dyDescent="0.25">
      <c r="A6988" s="41">
        <v>43757</v>
      </c>
      <c r="B6988" s="37">
        <v>279.74</v>
      </c>
      <c r="C6988" s="37">
        <f t="shared" si="224"/>
        <v>46.623333333333335</v>
      </c>
      <c r="D6988" s="37">
        <v>7.3719999999999999</v>
      </c>
      <c r="E6988" s="33">
        <f t="shared" si="225"/>
        <v>-5.5810316021470728E-3</v>
      </c>
    </row>
    <row r="6989" spans="1:5" x14ac:dyDescent="0.25">
      <c r="A6989" s="41">
        <v>43757</v>
      </c>
      <c r="B6989" s="37">
        <v>279.45</v>
      </c>
      <c r="C6989" s="37">
        <f t="shared" si="224"/>
        <v>46.575000000000003</v>
      </c>
      <c r="D6989" s="37">
        <v>7.3719999999999999</v>
      </c>
      <c r="E6989" s="33">
        <f t="shared" si="225"/>
        <v>-1.0366769142776166E-3</v>
      </c>
    </row>
    <row r="6990" spans="1:5" x14ac:dyDescent="0.25">
      <c r="A6990" s="41">
        <v>43757</v>
      </c>
      <c r="B6990" s="37">
        <v>279.27999999999997</v>
      </c>
      <c r="C6990" s="37">
        <f t="shared" si="224"/>
        <v>46.54666666666666</v>
      </c>
      <c r="D6990" s="37">
        <v>7.3719999999999999</v>
      </c>
      <c r="E6990" s="33">
        <f t="shared" si="225"/>
        <v>-6.0833780640549623E-4</v>
      </c>
    </row>
    <row r="6991" spans="1:5" x14ac:dyDescent="0.25">
      <c r="A6991" s="41">
        <v>43757</v>
      </c>
      <c r="B6991" s="37">
        <v>278.22000000000003</v>
      </c>
      <c r="C6991" s="37">
        <f t="shared" si="224"/>
        <v>46.370000000000005</v>
      </c>
      <c r="D6991" s="37">
        <v>7.3719999999999999</v>
      </c>
      <c r="E6991" s="33">
        <f t="shared" si="225"/>
        <v>-3.7954740761957373E-3</v>
      </c>
    </row>
    <row r="6992" spans="1:5" x14ac:dyDescent="0.25">
      <c r="A6992" s="41">
        <v>43757</v>
      </c>
      <c r="B6992" s="37">
        <v>276.60000000000002</v>
      </c>
      <c r="C6992" s="37">
        <f t="shared" si="224"/>
        <v>46.100000000000009</v>
      </c>
      <c r="D6992" s="37">
        <v>7.3719999999999999</v>
      </c>
      <c r="E6992" s="33">
        <f t="shared" si="225"/>
        <v>-5.8227302135001237E-3</v>
      </c>
    </row>
    <row r="6993" spans="1:5" x14ac:dyDescent="0.25">
      <c r="A6993" s="41">
        <v>43757</v>
      </c>
      <c r="B6993" s="37">
        <v>279.66000000000003</v>
      </c>
      <c r="C6993" s="37">
        <f t="shared" si="224"/>
        <v>46.610000000000007</v>
      </c>
      <c r="D6993" s="37">
        <v>7.3719999999999999</v>
      </c>
      <c r="E6993" s="33">
        <f t="shared" si="225"/>
        <v>1.1062906724511937E-2</v>
      </c>
    </row>
    <row r="6994" spans="1:5" x14ac:dyDescent="0.25">
      <c r="A6994" s="41">
        <v>43757</v>
      </c>
      <c r="B6994" s="37">
        <v>283.14999999999998</v>
      </c>
      <c r="C6994" s="37">
        <f t="shared" si="224"/>
        <v>47.191666666666663</v>
      </c>
      <c r="D6994" s="37">
        <v>7.3719999999999999</v>
      </c>
      <c r="E6994" s="33">
        <f t="shared" si="225"/>
        <v>1.247943931917311E-2</v>
      </c>
    </row>
    <row r="6995" spans="1:5" x14ac:dyDescent="0.25">
      <c r="A6995" s="41">
        <v>43757</v>
      </c>
      <c r="B6995" s="37">
        <v>286.49</v>
      </c>
      <c r="C6995" s="37">
        <f t="shared" si="224"/>
        <v>47.748333333333335</v>
      </c>
      <c r="D6995" s="37">
        <v>7.3719999999999999</v>
      </c>
      <c r="E6995" s="33">
        <f t="shared" si="225"/>
        <v>1.1795867914533046E-2</v>
      </c>
    </row>
    <row r="6996" spans="1:5" x14ac:dyDescent="0.25">
      <c r="A6996" s="41">
        <v>43757</v>
      </c>
      <c r="B6996" s="37">
        <v>287.68</v>
      </c>
      <c r="C6996" s="37">
        <f t="shared" si="224"/>
        <v>47.946666666666665</v>
      </c>
      <c r="D6996" s="37">
        <v>7.3719999999999999</v>
      </c>
      <c r="E6996" s="33">
        <f t="shared" si="225"/>
        <v>4.1537226430241811E-3</v>
      </c>
    </row>
    <row r="6997" spans="1:5" x14ac:dyDescent="0.25">
      <c r="A6997" s="41">
        <v>43757</v>
      </c>
      <c r="B6997" s="37">
        <v>287.86</v>
      </c>
      <c r="C6997" s="37">
        <f t="shared" si="224"/>
        <v>47.976666666666667</v>
      </c>
      <c r="D6997" s="37">
        <v>7.3719999999999999</v>
      </c>
      <c r="E6997" s="33">
        <f t="shared" si="225"/>
        <v>6.2569521690769884E-4</v>
      </c>
    </row>
    <row r="6998" spans="1:5" x14ac:dyDescent="0.25">
      <c r="A6998" s="41">
        <v>43757</v>
      </c>
      <c r="B6998" s="37">
        <v>287.7</v>
      </c>
      <c r="C6998" s="37">
        <f t="shared" si="224"/>
        <v>47.95</v>
      </c>
      <c r="D6998" s="37">
        <v>7.3719999999999999</v>
      </c>
      <c r="E6998" s="33">
        <f t="shared" si="225"/>
        <v>-5.5582574862789202E-4</v>
      </c>
    </row>
    <row r="6999" spans="1:5" x14ac:dyDescent="0.25">
      <c r="A6999" s="41">
        <v>43757</v>
      </c>
      <c r="B6999" s="37">
        <v>287.74</v>
      </c>
      <c r="C6999" s="37">
        <f t="shared" si="224"/>
        <v>47.956666666666663</v>
      </c>
      <c r="D6999" s="37">
        <v>7.3719999999999999</v>
      </c>
      <c r="E6999" s="33">
        <f t="shared" si="225"/>
        <v>1.3903371567612258E-4</v>
      </c>
    </row>
    <row r="7000" spans="1:5" x14ac:dyDescent="0.25">
      <c r="A7000" s="41">
        <v>43757</v>
      </c>
      <c r="B7000" s="37">
        <v>287.72000000000003</v>
      </c>
      <c r="C7000" s="37">
        <f t="shared" si="224"/>
        <v>47.95333333333334</v>
      </c>
      <c r="D7000" s="37">
        <v>7.3719999999999999</v>
      </c>
      <c r="E7000" s="33">
        <f t="shared" si="225"/>
        <v>-6.9507193994515219E-5</v>
      </c>
    </row>
    <row r="7001" spans="1:5" x14ac:dyDescent="0.25">
      <c r="A7001" s="41">
        <v>43757</v>
      </c>
      <c r="B7001" s="37">
        <v>287.26</v>
      </c>
      <c r="C7001" s="37">
        <f t="shared" si="224"/>
        <v>47.876666666666665</v>
      </c>
      <c r="D7001" s="37">
        <v>7.3719999999999999</v>
      </c>
      <c r="E7001" s="33">
        <f t="shared" si="225"/>
        <v>-1.5987765883499108E-3</v>
      </c>
    </row>
    <row r="7002" spans="1:5" x14ac:dyDescent="0.25">
      <c r="A7002" s="41">
        <v>43757</v>
      </c>
      <c r="B7002" s="37">
        <v>287.27999999999997</v>
      </c>
      <c r="C7002" s="37">
        <f t="shared" si="224"/>
        <v>47.879999999999995</v>
      </c>
      <c r="D7002" s="37">
        <v>7.3719999999999999</v>
      </c>
      <c r="E7002" s="33">
        <f t="shared" si="225"/>
        <v>6.9623337742748069E-5</v>
      </c>
    </row>
    <row r="7003" spans="1:5" x14ac:dyDescent="0.25">
      <c r="A7003" s="41">
        <v>43757</v>
      </c>
      <c r="B7003" s="37">
        <v>287.55</v>
      </c>
      <c r="C7003" s="37">
        <f t="shared" si="224"/>
        <v>47.924999999999997</v>
      </c>
      <c r="D7003" s="37">
        <v>7.3719999999999999</v>
      </c>
      <c r="E7003" s="33">
        <f t="shared" si="225"/>
        <v>9.3984962406028498E-4</v>
      </c>
    </row>
    <row r="7004" spans="1:5" x14ac:dyDescent="0.25">
      <c r="A7004" s="41">
        <v>43757</v>
      </c>
      <c r="B7004" s="37">
        <v>294.97000000000003</v>
      </c>
      <c r="C7004" s="37">
        <f t="shared" si="224"/>
        <v>49.161666666666676</v>
      </c>
      <c r="D7004" s="37">
        <v>7.3719999999999999</v>
      </c>
      <c r="E7004" s="33">
        <f t="shared" si="225"/>
        <v>2.580420796383243E-2</v>
      </c>
    </row>
    <row r="7005" spans="1:5" x14ac:dyDescent="0.25">
      <c r="A7005" s="41">
        <v>43757</v>
      </c>
      <c r="B7005" s="37">
        <v>295.63</v>
      </c>
      <c r="C7005" s="37">
        <f t="shared" si="224"/>
        <v>49.271666666666668</v>
      </c>
      <c r="D7005" s="37">
        <v>7.3719999999999999</v>
      </c>
      <c r="E7005" s="33">
        <f t="shared" si="225"/>
        <v>2.2375156795605253E-3</v>
      </c>
    </row>
    <row r="7006" spans="1:5" x14ac:dyDescent="0.25">
      <c r="A7006" s="41">
        <v>43757</v>
      </c>
      <c r="B7006" s="37">
        <v>292.98</v>
      </c>
      <c r="C7006" s="37">
        <f t="shared" si="224"/>
        <v>48.83</v>
      </c>
      <c r="D7006" s="37">
        <v>7.3719999999999999</v>
      </c>
      <c r="E7006" s="33">
        <f t="shared" si="225"/>
        <v>-8.9639075871866085E-3</v>
      </c>
    </row>
    <row r="7007" spans="1:5" x14ac:dyDescent="0.25">
      <c r="A7007" s="41">
        <v>43757</v>
      </c>
      <c r="B7007" s="37">
        <v>287.57</v>
      </c>
      <c r="C7007" s="37">
        <f t="shared" si="224"/>
        <v>47.928333333333335</v>
      </c>
      <c r="D7007" s="37">
        <v>7.3719999999999999</v>
      </c>
      <c r="E7007" s="33">
        <f t="shared" si="225"/>
        <v>-1.8465424261041793E-2</v>
      </c>
    </row>
    <row r="7008" spans="1:5" x14ac:dyDescent="0.25">
      <c r="A7008" s="41">
        <v>43757</v>
      </c>
      <c r="B7008" s="37">
        <v>284.5</v>
      </c>
      <c r="C7008" s="37">
        <f t="shared" si="224"/>
        <v>47.416666666666664</v>
      </c>
      <c r="D7008" s="37">
        <v>7.3719999999999999</v>
      </c>
      <c r="E7008" s="33">
        <f t="shared" si="225"/>
        <v>-1.0675661578050537E-2</v>
      </c>
    </row>
    <row r="7009" spans="1:5" x14ac:dyDescent="0.25">
      <c r="A7009" s="41">
        <v>43757</v>
      </c>
      <c r="B7009" s="37">
        <v>279.35000000000002</v>
      </c>
      <c r="C7009" s="37">
        <f t="shared" si="224"/>
        <v>46.558333333333337</v>
      </c>
      <c r="D7009" s="37">
        <v>7.3719999999999999</v>
      </c>
      <c r="E7009" s="33">
        <f t="shared" si="225"/>
        <v>-1.8101933216168636E-2</v>
      </c>
    </row>
    <row r="7010" spans="1:5" x14ac:dyDescent="0.25">
      <c r="A7010" s="41">
        <v>43758</v>
      </c>
      <c r="B7010" s="37">
        <v>279.33999999999997</v>
      </c>
      <c r="C7010" s="37">
        <f t="shared" si="224"/>
        <v>46.556666666666658</v>
      </c>
      <c r="D7010" s="37">
        <v>7.2889999999999997</v>
      </c>
      <c r="E7010" s="33">
        <f t="shared" si="225"/>
        <v>-3.5797386790935201E-5</v>
      </c>
    </row>
    <row r="7011" spans="1:5" x14ac:dyDescent="0.25">
      <c r="A7011" s="41">
        <v>43758</v>
      </c>
      <c r="B7011" s="37">
        <v>277.02999999999997</v>
      </c>
      <c r="C7011" s="37">
        <f t="shared" si="224"/>
        <v>46.17166666666666</v>
      </c>
      <c r="D7011" s="37">
        <v>7.2889999999999997</v>
      </c>
      <c r="E7011" s="33">
        <f t="shared" si="225"/>
        <v>-8.2694923748836639E-3</v>
      </c>
    </row>
    <row r="7012" spans="1:5" x14ac:dyDescent="0.25">
      <c r="A7012" s="41">
        <v>43758</v>
      </c>
      <c r="B7012" s="37">
        <v>276.3</v>
      </c>
      <c r="C7012" s="37">
        <f t="shared" si="224"/>
        <v>46.05</v>
      </c>
      <c r="D7012" s="37">
        <v>7.2889999999999997</v>
      </c>
      <c r="E7012" s="33">
        <f t="shared" si="225"/>
        <v>-2.6350936721653302E-3</v>
      </c>
    </row>
    <row r="7013" spans="1:5" x14ac:dyDescent="0.25">
      <c r="A7013" s="41">
        <v>43758</v>
      </c>
      <c r="B7013" s="37">
        <v>275.75</v>
      </c>
      <c r="C7013" s="37">
        <f t="shared" si="224"/>
        <v>45.958333333333336</v>
      </c>
      <c r="D7013" s="37">
        <v>7.2889999999999997</v>
      </c>
      <c r="E7013" s="33">
        <f t="shared" si="225"/>
        <v>-1.9905899384727158E-3</v>
      </c>
    </row>
    <row r="7014" spans="1:5" x14ac:dyDescent="0.25">
      <c r="A7014" s="41">
        <v>43758</v>
      </c>
      <c r="B7014" s="37">
        <v>274.81</v>
      </c>
      <c r="C7014" s="37">
        <f t="shared" si="224"/>
        <v>45.801666666666669</v>
      </c>
      <c r="D7014" s="37">
        <v>7.2889999999999997</v>
      </c>
      <c r="E7014" s="33">
        <f t="shared" si="225"/>
        <v>-3.4088848594741529E-3</v>
      </c>
    </row>
    <row r="7015" spans="1:5" x14ac:dyDescent="0.25">
      <c r="A7015" s="41">
        <v>43758</v>
      </c>
      <c r="B7015" s="37">
        <v>272.88</v>
      </c>
      <c r="C7015" s="37">
        <f t="shared" si="224"/>
        <v>45.48</v>
      </c>
      <c r="D7015" s="37">
        <v>7.2889999999999997</v>
      </c>
      <c r="E7015" s="33">
        <f t="shared" si="225"/>
        <v>-7.0230340962847302E-3</v>
      </c>
    </row>
    <row r="7016" spans="1:5" x14ac:dyDescent="0.25">
      <c r="A7016" s="41">
        <v>43758</v>
      </c>
      <c r="B7016" s="37">
        <v>270.95999999999998</v>
      </c>
      <c r="C7016" s="37">
        <f t="shared" si="224"/>
        <v>45.16</v>
      </c>
      <c r="D7016" s="37">
        <v>7.2889999999999997</v>
      </c>
      <c r="E7016" s="33">
        <f t="shared" si="225"/>
        <v>-7.0360598065084138E-3</v>
      </c>
    </row>
    <row r="7017" spans="1:5" x14ac:dyDescent="0.25">
      <c r="A7017" s="41">
        <v>43758</v>
      </c>
      <c r="B7017" s="37">
        <v>272.06</v>
      </c>
      <c r="C7017" s="37">
        <f t="shared" si="224"/>
        <v>45.343333333333334</v>
      </c>
      <c r="D7017" s="37">
        <v>7.2889999999999997</v>
      </c>
      <c r="E7017" s="33">
        <f t="shared" si="225"/>
        <v>4.0596397992324436E-3</v>
      </c>
    </row>
    <row r="7018" spans="1:5" x14ac:dyDescent="0.25">
      <c r="A7018" s="41">
        <v>43758</v>
      </c>
      <c r="B7018" s="37">
        <v>274.92</v>
      </c>
      <c r="C7018" s="37">
        <f t="shared" si="224"/>
        <v>45.82</v>
      </c>
      <c r="D7018" s="37">
        <v>7.2889999999999997</v>
      </c>
      <c r="E7018" s="33">
        <f t="shared" si="225"/>
        <v>1.0512386973461787E-2</v>
      </c>
    </row>
    <row r="7019" spans="1:5" x14ac:dyDescent="0.25">
      <c r="A7019" s="41">
        <v>43758</v>
      </c>
      <c r="B7019" s="37">
        <v>276.43</v>
      </c>
      <c r="C7019" s="37">
        <f t="shared" si="224"/>
        <v>46.071666666666665</v>
      </c>
      <c r="D7019" s="37">
        <v>7.2889999999999997</v>
      </c>
      <c r="E7019" s="33">
        <f t="shared" si="225"/>
        <v>5.4925069111013778E-3</v>
      </c>
    </row>
    <row r="7020" spans="1:5" x14ac:dyDescent="0.25">
      <c r="A7020" s="41">
        <v>43758</v>
      </c>
      <c r="B7020" s="37">
        <v>278.2</v>
      </c>
      <c r="C7020" s="37">
        <f t="shared" si="224"/>
        <v>46.366666666666667</v>
      </c>
      <c r="D7020" s="37">
        <v>7.2889999999999997</v>
      </c>
      <c r="E7020" s="33">
        <f t="shared" si="225"/>
        <v>6.4030676844046659E-3</v>
      </c>
    </row>
    <row r="7021" spans="1:5" x14ac:dyDescent="0.25">
      <c r="A7021" s="41">
        <v>43758</v>
      </c>
      <c r="B7021" s="37">
        <v>279.60000000000002</v>
      </c>
      <c r="C7021" s="37">
        <f t="shared" si="224"/>
        <v>46.600000000000009</v>
      </c>
      <c r="D7021" s="37">
        <v>7.2889999999999997</v>
      </c>
      <c r="E7021" s="33">
        <f t="shared" si="225"/>
        <v>5.0323508267434728E-3</v>
      </c>
    </row>
    <row r="7022" spans="1:5" x14ac:dyDescent="0.25">
      <c r="A7022" s="41">
        <v>43758</v>
      </c>
      <c r="B7022" s="37">
        <v>279.60000000000002</v>
      </c>
      <c r="C7022" s="37">
        <f t="shared" si="224"/>
        <v>46.600000000000009</v>
      </c>
      <c r="D7022" s="37">
        <v>7.2889999999999997</v>
      </c>
      <c r="E7022" s="33">
        <f t="shared" si="225"/>
        <v>0</v>
      </c>
    </row>
    <row r="7023" spans="1:5" x14ac:dyDescent="0.25">
      <c r="A7023" s="41">
        <v>43758</v>
      </c>
      <c r="B7023" s="37">
        <v>279.60000000000002</v>
      </c>
      <c r="C7023" s="37">
        <f t="shared" si="224"/>
        <v>46.600000000000009</v>
      </c>
      <c r="D7023" s="37">
        <v>7.2889999999999997</v>
      </c>
      <c r="E7023" s="33">
        <f t="shared" si="225"/>
        <v>0</v>
      </c>
    </row>
    <row r="7024" spans="1:5" x14ac:dyDescent="0.25">
      <c r="A7024" s="41">
        <v>43758</v>
      </c>
      <c r="B7024" s="37">
        <v>279.60000000000002</v>
      </c>
      <c r="C7024" s="37">
        <f t="shared" si="224"/>
        <v>46.600000000000009</v>
      </c>
      <c r="D7024" s="37">
        <v>7.2889999999999997</v>
      </c>
      <c r="E7024" s="33">
        <f t="shared" si="225"/>
        <v>0</v>
      </c>
    </row>
    <row r="7025" spans="1:5" x14ac:dyDescent="0.25">
      <c r="A7025" s="41">
        <v>43758</v>
      </c>
      <c r="B7025" s="37">
        <v>279.60000000000002</v>
      </c>
      <c r="C7025" s="37">
        <f t="shared" si="224"/>
        <v>46.600000000000009</v>
      </c>
      <c r="D7025" s="37">
        <v>7.2889999999999997</v>
      </c>
      <c r="E7025" s="33">
        <f t="shared" si="225"/>
        <v>0</v>
      </c>
    </row>
    <row r="7026" spans="1:5" x14ac:dyDescent="0.25">
      <c r="A7026" s="41">
        <v>43758</v>
      </c>
      <c r="B7026" s="37">
        <v>280.58</v>
      </c>
      <c r="C7026" s="37">
        <f t="shared" si="224"/>
        <v>46.763333333333335</v>
      </c>
      <c r="D7026" s="37">
        <v>7.2889999999999997</v>
      </c>
      <c r="E7026" s="33">
        <f t="shared" si="225"/>
        <v>3.5050071530756842E-3</v>
      </c>
    </row>
    <row r="7027" spans="1:5" x14ac:dyDescent="0.25">
      <c r="A7027" s="41">
        <v>43758</v>
      </c>
      <c r="B7027" s="37">
        <v>282.58999999999997</v>
      </c>
      <c r="C7027" s="37">
        <f t="shared" si="224"/>
        <v>47.098333333333329</v>
      </c>
      <c r="D7027" s="37">
        <v>7.2889999999999997</v>
      </c>
      <c r="E7027" s="33">
        <f t="shared" si="225"/>
        <v>7.1637322688715907E-3</v>
      </c>
    </row>
    <row r="7028" spans="1:5" x14ac:dyDescent="0.25">
      <c r="A7028" s="41">
        <v>43758</v>
      </c>
      <c r="B7028" s="37">
        <v>290.27999999999997</v>
      </c>
      <c r="C7028" s="37">
        <f t="shared" si="224"/>
        <v>48.379999999999995</v>
      </c>
      <c r="D7028" s="37">
        <v>7.2889999999999997</v>
      </c>
      <c r="E7028" s="33">
        <f t="shared" si="225"/>
        <v>2.7212569446901865E-2</v>
      </c>
    </row>
    <row r="7029" spans="1:5" x14ac:dyDescent="0.25">
      <c r="A7029" s="41">
        <v>43758</v>
      </c>
      <c r="B7029" s="37">
        <v>291.82</v>
      </c>
      <c r="C7029" s="37">
        <f t="shared" si="224"/>
        <v>48.636666666666663</v>
      </c>
      <c r="D7029" s="37">
        <v>7.2889999999999997</v>
      </c>
      <c r="E7029" s="33">
        <f t="shared" si="225"/>
        <v>5.3052225437509324E-3</v>
      </c>
    </row>
    <row r="7030" spans="1:5" x14ac:dyDescent="0.25">
      <c r="A7030" s="41">
        <v>43758</v>
      </c>
      <c r="B7030" s="37">
        <v>291.43</v>
      </c>
      <c r="C7030" s="37">
        <f t="shared" si="224"/>
        <v>48.571666666666665</v>
      </c>
      <c r="D7030" s="37">
        <v>7.2889999999999997</v>
      </c>
      <c r="E7030" s="33">
        <f t="shared" si="225"/>
        <v>-1.3364402714001315E-3</v>
      </c>
    </row>
    <row r="7031" spans="1:5" x14ac:dyDescent="0.25">
      <c r="A7031" s="41">
        <v>43758</v>
      </c>
      <c r="B7031" s="37">
        <v>289.55</v>
      </c>
      <c r="C7031" s="37">
        <f t="shared" si="224"/>
        <v>48.258333333333333</v>
      </c>
      <c r="D7031" s="37">
        <v>7.2889999999999997</v>
      </c>
      <c r="E7031" s="33">
        <f t="shared" si="225"/>
        <v>-6.4509487698589559E-3</v>
      </c>
    </row>
    <row r="7032" spans="1:5" x14ac:dyDescent="0.25">
      <c r="A7032" s="41">
        <v>43758</v>
      </c>
      <c r="B7032" s="37">
        <v>285.72000000000003</v>
      </c>
      <c r="C7032" s="37">
        <f t="shared" si="224"/>
        <v>47.620000000000005</v>
      </c>
      <c r="D7032" s="37">
        <v>7.2889999999999997</v>
      </c>
      <c r="E7032" s="33">
        <f t="shared" si="225"/>
        <v>-1.3227421861509183E-2</v>
      </c>
    </row>
    <row r="7033" spans="1:5" x14ac:dyDescent="0.25">
      <c r="A7033" s="41">
        <v>43758</v>
      </c>
      <c r="B7033" s="37">
        <v>282.39999999999998</v>
      </c>
      <c r="C7033" s="37">
        <f t="shared" si="224"/>
        <v>47.066666666666663</v>
      </c>
      <c r="D7033" s="37">
        <v>7.2889999999999997</v>
      </c>
      <c r="E7033" s="33">
        <f t="shared" si="225"/>
        <v>-1.1619767604648081E-2</v>
      </c>
    </row>
    <row r="7034" spans="1:5" x14ac:dyDescent="0.25">
      <c r="A7034" s="41">
        <v>43759</v>
      </c>
      <c r="B7034" s="37">
        <v>276.52999999999997</v>
      </c>
      <c r="C7034" s="37">
        <f t="shared" si="224"/>
        <v>46.088333333333324</v>
      </c>
      <c r="D7034" s="37">
        <v>7.1829999999999998</v>
      </c>
      <c r="E7034" s="33">
        <f t="shared" si="225"/>
        <v>-2.078611898016999E-2</v>
      </c>
    </row>
    <row r="7035" spans="1:5" x14ac:dyDescent="0.25">
      <c r="A7035" s="41">
        <v>43759</v>
      </c>
      <c r="B7035" s="37">
        <v>276.2</v>
      </c>
      <c r="C7035" s="37">
        <f t="shared" si="224"/>
        <v>46.033333333333331</v>
      </c>
      <c r="D7035" s="37">
        <v>7.1829999999999998</v>
      </c>
      <c r="E7035" s="33">
        <f t="shared" si="225"/>
        <v>-1.1933605757060142E-3</v>
      </c>
    </row>
    <row r="7036" spans="1:5" x14ac:dyDescent="0.25">
      <c r="A7036" s="41">
        <v>43759</v>
      </c>
      <c r="B7036" s="37">
        <v>275.86</v>
      </c>
      <c r="C7036" s="37">
        <f t="shared" si="224"/>
        <v>45.976666666666667</v>
      </c>
      <c r="D7036" s="37">
        <v>7.1829999999999998</v>
      </c>
      <c r="E7036" s="33">
        <f t="shared" si="225"/>
        <v>-1.2309920347573318E-3</v>
      </c>
    </row>
    <row r="7037" spans="1:5" x14ac:dyDescent="0.25">
      <c r="A7037" s="41">
        <v>43759</v>
      </c>
      <c r="B7037" s="37">
        <v>275.76</v>
      </c>
      <c r="C7037" s="37">
        <f t="shared" si="224"/>
        <v>45.96</v>
      </c>
      <c r="D7037" s="37">
        <v>7.1829999999999998</v>
      </c>
      <c r="E7037" s="33">
        <f t="shared" si="225"/>
        <v>-3.6250271877047316E-4</v>
      </c>
    </row>
    <row r="7038" spans="1:5" x14ac:dyDescent="0.25">
      <c r="A7038" s="41">
        <v>43759</v>
      </c>
      <c r="B7038" s="37">
        <v>275.82</v>
      </c>
      <c r="C7038" s="37">
        <f t="shared" si="224"/>
        <v>45.97</v>
      </c>
      <c r="D7038" s="37">
        <v>7.1829999999999998</v>
      </c>
      <c r="E7038" s="33">
        <f t="shared" si="225"/>
        <v>2.1758050478677937E-4</v>
      </c>
    </row>
    <row r="7039" spans="1:5" x14ac:dyDescent="0.25">
      <c r="A7039" s="41">
        <v>43759</v>
      </c>
      <c r="B7039" s="37">
        <v>276.45999999999998</v>
      </c>
      <c r="C7039" s="37">
        <f t="shared" si="224"/>
        <v>46.076666666666661</v>
      </c>
      <c r="D7039" s="37">
        <v>7.1829999999999998</v>
      </c>
      <c r="E7039" s="33">
        <f t="shared" si="225"/>
        <v>2.3203538539626799E-3</v>
      </c>
    </row>
    <row r="7040" spans="1:5" x14ac:dyDescent="0.25">
      <c r="A7040" s="41">
        <v>43759</v>
      </c>
      <c r="B7040" s="37">
        <v>279.72000000000003</v>
      </c>
      <c r="C7040" s="37">
        <f t="shared" si="224"/>
        <v>46.620000000000005</v>
      </c>
      <c r="D7040" s="37">
        <v>7.1829999999999998</v>
      </c>
      <c r="E7040" s="33">
        <f t="shared" si="225"/>
        <v>1.1791940967952138E-2</v>
      </c>
    </row>
    <row r="7041" spans="1:5" x14ac:dyDescent="0.25">
      <c r="A7041" s="41">
        <v>43759</v>
      </c>
      <c r="B7041" s="37">
        <v>284.17</v>
      </c>
      <c r="C7041" s="37">
        <f t="shared" si="224"/>
        <v>47.361666666666665</v>
      </c>
      <c r="D7041" s="37">
        <v>7.1829999999999998</v>
      </c>
      <c r="E7041" s="33">
        <f t="shared" si="225"/>
        <v>1.5908765908765866E-2</v>
      </c>
    </row>
    <row r="7042" spans="1:5" x14ac:dyDescent="0.25">
      <c r="A7042" s="41">
        <v>43759</v>
      </c>
      <c r="B7042" s="37">
        <v>292.29000000000002</v>
      </c>
      <c r="C7042" s="37">
        <f t="shared" si="224"/>
        <v>48.715000000000003</v>
      </c>
      <c r="D7042" s="37">
        <v>7.1829999999999998</v>
      </c>
      <c r="E7042" s="33">
        <f t="shared" si="225"/>
        <v>2.8574444874546939E-2</v>
      </c>
    </row>
    <row r="7043" spans="1:5" x14ac:dyDescent="0.25">
      <c r="A7043" s="41">
        <v>43759</v>
      </c>
      <c r="B7043" s="37">
        <v>296.62</v>
      </c>
      <c r="C7043" s="37">
        <f t="shared" ref="C7043:C7106" si="226">(B7043*100/600)</f>
        <v>49.436666666666667</v>
      </c>
      <c r="D7043" s="37">
        <v>7.1829999999999998</v>
      </c>
      <c r="E7043" s="33">
        <f t="shared" si="225"/>
        <v>1.4814054534879688E-2</v>
      </c>
    </row>
    <row r="7044" spans="1:5" x14ac:dyDescent="0.25">
      <c r="A7044" s="41">
        <v>43759</v>
      </c>
      <c r="B7044" s="37">
        <v>298.62</v>
      </c>
      <c r="C7044" s="37">
        <f t="shared" si="226"/>
        <v>49.77</v>
      </c>
      <c r="D7044" s="37">
        <v>7.1829999999999998</v>
      </c>
      <c r="E7044" s="33">
        <f t="shared" ref="E7044:E7107" si="227">(B7044-B7043)/B7043</f>
        <v>6.7426336727125615E-3</v>
      </c>
    </row>
    <row r="7045" spans="1:5" x14ac:dyDescent="0.25">
      <c r="A7045" s="41">
        <v>43759</v>
      </c>
      <c r="B7045" s="37">
        <v>298.88</v>
      </c>
      <c r="C7045" s="37">
        <f t="shared" si="226"/>
        <v>49.813333333333333</v>
      </c>
      <c r="D7045" s="37">
        <v>7.1829999999999998</v>
      </c>
      <c r="E7045" s="33">
        <f t="shared" si="227"/>
        <v>8.7067175674767564E-4</v>
      </c>
    </row>
    <row r="7046" spans="1:5" x14ac:dyDescent="0.25">
      <c r="A7046" s="41">
        <v>43759</v>
      </c>
      <c r="B7046" s="37">
        <v>298.43</v>
      </c>
      <c r="C7046" s="37">
        <f t="shared" si="226"/>
        <v>49.738333333333337</v>
      </c>
      <c r="D7046" s="37">
        <v>7.1829999999999998</v>
      </c>
      <c r="E7046" s="33">
        <f t="shared" si="227"/>
        <v>-1.5056209850106686E-3</v>
      </c>
    </row>
    <row r="7047" spans="1:5" x14ac:dyDescent="0.25">
      <c r="A7047" s="41">
        <v>43759</v>
      </c>
      <c r="B7047" s="37">
        <v>299.08999999999997</v>
      </c>
      <c r="C7047" s="37">
        <f t="shared" si="226"/>
        <v>49.848333333333329</v>
      </c>
      <c r="D7047" s="37">
        <v>7.1829999999999998</v>
      </c>
      <c r="E7047" s="33">
        <f t="shared" si="227"/>
        <v>2.2115739034278326E-3</v>
      </c>
    </row>
    <row r="7048" spans="1:5" x14ac:dyDescent="0.25">
      <c r="A7048" s="41">
        <v>43759</v>
      </c>
      <c r="B7048" s="37">
        <v>299.95</v>
      </c>
      <c r="C7048" s="37">
        <f t="shared" si="226"/>
        <v>49.991666666666667</v>
      </c>
      <c r="D7048" s="37">
        <v>7.1829999999999998</v>
      </c>
      <c r="E7048" s="33">
        <f t="shared" si="227"/>
        <v>2.8753886789929912E-3</v>
      </c>
    </row>
    <row r="7049" spans="1:5" x14ac:dyDescent="0.25">
      <c r="A7049" s="41">
        <v>43759</v>
      </c>
      <c r="B7049" s="37">
        <v>300.33</v>
      </c>
      <c r="C7049" s="37">
        <f t="shared" si="226"/>
        <v>50.055</v>
      </c>
      <c r="D7049" s="37">
        <v>7.1829999999999998</v>
      </c>
      <c r="E7049" s="33">
        <f t="shared" si="227"/>
        <v>1.2668778129688129E-3</v>
      </c>
    </row>
    <row r="7050" spans="1:5" x14ac:dyDescent="0.25">
      <c r="A7050" s="41">
        <v>43759</v>
      </c>
      <c r="B7050" s="37">
        <v>299.70999999999998</v>
      </c>
      <c r="C7050" s="37">
        <f t="shared" si="226"/>
        <v>49.951666666666661</v>
      </c>
      <c r="D7050" s="37">
        <v>7.1829999999999998</v>
      </c>
      <c r="E7050" s="33">
        <f t="shared" si="227"/>
        <v>-2.0643958312523045E-3</v>
      </c>
    </row>
    <row r="7051" spans="1:5" x14ac:dyDescent="0.25">
      <c r="A7051" s="41">
        <v>43759</v>
      </c>
      <c r="B7051" s="37">
        <v>298.17</v>
      </c>
      <c r="C7051" s="37">
        <f t="shared" si="226"/>
        <v>49.695</v>
      </c>
      <c r="D7051" s="37">
        <v>7.1829999999999998</v>
      </c>
      <c r="E7051" s="33">
        <f t="shared" si="227"/>
        <v>-5.1383003570116574E-3</v>
      </c>
    </row>
    <row r="7052" spans="1:5" x14ac:dyDescent="0.25">
      <c r="A7052" s="41">
        <v>43759</v>
      </c>
      <c r="B7052" s="37">
        <v>298.48</v>
      </c>
      <c r="C7052" s="37">
        <f t="shared" si="226"/>
        <v>49.74666666666667</v>
      </c>
      <c r="D7052" s="37">
        <v>7.1829999999999998</v>
      </c>
      <c r="E7052" s="33">
        <f t="shared" si="227"/>
        <v>1.0396753529865589E-3</v>
      </c>
    </row>
    <row r="7053" spans="1:5" x14ac:dyDescent="0.25">
      <c r="A7053" s="41">
        <v>43759</v>
      </c>
      <c r="B7053" s="37">
        <v>298.29000000000002</v>
      </c>
      <c r="C7053" s="37">
        <f t="shared" si="226"/>
        <v>49.715000000000003</v>
      </c>
      <c r="D7053" s="37">
        <v>7.1829999999999998</v>
      </c>
      <c r="E7053" s="33">
        <f t="shared" si="227"/>
        <v>-6.3655856338782398E-4</v>
      </c>
    </row>
    <row r="7054" spans="1:5" x14ac:dyDescent="0.25">
      <c r="A7054" s="41">
        <v>43759</v>
      </c>
      <c r="B7054" s="37">
        <v>297.97000000000003</v>
      </c>
      <c r="C7054" s="37">
        <f t="shared" si="226"/>
        <v>49.661666666666676</v>
      </c>
      <c r="D7054" s="37">
        <v>7.1829999999999998</v>
      </c>
      <c r="E7054" s="33">
        <f t="shared" si="227"/>
        <v>-1.0727815213382721E-3</v>
      </c>
    </row>
    <row r="7055" spans="1:5" x14ac:dyDescent="0.25">
      <c r="A7055" s="41">
        <v>43759</v>
      </c>
      <c r="B7055" s="37">
        <v>297.92</v>
      </c>
      <c r="C7055" s="37">
        <f t="shared" si="226"/>
        <v>49.653333333333336</v>
      </c>
      <c r="D7055" s="37">
        <v>7.1829999999999998</v>
      </c>
      <c r="E7055" s="33">
        <f t="shared" si="227"/>
        <v>-1.6780212773101776E-4</v>
      </c>
    </row>
    <row r="7056" spans="1:5" x14ac:dyDescent="0.25">
      <c r="A7056" s="41">
        <v>43759</v>
      </c>
      <c r="B7056" s="37">
        <v>296.54000000000002</v>
      </c>
      <c r="C7056" s="37">
        <f t="shared" si="226"/>
        <v>49.423333333333339</v>
      </c>
      <c r="D7056" s="37">
        <v>7.1829999999999998</v>
      </c>
      <c r="E7056" s="33">
        <f t="shared" si="227"/>
        <v>-4.6321160042964403E-3</v>
      </c>
    </row>
    <row r="7057" spans="1:5" x14ac:dyDescent="0.25">
      <c r="A7057" s="41">
        <v>43759</v>
      </c>
      <c r="B7057" s="37">
        <v>291.69</v>
      </c>
      <c r="C7057" s="37">
        <f t="shared" si="226"/>
        <v>48.615000000000002</v>
      </c>
      <c r="D7057" s="37">
        <v>7.1829999999999998</v>
      </c>
      <c r="E7057" s="33">
        <f t="shared" si="227"/>
        <v>-1.6355297767586235E-2</v>
      </c>
    </row>
    <row r="7058" spans="1:5" x14ac:dyDescent="0.25">
      <c r="A7058" s="41">
        <v>43760</v>
      </c>
      <c r="B7058" s="37">
        <v>281.95</v>
      </c>
      <c r="C7058" s="37">
        <f t="shared" si="226"/>
        <v>46.991666666666667</v>
      </c>
      <c r="D7058" s="37">
        <v>6.9189999999999996</v>
      </c>
      <c r="E7058" s="33">
        <f t="shared" si="227"/>
        <v>-3.3391614385134938E-2</v>
      </c>
    </row>
    <row r="7059" spans="1:5" x14ac:dyDescent="0.25">
      <c r="A7059" s="41">
        <v>43760</v>
      </c>
      <c r="B7059" s="37">
        <v>279.48</v>
      </c>
      <c r="C7059" s="37">
        <f t="shared" si="226"/>
        <v>46.58</v>
      </c>
      <c r="D7059" s="37">
        <v>6.9189999999999996</v>
      </c>
      <c r="E7059" s="33">
        <f t="shared" si="227"/>
        <v>-8.7604185139208042E-3</v>
      </c>
    </row>
    <row r="7060" spans="1:5" x14ac:dyDescent="0.25">
      <c r="A7060" s="41">
        <v>43760</v>
      </c>
      <c r="B7060" s="37">
        <v>276.85000000000002</v>
      </c>
      <c r="C7060" s="37">
        <f t="shared" si="226"/>
        <v>46.141666666666673</v>
      </c>
      <c r="D7060" s="37">
        <v>6.9189999999999996</v>
      </c>
      <c r="E7060" s="33">
        <f t="shared" si="227"/>
        <v>-9.4103334764562598E-3</v>
      </c>
    </row>
    <row r="7061" spans="1:5" x14ac:dyDescent="0.25">
      <c r="A7061" s="41">
        <v>43760</v>
      </c>
      <c r="B7061" s="37">
        <v>276.61</v>
      </c>
      <c r="C7061" s="37">
        <f t="shared" si="226"/>
        <v>46.101666666666667</v>
      </c>
      <c r="D7061" s="37">
        <v>6.9189999999999996</v>
      </c>
      <c r="E7061" s="33">
        <f t="shared" si="227"/>
        <v>-8.6689543073869993E-4</v>
      </c>
    </row>
    <row r="7062" spans="1:5" x14ac:dyDescent="0.25">
      <c r="A7062" s="41">
        <v>43760</v>
      </c>
      <c r="B7062" s="37">
        <v>276.8</v>
      </c>
      <c r="C7062" s="37">
        <f t="shared" si="226"/>
        <v>46.133333333333333</v>
      </c>
      <c r="D7062" s="37">
        <v>6.9189999999999996</v>
      </c>
      <c r="E7062" s="33">
        <f t="shared" si="227"/>
        <v>6.868876757890088E-4</v>
      </c>
    </row>
    <row r="7063" spans="1:5" x14ac:dyDescent="0.25">
      <c r="A7063" s="41">
        <v>43760</v>
      </c>
      <c r="B7063" s="37">
        <v>278.31</v>
      </c>
      <c r="C7063" s="37">
        <f t="shared" si="226"/>
        <v>46.384999999999998</v>
      </c>
      <c r="D7063" s="37">
        <v>6.9189999999999996</v>
      </c>
      <c r="E7063" s="33">
        <f t="shared" si="227"/>
        <v>5.4552023121386952E-3</v>
      </c>
    </row>
    <row r="7064" spans="1:5" x14ac:dyDescent="0.25">
      <c r="A7064" s="41">
        <v>43760</v>
      </c>
      <c r="B7064" s="37">
        <v>280.49</v>
      </c>
      <c r="C7064" s="37">
        <f t="shared" si="226"/>
        <v>46.748333333333335</v>
      </c>
      <c r="D7064" s="37">
        <v>6.9189999999999996</v>
      </c>
      <c r="E7064" s="33">
        <f t="shared" si="227"/>
        <v>7.8329919873522582E-3</v>
      </c>
    </row>
    <row r="7065" spans="1:5" x14ac:dyDescent="0.25">
      <c r="A7065" s="41">
        <v>43760</v>
      </c>
      <c r="B7065" s="37">
        <v>286.86</v>
      </c>
      <c r="C7065" s="37">
        <f t="shared" si="226"/>
        <v>47.81</v>
      </c>
      <c r="D7065" s="37">
        <v>6.9189999999999996</v>
      </c>
      <c r="E7065" s="33">
        <f t="shared" si="227"/>
        <v>2.2710257050162233E-2</v>
      </c>
    </row>
    <row r="7066" spans="1:5" x14ac:dyDescent="0.25">
      <c r="A7066" s="41">
        <v>43760</v>
      </c>
      <c r="B7066" s="37">
        <v>293.32</v>
      </c>
      <c r="C7066" s="37">
        <f t="shared" si="226"/>
        <v>48.886666666666663</v>
      </c>
      <c r="D7066" s="37">
        <v>6.9189999999999996</v>
      </c>
      <c r="E7066" s="33">
        <f t="shared" si="227"/>
        <v>2.2519696018963881E-2</v>
      </c>
    </row>
    <row r="7067" spans="1:5" x14ac:dyDescent="0.25">
      <c r="A7067" s="41">
        <v>43760</v>
      </c>
      <c r="B7067" s="37">
        <v>297.19</v>
      </c>
      <c r="C7067" s="37">
        <f t="shared" si="226"/>
        <v>49.531666666666666</v>
      </c>
      <c r="D7067" s="37">
        <v>6.9189999999999996</v>
      </c>
      <c r="E7067" s="33">
        <f t="shared" si="227"/>
        <v>1.3193781535524357E-2</v>
      </c>
    </row>
    <row r="7068" spans="1:5" x14ac:dyDescent="0.25">
      <c r="A7068" s="41">
        <v>43760</v>
      </c>
      <c r="B7068" s="37">
        <v>299.36</v>
      </c>
      <c r="C7068" s="37">
        <f t="shared" si="226"/>
        <v>49.893333333333331</v>
      </c>
      <c r="D7068" s="37">
        <v>6.9189999999999996</v>
      </c>
      <c r="E7068" s="33">
        <f t="shared" si="227"/>
        <v>7.3017261684444829E-3</v>
      </c>
    </row>
    <row r="7069" spans="1:5" x14ac:dyDescent="0.25">
      <c r="A7069" s="41">
        <v>43760</v>
      </c>
      <c r="B7069" s="37">
        <v>299.38</v>
      </c>
      <c r="C7069" s="37">
        <f t="shared" si="226"/>
        <v>49.896666666666668</v>
      </c>
      <c r="D7069" s="37">
        <v>6.9189999999999996</v>
      </c>
      <c r="E7069" s="33">
        <f t="shared" si="227"/>
        <v>6.6809192944888463E-5</v>
      </c>
    </row>
    <row r="7070" spans="1:5" x14ac:dyDescent="0.25">
      <c r="A7070" s="41">
        <v>43760</v>
      </c>
      <c r="B7070" s="37">
        <v>297.89</v>
      </c>
      <c r="C7070" s="37">
        <f t="shared" si="226"/>
        <v>49.648333333333333</v>
      </c>
      <c r="D7070" s="37">
        <v>6.9189999999999996</v>
      </c>
      <c r="E7070" s="33">
        <f t="shared" si="227"/>
        <v>-4.9769523682277007E-3</v>
      </c>
    </row>
    <row r="7071" spans="1:5" x14ac:dyDescent="0.25">
      <c r="A7071" s="41">
        <v>43760</v>
      </c>
      <c r="B7071" s="37">
        <v>300</v>
      </c>
      <c r="C7071" s="37">
        <f t="shared" si="226"/>
        <v>50</v>
      </c>
      <c r="D7071" s="37">
        <v>6.9189999999999996</v>
      </c>
      <c r="E7071" s="33">
        <f t="shared" si="227"/>
        <v>7.0831514988754698E-3</v>
      </c>
    </row>
    <row r="7072" spans="1:5" x14ac:dyDescent="0.25">
      <c r="A7072" s="41">
        <v>43760</v>
      </c>
      <c r="B7072" s="37">
        <v>301.2</v>
      </c>
      <c r="C7072" s="37">
        <f t="shared" si="226"/>
        <v>50.2</v>
      </c>
      <c r="D7072" s="37">
        <v>6.9189999999999996</v>
      </c>
      <c r="E7072" s="33">
        <f t="shared" si="227"/>
        <v>3.9999999999999619E-3</v>
      </c>
    </row>
    <row r="7073" spans="1:5" x14ac:dyDescent="0.25">
      <c r="A7073" s="41">
        <v>43760</v>
      </c>
      <c r="B7073" s="37">
        <v>301.27999999999997</v>
      </c>
      <c r="C7073" s="37">
        <f t="shared" si="226"/>
        <v>50.213333333333324</v>
      </c>
      <c r="D7073" s="37">
        <v>6.9189999999999996</v>
      </c>
      <c r="E7073" s="33">
        <f t="shared" si="227"/>
        <v>2.6560424966794188E-4</v>
      </c>
    </row>
    <row r="7074" spans="1:5" x14ac:dyDescent="0.25">
      <c r="A7074" s="41">
        <v>43760</v>
      </c>
      <c r="B7074" s="37">
        <v>300.87</v>
      </c>
      <c r="C7074" s="37">
        <f t="shared" si="226"/>
        <v>50.145000000000003</v>
      </c>
      <c r="D7074" s="37">
        <v>6.9189999999999996</v>
      </c>
      <c r="E7074" s="33">
        <f t="shared" si="227"/>
        <v>-1.3608603292617108E-3</v>
      </c>
    </row>
    <row r="7075" spans="1:5" x14ac:dyDescent="0.25">
      <c r="A7075" s="41">
        <v>43760</v>
      </c>
      <c r="B7075" s="37">
        <v>297.60000000000002</v>
      </c>
      <c r="C7075" s="37">
        <f t="shared" si="226"/>
        <v>49.600000000000009</v>
      </c>
      <c r="D7075" s="37">
        <v>6.9189999999999996</v>
      </c>
      <c r="E7075" s="33">
        <f t="shared" si="227"/>
        <v>-1.0868481403928546E-2</v>
      </c>
    </row>
    <row r="7076" spans="1:5" x14ac:dyDescent="0.25">
      <c r="A7076" s="41">
        <v>43760</v>
      </c>
      <c r="B7076" s="37">
        <v>299.17</v>
      </c>
      <c r="C7076" s="37">
        <f t="shared" si="226"/>
        <v>49.861666666666665</v>
      </c>
      <c r="D7076" s="37">
        <v>6.9189999999999996</v>
      </c>
      <c r="E7076" s="33">
        <f t="shared" si="227"/>
        <v>5.2755376344085789E-3</v>
      </c>
    </row>
    <row r="7077" spans="1:5" x14ac:dyDescent="0.25">
      <c r="A7077" s="41">
        <v>43760</v>
      </c>
      <c r="B7077" s="37">
        <v>299.95999999999998</v>
      </c>
      <c r="C7077" s="37">
        <f t="shared" si="226"/>
        <v>49.993333333333325</v>
      </c>
      <c r="D7077" s="37">
        <v>6.9189999999999996</v>
      </c>
      <c r="E7077" s="33">
        <f t="shared" si="227"/>
        <v>2.6406391015140673E-3</v>
      </c>
    </row>
    <row r="7078" spans="1:5" x14ac:dyDescent="0.25">
      <c r="A7078" s="41">
        <v>43760</v>
      </c>
      <c r="B7078" s="37">
        <v>298.25</v>
      </c>
      <c r="C7078" s="37">
        <f t="shared" si="226"/>
        <v>49.708333333333336</v>
      </c>
      <c r="D7078" s="37">
        <v>6.9189999999999996</v>
      </c>
      <c r="E7078" s="33">
        <f t="shared" si="227"/>
        <v>-5.7007601013467782E-3</v>
      </c>
    </row>
    <row r="7079" spans="1:5" x14ac:dyDescent="0.25">
      <c r="A7079" s="41">
        <v>43760</v>
      </c>
      <c r="B7079" s="37">
        <v>298.5</v>
      </c>
      <c r="C7079" s="37">
        <f t="shared" si="226"/>
        <v>49.75</v>
      </c>
      <c r="D7079" s="37">
        <v>6.9189999999999996</v>
      </c>
      <c r="E7079" s="33">
        <f t="shared" si="227"/>
        <v>8.3822296730930428E-4</v>
      </c>
    </row>
    <row r="7080" spans="1:5" x14ac:dyDescent="0.25">
      <c r="A7080" s="41">
        <v>43760</v>
      </c>
      <c r="B7080" s="37">
        <v>297.62</v>
      </c>
      <c r="C7080" s="37">
        <f t="shared" si="226"/>
        <v>49.603333333333332</v>
      </c>
      <c r="D7080" s="37">
        <v>6.9189999999999996</v>
      </c>
      <c r="E7080" s="33">
        <f t="shared" si="227"/>
        <v>-2.948073701842531E-3</v>
      </c>
    </row>
    <row r="7081" spans="1:5" x14ac:dyDescent="0.25">
      <c r="A7081" s="41">
        <v>43760</v>
      </c>
      <c r="B7081" s="37">
        <v>293.10000000000002</v>
      </c>
      <c r="C7081" s="37">
        <f t="shared" si="226"/>
        <v>48.850000000000009</v>
      </c>
      <c r="D7081" s="37">
        <v>6.9189999999999996</v>
      </c>
      <c r="E7081" s="33">
        <f t="shared" si="227"/>
        <v>-1.5187151401115455E-2</v>
      </c>
    </row>
    <row r="7082" spans="1:5" x14ac:dyDescent="0.25">
      <c r="A7082" s="41">
        <v>43761</v>
      </c>
      <c r="B7082" s="37">
        <v>279.52</v>
      </c>
      <c r="C7082" s="37">
        <f t="shared" si="226"/>
        <v>46.586666666666666</v>
      </c>
      <c r="D7082" s="37">
        <v>6.4690000000000003</v>
      </c>
      <c r="E7082" s="33">
        <f t="shared" si="227"/>
        <v>-4.6332309791880043E-2</v>
      </c>
    </row>
    <row r="7083" spans="1:5" x14ac:dyDescent="0.25">
      <c r="A7083" s="41">
        <v>43761</v>
      </c>
      <c r="B7083" s="37">
        <v>278.36</v>
      </c>
      <c r="C7083" s="37">
        <f t="shared" si="226"/>
        <v>46.393333333333331</v>
      </c>
      <c r="D7083" s="37">
        <v>6.4690000000000003</v>
      </c>
      <c r="E7083" s="33">
        <f t="shared" si="227"/>
        <v>-4.1499713795076143E-3</v>
      </c>
    </row>
    <row r="7084" spans="1:5" x14ac:dyDescent="0.25">
      <c r="A7084" s="41">
        <v>43761</v>
      </c>
      <c r="B7084" s="37">
        <v>277.39999999999998</v>
      </c>
      <c r="C7084" s="37">
        <f t="shared" si="226"/>
        <v>46.233333333333327</v>
      </c>
      <c r="D7084" s="37">
        <v>6.4690000000000003</v>
      </c>
      <c r="E7084" s="33">
        <f t="shared" si="227"/>
        <v>-3.4487713751977164E-3</v>
      </c>
    </row>
    <row r="7085" spans="1:5" x14ac:dyDescent="0.25">
      <c r="A7085" s="41">
        <v>43761</v>
      </c>
      <c r="B7085" s="37">
        <v>277.41000000000003</v>
      </c>
      <c r="C7085" s="37">
        <f t="shared" si="226"/>
        <v>46.235000000000007</v>
      </c>
      <c r="D7085" s="37">
        <v>6.4690000000000003</v>
      </c>
      <c r="E7085" s="33">
        <f t="shared" si="227"/>
        <v>3.6049026676451873E-5</v>
      </c>
    </row>
    <row r="7086" spans="1:5" x14ac:dyDescent="0.25">
      <c r="A7086" s="41">
        <v>43761</v>
      </c>
      <c r="B7086" s="37">
        <v>278</v>
      </c>
      <c r="C7086" s="37">
        <f t="shared" si="226"/>
        <v>46.333333333333336</v>
      </c>
      <c r="D7086" s="37">
        <v>6.4690000000000003</v>
      </c>
      <c r="E7086" s="33">
        <f t="shared" si="227"/>
        <v>2.1268159042571464E-3</v>
      </c>
    </row>
    <row r="7087" spans="1:5" x14ac:dyDescent="0.25">
      <c r="A7087" s="41">
        <v>43761</v>
      </c>
      <c r="B7087" s="37">
        <v>278.58999999999997</v>
      </c>
      <c r="C7087" s="37">
        <f t="shared" si="226"/>
        <v>46.431666666666658</v>
      </c>
      <c r="D7087" s="37">
        <v>6.4690000000000003</v>
      </c>
      <c r="E7087" s="33">
        <f t="shared" si="227"/>
        <v>2.1223021582732911E-3</v>
      </c>
    </row>
    <row r="7088" spans="1:5" x14ac:dyDescent="0.25">
      <c r="A7088" s="41">
        <v>43761</v>
      </c>
      <c r="B7088" s="37">
        <v>280.14999999999998</v>
      </c>
      <c r="C7088" s="37">
        <f t="shared" si="226"/>
        <v>46.691666666666663</v>
      </c>
      <c r="D7088" s="37">
        <v>6.4690000000000003</v>
      </c>
      <c r="E7088" s="33">
        <f t="shared" si="227"/>
        <v>5.5996266915539052E-3</v>
      </c>
    </row>
    <row r="7089" spans="1:5" x14ac:dyDescent="0.25">
      <c r="A7089" s="41">
        <v>43761</v>
      </c>
      <c r="B7089" s="37">
        <v>287.2</v>
      </c>
      <c r="C7089" s="37">
        <f t="shared" si="226"/>
        <v>47.866666666666667</v>
      </c>
      <c r="D7089" s="37">
        <v>6.4690000000000003</v>
      </c>
      <c r="E7089" s="33">
        <f t="shared" si="227"/>
        <v>2.516509013028739E-2</v>
      </c>
    </row>
    <row r="7090" spans="1:5" x14ac:dyDescent="0.25">
      <c r="A7090" s="41">
        <v>43761</v>
      </c>
      <c r="B7090" s="37">
        <v>293.63</v>
      </c>
      <c r="C7090" s="37">
        <f t="shared" si="226"/>
        <v>48.938333333333333</v>
      </c>
      <c r="D7090" s="37">
        <v>6.4690000000000003</v>
      </c>
      <c r="E7090" s="33">
        <f t="shared" si="227"/>
        <v>2.2388579387186653E-2</v>
      </c>
    </row>
    <row r="7091" spans="1:5" x14ac:dyDescent="0.25">
      <c r="A7091" s="41">
        <v>43761</v>
      </c>
      <c r="B7091" s="37">
        <v>298.7</v>
      </c>
      <c r="C7091" s="37">
        <f t="shared" si="226"/>
        <v>49.783333333333331</v>
      </c>
      <c r="D7091" s="37">
        <v>6.4690000000000003</v>
      </c>
      <c r="E7091" s="33">
        <f t="shared" si="227"/>
        <v>1.726662806933894E-2</v>
      </c>
    </row>
    <row r="7092" spans="1:5" x14ac:dyDescent="0.25">
      <c r="A7092" s="41">
        <v>43761</v>
      </c>
      <c r="B7092" s="37">
        <v>301.17</v>
      </c>
      <c r="C7092" s="37">
        <f t="shared" si="226"/>
        <v>50.195</v>
      </c>
      <c r="D7092" s="37">
        <v>6.4690000000000003</v>
      </c>
      <c r="E7092" s="33">
        <f t="shared" si="227"/>
        <v>8.2691663876800388E-3</v>
      </c>
    </row>
    <row r="7093" spans="1:5" x14ac:dyDescent="0.25">
      <c r="A7093" s="41">
        <v>43761</v>
      </c>
      <c r="B7093" s="37">
        <v>301.06</v>
      </c>
      <c r="C7093" s="37">
        <f t="shared" si="226"/>
        <v>50.176666666666669</v>
      </c>
      <c r="D7093" s="37">
        <v>6.4690000000000003</v>
      </c>
      <c r="E7093" s="33">
        <f t="shared" si="227"/>
        <v>-3.6524222200090859E-4</v>
      </c>
    </row>
    <row r="7094" spans="1:5" x14ac:dyDescent="0.25">
      <c r="A7094" s="41">
        <v>43761</v>
      </c>
      <c r="B7094" s="37">
        <v>298.94</v>
      </c>
      <c r="C7094" s="37">
        <f t="shared" si="226"/>
        <v>49.823333333333331</v>
      </c>
      <c r="D7094" s="37">
        <v>6.4690000000000003</v>
      </c>
      <c r="E7094" s="33">
        <f t="shared" si="227"/>
        <v>-7.0417856905600363E-3</v>
      </c>
    </row>
    <row r="7095" spans="1:5" x14ac:dyDescent="0.25">
      <c r="A7095" s="41">
        <v>43761</v>
      </c>
      <c r="B7095" s="37">
        <v>300.16000000000003</v>
      </c>
      <c r="C7095" s="37">
        <f t="shared" si="226"/>
        <v>50.026666666666671</v>
      </c>
      <c r="D7095" s="37">
        <v>6.4690000000000003</v>
      </c>
      <c r="E7095" s="33">
        <f t="shared" si="227"/>
        <v>4.0810865056533996E-3</v>
      </c>
    </row>
    <row r="7096" spans="1:5" x14ac:dyDescent="0.25">
      <c r="A7096" s="41">
        <v>43761</v>
      </c>
      <c r="B7096" s="37">
        <v>301.43</v>
      </c>
      <c r="C7096" s="37">
        <f t="shared" si="226"/>
        <v>50.238333333333337</v>
      </c>
      <c r="D7096" s="37">
        <v>6.4690000000000003</v>
      </c>
      <c r="E7096" s="33">
        <f t="shared" si="227"/>
        <v>4.2310767590617729E-3</v>
      </c>
    </row>
    <row r="7097" spans="1:5" x14ac:dyDescent="0.25">
      <c r="A7097" s="41">
        <v>43761</v>
      </c>
      <c r="B7097" s="37">
        <v>300.74</v>
      </c>
      <c r="C7097" s="37">
        <f t="shared" si="226"/>
        <v>50.123333333333335</v>
      </c>
      <c r="D7097" s="37">
        <v>6.4690000000000003</v>
      </c>
      <c r="E7097" s="33">
        <f t="shared" si="227"/>
        <v>-2.2890886773048393E-3</v>
      </c>
    </row>
    <row r="7098" spans="1:5" x14ac:dyDescent="0.25">
      <c r="A7098" s="41">
        <v>43761</v>
      </c>
      <c r="B7098" s="37">
        <v>300.26</v>
      </c>
      <c r="C7098" s="37">
        <f t="shared" si="226"/>
        <v>50.043333333333337</v>
      </c>
      <c r="D7098" s="37">
        <v>6.4690000000000003</v>
      </c>
      <c r="E7098" s="33">
        <f t="shared" si="227"/>
        <v>-1.5960630444903179E-3</v>
      </c>
    </row>
    <row r="7099" spans="1:5" x14ac:dyDescent="0.25">
      <c r="A7099" s="41">
        <v>43761</v>
      </c>
      <c r="B7099" s="37">
        <v>298.66000000000003</v>
      </c>
      <c r="C7099" s="37">
        <f t="shared" si="226"/>
        <v>49.776666666666671</v>
      </c>
      <c r="D7099" s="37">
        <v>6.4690000000000003</v>
      </c>
      <c r="E7099" s="33">
        <f t="shared" si="227"/>
        <v>-5.3287151135681275E-3</v>
      </c>
    </row>
    <row r="7100" spans="1:5" x14ac:dyDescent="0.25">
      <c r="A7100" s="41">
        <v>43761</v>
      </c>
      <c r="B7100" s="37">
        <v>299.42</v>
      </c>
      <c r="C7100" s="37">
        <f t="shared" si="226"/>
        <v>49.903333333333336</v>
      </c>
      <c r="D7100" s="37">
        <v>6.4690000000000003</v>
      </c>
      <c r="E7100" s="33">
        <f t="shared" si="227"/>
        <v>2.544699658474489E-3</v>
      </c>
    </row>
    <row r="7101" spans="1:5" x14ac:dyDescent="0.25">
      <c r="A7101" s="41">
        <v>43761</v>
      </c>
      <c r="B7101" s="37">
        <v>299.43</v>
      </c>
      <c r="C7101" s="37">
        <f t="shared" si="226"/>
        <v>49.905000000000001</v>
      </c>
      <c r="D7101" s="37">
        <v>6.4690000000000003</v>
      </c>
      <c r="E7101" s="33">
        <f t="shared" si="227"/>
        <v>3.3397902611685608E-5</v>
      </c>
    </row>
    <row r="7102" spans="1:5" x14ac:dyDescent="0.25">
      <c r="A7102" s="41">
        <v>43761</v>
      </c>
      <c r="B7102" s="37">
        <v>298.70999999999998</v>
      </c>
      <c r="C7102" s="37">
        <f t="shared" si="226"/>
        <v>49.784999999999997</v>
      </c>
      <c r="D7102" s="37">
        <v>6.4690000000000003</v>
      </c>
      <c r="E7102" s="33">
        <f t="shared" si="227"/>
        <v>-2.4045686804930275E-3</v>
      </c>
    </row>
    <row r="7103" spans="1:5" x14ac:dyDescent="0.25">
      <c r="A7103" s="41">
        <v>43761</v>
      </c>
      <c r="B7103" s="37">
        <v>298.43</v>
      </c>
      <c r="C7103" s="37">
        <f t="shared" si="226"/>
        <v>49.738333333333337</v>
      </c>
      <c r="D7103" s="37">
        <v>6.4690000000000003</v>
      </c>
      <c r="E7103" s="33">
        <f t="shared" si="227"/>
        <v>-9.3736399852690816E-4</v>
      </c>
    </row>
    <row r="7104" spans="1:5" x14ac:dyDescent="0.25">
      <c r="A7104" s="41">
        <v>43761</v>
      </c>
      <c r="B7104" s="37">
        <v>294.05</v>
      </c>
      <c r="C7104" s="37">
        <f t="shared" si="226"/>
        <v>49.008333333333333</v>
      </c>
      <c r="D7104" s="37">
        <v>6.4690000000000003</v>
      </c>
      <c r="E7104" s="33">
        <f t="shared" si="227"/>
        <v>-1.4676808631839946E-2</v>
      </c>
    </row>
    <row r="7105" spans="1:5" x14ac:dyDescent="0.25">
      <c r="A7105" s="41">
        <v>43761</v>
      </c>
      <c r="B7105" s="37">
        <v>287.36</v>
      </c>
      <c r="C7105" s="37">
        <f t="shared" si="226"/>
        <v>47.893333333333331</v>
      </c>
      <c r="D7105" s="37">
        <v>6.4690000000000003</v>
      </c>
      <c r="E7105" s="33">
        <f t="shared" si="227"/>
        <v>-2.2751232783540205E-2</v>
      </c>
    </row>
    <row r="7106" spans="1:5" x14ac:dyDescent="0.25">
      <c r="A7106" s="41">
        <v>43762</v>
      </c>
      <c r="B7106" s="37">
        <v>279.92</v>
      </c>
      <c r="C7106" s="37">
        <f t="shared" si="226"/>
        <v>46.653333333333336</v>
      </c>
      <c r="D7106" s="37">
        <v>5.8</v>
      </c>
      <c r="E7106" s="33">
        <f t="shared" si="227"/>
        <v>-2.5890868596881951E-2</v>
      </c>
    </row>
    <row r="7107" spans="1:5" x14ac:dyDescent="0.25">
      <c r="A7107" s="41">
        <v>43762</v>
      </c>
      <c r="B7107" s="37">
        <v>277.48</v>
      </c>
      <c r="C7107" s="37">
        <f t="shared" ref="C7107:C7170" si="228">(B7107*100/600)</f>
        <v>46.24666666666667</v>
      </c>
      <c r="D7107" s="37">
        <v>5.8</v>
      </c>
      <c r="E7107" s="33">
        <f t="shared" si="227"/>
        <v>-8.7167762217776421E-3</v>
      </c>
    </row>
    <row r="7108" spans="1:5" x14ac:dyDescent="0.25">
      <c r="A7108" s="41">
        <v>43762</v>
      </c>
      <c r="B7108" s="37">
        <v>274.82</v>
      </c>
      <c r="C7108" s="37">
        <f t="shared" si="228"/>
        <v>45.803333333333335</v>
      </c>
      <c r="D7108" s="37">
        <v>5.8</v>
      </c>
      <c r="E7108" s="33">
        <f t="shared" ref="E7108:E7171" si="229">(B7108-B7107)/B7107</f>
        <v>-9.5862764883956498E-3</v>
      </c>
    </row>
    <row r="7109" spans="1:5" x14ac:dyDescent="0.25">
      <c r="A7109" s="41">
        <v>43762</v>
      </c>
      <c r="B7109" s="37">
        <v>274.62</v>
      </c>
      <c r="C7109" s="37">
        <f t="shared" si="228"/>
        <v>45.77</v>
      </c>
      <c r="D7109" s="37">
        <v>5.8</v>
      </c>
      <c r="E7109" s="33">
        <f t="shared" si="229"/>
        <v>-7.2774907211989174E-4</v>
      </c>
    </row>
    <row r="7110" spans="1:5" x14ac:dyDescent="0.25">
      <c r="A7110" s="41">
        <v>43762</v>
      </c>
      <c r="B7110" s="37">
        <v>274.61</v>
      </c>
      <c r="C7110" s="37">
        <f t="shared" si="228"/>
        <v>45.768333333333331</v>
      </c>
      <c r="D7110" s="37">
        <v>5.8</v>
      </c>
      <c r="E7110" s="33">
        <f t="shared" si="229"/>
        <v>-3.6413953827073428E-5</v>
      </c>
    </row>
    <row r="7111" spans="1:5" x14ac:dyDescent="0.25">
      <c r="A7111" s="41">
        <v>43762</v>
      </c>
      <c r="B7111" s="37">
        <v>275.52</v>
      </c>
      <c r="C7111" s="37">
        <f t="shared" si="228"/>
        <v>45.92</v>
      </c>
      <c r="D7111" s="37">
        <v>5.8</v>
      </c>
      <c r="E7111" s="33">
        <f t="shared" si="229"/>
        <v>3.3137904664796189E-3</v>
      </c>
    </row>
    <row r="7112" spans="1:5" x14ac:dyDescent="0.25">
      <c r="A7112" s="41">
        <v>43762</v>
      </c>
      <c r="B7112" s="37">
        <v>277.89999999999998</v>
      </c>
      <c r="C7112" s="37">
        <f t="shared" si="228"/>
        <v>46.316666666666663</v>
      </c>
      <c r="D7112" s="37">
        <v>5.8</v>
      </c>
      <c r="E7112" s="33">
        <f t="shared" si="229"/>
        <v>8.6382113821138057E-3</v>
      </c>
    </row>
    <row r="7113" spans="1:5" x14ac:dyDescent="0.25">
      <c r="A7113" s="41">
        <v>43762</v>
      </c>
      <c r="B7113" s="37">
        <v>282.38</v>
      </c>
      <c r="C7113" s="37">
        <f t="shared" si="228"/>
        <v>47.063333333333333</v>
      </c>
      <c r="D7113" s="37">
        <v>5.8</v>
      </c>
      <c r="E7113" s="33">
        <f t="shared" si="229"/>
        <v>1.6120906801007622E-2</v>
      </c>
    </row>
    <row r="7114" spans="1:5" x14ac:dyDescent="0.25">
      <c r="A7114" s="41">
        <v>43762</v>
      </c>
      <c r="B7114" s="37">
        <v>289.05</v>
      </c>
      <c r="C7114" s="37">
        <f t="shared" si="228"/>
        <v>48.174999999999997</v>
      </c>
      <c r="D7114" s="37">
        <v>5.8</v>
      </c>
      <c r="E7114" s="33">
        <f t="shared" si="229"/>
        <v>2.3620653020752235E-2</v>
      </c>
    </row>
    <row r="7115" spans="1:5" x14ac:dyDescent="0.25">
      <c r="A7115" s="41">
        <v>43762</v>
      </c>
      <c r="B7115" s="37">
        <v>298.52</v>
      </c>
      <c r="C7115" s="37">
        <f t="shared" si="228"/>
        <v>49.75333333333333</v>
      </c>
      <c r="D7115" s="37">
        <v>5.8</v>
      </c>
      <c r="E7115" s="33">
        <f t="shared" si="229"/>
        <v>3.276249783774423E-2</v>
      </c>
    </row>
    <row r="7116" spans="1:5" x14ac:dyDescent="0.25">
      <c r="A7116" s="41">
        <v>43762</v>
      </c>
      <c r="B7116" s="37">
        <v>300.95</v>
      </c>
      <c r="C7116" s="37">
        <f t="shared" si="228"/>
        <v>50.158333333333331</v>
      </c>
      <c r="D7116" s="37">
        <v>5.8</v>
      </c>
      <c r="E7116" s="33">
        <f t="shared" si="229"/>
        <v>8.1401581133592627E-3</v>
      </c>
    </row>
    <row r="7117" spans="1:5" x14ac:dyDescent="0.25">
      <c r="A7117" s="41">
        <v>43762</v>
      </c>
      <c r="B7117" s="37">
        <v>301.16000000000003</v>
      </c>
      <c r="C7117" s="37">
        <f t="shared" si="228"/>
        <v>50.193333333333342</v>
      </c>
      <c r="D7117" s="37">
        <v>5.8</v>
      </c>
      <c r="E7117" s="33">
        <f t="shared" si="229"/>
        <v>6.9779033061982514E-4</v>
      </c>
    </row>
    <row r="7118" spans="1:5" x14ac:dyDescent="0.25">
      <c r="A7118" s="41">
        <v>43762</v>
      </c>
      <c r="B7118" s="37">
        <v>300.44</v>
      </c>
      <c r="C7118" s="37">
        <f t="shared" si="228"/>
        <v>50.073333333333331</v>
      </c>
      <c r="D7118" s="37">
        <v>5.8</v>
      </c>
      <c r="E7118" s="33">
        <f t="shared" si="229"/>
        <v>-2.3907557444548654E-3</v>
      </c>
    </row>
    <row r="7119" spans="1:5" x14ac:dyDescent="0.25">
      <c r="A7119" s="41">
        <v>43762</v>
      </c>
      <c r="B7119" s="37">
        <v>301.73</v>
      </c>
      <c r="C7119" s="37">
        <f t="shared" si="228"/>
        <v>50.288333333333334</v>
      </c>
      <c r="D7119" s="37">
        <v>5.8</v>
      </c>
      <c r="E7119" s="33">
        <f t="shared" si="229"/>
        <v>4.293702569564707E-3</v>
      </c>
    </row>
    <row r="7120" spans="1:5" x14ac:dyDescent="0.25">
      <c r="A7120" s="41">
        <v>43762</v>
      </c>
      <c r="B7120" s="37">
        <v>308.38</v>
      </c>
      <c r="C7120" s="37">
        <f t="shared" si="228"/>
        <v>51.396666666666668</v>
      </c>
      <c r="D7120" s="37">
        <v>5.8</v>
      </c>
      <c r="E7120" s="33">
        <f t="shared" si="229"/>
        <v>2.20395718026049E-2</v>
      </c>
    </row>
    <row r="7121" spans="1:5" x14ac:dyDescent="0.25">
      <c r="A7121" s="41">
        <v>43762</v>
      </c>
      <c r="B7121" s="37">
        <v>306.77</v>
      </c>
      <c r="C7121" s="37">
        <f t="shared" si="228"/>
        <v>51.12833333333333</v>
      </c>
      <c r="D7121" s="37">
        <v>5.8</v>
      </c>
      <c r="E7121" s="33">
        <f t="shared" si="229"/>
        <v>-5.2208314417277833E-3</v>
      </c>
    </row>
    <row r="7122" spans="1:5" x14ac:dyDescent="0.25">
      <c r="A7122" s="41">
        <v>43762</v>
      </c>
      <c r="B7122" s="37">
        <v>303.18</v>
      </c>
      <c r="C7122" s="37">
        <f t="shared" si="228"/>
        <v>50.53</v>
      </c>
      <c r="D7122" s="37">
        <v>5.8</v>
      </c>
      <c r="E7122" s="33">
        <f t="shared" si="229"/>
        <v>-1.1702578478990694E-2</v>
      </c>
    </row>
    <row r="7123" spans="1:5" x14ac:dyDescent="0.25">
      <c r="A7123" s="41">
        <v>43762</v>
      </c>
      <c r="B7123" s="37">
        <v>300.04000000000002</v>
      </c>
      <c r="C7123" s="37">
        <f t="shared" si="228"/>
        <v>50.006666666666675</v>
      </c>
      <c r="D7123" s="37">
        <v>5.8</v>
      </c>
      <c r="E7123" s="33">
        <f t="shared" si="229"/>
        <v>-1.0356883699452426E-2</v>
      </c>
    </row>
    <row r="7124" spans="1:5" x14ac:dyDescent="0.25">
      <c r="A7124" s="41">
        <v>43762</v>
      </c>
      <c r="B7124" s="37">
        <v>300.05</v>
      </c>
      <c r="C7124" s="37">
        <f t="shared" si="228"/>
        <v>50.008333333333333</v>
      </c>
      <c r="D7124" s="37">
        <v>5.8</v>
      </c>
      <c r="E7124" s="33">
        <f t="shared" si="229"/>
        <v>3.3328889481372167E-5</v>
      </c>
    </row>
    <row r="7125" spans="1:5" x14ac:dyDescent="0.25">
      <c r="A7125" s="41">
        <v>43762</v>
      </c>
      <c r="B7125" s="37">
        <v>299.97000000000003</v>
      </c>
      <c r="C7125" s="37">
        <f t="shared" si="228"/>
        <v>49.995000000000005</v>
      </c>
      <c r="D7125" s="37">
        <v>5.8</v>
      </c>
      <c r="E7125" s="33">
        <f t="shared" si="229"/>
        <v>-2.6662222962834222E-4</v>
      </c>
    </row>
    <row r="7126" spans="1:5" x14ac:dyDescent="0.25">
      <c r="A7126" s="41">
        <v>43762</v>
      </c>
      <c r="B7126" s="37">
        <v>299.77999999999997</v>
      </c>
      <c r="C7126" s="37">
        <f t="shared" si="228"/>
        <v>49.963333333333324</v>
      </c>
      <c r="D7126" s="37">
        <v>5.8</v>
      </c>
      <c r="E7126" s="33">
        <f t="shared" si="229"/>
        <v>-6.3339667300081528E-4</v>
      </c>
    </row>
    <row r="7127" spans="1:5" x14ac:dyDescent="0.25">
      <c r="A7127" s="41">
        <v>43762</v>
      </c>
      <c r="B7127" s="37">
        <v>298.94</v>
      </c>
      <c r="C7127" s="37">
        <f t="shared" si="228"/>
        <v>49.823333333333331</v>
      </c>
      <c r="D7127" s="37">
        <v>5.8</v>
      </c>
      <c r="E7127" s="33">
        <f t="shared" si="229"/>
        <v>-2.8020548402160755E-3</v>
      </c>
    </row>
    <row r="7128" spans="1:5" x14ac:dyDescent="0.25">
      <c r="A7128" s="41">
        <v>43762</v>
      </c>
      <c r="B7128" s="37">
        <v>291.88</v>
      </c>
      <c r="C7128" s="37">
        <f t="shared" si="228"/>
        <v>48.646666666666668</v>
      </c>
      <c r="D7128" s="37">
        <v>5.8</v>
      </c>
      <c r="E7128" s="33">
        <f t="shared" si="229"/>
        <v>-2.3616779286813414E-2</v>
      </c>
    </row>
    <row r="7129" spans="1:5" x14ac:dyDescent="0.25">
      <c r="A7129" s="41">
        <v>43762</v>
      </c>
      <c r="B7129" s="37">
        <v>285.42</v>
      </c>
      <c r="C7129" s="37">
        <f t="shared" si="228"/>
        <v>47.57</v>
      </c>
      <c r="D7129" s="37">
        <v>5.8</v>
      </c>
      <c r="E7129" s="33">
        <f t="shared" si="229"/>
        <v>-2.2132383171166163E-2</v>
      </c>
    </row>
    <row r="7130" spans="1:5" x14ac:dyDescent="0.25">
      <c r="A7130" s="41">
        <v>43763</v>
      </c>
      <c r="B7130" s="37">
        <v>274.94</v>
      </c>
      <c r="C7130" s="37">
        <f t="shared" si="228"/>
        <v>45.823333333333331</v>
      </c>
      <c r="D7130" s="37">
        <v>5.14</v>
      </c>
      <c r="E7130" s="33">
        <f t="shared" si="229"/>
        <v>-3.6717819353934616E-2</v>
      </c>
    </row>
    <row r="7131" spans="1:5" x14ac:dyDescent="0.25">
      <c r="A7131" s="41">
        <v>43763</v>
      </c>
      <c r="B7131" s="37">
        <v>272.58999999999997</v>
      </c>
      <c r="C7131" s="37">
        <f t="shared" si="228"/>
        <v>45.431666666666658</v>
      </c>
      <c r="D7131" s="37">
        <v>5.14</v>
      </c>
      <c r="E7131" s="33">
        <f t="shared" si="229"/>
        <v>-8.5473194151452058E-3</v>
      </c>
    </row>
    <row r="7132" spans="1:5" x14ac:dyDescent="0.25">
      <c r="A7132" s="41">
        <v>43763</v>
      </c>
      <c r="B7132" s="37">
        <v>271.24</v>
      </c>
      <c r="C7132" s="37">
        <f t="shared" si="228"/>
        <v>45.206666666666663</v>
      </c>
      <c r="D7132" s="37">
        <v>5.14</v>
      </c>
      <c r="E7132" s="33">
        <f t="shared" si="229"/>
        <v>-4.9524927546864012E-3</v>
      </c>
    </row>
    <row r="7133" spans="1:5" x14ac:dyDescent="0.25">
      <c r="A7133" s="41">
        <v>43763</v>
      </c>
      <c r="B7133" s="37">
        <v>270.14999999999998</v>
      </c>
      <c r="C7133" s="37">
        <f t="shared" si="228"/>
        <v>45.024999999999991</v>
      </c>
      <c r="D7133" s="37">
        <v>5.14</v>
      </c>
      <c r="E7133" s="33">
        <f t="shared" si="229"/>
        <v>-4.0185813301874054E-3</v>
      </c>
    </row>
    <row r="7134" spans="1:5" x14ac:dyDescent="0.25">
      <c r="A7134" s="41">
        <v>43763</v>
      </c>
      <c r="B7134" s="37">
        <v>270.14999999999998</v>
      </c>
      <c r="C7134" s="37">
        <f t="shared" si="228"/>
        <v>45.024999999999991</v>
      </c>
      <c r="D7134" s="37">
        <v>5.14</v>
      </c>
      <c r="E7134" s="33">
        <f t="shared" si="229"/>
        <v>0</v>
      </c>
    </row>
    <row r="7135" spans="1:5" x14ac:dyDescent="0.25">
      <c r="A7135" s="41">
        <v>43763</v>
      </c>
      <c r="B7135" s="37">
        <v>272.06</v>
      </c>
      <c r="C7135" s="37">
        <f t="shared" si="228"/>
        <v>45.343333333333334</v>
      </c>
      <c r="D7135" s="37">
        <v>5.14</v>
      </c>
      <c r="E7135" s="33">
        <f t="shared" si="229"/>
        <v>7.070146215065797E-3</v>
      </c>
    </row>
    <row r="7136" spans="1:5" x14ac:dyDescent="0.25">
      <c r="A7136" s="41">
        <v>43763</v>
      </c>
      <c r="B7136" s="37">
        <v>273.95</v>
      </c>
      <c r="C7136" s="37">
        <f t="shared" si="228"/>
        <v>45.658333333333331</v>
      </c>
      <c r="D7136" s="37">
        <v>5.14</v>
      </c>
      <c r="E7136" s="33">
        <f t="shared" si="229"/>
        <v>6.9469969859589295E-3</v>
      </c>
    </row>
    <row r="7137" spans="1:5" x14ac:dyDescent="0.25">
      <c r="A7137" s="41">
        <v>43763</v>
      </c>
      <c r="B7137" s="37">
        <v>281.14</v>
      </c>
      <c r="C7137" s="37">
        <f t="shared" si="228"/>
        <v>46.856666666666669</v>
      </c>
      <c r="D7137" s="37">
        <v>5.14</v>
      </c>
      <c r="E7137" s="33">
        <f t="shared" si="229"/>
        <v>2.6245665267384553E-2</v>
      </c>
    </row>
    <row r="7138" spans="1:5" x14ac:dyDescent="0.25">
      <c r="A7138" s="41">
        <v>43763</v>
      </c>
      <c r="B7138" s="37">
        <v>288.45</v>
      </c>
      <c r="C7138" s="37">
        <f t="shared" si="228"/>
        <v>48.075000000000003</v>
      </c>
      <c r="D7138" s="37">
        <v>5.14</v>
      </c>
      <c r="E7138" s="33">
        <f t="shared" si="229"/>
        <v>2.6001280500818107E-2</v>
      </c>
    </row>
    <row r="7139" spans="1:5" x14ac:dyDescent="0.25">
      <c r="A7139" s="41">
        <v>43763</v>
      </c>
      <c r="B7139" s="37">
        <v>296.81</v>
      </c>
      <c r="C7139" s="37">
        <f t="shared" si="228"/>
        <v>49.468333333333334</v>
      </c>
      <c r="D7139" s="37">
        <v>5.14</v>
      </c>
      <c r="E7139" s="33">
        <f t="shared" si="229"/>
        <v>2.8982492633038703E-2</v>
      </c>
    </row>
    <row r="7140" spans="1:5" x14ac:dyDescent="0.25">
      <c r="A7140" s="41">
        <v>43763</v>
      </c>
      <c r="B7140" s="37">
        <v>301.27999999999997</v>
      </c>
      <c r="C7140" s="37">
        <f t="shared" si="228"/>
        <v>50.213333333333324</v>
      </c>
      <c r="D7140" s="37">
        <v>5.14</v>
      </c>
      <c r="E7140" s="33">
        <f t="shared" si="229"/>
        <v>1.5060139483170953E-2</v>
      </c>
    </row>
    <row r="7141" spans="1:5" x14ac:dyDescent="0.25">
      <c r="A7141" s="41">
        <v>43763</v>
      </c>
      <c r="B7141" s="37">
        <v>302.66000000000003</v>
      </c>
      <c r="C7141" s="37">
        <f t="shared" si="228"/>
        <v>50.443333333333342</v>
      </c>
      <c r="D7141" s="37">
        <v>5.14</v>
      </c>
      <c r="E7141" s="33">
        <f t="shared" si="229"/>
        <v>4.58045671800336E-3</v>
      </c>
    </row>
    <row r="7142" spans="1:5" x14ac:dyDescent="0.25">
      <c r="A7142" s="41">
        <v>43763</v>
      </c>
      <c r="B7142" s="37">
        <v>300.05</v>
      </c>
      <c r="C7142" s="37">
        <f t="shared" si="228"/>
        <v>50.008333333333333</v>
      </c>
      <c r="D7142" s="37">
        <v>5.14</v>
      </c>
      <c r="E7142" s="33">
        <f t="shared" si="229"/>
        <v>-8.6235379633913083E-3</v>
      </c>
    </row>
    <row r="7143" spans="1:5" x14ac:dyDescent="0.25">
      <c r="A7143" s="41">
        <v>43763</v>
      </c>
      <c r="B7143" s="37">
        <v>300.77999999999997</v>
      </c>
      <c r="C7143" s="37">
        <f t="shared" si="228"/>
        <v>50.129999999999995</v>
      </c>
      <c r="D7143" s="37">
        <v>5.14</v>
      </c>
      <c r="E7143" s="33">
        <f t="shared" si="229"/>
        <v>2.4329278453589778E-3</v>
      </c>
    </row>
    <row r="7144" spans="1:5" x14ac:dyDescent="0.25">
      <c r="A7144" s="41">
        <v>43763</v>
      </c>
      <c r="B7144" s="37">
        <v>302.14999999999998</v>
      </c>
      <c r="C7144" s="37">
        <f t="shared" si="228"/>
        <v>50.358333333333327</v>
      </c>
      <c r="D7144" s="37">
        <v>5.14</v>
      </c>
      <c r="E7144" s="33">
        <f t="shared" si="229"/>
        <v>4.5548241239444266E-3</v>
      </c>
    </row>
    <row r="7145" spans="1:5" x14ac:dyDescent="0.25">
      <c r="A7145" s="41">
        <v>43763</v>
      </c>
      <c r="B7145" s="37">
        <v>301.63</v>
      </c>
      <c r="C7145" s="37">
        <f t="shared" si="228"/>
        <v>50.271666666666668</v>
      </c>
      <c r="D7145" s="37">
        <v>5.14</v>
      </c>
      <c r="E7145" s="33">
        <f t="shared" si="229"/>
        <v>-1.7209995035577755E-3</v>
      </c>
    </row>
    <row r="7146" spans="1:5" x14ac:dyDescent="0.25">
      <c r="A7146" s="41">
        <v>43763</v>
      </c>
      <c r="B7146" s="37">
        <v>299.75</v>
      </c>
      <c r="C7146" s="37">
        <f t="shared" si="228"/>
        <v>49.958333333333336</v>
      </c>
      <c r="D7146" s="37">
        <v>5.14</v>
      </c>
      <c r="E7146" s="33">
        <f t="shared" si="229"/>
        <v>-6.2328017770115554E-3</v>
      </c>
    </row>
    <row r="7147" spans="1:5" x14ac:dyDescent="0.25">
      <c r="A7147" s="41">
        <v>43763</v>
      </c>
      <c r="B7147" s="37">
        <v>293.14999999999998</v>
      </c>
      <c r="C7147" s="37">
        <f t="shared" si="228"/>
        <v>48.858333333333327</v>
      </c>
      <c r="D7147" s="37">
        <v>5.14</v>
      </c>
      <c r="E7147" s="33">
        <f t="shared" si="229"/>
        <v>-2.2018348623853289E-2</v>
      </c>
    </row>
    <row r="7148" spans="1:5" x14ac:dyDescent="0.25">
      <c r="A7148" s="41">
        <v>43763</v>
      </c>
      <c r="B7148" s="37">
        <v>295.93</v>
      </c>
      <c r="C7148" s="37">
        <f t="shared" si="228"/>
        <v>49.321666666666665</v>
      </c>
      <c r="D7148" s="37">
        <v>5.14</v>
      </c>
      <c r="E7148" s="33">
        <f t="shared" si="229"/>
        <v>9.4831997271022685E-3</v>
      </c>
    </row>
    <row r="7149" spans="1:5" x14ac:dyDescent="0.25">
      <c r="A7149" s="41">
        <v>43763</v>
      </c>
      <c r="B7149" s="37">
        <v>296</v>
      </c>
      <c r="C7149" s="37">
        <f t="shared" si="228"/>
        <v>49.333333333333336</v>
      </c>
      <c r="D7149" s="37">
        <v>5.14</v>
      </c>
      <c r="E7149" s="33">
        <f t="shared" si="229"/>
        <v>2.3654242557359233E-4</v>
      </c>
    </row>
    <row r="7150" spans="1:5" x14ac:dyDescent="0.25">
      <c r="A7150" s="41">
        <v>43763</v>
      </c>
      <c r="B7150" s="37">
        <v>288.60000000000002</v>
      </c>
      <c r="C7150" s="37">
        <f t="shared" si="228"/>
        <v>48.100000000000009</v>
      </c>
      <c r="D7150" s="37">
        <v>5.14</v>
      </c>
      <c r="E7150" s="33">
        <f t="shared" si="229"/>
        <v>-2.4999999999999922E-2</v>
      </c>
    </row>
    <row r="7151" spans="1:5" x14ac:dyDescent="0.25">
      <c r="A7151" s="41">
        <v>43763</v>
      </c>
      <c r="B7151" s="37">
        <v>286.70999999999998</v>
      </c>
      <c r="C7151" s="37">
        <f t="shared" si="228"/>
        <v>47.784999999999997</v>
      </c>
      <c r="D7151" s="37">
        <v>5.14</v>
      </c>
      <c r="E7151" s="33">
        <f t="shared" si="229"/>
        <v>-6.5488565488566984E-3</v>
      </c>
    </row>
    <row r="7152" spans="1:5" x14ac:dyDescent="0.25">
      <c r="A7152" s="41">
        <v>43763</v>
      </c>
      <c r="B7152" s="37">
        <v>283.3</v>
      </c>
      <c r="C7152" s="37">
        <f t="shared" si="228"/>
        <v>47.216666666666669</v>
      </c>
      <c r="D7152" s="37">
        <v>5.14</v>
      </c>
      <c r="E7152" s="33">
        <f t="shared" si="229"/>
        <v>-1.1893550974852528E-2</v>
      </c>
    </row>
    <row r="7153" spans="1:5" x14ac:dyDescent="0.25">
      <c r="A7153" s="41">
        <v>43763</v>
      </c>
      <c r="B7153" s="37">
        <v>277.29000000000002</v>
      </c>
      <c r="C7153" s="37">
        <f t="shared" si="228"/>
        <v>46.215000000000003</v>
      </c>
      <c r="D7153" s="37">
        <v>5.14</v>
      </c>
      <c r="E7153" s="33">
        <f t="shared" si="229"/>
        <v>-2.1214260501235406E-2</v>
      </c>
    </row>
    <row r="7154" spans="1:5" x14ac:dyDescent="0.25">
      <c r="A7154" s="41">
        <v>43764</v>
      </c>
      <c r="B7154" s="37">
        <v>312.8</v>
      </c>
      <c r="C7154" s="37">
        <f t="shared" si="228"/>
        <v>52.133333333333333</v>
      </c>
      <c r="D7154" s="37">
        <v>4.7050000000000001</v>
      </c>
      <c r="E7154" s="33">
        <f t="shared" si="229"/>
        <v>0.1280608748963179</v>
      </c>
    </row>
    <row r="7155" spans="1:5" x14ac:dyDescent="0.25">
      <c r="A7155" s="41">
        <v>43764</v>
      </c>
      <c r="B7155" s="37">
        <v>310.19</v>
      </c>
      <c r="C7155" s="37">
        <f t="shared" si="228"/>
        <v>51.698333333333331</v>
      </c>
      <c r="D7155" s="37">
        <v>4.7050000000000001</v>
      </c>
      <c r="E7155" s="33">
        <f t="shared" si="229"/>
        <v>-8.3439897698210155E-3</v>
      </c>
    </row>
    <row r="7156" spans="1:5" x14ac:dyDescent="0.25">
      <c r="A7156" s="41">
        <v>43764</v>
      </c>
      <c r="B7156" s="37">
        <v>308.11</v>
      </c>
      <c r="C7156" s="37">
        <f t="shared" si="228"/>
        <v>51.351666666666667</v>
      </c>
      <c r="D7156" s="37">
        <v>4.7050000000000001</v>
      </c>
      <c r="E7156" s="33">
        <f t="shared" si="229"/>
        <v>-6.7055675553692384E-3</v>
      </c>
    </row>
    <row r="7157" spans="1:5" x14ac:dyDescent="0.25">
      <c r="A7157" s="41">
        <v>43764</v>
      </c>
      <c r="B7157" s="37">
        <v>307.08</v>
      </c>
      <c r="C7157" s="37">
        <f t="shared" si="228"/>
        <v>51.18</v>
      </c>
      <c r="D7157" s="37">
        <v>4.7050000000000001</v>
      </c>
      <c r="E7157" s="33">
        <f t="shared" si="229"/>
        <v>-3.3429619291812326E-3</v>
      </c>
    </row>
    <row r="7158" spans="1:5" x14ac:dyDescent="0.25">
      <c r="A7158" s="41">
        <v>43764</v>
      </c>
      <c r="B7158" s="37">
        <v>306.22000000000003</v>
      </c>
      <c r="C7158" s="37">
        <f t="shared" si="228"/>
        <v>51.036666666666676</v>
      </c>
      <c r="D7158" s="37">
        <v>4.7050000000000001</v>
      </c>
      <c r="E7158" s="33">
        <f t="shared" si="229"/>
        <v>-2.8005731405495535E-3</v>
      </c>
    </row>
    <row r="7159" spans="1:5" x14ac:dyDescent="0.25">
      <c r="A7159" s="41">
        <v>43764</v>
      </c>
      <c r="B7159" s="37">
        <v>305.27</v>
      </c>
      <c r="C7159" s="37">
        <f t="shared" si="228"/>
        <v>50.87833333333333</v>
      </c>
      <c r="D7159" s="37">
        <v>4.7050000000000001</v>
      </c>
      <c r="E7159" s="33">
        <f t="shared" si="229"/>
        <v>-3.102344719482873E-3</v>
      </c>
    </row>
    <row r="7160" spans="1:5" x14ac:dyDescent="0.25">
      <c r="A7160" s="41">
        <v>43764</v>
      </c>
      <c r="B7160" s="37">
        <v>304.23</v>
      </c>
      <c r="C7160" s="37">
        <f t="shared" si="228"/>
        <v>50.704999999999998</v>
      </c>
      <c r="D7160" s="37">
        <v>4.7050000000000001</v>
      </c>
      <c r="E7160" s="33">
        <f t="shared" si="229"/>
        <v>-3.4068201919610955E-3</v>
      </c>
    </row>
    <row r="7161" spans="1:5" x14ac:dyDescent="0.25">
      <c r="A7161" s="41">
        <v>43764</v>
      </c>
      <c r="B7161" s="37">
        <v>306.98</v>
      </c>
      <c r="C7161" s="37">
        <f t="shared" si="228"/>
        <v>51.163333333333334</v>
      </c>
      <c r="D7161" s="37">
        <v>4.7050000000000001</v>
      </c>
      <c r="E7161" s="33">
        <f t="shared" si="229"/>
        <v>9.0392137527528504E-3</v>
      </c>
    </row>
    <row r="7162" spans="1:5" x14ac:dyDescent="0.25">
      <c r="A7162" s="41">
        <v>43764</v>
      </c>
      <c r="B7162" s="37">
        <v>310.06</v>
      </c>
      <c r="C7162" s="37">
        <f t="shared" si="228"/>
        <v>51.676666666666669</v>
      </c>
      <c r="D7162" s="37">
        <v>4.7050000000000001</v>
      </c>
      <c r="E7162" s="33">
        <f t="shared" si="229"/>
        <v>1.0033226920320489E-2</v>
      </c>
    </row>
    <row r="7163" spans="1:5" x14ac:dyDescent="0.25">
      <c r="A7163" s="41">
        <v>43764</v>
      </c>
      <c r="B7163" s="37">
        <v>314.04000000000002</v>
      </c>
      <c r="C7163" s="37">
        <f t="shared" si="228"/>
        <v>52.34</v>
      </c>
      <c r="D7163" s="37">
        <v>4.7050000000000001</v>
      </c>
      <c r="E7163" s="33">
        <f t="shared" si="229"/>
        <v>1.2836225246726498E-2</v>
      </c>
    </row>
    <row r="7164" spans="1:5" x14ac:dyDescent="0.25">
      <c r="A7164" s="41">
        <v>43764</v>
      </c>
      <c r="B7164" s="37">
        <v>316.41000000000003</v>
      </c>
      <c r="C7164" s="37">
        <f t="shared" si="228"/>
        <v>52.735000000000007</v>
      </c>
      <c r="D7164" s="37">
        <v>4.7050000000000001</v>
      </c>
      <c r="E7164" s="33">
        <f t="shared" si="229"/>
        <v>7.5468093236530521E-3</v>
      </c>
    </row>
    <row r="7165" spans="1:5" x14ac:dyDescent="0.25">
      <c r="A7165" s="41">
        <v>43764</v>
      </c>
      <c r="B7165" s="37">
        <v>316.70999999999998</v>
      </c>
      <c r="C7165" s="37">
        <f t="shared" si="228"/>
        <v>52.784999999999997</v>
      </c>
      <c r="D7165" s="37">
        <v>4.7050000000000001</v>
      </c>
      <c r="E7165" s="33">
        <f t="shared" si="229"/>
        <v>9.4813691096980028E-4</v>
      </c>
    </row>
    <row r="7166" spans="1:5" x14ac:dyDescent="0.25">
      <c r="A7166" s="41">
        <v>43764</v>
      </c>
      <c r="B7166" s="37">
        <v>316.63</v>
      </c>
      <c r="C7166" s="37">
        <f t="shared" si="228"/>
        <v>52.771666666666668</v>
      </c>
      <c r="D7166" s="37">
        <v>4.7050000000000001</v>
      </c>
      <c r="E7166" s="33">
        <f t="shared" si="229"/>
        <v>-2.5259701304027054E-4</v>
      </c>
    </row>
    <row r="7167" spans="1:5" x14ac:dyDescent="0.25">
      <c r="A7167" s="41">
        <v>43764</v>
      </c>
      <c r="B7167" s="37">
        <v>316.58999999999997</v>
      </c>
      <c r="C7167" s="37">
        <f t="shared" si="228"/>
        <v>52.764999999999993</v>
      </c>
      <c r="D7167" s="37">
        <v>4.7050000000000001</v>
      </c>
      <c r="E7167" s="33">
        <f t="shared" si="229"/>
        <v>-1.2633041720626746E-4</v>
      </c>
    </row>
    <row r="7168" spans="1:5" x14ac:dyDescent="0.25">
      <c r="A7168" s="41">
        <v>43764</v>
      </c>
      <c r="B7168" s="37">
        <v>316.70999999999998</v>
      </c>
      <c r="C7168" s="37">
        <f t="shared" si="228"/>
        <v>52.784999999999997</v>
      </c>
      <c r="D7168" s="37">
        <v>4.7050000000000001</v>
      </c>
      <c r="E7168" s="33">
        <f t="shared" si="229"/>
        <v>3.7903913579078477E-4</v>
      </c>
    </row>
    <row r="7169" spans="1:5" x14ac:dyDescent="0.25">
      <c r="A7169" s="41">
        <v>43764</v>
      </c>
      <c r="B7169" s="37">
        <v>316.70999999999998</v>
      </c>
      <c r="C7169" s="37">
        <f t="shared" si="228"/>
        <v>52.784999999999997</v>
      </c>
      <c r="D7169" s="37">
        <v>4.7050000000000001</v>
      </c>
      <c r="E7169" s="33">
        <f t="shared" si="229"/>
        <v>0</v>
      </c>
    </row>
    <row r="7170" spans="1:5" x14ac:dyDescent="0.25">
      <c r="A7170" s="41">
        <v>43764</v>
      </c>
      <c r="B7170" s="37">
        <v>316.70999999999998</v>
      </c>
      <c r="C7170" s="37">
        <f t="shared" si="228"/>
        <v>52.784999999999997</v>
      </c>
      <c r="D7170" s="37">
        <v>4.7050000000000001</v>
      </c>
      <c r="E7170" s="33">
        <f t="shared" si="229"/>
        <v>0</v>
      </c>
    </row>
    <row r="7171" spans="1:5" x14ac:dyDescent="0.25">
      <c r="A7171" s="41">
        <v>43764</v>
      </c>
      <c r="B7171" s="37">
        <v>316.83</v>
      </c>
      <c r="C7171" s="37">
        <f t="shared" ref="C7171:C7234" si="230">(B7171*100/600)</f>
        <v>52.805</v>
      </c>
      <c r="D7171" s="37">
        <v>4.7050000000000001</v>
      </c>
      <c r="E7171" s="33">
        <f t="shared" si="229"/>
        <v>3.7889551956049556E-4</v>
      </c>
    </row>
    <row r="7172" spans="1:5" x14ac:dyDescent="0.25">
      <c r="A7172" s="41">
        <v>43764</v>
      </c>
      <c r="B7172" s="37">
        <v>322.32</v>
      </c>
      <c r="C7172" s="37">
        <f t="shared" si="230"/>
        <v>53.72</v>
      </c>
      <c r="D7172" s="37">
        <v>4.7050000000000001</v>
      </c>
      <c r="E7172" s="33">
        <f t="shared" ref="E7172:E7235" si="231">(B7172-B7171)/B7171</f>
        <v>1.7327904554492974E-2</v>
      </c>
    </row>
    <row r="7173" spans="1:5" x14ac:dyDescent="0.25">
      <c r="A7173" s="41">
        <v>43764</v>
      </c>
      <c r="B7173" s="37">
        <v>323.58999999999997</v>
      </c>
      <c r="C7173" s="37">
        <f t="shared" si="230"/>
        <v>53.931666666666658</v>
      </c>
      <c r="D7173" s="37">
        <v>4.7050000000000001</v>
      </c>
      <c r="E7173" s="33">
        <f t="shared" si="231"/>
        <v>3.9401836684040143E-3</v>
      </c>
    </row>
    <row r="7174" spans="1:5" x14ac:dyDescent="0.25">
      <c r="A7174" s="41">
        <v>43764</v>
      </c>
      <c r="B7174" s="37">
        <v>320.11</v>
      </c>
      <c r="C7174" s="37">
        <f t="shared" si="230"/>
        <v>53.351666666666667</v>
      </c>
      <c r="D7174" s="37">
        <v>4.7050000000000001</v>
      </c>
      <c r="E7174" s="33">
        <f t="shared" si="231"/>
        <v>-1.0754349639976395E-2</v>
      </c>
    </row>
    <row r="7175" spans="1:5" x14ac:dyDescent="0.25">
      <c r="A7175" s="41">
        <v>43764</v>
      </c>
      <c r="B7175" s="37">
        <v>316.55</v>
      </c>
      <c r="C7175" s="37">
        <f t="shared" si="230"/>
        <v>52.758333333333333</v>
      </c>
      <c r="D7175" s="37">
        <v>4.7050000000000001</v>
      </c>
      <c r="E7175" s="33">
        <f t="shared" si="231"/>
        <v>-1.1121177095373472E-2</v>
      </c>
    </row>
    <row r="7176" spans="1:5" x14ac:dyDescent="0.25">
      <c r="A7176" s="41">
        <v>43764</v>
      </c>
      <c r="B7176" s="37">
        <v>314.77</v>
      </c>
      <c r="C7176" s="37">
        <f t="shared" si="230"/>
        <v>52.461666666666666</v>
      </c>
      <c r="D7176" s="37">
        <v>4.7050000000000001</v>
      </c>
      <c r="E7176" s="33">
        <f t="shared" si="231"/>
        <v>-5.6231243089560241E-3</v>
      </c>
    </row>
    <row r="7177" spans="1:5" x14ac:dyDescent="0.25">
      <c r="A7177" s="41">
        <v>43764</v>
      </c>
      <c r="B7177" s="37">
        <v>310.18</v>
      </c>
      <c r="C7177" s="37">
        <f t="shared" si="230"/>
        <v>51.696666666666665</v>
      </c>
      <c r="D7177" s="37">
        <v>4.7050000000000001</v>
      </c>
      <c r="E7177" s="33">
        <f t="shared" si="231"/>
        <v>-1.4582075801378706E-2</v>
      </c>
    </row>
    <row r="7178" spans="1:5" x14ac:dyDescent="0.25">
      <c r="A7178" s="41">
        <v>43765</v>
      </c>
      <c r="B7178" s="37">
        <v>301.79000000000002</v>
      </c>
      <c r="C7178" s="37">
        <f t="shared" si="230"/>
        <v>50.298333333333339</v>
      </c>
      <c r="D7178" s="37">
        <v>5.05</v>
      </c>
      <c r="E7178" s="33">
        <f t="shared" si="231"/>
        <v>-2.7048810368173273E-2</v>
      </c>
    </row>
    <row r="7179" spans="1:5" x14ac:dyDescent="0.25">
      <c r="A7179" s="41">
        <v>43765</v>
      </c>
      <c r="B7179" s="37">
        <v>298.94</v>
      </c>
      <c r="C7179" s="37">
        <f t="shared" si="230"/>
        <v>49.823333333333331</v>
      </c>
      <c r="D7179" s="37">
        <v>5.05</v>
      </c>
      <c r="E7179" s="33">
        <f t="shared" si="231"/>
        <v>-9.4436528712019043E-3</v>
      </c>
    </row>
    <row r="7180" spans="1:5" x14ac:dyDescent="0.25">
      <c r="A7180" s="41">
        <v>43765</v>
      </c>
      <c r="B7180" s="37">
        <v>295.45999999999998</v>
      </c>
      <c r="C7180" s="37">
        <f t="shared" si="230"/>
        <v>49.243333333333325</v>
      </c>
      <c r="D7180" s="37">
        <v>5.05</v>
      </c>
      <c r="E7180" s="33">
        <f t="shared" si="231"/>
        <v>-1.1641131999732449E-2</v>
      </c>
    </row>
    <row r="7181" spans="1:5" x14ac:dyDescent="0.25">
      <c r="A7181" s="41">
        <v>43765</v>
      </c>
      <c r="B7181" s="37">
        <v>290.08999999999997</v>
      </c>
      <c r="C7181" s="37">
        <f t="shared" si="230"/>
        <v>48.348333333333329</v>
      </c>
      <c r="D7181" s="37">
        <v>5.05</v>
      </c>
      <c r="E7181" s="33">
        <f t="shared" si="231"/>
        <v>-1.8175049076017073E-2</v>
      </c>
    </row>
    <row r="7182" spans="1:5" x14ac:dyDescent="0.25">
      <c r="A7182" s="41">
        <v>43765</v>
      </c>
      <c r="B7182" s="37">
        <v>286.06</v>
      </c>
      <c r="C7182" s="37">
        <f t="shared" si="230"/>
        <v>47.676666666666669</v>
      </c>
      <c r="D7182" s="37">
        <v>5.05</v>
      </c>
      <c r="E7182" s="33">
        <f t="shared" si="231"/>
        <v>-1.3892240339204982E-2</v>
      </c>
    </row>
    <row r="7183" spans="1:5" x14ac:dyDescent="0.25">
      <c r="A7183" s="41">
        <v>43765</v>
      </c>
      <c r="B7183" s="37">
        <v>280.8</v>
      </c>
      <c r="C7183" s="37">
        <f t="shared" si="230"/>
        <v>46.8</v>
      </c>
      <c r="D7183" s="37">
        <v>5.05</v>
      </c>
      <c r="E7183" s="33">
        <f t="shared" si="231"/>
        <v>-1.8387750821505944E-2</v>
      </c>
    </row>
    <row r="7184" spans="1:5" x14ac:dyDescent="0.25">
      <c r="A7184" s="41">
        <v>43765</v>
      </c>
      <c r="B7184" s="37">
        <v>279.62</v>
      </c>
      <c r="C7184" s="37">
        <f t="shared" si="230"/>
        <v>46.603333333333332</v>
      </c>
      <c r="D7184" s="37">
        <v>5.05</v>
      </c>
      <c r="E7184" s="33">
        <f t="shared" si="231"/>
        <v>-4.2022792022792261E-3</v>
      </c>
    </row>
    <row r="7185" spans="1:5" x14ac:dyDescent="0.25">
      <c r="A7185" s="41">
        <v>43765</v>
      </c>
      <c r="B7185" s="37">
        <v>287.48</v>
      </c>
      <c r="C7185" s="37">
        <f t="shared" si="230"/>
        <v>47.913333333333334</v>
      </c>
      <c r="D7185" s="37">
        <v>5.05</v>
      </c>
      <c r="E7185" s="33">
        <f t="shared" si="231"/>
        <v>2.8109577283456168E-2</v>
      </c>
    </row>
    <row r="7186" spans="1:5" x14ac:dyDescent="0.25">
      <c r="A7186" s="41">
        <v>43765</v>
      </c>
      <c r="B7186" s="37">
        <v>296.98</v>
      </c>
      <c r="C7186" s="37">
        <f t="shared" si="230"/>
        <v>49.49666666666667</v>
      </c>
      <c r="D7186" s="37">
        <v>5.05</v>
      </c>
      <c r="E7186" s="33">
        <f t="shared" si="231"/>
        <v>3.304577709753722E-2</v>
      </c>
    </row>
    <row r="7187" spans="1:5" x14ac:dyDescent="0.25">
      <c r="A7187" s="41">
        <v>43765</v>
      </c>
      <c r="B7187" s="37">
        <v>299.69</v>
      </c>
      <c r="C7187" s="37">
        <f t="shared" si="230"/>
        <v>49.948333333333331</v>
      </c>
      <c r="D7187" s="37">
        <v>5.05</v>
      </c>
      <c r="E7187" s="33">
        <f t="shared" si="231"/>
        <v>9.1251936157316291E-3</v>
      </c>
    </row>
    <row r="7188" spans="1:5" x14ac:dyDescent="0.25">
      <c r="A7188" s="41">
        <v>43765</v>
      </c>
      <c r="B7188" s="37">
        <v>302.82</v>
      </c>
      <c r="C7188" s="37">
        <f t="shared" si="230"/>
        <v>50.47</v>
      </c>
      <c r="D7188" s="37">
        <v>5.05</v>
      </c>
      <c r="E7188" s="33">
        <f t="shared" si="231"/>
        <v>1.044412559644965E-2</v>
      </c>
    </row>
    <row r="7189" spans="1:5" x14ac:dyDescent="0.25">
      <c r="A7189" s="41">
        <v>43765</v>
      </c>
      <c r="B7189" s="37">
        <v>304.08999999999997</v>
      </c>
      <c r="C7189" s="37">
        <f t="shared" si="230"/>
        <v>50.681666666666658</v>
      </c>
      <c r="D7189" s="37">
        <v>5.05</v>
      </c>
      <c r="E7189" s="33">
        <f t="shared" si="231"/>
        <v>4.1939105739382532E-3</v>
      </c>
    </row>
    <row r="7190" spans="1:5" x14ac:dyDescent="0.25">
      <c r="A7190" s="41">
        <v>43765</v>
      </c>
      <c r="B7190" s="37">
        <v>304.27</v>
      </c>
      <c r="C7190" s="37">
        <f t="shared" si="230"/>
        <v>50.711666666666666</v>
      </c>
      <c r="D7190" s="37">
        <v>5.05</v>
      </c>
      <c r="E7190" s="33">
        <f t="shared" si="231"/>
        <v>5.9193002071757323E-4</v>
      </c>
    </row>
    <row r="7191" spans="1:5" x14ac:dyDescent="0.25">
      <c r="A7191" s="41">
        <v>43765</v>
      </c>
      <c r="B7191" s="37">
        <v>304.39</v>
      </c>
      <c r="C7191" s="37">
        <f t="shared" si="230"/>
        <v>50.731666666666669</v>
      </c>
      <c r="D7191" s="37">
        <v>5.05</v>
      </c>
      <c r="E7191" s="33">
        <f t="shared" si="231"/>
        <v>3.9438656456438216E-4</v>
      </c>
    </row>
    <row r="7192" spans="1:5" x14ac:dyDescent="0.25">
      <c r="A7192" s="41">
        <v>43765</v>
      </c>
      <c r="B7192" s="37">
        <v>305.57</v>
      </c>
      <c r="C7192" s="37">
        <f t="shared" si="230"/>
        <v>50.928333333333335</v>
      </c>
      <c r="D7192" s="37">
        <v>5.05</v>
      </c>
      <c r="E7192" s="33">
        <f t="shared" si="231"/>
        <v>3.87660567035713E-3</v>
      </c>
    </row>
    <row r="7193" spans="1:5" x14ac:dyDescent="0.25">
      <c r="A7193" s="41">
        <v>43765</v>
      </c>
      <c r="B7193" s="37">
        <v>306.54000000000002</v>
      </c>
      <c r="C7193" s="37">
        <f t="shared" si="230"/>
        <v>51.09</v>
      </c>
      <c r="D7193" s="37">
        <v>5.05</v>
      </c>
      <c r="E7193" s="33">
        <f t="shared" si="231"/>
        <v>3.1743953922179118E-3</v>
      </c>
    </row>
    <row r="7194" spans="1:5" x14ac:dyDescent="0.25">
      <c r="A7194" s="41">
        <v>43765</v>
      </c>
      <c r="B7194" s="37">
        <v>308.04000000000002</v>
      </c>
      <c r="C7194" s="37">
        <f t="shared" si="230"/>
        <v>51.34</v>
      </c>
      <c r="D7194" s="37">
        <v>5.05</v>
      </c>
      <c r="E7194" s="33">
        <f t="shared" si="231"/>
        <v>4.8933255040125266E-3</v>
      </c>
    </row>
    <row r="7195" spans="1:5" x14ac:dyDescent="0.25">
      <c r="A7195" s="41">
        <v>43765</v>
      </c>
      <c r="B7195" s="37">
        <v>309.98</v>
      </c>
      <c r="C7195" s="37">
        <f t="shared" si="230"/>
        <v>51.663333333333334</v>
      </c>
      <c r="D7195" s="37">
        <v>5.05</v>
      </c>
      <c r="E7195" s="33">
        <f t="shared" si="231"/>
        <v>6.2978833917672955E-3</v>
      </c>
    </row>
    <row r="7196" spans="1:5" x14ac:dyDescent="0.25">
      <c r="A7196" s="41">
        <v>43765</v>
      </c>
      <c r="B7196" s="37">
        <v>316.93</v>
      </c>
      <c r="C7196" s="37">
        <f t="shared" si="230"/>
        <v>52.821666666666665</v>
      </c>
      <c r="D7196" s="37">
        <v>5.05</v>
      </c>
      <c r="E7196" s="33">
        <f t="shared" si="231"/>
        <v>2.2420801342022029E-2</v>
      </c>
    </row>
    <row r="7197" spans="1:5" x14ac:dyDescent="0.25">
      <c r="A7197" s="41">
        <v>43765</v>
      </c>
      <c r="B7197" s="37">
        <v>317.19</v>
      </c>
      <c r="C7197" s="37">
        <f t="shared" si="230"/>
        <v>52.865000000000002</v>
      </c>
      <c r="D7197" s="37">
        <v>5.05</v>
      </c>
      <c r="E7197" s="33">
        <f t="shared" si="231"/>
        <v>8.2037042880128393E-4</v>
      </c>
    </row>
    <row r="7198" spans="1:5" x14ac:dyDescent="0.25">
      <c r="A7198" s="41">
        <v>43765</v>
      </c>
      <c r="B7198" s="37">
        <v>316.44</v>
      </c>
      <c r="C7198" s="37">
        <f t="shared" si="230"/>
        <v>52.74</v>
      </c>
      <c r="D7198" s="37">
        <v>5.05</v>
      </c>
      <c r="E7198" s="33">
        <f t="shared" si="231"/>
        <v>-2.3645133831457486E-3</v>
      </c>
    </row>
    <row r="7199" spans="1:5" x14ac:dyDescent="0.25">
      <c r="A7199" s="41">
        <v>43765</v>
      </c>
      <c r="B7199" s="37">
        <v>314.35000000000002</v>
      </c>
      <c r="C7199" s="37">
        <f t="shared" si="230"/>
        <v>52.391666666666673</v>
      </c>
      <c r="D7199" s="37">
        <v>5.05</v>
      </c>
      <c r="E7199" s="33">
        <f t="shared" si="231"/>
        <v>-6.604727594488608E-3</v>
      </c>
    </row>
    <row r="7200" spans="1:5" x14ac:dyDescent="0.25">
      <c r="A7200" s="41">
        <v>43765</v>
      </c>
      <c r="B7200" s="37">
        <v>311.94</v>
      </c>
      <c r="C7200" s="37">
        <f t="shared" si="230"/>
        <v>51.99</v>
      </c>
      <c r="D7200" s="37">
        <v>5.05</v>
      </c>
      <c r="E7200" s="33">
        <f t="shared" si="231"/>
        <v>-7.6666136472086045E-3</v>
      </c>
    </row>
    <row r="7201" spans="1:5" x14ac:dyDescent="0.25">
      <c r="A7201" s="41">
        <v>43765</v>
      </c>
      <c r="B7201" s="37">
        <v>308.95</v>
      </c>
      <c r="C7201" s="37">
        <f t="shared" si="230"/>
        <v>51.491666666666667</v>
      </c>
      <c r="D7201" s="37">
        <v>5.05</v>
      </c>
      <c r="E7201" s="33">
        <f t="shared" si="231"/>
        <v>-9.5851766365326954E-3</v>
      </c>
    </row>
    <row r="7202" spans="1:5" x14ac:dyDescent="0.25">
      <c r="A7202" s="41">
        <v>43766</v>
      </c>
      <c r="B7202" s="37">
        <v>312.35000000000002</v>
      </c>
      <c r="C7202" s="37">
        <f t="shared" si="230"/>
        <v>52.058333333333337</v>
      </c>
      <c r="D7202" s="37">
        <v>6.01</v>
      </c>
      <c r="E7202" s="33">
        <f t="shared" si="231"/>
        <v>1.1005016993041057E-2</v>
      </c>
    </row>
    <row r="7203" spans="1:5" x14ac:dyDescent="0.25">
      <c r="A7203" s="41">
        <v>43766</v>
      </c>
      <c r="B7203" s="37">
        <v>310.11</v>
      </c>
      <c r="C7203" s="37">
        <f t="shared" si="230"/>
        <v>51.685000000000002</v>
      </c>
      <c r="D7203" s="37">
        <v>6.01</v>
      </c>
      <c r="E7203" s="33">
        <f t="shared" si="231"/>
        <v>-7.1714422923003325E-3</v>
      </c>
    </row>
    <row r="7204" spans="1:5" x14ac:dyDescent="0.25">
      <c r="A7204" s="41">
        <v>43766</v>
      </c>
      <c r="B7204" s="37">
        <v>307.61</v>
      </c>
      <c r="C7204" s="37">
        <f t="shared" si="230"/>
        <v>51.268333333333331</v>
      </c>
      <c r="D7204" s="37">
        <v>6.01</v>
      </c>
      <c r="E7204" s="33">
        <f t="shared" si="231"/>
        <v>-8.0616555415820197E-3</v>
      </c>
    </row>
    <row r="7205" spans="1:5" x14ac:dyDescent="0.25">
      <c r="A7205" s="41">
        <v>43766</v>
      </c>
      <c r="B7205" s="37">
        <v>306.56</v>
      </c>
      <c r="C7205" s="37">
        <f t="shared" si="230"/>
        <v>51.093333333333334</v>
      </c>
      <c r="D7205" s="37">
        <v>6.01</v>
      </c>
      <c r="E7205" s="33">
        <f t="shared" si="231"/>
        <v>-3.413413088001077E-3</v>
      </c>
    </row>
    <row r="7206" spans="1:5" x14ac:dyDescent="0.25">
      <c r="A7206" s="41">
        <v>43766</v>
      </c>
      <c r="B7206" s="37">
        <v>306.35000000000002</v>
      </c>
      <c r="C7206" s="37">
        <f t="shared" si="230"/>
        <v>51.058333333333337</v>
      </c>
      <c r="D7206" s="37">
        <v>6.01</v>
      </c>
      <c r="E7206" s="33">
        <f t="shared" si="231"/>
        <v>-6.850208768266556E-4</v>
      </c>
    </row>
    <row r="7207" spans="1:5" x14ac:dyDescent="0.25">
      <c r="A7207" s="41">
        <v>43766</v>
      </c>
      <c r="B7207" s="37">
        <v>307.02</v>
      </c>
      <c r="C7207" s="37">
        <f t="shared" si="230"/>
        <v>51.17</v>
      </c>
      <c r="D7207" s="37">
        <v>6.01</v>
      </c>
      <c r="E7207" s="33">
        <f t="shared" si="231"/>
        <v>2.1870409662149795E-3</v>
      </c>
    </row>
    <row r="7208" spans="1:5" x14ac:dyDescent="0.25">
      <c r="A7208" s="41">
        <v>43766</v>
      </c>
      <c r="B7208" s="37">
        <v>311.62</v>
      </c>
      <c r="C7208" s="37">
        <f t="shared" si="230"/>
        <v>51.936666666666667</v>
      </c>
      <c r="D7208" s="37">
        <v>6.01</v>
      </c>
      <c r="E7208" s="33">
        <f t="shared" si="231"/>
        <v>1.4982737280958971E-2</v>
      </c>
    </row>
    <row r="7209" spans="1:5" x14ac:dyDescent="0.25">
      <c r="A7209" s="41">
        <v>43766</v>
      </c>
      <c r="B7209" s="37">
        <v>319.88</v>
      </c>
      <c r="C7209" s="37">
        <f t="shared" si="230"/>
        <v>53.313333333333333</v>
      </c>
      <c r="D7209" s="37">
        <v>6.01</v>
      </c>
      <c r="E7209" s="33">
        <f t="shared" si="231"/>
        <v>2.650664270585967E-2</v>
      </c>
    </row>
    <row r="7210" spans="1:5" x14ac:dyDescent="0.25">
      <c r="A7210" s="41">
        <v>43766</v>
      </c>
      <c r="B7210" s="37">
        <v>328.07</v>
      </c>
      <c r="C7210" s="37">
        <f t="shared" si="230"/>
        <v>54.678333333333335</v>
      </c>
      <c r="D7210" s="37">
        <v>6.01</v>
      </c>
      <c r="E7210" s="33">
        <f t="shared" si="231"/>
        <v>2.5603351256721262E-2</v>
      </c>
    </row>
    <row r="7211" spans="1:5" x14ac:dyDescent="0.25">
      <c r="A7211" s="41">
        <v>43766</v>
      </c>
      <c r="B7211" s="37">
        <v>335.9</v>
      </c>
      <c r="C7211" s="37">
        <f t="shared" si="230"/>
        <v>55.983333333333334</v>
      </c>
      <c r="D7211" s="37">
        <v>6.01</v>
      </c>
      <c r="E7211" s="33">
        <f t="shared" si="231"/>
        <v>2.3866857682811549E-2</v>
      </c>
    </row>
    <row r="7212" spans="1:5" x14ac:dyDescent="0.25">
      <c r="A7212" s="41">
        <v>43766</v>
      </c>
      <c r="B7212" s="37">
        <v>342.82</v>
      </c>
      <c r="C7212" s="37">
        <f t="shared" si="230"/>
        <v>57.136666666666663</v>
      </c>
      <c r="D7212" s="37">
        <v>6.01</v>
      </c>
      <c r="E7212" s="33">
        <f t="shared" si="231"/>
        <v>2.0601369455195046E-2</v>
      </c>
    </row>
    <row r="7213" spans="1:5" x14ac:dyDescent="0.25">
      <c r="A7213" s="41">
        <v>43766</v>
      </c>
      <c r="B7213" s="37">
        <v>344.1</v>
      </c>
      <c r="C7213" s="37">
        <f t="shared" si="230"/>
        <v>57.35</v>
      </c>
      <c r="D7213" s="37">
        <v>6.01</v>
      </c>
      <c r="E7213" s="33">
        <f t="shared" si="231"/>
        <v>3.7337378215974259E-3</v>
      </c>
    </row>
    <row r="7214" spans="1:5" x14ac:dyDescent="0.25">
      <c r="A7214" s="41">
        <v>43766</v>
      </c>
      <c r="B7214" s="37">
        <v>343</v>
      </c>
      <c r="C7214" s="37">
        <f t="shared" si="230"/>
        <v>57.166666666666664</v>
      </c>
      <c r="D7214" s="37">
        <v>6.01</v>
      </c>
      <c r="E7214" s="33">
        <f t="shared" si="231"/>
        <v>-3.1967451322290692E-3</v>
      </c>
    </row>
    <row r="7215" spans="1:5" x14ac:dyDescent="0.25">
      <c r="A7215" s="41">
        <v>43766</v>
      </c>
      <c r="B7215" s="37">
        <v>347.9</v>
      </c>
      <c r="C7215" s="37">
        <f t="shared" si="230"/>
        <v>57.983333333333334</v>
      </c>
      <c r="D7215" s="37">
        <v>6.01</v>
      </c>
      <c r="E7215" s="33">
        <f t="shared" si="231"/>
        <v>1.4285714285714219E-2</v>
      </c>
    </row>
    <row r="7216" spans="1:5" x14ac:dyDescent="0.25">
      <c r="A7216" s="41">
        <v>43766</v>
      </c>
      <c r="B7216" s="37">
        <v>354.33</v>
      </c>
      <c r="C7216" s="37">
        <f t="shared" si="230"/>
        <v>59.055</v>
      </c>
      <c r="D7216" s="37">
        <v>6.01</v>
      </c>
      <c r="E7216" s="33">
        <f t="shared" si="231"/>
        <v>1.8482322506467398E-2</v>
      </c>
    </row>
    <row r="7217" spans="1:5" x14ac:dyDescent="0.25">
      <c r="A7217" s="41">
        <v>43766</v>
      </c>
      <c r="B7217" s="37">
        <v>351.47</v>
      </c>
      <c r="C7217" s="37">
        <f t="shared" si="230"/>
        <v>58.578333333333333</v>
      </c>
      <c r="D7217" s="37">
        <v>6.01</v>
      </c>
      <c r="E7217" s="33">
        <f t="shared" si="231"/>
        <v>-8.071571698698831E-3</v>
      </c>
    </row>
    <row r="7218" spans="1:5" x14ac:dyDescent="0.25">
      <c r="A7218" s="41">
        <v>43766</v>
      </c>
      <c r="B7218" s="37">
        <v>348.36</v>
      </c>
      <c r="C7218" s="37">
        <f t="shared" si="230"/>
        <v>58.06</v>
      </c>
      <c r="D7218" s="37">
        <v>6.01</v>
      </c>
      <c r="E7218" s="33">
        <f t="shared" si="231"/>
        <v>-8.8485503741429234E-3</v>
      </c>
    </row>
    <row r="7219" spans="1:5" x14ac:dyDescent="0.25">
      <c r="A7219" s="41">
        <v>43766</v>
      </c>
      <c r="B7219" s="37">
        <v>339.91</v>
      </c>
      <c r="C7219" s="37">
        <f t="shared" si="230"/>
        <v>56.651666666666664</v>
      </c>
      <c r="D7219" s="37">
        <v>6.01</v>
      </c>
      <c r="E7219" s="33">
        <f t="shared" si="231"/>
        <v>-2.4256516247559961E-2</v>
      </c>
    </row>
    <row r="7220" spans="1:5" x14ac:dyDescent="0.25">
      <c r="A7220" s="41">
        <v>43766</v>
      </c>
      <c r="B7220" s="37">
        <v>340.23</v>
      </c>
      <c r="C7220" s="37">
        <f t="shared" si="230"/>
        <v>56.704999999999998</v>
      </c>
      <c r="D7220" s="37">
        <v>6.01</v>
      </c>
      <c r="E7220" s="33">
        <f t="shared" si="231"/>
        <v>9.4142567150125962E-4</v>
      </c>
    </row>
    <row r="7221" spans="1:5" x14ac:dyDescent="0.25">
      <c r="A7221" s="41">
        <v>43766</v>
      </c>
      <c r="B7221" s="37">
        <v>339.65</v>
      </c>
      <c r="C7221" s="37">
        <f t="shared" si="230"/>
        <v>56.608333333333334</v>
      </c>
      <c r="D7221" s="37">
        <v>6.01</v>
      </c>
      <c r="E7221" s="33">
        <f t="shared" si="231"/>
        <v>-1.7047291538078385E-3</v>
      </c>
    </row>
    <row r="7222" spans="1:5" x14ac:dyDescent="0.25">
      <c r="A7222" s="41">
        <v>43766</v>
      </c>
      <c r="B7222" s="37">
        <v>338.01</v>
      </c>
      <c r="C7222" s="37">
        <f t="shared" si="230"/>
        <v>56.335000000000001</v>
      </c>
      <c r="D7222" s="37">
        <v>6.01</v>
      </c>
      <c r="E7222" s="33">
        <f t="shared" si="231"/>
        <v>-4.8284999263947786E-3</v>
      </c>
    </row>
    <row r="7223" spans="1:5" x14ac:dyDescent="0.25">
      <c r="A7223" s="41">
        <v>43766</v>
      </c>
      <c r="B7223" s="37">
        <v>337.31</v>
      </c>
      <c r="C7223" s="37">
        <f t="shared" si="230"/>
        <v>56.218333333333334</v>
      </c>
      <c r="D7223" s="37">
        <v>6.01</v>
      </c>
      <c r="E7223" s="33">
        <f t="shared" si="231"/>
        <v>-2.0709446466080548E-3</v>
      </c>
    </row>
    <row r="7224" spans="1:5" x14ac:dyDescent="0.25">
      <c r="A7224" s="41">
        <v>43766</v>
      </c>
      <c r="B7224" s="37">
        <v>331.37</v>
      </c>
      <c r="C7224" s="37">
        <f t="shared" si="230"/>
        <v>55.228333333333332</v>
      </c>
      <c r="D7224" s="37">
        <v>6.01</v>
      </c>
      <c r="E7224" s="33">
        <f t="shared" si="231"/>
        <v>-1.7609913729210513E-2</v>
      </c>
    </row>
    <row r="7225" spans="1:5" x14ac:dyDescent="0.25">
      <c r="A7225" s="41">
        <v>43766</v>
      </c>
      <c r="B7225" s="37">
        <v>324.38</v>
      </c>
      <c r="C7225" s="37">
        <f t="shared" si="230"/>
        <v>54.063333333333333</v>
      </c>
      <c r="D7225" s="37">
        <v>6.01</v>
      </c>
      <c r="E7225" s="33">
        <f t="shared" si="231"/>
        <v>-2.1094245103660588E-2</v>
      </c>
    </row>
    <row r="7226" spans="1:5" x14ac:dyDescent="0.25">
      <c r="A7226" s="41">
        <v>43767</v>
      </c>
      <c r="B7226" s="37">
        <v>319.54000000000002</v>
      </c>
      <c r="C7226" s="37">
        <f t="shared" si="230"/>
        <v>53.256666666666675</v>
      </c>
      <c r="D7226" s="37">
        <v>6.7990000000000004</v>
      </c>
      <c r="E7226" s="33">
        <f t="shared" si="231"/>
        <v>-1.4920771934151228E-2</v>
      </c>
    </row>
    <row r="7227" spans="1:5" x14ac:dyDescent="0.25">
      <c r="A7227" s="41">
        <v>43767</v>
      </c>
      <c r="B7227" s="37">
        <v>316.02</v>
      </c>
      <c r="C7227" s="37">
        <f t="shared" si="230"/>
        <v>52.67</v>
      </c>
      <c r="D7227" s="37">
        <v>6.7990000000000004</v>
      </c>
      <c r="E7227" s="33">
        <f t="shared" si="231"/>
        <v>-1.1015835263190957E-2</v>
      </c>
    </row>
    <row r="7228" spans="1:5" x14ac:dyDescent="0.25">
      <c r="A7228" s="41">
        <v>43767</v>
      </c>
      <c r="B7228" s="37">
        <v>314.3</v>
      </c>
      <c r="C7228" s="37">
        <f t="shared" si="230"/>
        <v>52.383333333333333</v>
      </c>
      <c r="D7228" s="37">
        <v>6.7990000000000004</v>
      </c>
      <c r="E7228" s="33">
        <f t="shared" si="231"/>
        <v>-5.4426935004112734E-3</v>
      </c>
    </row>
    <row r="7229" spans="1:5" x14ac:dyDescent="0.25">
      <c r="A7229" s="41">
        <v>43767</v>
      </c>
      <c r="B7229" s="37">
        <v>314.08999999999997</v>
      </c>
      <c r="C7229" s="37">
        <f t="shared" si="230"/>
        <v>52.348333333333329</v>
      </c>
      <c r="D7229" s="37">
        <v>6.7990000000000004</v>
      </c>
      <c r="E7229" s="33">
        <f t="shared" si="231"/>
        <v>-6.6815144766158561E-4</v>
      </c>
    </row>
    <row r="7230" spans="1:5" x14ac:dyDescent="0.25">
      <c r="A7230" s="41">
        <v>43767</v>
      </c>
      <c r="B7230" s="37">
        <v>313.85000000000002</v>
      </c>
      <c r="C7230" s="37">
        <f t="shared" si="230"/>
        <v>52.308333333333337</v>
      </c>
      <c r="D7230" s="37">
        <v>6.7990000000000004</v>
      </c>
      <c r="E7230" s="33">
        <f t="shared" si="231"/>
        <v>-7.6411219714079485E-4</v>
      </c>
    </row>
    <row r="7231" spans="1:5" x14ac:dyDescent="0.25">
      <c r="A7231" s="41">
        <v>43767</v>
      </c>
      <c r="B7231" s="37">
        <v>314.39999999999998</v>
      </c>
      <c r="C7231" s="37">
        <f t="shared" si="230"/>
        <v>52.399999999999991</v>
      </c>
      <c r="D7231" s="37">
        <v>6.7990000000000004</v>
      </c>
      <c r="E7231" s="33">
        <f t="shared" si="231"/>
        <v>1.7524295045402405E-3</v>
      </c>
    </row>
    <row r="7232" spans="1:5" x14ac:dyDescent="0.25">
      <c r="A7232" s="41">
        <v>43767</v>
      </c>
      <c r="B7232" s="37">
        <v>317.87</v>
      </c>
      <c r="C7232" s="37">
        <f t="shared" si="230"/>
        <v>52.978333333333332</v>
      </c>
      <c r="D7232" s="37">
        <v>6.7990000000000004</v>
      </c>
      <c r="E7232" s="33">
        <f t="shared" si="231"/>
        <v>1.1036895674300343E-2</v>
      </c>
    </row>
    <row r="7233" spans="1:5" x14ac:dyDescent="0.25">
      <c r="A7233" s="41">
        <v>43767</v>
      </c>
      <c r="B7233" s="37">
        <v>322.64</v>
      </c>
      <c r="C7233" s="37">
        <f t="shared" si="230"/>
        <v>53.773333333333333</v>
      </c>
      <c r="D7233" s="37">
        <v>6.7990000000000004</v>
      </c>
      <c r="E7233" s="33">
        <f t="shared" si="231"/>
        <v>1.5006134583320167E-2</v>
      </c>
    </row>
    <row r="7234" spans="1:5" x14ac:dyDescent="0.25">
      <c r="A7234" s="41">
        <v>43767</v>
      </c>
      <c r="B7234" s="37">
        <v>335.07</v>
      </c>
      <c r="C7234" s="37">
        <f t="shared" si="230"/>
        <v>55.844999999999999</v>
      </c>
      <c r="D7234" s="37">
        <v>6.7990000000000004</v>
      </c>
      <c r="E7234" s="33">
        <f t="shared" si="231"/>
        <v>3.8525911232333274E-2</v>
      </c>
    </row>
    <row r="7235" spans="1:5" x14ac:dyDescent="0.25">
      <c r="A7235" s="41">
        <v>43767</v>
      </c>
      <c r="B7235" s="37">
        <v>341.07</v>
      </c>
      <c r="C7235" s="37">
        <f t="shared" ref="C7235:C7298" si="232">(B7235*100/600)</f>
        <v>56.844999999999999</v>
      </c>
      <c r="D7235" s="37">
        <v>6.7990000000000004</v>
      </c>
      <c r="E7235" s="33">
        <f t="shared" si="231"/>
        <v>1.7906706061420002E-2</v>
      </c>
    </row>
    <row r="7236" spans="1:5" x14ac:dyDescent="0.25">
      <c r="A7236" s="41">
        <v>43767</v>
      </c>
      <c r="B7236" s="37">
        <v>346.88</v>
      </c>
      <c r="C7236" s="37">
        <f t="shared" si="232"/>
        <v>57.813333333333333</v>
      </c>
      <c r="D7236" s="37">
        <v>6.7990000000000004</v>
      </c>
      <c r="E7236" s="33">
        <f t="shared" ref="E7236:E7299" si="233">(B7236-B7235)/B7235</f>
        <v>1.7034626323042198E-2</v>
      </c>
    </row>
    <row r="7237" spans="1:5" x14ac:dyDescent="0.25">
      <c r="A7237" s="41">
        <v>43767</v>
      </c>
      <c r="B7237" s="37">
        <v>348.52</v>
      </c>
      <c r="C7237" s="37">
        <f t="shared" si="232"/>
        <v>58.086666666666666</v>
      </c>
      <c r="D7237" s="37">
        <v>6.7990000000000004</v>
      </c>
      <c r="E7237" s="33">
        <f t="shared" si="233"/>
        <v>4.7278597785977471E-3</v>
      </c>
    </row>
    <row r="7238" spans="1:5" x14ac:dyDescent="0.25">
      <c r="A7238" s="41">
        <v>43767</v>
      </c>
      <c r="B7238" s="37">
        <v>343.58</v>
      </c>
      <c r="C7238" s="37">
        <f t="shared" si="232"/>
        <v>57.263333333333335</v>
      </c>
      <c r="D7238" s="37">
        <v>6.7990000000000004</v>
      </c>
      <c r="E7238" s="33">
        <f t="shared" si="233"/>
        <v>-1.4174222426259606E-2</v>
      </c>
    </row>
    <row r="7239" spans="1:5" x14ac:dyDescent="0.25">
      <c r="A7239" s="41">
        <v>43767</v>
      </c>
      <c r="B7239" s="37">
        <v>352.15</v>
      </c>
      <c r="C7239" s="37">
        <f t="shared" si="232"/>
        <v>58.69166666666667</v>
      </c>
      <c r="D7239" s="37">
        <v>6.7990000000000004</v>
      </c>
      <c r="E7239" s="33">
        <f t="shared" si="233"/>
        <v>2.4943244659176883E-2</v>
      </c>
    </row>
    <row r="7240" spans="1:5" x14ac:dyDescent="0.25">
      <c r="A7240" s="41">
        <v>43767</v>
      </c>
      <c r="B7240" s="37">
        <v>364.55</v>
      </c>
      <c r="C7240" s="37">
        <f t="shared" si="232"/>
        <v>60.758333333333333</v>
      </c>
      <c r="D7240" s="37">
        <v>6.7990000000000004</v>
      </c>
      <c r="E7240" s="33">
        <f t="shared" si="233"/>
        <v>3.5212267499645136E-2</v>
      </c>
    </row>
    <row r="7241" spans="1:5" x14ac:dyDescent="0.25">
      <c r="A7241" s="41">
        <v>43767</v>
      </c>
      <c r="B7241" s="37">
        <v>366.44</v>
      </c>
      <c r="C7241" s="37">
        <f t="shared" si="232"/>
        <v>61.073333333333331</v>
      </c>
      <c r="D7241" s="37">
        <v>6.7990000000000004</v>
      </c>
      <c r="E7241" s="33">
        <f t="shared" si="233"/>
        <v>5.1844740090522187E-3</v>
      </c>
    </row>
    <row r="7242" spans="1:5" x14ac:dyDescent="0.25">
      <c r="A7242" s="41">
        <v>43767</v>
      </c>
      <c r="B7242" s="37">
        <v>363.58</v>
      </c>
      <c r="C7242" s="37">
        <f t="shared" si="232"/>
        <v>60.596666666666664</v>
      </c>
      <c r="D7242" s="37">
        <v>6.7990000000000004</v>
      </c>
      <c r="E7242" s="33">
        <f t="shared" si="233"/>
        <v>-7.8048248007859776E-3</v>
      </c>
    </row>
    <row r="7243" spans="1:5" x14ac:dyDescent="0.25">
      <c r="A7243" s="41">
        <v>43767</v>
      </c>
      <c r="B7243" s="37">
        <v>343.73</v>
      </c>
      <c r="C7243" s="37">
        <f t="shared" si="232"/>
        <v>57.288333333333334</v>
      </c>
      <c r="D7243" s="37">
        <v>6.7990000000000004</v>
      </c>
      <c r="E7243" s="33">
        <f t="shared" si="233"/>
        <v>-5.4595962374167903E-2</v>
      </c>
    </row>
    <row r="7244" spans="1:5" x14ac:dyDescent="0.25">
      <c r="A7244" s="41">
        <v>43767</v>
      </c>
      <c r="B7244" s="37">
        <v>345.18</v>
      </c>
      <c r="C7244" s="37">
        <f t="shared" si="232"/>
        <v>57.53</v>
      </c>
      <c r="D7244" s="37">
        <v>6.7990000000000004</v>
      </c>
      <c r="E7244" s="33">
        <f t="shared" si="233"/>
        <v>4.2184272539492872E-3</v>
      </c>
    </row>
    <row r="7245" spans="1:5" x14ac:dyDescent="0.25">
      <c r="A7245" s="41">
        <v>43767</v>
      </c>
      <c r="B7245" s="37">
        <v>345.29</v>
      </c>
      <c r="C7245" s="37">
        <f t="shared" si="232"/>
        <v>57.548333333333332</v>
      </c>
      <c r="D7245" s="37">
        <v>6.7990000000000004</v>
      </c>
      <c r="E7245" s="33">
        <f t="shared" si="233"/>
        <v>3.1867431485026258E-4</v>
      </c>
    </row>
    <row r="7246" spans="1:5" x14ac:dyDescent="0.25">
      <c r="A7246" s="41">
        <v>43767</v>
      </c>
      <c r="B7246" s="37">
        <v>342.17</v>
      </c>
      <c r="C7246" s="37">
        <f t="shared" si="232"/>
        <v>57.028333333333336</v>
      </c>
      <c r="D7246" s="37">
        <v>6.7990000000000004</v>
      </c>
      <c r="E7246" s="33">
        <f t="shared" si="233"/>
        <v>-9.0358828810565162E-3</v>
      </c>
    </row>
    <row r="7247" spans="1:5" x14ac:dyDescent="0.25">
      <c r="A7247" s="41">
        <v>43767</v>
      </c>
      <c r="B7247" s="37">
        <v>341.01</v>
      </c>
      <c r="C7247" s="37">
        <f t="shared" si="232"/>
        <v>56.835000000000001</v>
      </c>
      <c r="D7247" s="37">
        <v>6.7990000000000004</v>
      </c>
      <c r="E7247" s="33">
        <f t="shared" si="233"/>
        <v>-3.3901277142941375E-3</v>
      </c>
    </row>
    <row r="7248" spans="1:5" x14ac:dyDescent="0.25">
      <c r="A7248" s="41">
        <v>43767</v>
      </c>
      <c r="B7248" s="37">
        <v>338.46</v>
      </c>
      <c r="C7248" s="37">
        <f t="shared" si="232"/>
        <v>56.41</v>
      </c>
      <c r="D7248" s="37">
        <v>6.7990000000000004</v>
      </c>
      <c r="E7248" s="33">
        <f t="shared" si="233"/>
        <v>-7.477786575173782E-3</v>
      </c>
    </row>
    <row r="7249" spans="1:5" x14ac:dyDescent="0.25">
      <c r="A7249" s="41">
        <v>43767</v>
      </c>
      <c r="B7249" s="37">
        <v>327.84</v>
      </c>
      <c r="C7249" s="37">
        <f t="shared" si="232"/>
        <v>54.64</v>
      </c>
      <c r="D7249" s="37">
        <v>6.7990000000000004</v>
      </c>
      <c r="E7249" s="33">
        <f t="shared" si="233"/>
        <v>-3.1377415351887976E-2</v>
      </c>
    </row>
    <row r="7250" spans="1:5" x14ac:dyDescent="0.25">
      <c r="A7250" s="41">
        <v>43768</v>
      </c>
      <c r="B7250" s="37">
        <v>313.55</v>
      </c>
      <c r="C7250" s="37">
        <f t="shared" si="232"/>
        <v>52.258333333333333</v>
      </c>
      <c r="D7250" s="37">
        <v>7.5490000000000004</v>
      </c>
      <c r="E7250" s="33">
        <f t="shared" si="233"/>
        <v>-4.3588335773547968E-2</v>
      </c>
    </row>
    <row r="7251" spans="1:5" x14ac:dyDescent="0.25">
      <c r="A7251" s="41">
        <v>43768</v>
      </c>
      <c r="B7251" s="37">
        <v>308.55</v>
      </c>
      <c r="C7251" s="37">
        <f t="shared" si="232"/>
        <v>51.424999999999997</v>
      </c>
      <c r="D7251" s="37">
        <v>7.5490000000000004</v>
      </c>
      <c r="E7251" s="33">
        <f t="shared" si="233"/>
        <v>-1.5946420028703556E-2</v>
      </c>
    </row>
    <row r="7252" spans="1:5" x14ac:dyDescent="0.25">
      <c r="A7252" s="41">
        <v>43768</v>
      </c>
      <c r="B7252" s="37">
        <v>307.24</v>
      </c>
      <c r="C7252" s="37">
        <f t="shared" si="232"/>
        <v>51.206666666666663</v>
      </c>
      <c r="D7252" s="37">
        <v>7.5490000000000004</v>
      </c>
      <c r="E7252" s="33">
        <f t="shared" si="233"/>
        <v>-4.2456652082320601E-3</v>
      </c>
    </row>
    <row r="7253" spans="1:5" x14ac:dyDescent="0.25">
      <c r="A7253" s="41">
        <v>43768</v>
      </c>
      <c r="B7253" s="37">
        <v>307.14999999999998</v>
      </c>
      <c r="C7253" s="37">
        <f t="shared" si="232"/>
        <v>51.191666666666663</v>
      </c>
      <c r="D7253" s="37">
        <v>7.5490000000000004</v>
      </c>
      <c r="E7253" s="33">
        <f t="shared" si="233"/>
        <v>-2.9293060799385443E-4</v>
      </c>
    </row>
    <row r="7254" spans="1:5" x14ac:dyDescent="0.25">
      <c r="A7254" s="41">
        <v>43768</v>
      </c>
      <c r="B7254" s="37">
        <v>307.08</v>
      </c>
      <c r="C7254" s="37">
        <f t="shared" si="232"/>
        <v>51.18</v>
      </c>
      <c r="D7254" s="37">
        <v>7.5490000000000004</v>
      </c>
      <c r="E7254" s="33">
        <f t="shared" si="233"/>
        <v>-2.2790167670517071E-4</v>
      </c>
    </row>
    <row r="7255" spans="1:5" x14ac:dyDescent="0.25">
      <c r="A7255" s="41">
        <v>43768</v>
      </c>
      <c r="B7255" s="37">
        <v>307.10000000000002</v>
      </c>
      <c r="C7255" s="37">
        <f t="shared" si="232"/>
        <v>51.183333333333337</v>
      </c>
      <c r="D7255" s="37">
        <v>7.5490000000000004</v>
      </c>
      <c r="E7255" s="33">
        <f t="shared" si="233"/>
        <v>6.5129607919886203E-5</v>
      </c>
    </row>
    <row r="7256" spans="1:5" x14ac:dyDescent="0.25">
      <c r="A7256" s="41">
        <v>43768</v>
      </c>
      <c r="B7256" s="37">
        <v>309.42</v>
      </c>
      <c r="C7256" s="37">
        <f t="shared" si="232"/>
        <v>51.57</v>
      </c>
      <c r="D7256" s="37">
        <v>7.5490000000000004</v>
      </c>
      <c r="E7256" s="33">
        <f t="shared" si="233"/>
        <v>7.5545424943015077E-3</v>
      </c>
    </row>
    <row r="7257" spans="1:5" x14ac:dyDescent="0.25">
      <c r="A7257" s="41">
        <v>43768</v>
      </c>
      <c r="B7257" s="37">
        <v>317.23</v>
      </c>
      <c r="C7257" s="37">
        <f t="shared" si="232"/>
        <v>52.87166666666667</v>
      </c>
      <c r="D7257" s="37">
        <v>7.5490000000000004</v>
      </c>
      <c r="E7257" s="33">
        <f t="shared" si="233"/>
        <v>2.5240773059272192E-2</v>
      </c>
    </row>
    <row r="7258" spans="1:5" x14ac:dyDescent="0.25">
      <c r="A7258" s="41">
        <v>43768</v>
      </c>
      <c r="B7258" s="37">
        <v>327.17</v>
      </c>
      <c r="C7258" s="37">
        <f t="shared" si="232"/>
        <v>54.528333333333336</v>
      </c>
      <c r="D7258" s="37">
        <v>7.5490000000000004</v>
      </c>
      <c r="E7258" s="33">
        <f t="shared" si="233"/>
        <v>3.1333732623017987E-2</v>
      </c>
    </row>
    <row r="7259" spans="1:5" x14ac:dyDescent="0.25">
      <c r="A7259" s="41">
        <v>43768</v>
      </c>
      <c r="B7259" s="37">
        <v>333.21</v>
      </c>
      <c r="C7259" s="37">
        <f t="shared" si="232"/>
        <v>55.534999999999997</v>
      </c>
      <c r="D7259" s="37">
        <v>7.5490000000000004</v>
      </c>
      <c r="E7259" s="33">
        <f t="shared" si="233"/>
        <v>1.8461350368309939E-2</v>
      </c>
    </row>
    <row r="7260" spans="1:5" x14ac:dyDescent="0.25">
      <c r="A7260" s="41">
        <v>43768</v>
      </c>
      <c r="B7260" s="37">
        <v>349.15</v>
      </c>
      <c r="C7260" s="37">
        <f t="shared" si="232"/>
        <v>58.19166666666667</v>
      </c>
      <c r="D7260" s="37">
        <v>7.5490000000000004</v>
      </c>
      <c r="E7260" s="33">
        <f t="shared" si="233"/>
        <v>4.783769994898112E-2</v>
      </c>
    </row>
    <row r="7261" spans="1:5" x14ac:dyDescent="0.25">
      <c r="A7261" s="41">
        <v>43768</v>
      </c>
      <c r="B7261" s="37">
        <v>351.45</v>
      </c>
      <c r="C7261" s="37">
        <f t="shared" si="232"/>
        <v>58.575000000000003</v>
      </c>
      <c r="D7261" s="37">
        <v>7.5490000000000004</v>
      </c>
      <c r="E7261" s="33">
        <f t="shared" si="233"/>
        <v>6.58742660747533E-3</v>
      </c>
    </row>
    <row r="7262" spans="1:5" x14ac:dyDescent="0.25">
      <c r="A7262" s="41">
        <v>43768</v>
      </c>
      <c r="B7262" s="37">
        <v>349.45</v>
      </c>
      <c r="C7262" s="37">
        <f t="shared" si="232"/>
        <v>58.241666666666667</v>
      </c>
      <c r="D7262" s="37">
        <v>7.5490000000000004</v>
      </c>
      <c r="E7262" s="33">
        <f t="shared" si="233"/>
        <v>-5.6907099160620287E-3</v>
      </c>
    </row>
    <row r="7263" spans="1:5" x14ac:dyDescent="0.25">
      <c r="A7263" s="41">
        <v>43768</v>
      </c>
      <c r="B7263" s="37">
        <v>351.21</v>
      </c>
      <c r="C7263" s="37">
        <f t="shared" si="232"/>
        <v>58.534999999999997</v>
      </c>
      <c r="D7263" s="37">
        <v>7.5490000000000004</v>
      </c>
      <c r="E7263" s="33">
        <f t="shared" si="233"/>
        <v>5.0364859064243551E-3</v>
      </c>
    </row>
    <row r="7264" spans="1:5" x14ac:dyDescent="0.25">
      <c r="A7264" s="41">
        <v>43768</v>
      </c>
      <c r="B7264" s="37">
        <v>351.09</v>
      </c>
      <c r="C7264" s="37">
        <f t="shared" si="232"/>
        <v>58.515000000000001</v>
      </c>
      <c r="D7264" s="37">
        <v>7.5490000000000004</v>
      </c>
      <c r="E7264" s="33">
        <f t="shared" si="233"/>
        <v>-3.4167592038952349E-4</v>
      </c>
    </row>
    <row r="7265" spans="1:5" x14ac:dyDescent="0.25">
      <c r="A7265" s="41">
        <v>43768</v>
      </c>
      <c r="B7265" s="37">
        <v>350.97</v>
      </c>
      <c r="C7265" s="37">
        <f t="shared" si="232"/>
        <v>58.494999999999997</v>
      </c>
      <c r="D7265" s="37">
        <v>7.5490000000000004</v>
      </c>
      <c r="E7265" s="33">
        <f t="shared" si="233"/>
        <v>-3.4179270272564785E-4</v>
      </c>
    </row>
    <row r="7266" spans="1:5" x14ac:dyDescent="0.25">
      <c r="A7266" s="41">
        <v>43768</v>
      </c>
      <c r="B7266" s="37">
        <v>350.85</v>
      </c>
      <c r="C7266" s="37">
        <f t="shared" si="232"/>
        <v>58.475000000000001</v>
      </c>
      <c r="D7266" s="37">
        <v>7.5490000000000004</v>
      </c>
      <c r="E7266" s="33">
        <f t="shared" si="233"/>
        <v>-3.4190956492009155E-4</v>
      </c>
    </row>
    <row r="7267" spans="1:5" x14ac:dyDescent="0.25">
      <c r="A7267" s="41">
        <v>43768</v>
      </c>
      <c r="B7267" s="37">
        <v>343.52</v>
      </c>
      <c r="C7267" s="37">
        <f t="shared" si="232"/>
        <v>57.25333333333333</v>
      </c>
      <c r="D7267" s="37">
        <v>7.5490000000000004</v>
      </c>
      <c r="E7267" s="33">
        <f t="shared" si="233"/>
        <v>-2.0892119139233407E-2</v>
      </c>
    </row>
    <row r="7268" spans="1:5" x14ac:dyDescent="0.25">
      <c r="A7268" s="41">
        <v>43768</v>
      </c>
      <c r="B7268" s="37">
        <v>344.5</v>
      </c>
      <c r="C7268" s="37">
        <f t="shared" si="232"/>
        <v>57.416666666666664</v>
      </c>
      <c r="D7268" s="37">
        <v>7.5490000000000004</v>
      </c>
      <c r="E7268" s="33">
        <f t="shared" si="233"/>
        <v>2.8528178854215717E-3</v>
      </c>
    </row>
    <row r="7269" spans="1:5" x14ac:dyDescent="0.25">
      <c r="A7269" s="41">
        <v>43768</v>
      </c>
      <c r="B7269" s="37">
        <v>350.52</v>
      </c>
      <c r="C7269" s="37">
        <f t="shared" si="232"/>
        <v>58.42</v>
      </c>
      <c r="D7269" s="37">
        <v>7.5490000000000004</v>
      </c>
      <c r="E7269" s="33">
        <f t="shared" si="233"/>
        <v>1.7474600870827233E-2</v>
      </c>
    </row>
    <row r="7270" spans="1:5" x14ac:dyDescent="0.25">
      <c r="A7270" s="41">
        <v>43768</v>
      </c>
      <c r="B7270" s="37">
        <v>337.61</v>
      </c>
      <c r="C7270" s="37">
        <f t="shared" si="232"/>
        <v>56.268333333333331</v>
      </c>
      <c r="D7270" s="37">
        <v>7.5490000000000004</v>
      </c>
      <c r="E7270" s="33">
        <f t="shared" si="233"/>
        <v>-3.6830993951842889E-2</v>
      </c>
    </row>
    <row r="7271" spans="1:5" x14ac:dyDescent="0.25">
      <c r="A7271" s="41">
        <v>43768</v>
      </c>
      <c r="B7271" s="37">
        <v>335.2</v>
      </c>
      <c r="C7271" s="37">
        <f t="shared" si="232"/>
        <v>55.866666666666667</v>
      </c>
      <c r="D7271" s="37">
        <v>7.5490000000000004</v>
      </c>
      <c r="E7271" s="33">
        <f t="shared" si="233"/>
        <v>-7.1384141465004733E-3</v>
      </c>
    </row>
    <row r="7272" spans="1:5" x14ac:dyDescent="0.25">
      <c r="A7272" s="41">
        <v>43768</v>
      </c>
      <c r="B7272" s="37">
        <v>328.89</v>
      </c>
      <c r="C7272" s="37">
        <f t="shared" si="232"/>
        <v>54.814999999999998</v>
      </c>
      <c r="D7272" s="37">
        <v>7.5490000000000004</v>
      </c>
      <c r="E7272" s="33">
        <f t="shared" si="233"/>
        <v>-1.8824582338902156E-2</v>
      </c>
    </row>
    <row r="7273" spans="1:5" x14ac:dyDescent="0.25">
      <c r="A7273" s="41">
        <v>43768</v>
      </c>
      <c r="B7273" s="37">
        <v>322.52999999999997</v>
      </c>
      <c r="C7273" s="37">
        <f t="shared" si="232"/>
        <v>53.754999999999995</v>
      </c>
      <c r="D7273" s="37">
        <v>7.5490000000000004</v>
      </c>
      <c r="E7273" s="33">
        <f t="shared" si="233"/>
        <v>-1.9337772507525355E-2</v>
      </c>
    </row>
    <row r="7274" spans="1:5" x14ac:dyDescent="0.25">
      <c r="A7274" s="41">
        <v>43769</v>
      </c>
      <c r="B7274" s="37">
        <v>309.43</v>
      </c>
      <c r="C7274" s="37">
        <f t="shared" si="232"/>
        <v>51.571666666666665</v>
      </c>
      <c r="D7274" s="37">
        <v>9.4979999999999993</v>
      </c>
      <c r="E7274" s="33">
        <f t="shared" si="233"/>
        <v>-4.0616376771152971E-2</v>
      </c>
    </row>
    <row r="7275" spans="1:5" x14ac:dyDescent="0.25">
      <c r="A7275" s="41">
        <v>43769</v>
      </c>
      <c r="B7275" s="37">
        <v>305.13</v>
      </c>
      <c r="C7275" s="37">
        <f t="shared" si="232"/>
        <v>50.854999999999997</v>
      </c>
      <c r="D7275" s="37">
        <v>9.4979999999999993</v>
      </c>
      <c r="E7275" s="33">
        <f t="shared" si="233"/>
        <v>-1.3896519406650975E-2</v>
      </c>
    </row>
    <row r="7276" spans="1:5" x14ac:dyDescent="0.25">
      <c r="A7276" s="41">
        <v>43769</v>
      </c>
      <c r="B7276" s="37">
        <v>304.33999999999997</v>
      </c>
      <c r="C7276" s="37">
        <f t="shared" si="232"/>
        <v>50.723333333333329</v>
      </c>
      <c r="D7276" s="37">
        <v>9.4979999999999993</v>
      </c>
      <c r="E7276" s="33">
        <f t="shared" si="233"/>
        <v>-2.5890604004851062E-3</v>
      </c>
    </row>
    <row r="7277" spans="1:5" x14ac:dyDescent="0.25">
      <c r="A7277" s="41">
        <v>43769</v>
      </c>
      <c r="B7277" s="37">
        <v>304.06</v>
      </c>
      <c r="C7277" s="37">
        <f t="shared" si="232"/>
        <v>50.676666666666669</v>
      </c>
      <c r="D7277" s="37">
        <v>9.4979999999999993</v>
      </c>
      <c r="E7277" s="33">
        <f t="shared" si="233"/>
        <v>-9.2002365775110972E-4</v>
      </c>
    </row>
    <row r="7278" spans="1:5" x14ac:dyDescent="0.25">
      <c r="A7278" s="41">
        <v>43769</v>
      </c>
      <c r="B7278" s="37">
        <v>304.02999999999997</v>
      </c>
      <c r="C7278" s="37">
        <f t="shared" si="232"/>
        <v>50.67166666666666</v>
      </c>
      <c r="D7278" s="37">
        <v>9.4979999999999993</v>
      </c>
      <c r="E7278" s="33">
        <f t="shared" si="233"/>
        <v>-9.8664737223013745E-5</v>
      </c>
    </row>
    <row r="7279" spans="1:5" x14ac:dyDescent="0.25">
      <c r="A7279" s="41">
        <v>43769</v>
      </c>
      <c r="B7279" s="37">
        <v>304.20999999999998</v>
      </c>
      <c r="C7279" s="37">
        <f t="shared" si="232"/>
        <v>50.701666666666661</v>
      </c>
      <c r="D7279" s="37">
        <v>9.4979999999999993</v>
      </c>
      <c r="E7279" s="33">
        <f t="shared" si="233"/>
        <v>5.9204683748316565E-4</v>
      </c>
    </row>
    <row r="7280" spans="1:5" x14ac:dyDescent="0.25">
      <c r="A7280" s="41">
        <v>43769</v>
      </c>
      <c r="B7280" s="37">
        <v>307.32</v>
      </c>
      <c r="C7280" s="37">
        <f t="shared" si="232"/>
        <v>51.22</v>
      </c>
      <c r="D7280" s="37">
        <v>9.4979999999999993</v>
      </c>
      <c r="E7280" s="33">
        <f t="shared" si="233"/>
        <v>1.0223201078202604E-2</v>
      </c>
    </row>
    <row r="7281" spans="1:5" x14ac:dyDescent="0.25">
      <c r="A7281" s="41">
        <v>43769</v>
      </c>
      <c r="B7281" s="37">
        <v>312.70999999999998</v>
      </c>
      <c r="C7281" s="37">
        <f t="shared" si="232"/>
        <v>52.118333333333325</v>
      </c>
      <c r="D7281" s="37">
        <v>9.4979999999999993</v>
      </c>
      <c r="E7281" s="33">
        <f t="shared" si="233"/>
        <v>1.7538721853442622E-2</v>
      </c>
    </row>
    <row r="7282" spans="1:5" x14ac:dyDescent="0.25">
      <c r="A7282" s="41">
        <v>43769</v>
      </c>
      <c r="B7282" s="37">
        <v>323.18</v>
      </c>
      <c r="C7282" s="37">
        <f t="shared" si="232"/>
        <v>53.863333333333337</v>
      </c>
      <c r="D7282" s="37">
        <v>9.4979999999999993</v>
      </c>
      <c r="E7282" s="33">
        <f t="shared" si="233"/>
        <v>3.3481500431709978E-2</v>
      </c>
    </row>
    <row r="7283" spans="1:5" x14ac:dyDescent="0.25">
      <c r="A7283" s="41">
        <v>43769</v>
      </c>
      <c r="B7283" s="37">
        <v>327.13</v>
      </c>
      <c r="C7283" s="37">
        <f t="shared" si="232"/>
        <v>54.521666666666668</v>
      </c>
      <c r="D7283" s="37">
        <v>9.4979999999999993</v>
      </c>
      <c r="E7283" s="33">
        <f t="shared" si="233"/>
        <v>1.2222290983352894E-2</v>
      </c>
    </row>
    <row r="7284" spans="1:5" x14ac:dyDescent="0.25">
      <c r="A7284" s="41">
        <v>43769</v>
      </c>
      <c r="B7284" s="37">
        <v>348.24</v>
      </c>
      <c r="C7284" s="37">
        <f t="shared" si="232"/>
        <v>58.04</v>
      </c>
      <c r="D7284" s="37">
        <v>9.4979999999999993</v>
      </c>
      <c r="E7284" s="33">
        <f t="shared" si="233"/>
        <v>6.4530920429187219E-2</v>
      </c>
    </row>
    <row r="7285" spans="1:5" x14ac:dyDescent="0.25">
      <c r="A7285" s="41">
        <v>43769</v>
      </c>
      <c r="B7285" s="37">
        <v>349.32</v>
      </c>
      <c r="C7285" s="37">
        <f t="shared" si="232"/>
        <v>58.22</v>
      </c>
      <c r="D7285" s="37">
        <v>9.4979999999999993</v>
      </c>
      <c r="E7285" s="33">
        <f t="shared" si="233"/>
        <v>3.1013094417642545E-3</v>
      </c>
    </row>
    <row r="7286" spans="1:5" x14ac:dyDescent="0.25">
      <c r="A7286" s="41">
        <v>43769</v>
      </c>
      <c r="B7286" s="37">
        <v>346.71</v>
      </c>
      <c r="C7286" s="37">
        <f t="shared" si="232"/>
        <v>57.784999999999997</v>
      </c>
      <c r="D7286" s="37">
        <v>9.4979999999999993</v>
      </c>
      <c r="E7286" s="33">
        <f t="shared" si="233"/>
        <v>-7.4716592236345287E-3</v>
      </c>
    </row>
    <row r="7287" spans="1:5" x14ac:dyDescent="0.25">
      <c r="A7287" s="41">
        <v>43769</v>
      </c>
      <c r="B7287" s="37">
        <v>349.15</v>
      </c>
      <c r="C7287" s="37">
        <f t="shared" si="232"/>
        <v>58.19166666666667</v>
      </c>
      <c r="D7287" s="37">
        <v>9.4979999999999993</v>
      </c>
      <c r="E7287" s="33">
        <f t="shared" si="233"/>
        <v>7.0375818407314413E-3</v>
      </c>
    </row>
    <row r="7288" spans="1:5" x14ac:dyDescent="0.25">
      <c r="A7288" s="41">
        <v>43769</v>
      </c>
      <c r="B7288" s="37">
        <v>349.96</v>
      </c>
      <c r="C7288" s="37">
        <f t="shared" si="232"/>
        <v>58.326666666666668</v>
      </c>
      <c r="D7288" s="37">
        <v>9.4979999999999993</v>
      </c>
      <c r="E7288" s="33">
        <f t="shared" si="233"/>
        <v>2.3199198052413069E-3</v>
      </c>
    </row>
    <row r="7289" spans="1:5" x14ac:dyDescent="0.25">
      <c r="A7289" s="41">
        <v>43769</v>
      </c>
      <c r="B7289" s="37">
        <v>349.44</v>
      </c>
      <c r="C7289" s="37">
        <f t="shared" si="232"/>
        <v>58.24</v>
      </c>
      <c r="D7289" s="37">
        <v>9.4979999999999993</v>
      </c>
      <c r="E7289" s="33">
        <f t="shared" si="233"/>
        <v>-1.485884101040067E-3</v>
      </c>
    </row>
    <row r="7290" spans="1:5" x14ac:dyDescent="0.25">
      <c r="A7290" s="41">
        <v>43769</v>
      </c>
      <c r="B7290" s="37">
        <v>348.79</v>
      </c>
      <c r="C7290" s="37">
        <f t="shared" si="232"/>
        <v>58.131666666666668</v>
      </c>
      <c r="D7290" s="37">
        <v>9.4979999999999993</v>
      </c>
      <c r="E7290" s="33">
        <f t="shared" si="233"/>
        <v>-1.8601190476189825E-3</v>
      </c>
    </row>
    <row r="7291" spans="1:5" x14ac:dyDescent="0.25">
      <c r="A7291" s="41">
        <v>43769</v>
      </c>
      <c r="B7291" s="37">
        <v>328.71</v>
      </c>
      <c r="C7291" s="37">
        <f t="shared" si="232"/>
        <v>54.784999999999997</v>
      </c>
      <c r="D7291" s="37">
        <v>9.4979999999999993</v>
      </c>
      <c r="E7291" s="33">
        <f t="shared" si="233"/>
        <v>-5.7570457868631672E-2</v>
      </c>
    </row>
    <row r="7292" spans="1:5" x14ac:dyDescent="0.25">
      <c r="A7292" s="41">
        <v>43769</v>
      </c>
      <c r="B7292" s="37">
        <v>328.01</v>
      </c>
      <c r="C7292" s="37">
        <f t="shared" si="232"/>
        <v>54.668333333333337</v>
      </c>
      <c r="D7292" s="37">
        <v>9.4979999999999993</v>
      </c>
      <c r="E7292" s="33">
        <f t="shared" si="233"/>
        <v>-2.1295366736636813E-3</v>
      </c>
    </row>
    <row r="7293" spans="1:5" x14ac:dyDescent="0.25">
      <c r="A7293" s="41">
        <v>43769</v>
      </c>
      <c r="B7293" s="37">
        <v>329.78</v>
      </c>
      <c r="C7293" s="37">
        <f t="shared" si="232"/>
        <v>54.963333333333331</v>
      </c>
      <c r="D7293" s="37">
        <v>9.4979999999999993</v>
      </c>
      <c r="E7293" s="33">
        <f t="shared" si="233"/>
        <v>5.3961769458247674E-3</v>
      </c>
    </row>
    <row r="7294" spans="1:5" x14ac:dyDescent="0.25">
      <c r="A7294" s="41">
        <v>43769</v>
      </c>
      <c r="B7294" s="37">
        <v>327.78</v>
      </c>
      <c r="C7294" s="37">
        <f t="shared" si="232"/>
        <v>54.63</v>
      </c>
      <c r="D7294" s="37">
        <v>9.4979999999999993</v>
      </c>
      <c r="E7294" s="33">
        <f t="shared" si="233"/>
        <v>-6.0646491600460919E-3</v>
      </c>
    </row>
    <row r="7295" spans="1:5" x14ac:dyDescent="0.25">
      <c r="A7295" s="41">
        <v>43769</v>
      </c>
      <c r="B7295" s="37">
        <v>327.08999999999997</v>
      </c>
      <c r="C7295" s="37">
        <f t="shared" si="232"/>
        <v>54.514999999999993</v>
      </c>
      <c r="D7295" s="37">
        <v>9.4979999999999993</v>
      </c>
      <c r="E7295" s="33">
        <f t="shared" si="233"/>
        <v>-2.1050704740984741E-3</v>
      </c>
    </row>
    <row r="7296" spans="1:5" x14ac:dyDescent="0.25">
      <c r="A7296" s="41">
        <v>43769</v>
      </c>
      <c r="B7296" s="37">
        <v>323.27</v>
      </c>
      <c r="C7296" s="37">
        <f t="shared" si="232"/>
        <v>53.87833333333333</v>
      </c>
      <c r="D7296" s="37">
        <v>9.4979999999999993</v>
      </c>
      <c r="E7296" s="33">
        <f t="shared" si="233"/>
        <v>-1.1678742853648822E-2</v>
      </c>
    </row>
    <row r="7297" spans="1:5" x14ac:dyDescent="0.25">
      <c r="A7297" s="41">
        <v>43769</v>
      </c>
      <c r="B7297" s="37">
        <v>316.39</v>
      </c>
      <c r="C7297" s="37">
        <f t="shared" si="232"/>
        <v>52.731666666666669</v>
      </c>
      <c r="D7297" s="37">
        <v>9.4979999999999993</v>
      </c>
      <c r="E7297" s="33">
        <f t="shared" si="233"/>
        <v>-2.1282519256349167E-2</v>
      </c>
    </row>
    <row r="7298" spans="1:5" x14ac:dyDescent="0.25">
      <c r="A7298" s="41">
        <v>43770</v>
      </c>
      <c r="B7298" s="37">
        <v>309.20999999999998</v>
      </c>
      <c r="C7298" s="37">
        <f t="shared" si="232"/>
        <v>51.534999999999997</v>
      </c>
      <c r="D7298" s="37">
        <v>11.409000000000001</v>
      </c>
      <c r="E7298" s="33">
        <f t="shared" si="233"/>
        <v>-2.2693511172919522E-2</v>
      </c>
    </row>
    <row r="7299" spans="1:5" x14ac:dyDescent="0.25">
      <c r="A7299" s="41">
        <v>43770</v>
      </c>
      <c r="B7299" s="37">
        <v>305.39</v>
      </c>
      <c r="C7299" s="37">
        <f t="shared" ref="C7299:C7362" si="234">(B7299*100/600)</f>
        <v>50.898333333333333</v>
      </c>
      <c r="D7299" s="37">
        <v>11.409000000000001</v>
      </c>
      <c r="E7299" s="33">
        <f t="shared" si="233"/>
        <v>-1.2354063581384798E-2</v>
      </c>
    </row>
    <row r="7300" spans="1:5" x14ac:dyDescent="0.25">
      <c r="A7300" s="41">
        <v>43770</v>
      </c>
      <c r="B7300" s="37">
        <v>302.45</v>
      </c>
      <c r="C7300" s="37">
        <f t="shared" si="234"/>
        <v>50.408333333333331</v>
      </c>
      <c r="D7300" s="37">
        <v>11.409000000000001</v>
      </c>
      <c r="E7300" s="33">
        <f t="shared" ref="E7300:E7363" si="235">(B7300-B7299)/B7299</f>
        <v>-9.6270342840302486E-3</v>
      </c>
    </row>
    <row r="7301" spans="1:5" x14ac:dyDescent="0.25">
      <c r="A7301" s="41">
        <v>43770</v>
      </c>
      <c r="B7301" s="37">
        <v>301.77999999999997</v>
      </c>
      <c r="C7301" s="37">
        <f t="shared" si="234"/>
        <v>50.29666666666666</v>
      </c>
      <c r="D7301" s="37">
        <v>11.409000000000001</v>
      </c>
      <c r="E7301" s="33">
        <f t="shared" si="235"/>
        <v>-2.2152421887915883E-3</v>
      </c>
    </row>
    <row r="7302" spans="1:5" x14ac:dyDescent="0.25">
      <c r="A7302" s="41">
        <v>43770</v>
      </c>
      <c r="B7302" s="37">
        <v>301.85000000000002</v>
      </c>
      <c r="C7302" s="37">
        <f t="shared" si="234"/>
        <v>50.308333333333337</v>
      </c>
      <c r="D7302" s="37">
        <v>11.409000000000001</v>
      </c>
      <c r="E7302" s="33">
        <f t="shared" si="235"/>
        <v>2.3195705480830416E-4</v>
      </c>
    </row>
    <row r="7303" spans="1:5" x14ac:dyDescent="0.25">
      <c r="A7303" s="41">
        <v>43770</v>
      </c>
      <c r="B7303" s="37">
        <v>304.32</v>
      </c>
      <c r="C7303" s="37">
        <f t="shared" si="234"/>
        <v>50.72</v>
      </c>
      <c r="D7303" s="37">
        <v>11.409000000000001</v>
      </c>
      <c r="E7303" s="33">
        <f t="shared" si="235"/>
        <v>8.1828722875599471E-3</v>
      </c>
    </row>
    <row r="7304" spans="1:5" x14ac:dyDescent="0.25">
      <c r="A7304" s="41">
        <v>43770</v>
      </c>
      <c r="B7304" s="37">
        <v>308</v>
      </c>
      <c r="C7304" s="37">
        <f t="shared" si="234"/>
        <v>51.333333333333336</v>
      </c>
      <c r="D7304" s="37">
        <v>11.409000000000001</v>
      </c>
      <c r="E7304" s="33">
        <f t="shared" si="235"/>
        <v>1.2092534174553124E-2</v>
      </c>
    </row>
    <row r="7305" spans="1:5" x14ac:dyDescent="0.25">
      <c r="A7305" s="41">
        <v>43770</v>
      </c>
      <c r="B7305" s="37">
        <v>315.12</v>
      </c>
      <c r="C7305" s="37">
        <f t="shared" si="234"/>
        <v>52.52</v>
      </c>
      <c r="D7305" s="37">
        <v>11.409000000000001</v>
      </c>
      <c r="E7305" s="33">
        <f t="shared" si="235"/>
        <v>2.3116883116883133E-2</v>
      </c>
    </row>
    <row r="7306" spans="1:5" x14ac:dyDescent="0.25">
      <c r="A7306" s="41">
        <v>43770</v>
      </c>
      <c r="B7306" s="37">
        <v>322.67</v>
      </c>
      <c r="C7306" s="37">
        <f t="shared" si="234"/>
        <v>53.778333333333336</v>
      </c>
      <c r="D7306" s="37">
        <v>11.409000000000001</v>
      </c>
      <c r="E7306" s="33">
        <f t="shared" si="235"/>
        <v>2.3959126681898996E-2</v>
      </c>
    </row>
    <row r="7307" spans="1:5" x14ac:dyDescent="0.25">
      <c r="A7307" s="41">
        <v>43770</v>
      </c>
      <c r="B7307" s="37">
        <v>330.75</v>
      </c>
      <c r="C7307" s="37">
        <f t="shared" si="234"/>
        <v>55.125</v>
      </c>
      <c r="D7307" s="37">
        <v>11.409000000000001</v>
      </c>
      <c r="E7307" s="33">
        <f t="shared" si="235"/>
        <v>2.5041063625375719E-2</v>
      </c>
    </row>
    <row r="7308" spans="1:5" x14ac:dyDescent="0.25">
      <c r="A7308" s="41">
        <v>43770</v>
      </c>
      <c r="B7308" s="37">
        <v>347.44</v>
      </c>
      <c r="C7308" s="37">
        <f t="shared" si="234"/>
        <v>57.906666666666666</v>
      </c>
      <c r="D7308" s="37">
        <v>11.409000000000001</v>
      </c>
      <c r="E7308" s="33">
        <f t="shared" si="235"/>
        <v>5.0461073318216171E-2</v>
      </c>
    </row>
    <row r="7309" spans="1:5" x14ac:dyDescent="0.25">
      <c r="A7309" s="41">
        <v>43770</v>
      </c>
      <c r="B7309" s="37">
        <v>347.32</v>
      </c>
      <c r="C7309" s="37">
        <f t="shared" si="234"/>
        <v>57.886666666666663</v>
      </c>
      <c r="D7309" s="37">
        <v>11.409000000000001</v>
      </c>
      <c r="E7309" s="33">
        <f t="shared" si="235"/>
        <v>-3.4538337554687013E-4</v>
      </c>
    </row>
    <row r="7310" spans="1:5" x14ac:dyDescent="0.25">
      <c r="A7310" s="41">
        <v>43770</v>
      </c>
      <c r="B7310" s="37">
        <v>342.82</v>
      </c>
      <c r="C7310" s="37">
        <f t="shared" si="234"/>
        <v>57.136666666666663</v>
      </c>
      <c r="D7310" s="37">
        <v>11.409000000000001</v>
      </c>
      <c r="E7310" s="33">
        <f t="shared" si="235"/>
        <v>-1.2956351491420017E-2</v>
      </c>
    </row>
    <row r="7311" spans="1:5" x14ac:dyDescent="0.25">
      <c r="A7311" s="41">
        <v>43770</v>
      </c>
      <c r="B7311" s="37">
        <v>347.09</v>
      </c>
      <c r="C7311" s="37">
        <f t="shared" si="234"/>
        <v>57.848333333333336</v>
      </c>
      <c r="D7311" s="37">
        <v>11.409000000000001</v>
      </c>
      <c r="E7311" s="33">
        <f t="shared" si="235"/>
        <v>1.2455516014234823E-2</v>
      </c>
    </row>
    <row r="7312" spans="1:5" x14ac:dyDescent="0.25">
      <c r="A7312" s="41">
        <v>43770</v>
      </c>
      <c r="B7312" s="37">
        <v>346.98</v>
      </c>
      <c r="C7312" s="37">
        <f t="shared" si="234"/>
        <v>57.83</v>
      </c>
      <c r="D7312" s="37">
        <v>11.409000000000001</v>
      </c>
      <c r="E7312" s="33">
        <f t="shared" si="235"/>
        <v>-3.1692068339611286E-4</v>
      </c>
    </row>
    <row r="7313" spans="1:5" x14ac:dyDescent="0.25">
      <c r="A7313" s="41">
        <v>43770</v>
      </c>
      <c r="B7313" s="37">
        <v>346.86</v>
      </c>
      <c r="C7313" s="37">
        <f t="shared" si="234"/>
        <v>57.81</v>
      </c>
      <c r="D7313" s="37">
        <v>11.409000000000001</v>
      </c>
      <c r="E7313" s="33">
        <f t="shared" si="235"/>
        <v>-3.4584125886219535E-4</v>
      </c>
    </row>
    <row r="7314" spans="1:5" x14ac:dyDescent="0.25">
      <c r="A7314" s="41">
        <v>43770</v>
      </c>
      <c r="B7314" s="37">
        <v>340.38</v>
      </c>
      <c r="C7314" s="37">
        <f t="shared" si="234"/>
        <v>56.73</v>
      </c>
      <c r="D7314" s="37">
        <v>11.409000000000001</v>
      </c>
      <c r="E7314" s="33">
        <f t="shared" si="235"/>
        <v>-1.8681888946549093E-2</v>
      </c>
    </row>
    <row r="7315" spans="1:5" x14ac:dyDescent="0.25">
      <c r="A7315" s="41">
        <v>43770</v>
      </c>
      <c r="B7315" s="37">
        <v>323.37</v>
      </c>
      <c r="C7315" s="37">
        <f t="shared" si="234"/>
        <v>53.895000000000003</v>
      </c>
      <c r="D7315" s="37">
        <v>11.409000000000001</v>
      </c>
      <c r="E7315" s="33">
        <f t="shared" si="235"/>
        <v>-4.9973558963511341E-2</v>
      </c>
    </row>
    <row r="7316" spans="1:5" x14ac:dyDescent="0.25">
      <c r="A7316" s="41">
        <v>43770</v>
      </c>
      <c r="B7316" s="37">
        <v>323.88</v>
      </c>
      <c r="C7316" s="37">
        <f t="shared" si="234"/>
        <v>53.98</v>
      </c>
      <c r="D7316" s="37">
        <v>11.409000000000001</v>
      </c>
      <c r="E7316" s="33">
        <f t="shared" si="235"/>
        <v>1.5771407366174689E-3</v>
      </c>
    </row>
    <row r="7317" spans="1:5" x14ac:dyDescent="0.25">
      <c r="A7317" s="41">
        <v>43770</v>
      </c>
      <c r="B7317" s="37">
        <v>323.86</v>
      </c>
      <c r="C7317" s="37">
        <f t="shared" si="234"/>
        <v>53.976666666666667</v>
      </c>
      <c r="D7317" s="37">
        <v>11.409000000000001</v>
      </c>
      <c r="E7317" s="33">
        <f t="shared" si="235"/>
        <v>-6.1751265900894807E-5</v>
      </c>
    </row>
    <row r="7318" spans="1:5" x14ac:dyDescent="0.25">
      <c r="A7318" s="41">
        <v>43770</v>
      </c>
      <c r="B7318" s="37">
        <v>321.52</v>
      </c>
      <c r="C7318" s="37">
        <f t="shared" si="234"/>
        <v>53.586666666666666</v>
      </c>
      <c r="D7318" s="37">
        <v>11.409000000000001</v>
      </c>
      <c r="E7318" s="33">
        <f t="shared" si="235"/>
        <v>-7.225344284567504E-3</v>
      </c>
    </row>
    <row r="7319" spans="1:5" x14ac:dyDescent="0.25">
      <c r="A7319" s="41">
        <v>43770</v>
      </c>
      <c r="B7319" s="37">
        <v>321.45</v>
      </c>
      <c r="C7319" s="37">
        <f t="shared" si="234"/>
        <v>53.575000000000003</v>
      </c>
      <c r="D7319" s="37">
        <v>11.409000000000001</v>
      </c>
      <c r="E7319" s="33">
        <f t="shared" si="235"/>
        <v>-2.1771584971383797E-4</v>
      </c>
    </row>
    <row r="7320" spans="1:5" x14ac:dyDescent="0.25">
      <c r="A7320" s="41">
        <v>43770</v>
      </c>
      <c r="B7320" s="37">
        <v>319.74</v>
      </c>
      <c r="C7320" s="37">
        <f t="shared" si="234"/>
        <v>53.29</v>
      </c>
      <c r="D7320" s="37">
        <v>11.409000000000001</v>
      </c>
      <c r="E7320" s="33">
        <f t="shared" si="235"/>
        <v>-5.3196453569761383E-3</v>
      </c>
    </row>
    <row r="7321" spans="1:5" x14ac:dyDescent="0.25">
      <c r="A7321" s="41">
        <v>43770</v>
      </c>
      <c r="B7321" s="37">
        <v>313.83999999999997</v>
      </c>
      <c r="C7321" s="37">
        <f t="shared" si="234"/>
        <v>52.306666666666658</v>
      </c>
      <c r="D7321" s="37">
        <v>11.409000000000001</v>
      </c>
      <c r="E7321" s="33">
        <f t="shared" si="235"/>
        <v>-1.8452492650278457E-2</v>
      </c>
    </row>
    <row r="7322" spans="1:5" x14ac:dyDescent="0.25">
      <c r="A7322" s="41">
        <v>43771</v>
      </c>
      <c r="B7322" s="37">
        <v>363.17</v>
      </c>
      <c r="C7322" s="37">
        <f t="shared" si="234"/>
        <v>60.528333333333336</v>
      </c>
      <c r="D7322" s="37">
        <v>10.282</v>
      </c>
      <c r="E7322" s="33">
        <f t="shared" si="235"/>
        <v>0.15718200356869758</v>
      </c>
    </row>
    <row r="7323" spans="1:5" x14ac:dyDescent="0.25">
      <c r="A7323" s="41">
        <v>43771</v>
      </c>
      <c r="B7323" s="37">
        <v>360.4</v>
      </c>
      <c r="C7323" s="37">
        <f t="shared" si="234"/>
        <v>60.06666666666667</v>
      </c>
      <c r="D7323" s="37">
        <v>10.282</v>
      </c>
      <c r="E7323" s="33">
        <f t="shared" si="235"/>
        <v>-7.627281989151192E-3</v>
      </c>
    </row>
    <row r="7324" spans="1:5" x14ac:dyDescent="0.25">
      <c r="A7324" s="41">
        <v>43771</v>
      </c>
      <c r="B7324" s="37">
        <v>357.68</v>
      </c>
      <c r="C7324" s="37">
        <f t="shared" si="234"/>
        <v>59.613333333333337</v>
      </c>
      <c r="D7324" s="37">
        <v>10.282</v>
      </c>
      <c r="E7324" s="33">
        <f t="shared" si="235"/>
        <v>-7.5471698113206732E-3</v>
      </c>
    </row>
    <row r="7325" spans="1:5" x14ac:dyDescent="0.25">
      <c r="A7325" s="41">
        <v>43771</v>
      </c>
      <c r="B7325" s="37">
        <v>357.09</v>
      </c>
      <c r="C7325" s="37">
        <f t="shared" si="234"/>
        <v>59.515000000000001</v>
      </c>
      <c r="D7325" s="37">
        <v>10.282</v>
      </c>
      <c r="E7325" s="33">
        <f t="shared" si="235"/>
        <v>-1.6495191232387381E-3</v>
      </c>
    </row>
    <row r="7326" spans="1:5" x14ac:dyDescent="0.25">
      <c r="A7326" s="41">
        <v>43771</v>
      </c>
      <c r="B7326" s="37">
        <v>356.23</v>
      </c>
      <c r="C7326" s="37">
        <f t="shared" si="234"/>
        <v>59.37166666666667</v>
      </c>
      <c r="D7326" s="37">
        <v>10.282</v>
      </c>
      <c r="E7326" s="33">
        <f t="shared" si="235"/>
        <v>-2.4083564367525187E-3</v>
      </c>
    </row>
    <row r="7327" spans="1:5" x14ac:dyDescent="0.25">
      <c r="A7327" s="41">
        <v>43771</v>
      </c>
      <c r="B7327" s="37">
        <v>352.89</v>
      </c>
      <c r="C7327" s="37">
        <f t="shared" si="234"/>
        <v>58.814999999999998</v>
      </c>
      <c r="D7327" s="37">
        <v>10.282</v>
      </c>
      <c r="E7327" s="33">
        <f t="shared" si="235"/>
        <v>-9.3759649664543459E-3</v>
      </c>
    </row>
    <row r="7328" spans="1:5" x14ac:dyDescent="0.25">
      <c r="A7328" s="41">
        <v>43771</v>
      </c>
      <c r="B7328" s="37">
        <v>348.55</v>
      </c>
      <c r="C7328" s="37">
        <f t="shared" si="234"/>
        <v>58.091666666666669</v>
      </c>
      <c r="D7328" s="37">
        <v>10.282</v>
      </c>
      <c r="E7328" s="33">
        <f t="shared" si="235"/>
        <v>-1.2298449941908172E-2</v>
      </c>
    </row>
    <row r="7329" spans="1:5" x14ac:dyDescent="0.25">
      <c r="A7329" s="41">
        <v>43771</v>
      </c>
      <c r="B7329" s="37">
        <v>353.76</v>
      </c>
      <c r="C7329" s="37">
        <f t="shared" si="234"/>
        <v>58.96</v>
      </c>
      <c r="D7329" s="37">
        <v>10.282</v>
      </c>
      <c r="E7329" s="33">
        <f t="shared" si="235"/>
        <v>1.4947640223784189E-2</v>
      </c>
    </row>
    <row r="7330" spans="1:5" x14ac:dyDescent="0.25">
      <c r="A7330" s="41">
        <v>43771</v>
      </c>
      <c r="B7330" s="37">
        <v>359.46</v>
      </c>
      <c r="C7330" s="37">
        <f t="shared" si="234"/>
        <v>59.91</v>
      </c>
      <c r="D7330" s="37">
        <v>10.282</v>
      </c>
      <c r="E7330" s="33">
        <f t="shared" si="235"/>
        <v>1.6112618724558991E-2</v>
      </c>
    </row>
    <row r="7331" spans="1:5" x14ac:dyDescent="0.25">
      <c r="A7331" s="41">
        <v>43771</v>
      </c>
      <c r="B7331" s="37">
        <v>361.08</v>
      </c>
      <c r="C7331" s="37">
        <f t="shared" si="234"/>
        <v>60.18</v>
      </c>
      <c r="D7331" s="37">
        <v>10.282</v>
      </c>
      <c r="E7331" s="33">
        <f t="shared" si="235"/>
        <v>4.506760140210328E-3</v>
      </c>
    </row>
    <row r="7332" spans="1:5" x14ac:dyDescent="0.25">
      <c r="A7332" s="41">
        <v>43771</v>
      </c>
      <c r="B7332" s="37">
        <v>364.42</v>
      </c>
      <c r="C7332" s="37">
        <f t="shared" si="234"/>
        <v>60.736666666666665</v>
      </c>
      <c r="D7332" s="37">
        <v>10.282</v>
      </c>
      <c r="E7332" s="33">
        <f t="shared" si="235"/>
        <v>9.2500276946937861E-3</v>
      </c>
    </row>
    <row r="7333" spans="1:5" x14ac:dyDescent="0.25">
      <c r="A7333" s="41">
        <v>43771</v>
      </c>
      <c r="B7333" s="37">
        <v>365.58</v>
      </c>
      <c r="C7333" s="37">
        <f t="shared" si="234"/>
        <v>60.93</v>
      </c>
      <c r="D7333" s="37">
        <v>10.282</v>
      </c>
      <c r="E7333" s="33">
        <f t="shared" si="235"/>
        <v>3.1831403325831955E-3</v>
      </c>
    </row>
    <row r="7334" spans="1:5" x14ac:dyDescent="0.25">
      <c r="A7334" s="41">
        <v>43771</v>
      </c>
      <c r="B7334" s="37">
        <v>365.67</v>
      </c>
      <c r="C7334" s="37">
        <f t="shared" si="234"/>
        <v>60.945</v>
      </c>
      <c r="D7334" s="37">
        <v>10.282</v>
      </c>
      <c r="E7334" s="33">
        <f t="shared" si="235"/>
        <v>2.4618414574110136E-4</v>
      </c>
    </row>
    <row r="7335" spans="1:5" x14ac:dyDescent="0.25">
      <c r="A7335" s="41">
        <v>43771</v>
      </c>
      <c r="B7335" s="37">
        <v>365.77</v>
      </c>
      <c r="C7335" s="37">
        <f t="shared" si="234"/>
        <v>60.961666666666666</v>
      </c>
      <c r="D7335" s="37">
        <v>10.282</v>
      </c>
      <c r="E7335" s="33">
        <f t="shared" si="235"/>
        <v>2.7347061558226241E-4</v>
      </c>
    </row>
    <row r="7336" spans="1:5" x14ac:dyDescent="0.25">
      <c r="A7336" s="41">
        <v>43771</v>
      </c>
      <c r="B7336" s="37">
        <v>365.88</v>
      </c>
      <c r="C7336" s="37">
        <f t="shared" si="234"/>
        <v>60.98</v>
      </c>
      <c r="D7336" s="37">
        <v>10.282</v>
      </c>
      <c r="E7336" s="33">
        <f t="shared" si="235"/>
        <v>3.007354348361365E-4</v>
      </c>
    </row>
    <row r="7337" spans="1:5" x14ac:dyDescent="0.25">
      <c r="A7337" s="41">
        <v>43771</v>
      </c>
      <c r="B7337" s="37">
        <v>365.88</v>
      </c>
      <c r="C7337" s="37">
        <f t="shared" si="234"/>
        <v>60.98</v>
      </c>
      <c r="D7337" s="37">
        <v>10.282</v>
      </c>
      <c r="E7337" s="33">
        <f t="shared" si="235"/>
        <v>0</v>
      </c>
    </row>
    <row r="7338" spans="1:5" x14ac:dyDescent="0.25">
      <c r="A7338" s="41">
        <v>43771</v>
      </c>
      <c r="B7338" s="37">
        <v>364.47</v>
      </c>
      <c r="C7338" s="37">
        <f t="shared" si="234"/>
        <v>60.744999999999997</v>
      </c>
      <c r="D7338" s="37">
        <v>10.282</v>
      </c>
      <c r="E7338" s="33">
        <f t="shared" si="235"/>
        <v>-3.8537225319776108E-3</v>
      </c>
    </row>
    <row r="7339" spans="1:5" x14ac:dyDescent="0.25">
      <c r="A7339" s="41">
        <v>43771</v>
      </c>
      <c r="B7339" s="37">
        <v>365.39</v>
      </c>
      <c r="C7339" s="37">
        <f t="shared" si="234"/>
        <v>60.898333333333333</v>
      </c>
      <c r="D7339" s="37">
        <v>10.282</v>
      </c>
      <c r="E7339" s="33">
        <f t="shared" si="235"/>
        <v>2.5242132411445635E-3</v>
      </c>
    </row>
    <row r="7340" spans="1:5" x14ac:dyDescent="0.25">
      <c r="A7340" s="41">
        <v>43771</v>
      </c>
      <c r="B7340" s="37">
        <v>369.24</v>
      </c>
      <c r="C7340" s="37">
        <f t="shared" si="234"/>
        <v>61.54</v>
      </c>
      <c r="D7340" s="37">
        <v>10.282</v>
      </c>
      <c r="E7340" s="33">
        <f t="shared" si="235"/>
        <v>1.0536686827773128E-2</v>
      </c>
    </row>
    <row r="7341" spans="1:5" x14ac:dyDescent="0.25">
      <c r="A7341" s="41">
        <v>43771</v>
      </c>
      <c r="B7341" s="37">
        <v>370.1</v>
      </c>
      <c r="C7341" s="37">
        <f t="shared" si="234"/>
        <v>61.68333333333333</v>
      </c>
      <c r="D7341" s="37">
        <v>10.282</v>
      </c>
      <c r="E7341" s="33">
        <f t="shared" si="235"/>
        <v>2.3291084389557297E-3</v>
      </c>
    </row>
    <row r="7342" spans="1:5" x14ac:dyDescent="0.25">
      <c r="A7342" s="41">
        <v>43771</v>
      </c>
      <c r="B7342" s="37">
        <v>367.76</v>
      </c>
      <c r="C7342" s="37">
        <f t="shared" si="234"/>
        <v>61.293333333333337</v>
      </c>
      <c r="D7342" s="37">
        <v>10.282</v>
      </c>
      <c r="E7342" s="33">
        <f t="shared" si="235"/>
        <v>-6.3226155093218904E-3</v>
      </c>
    </row>
    <row r="7343" spans="1:5" x14ac:dyDescent="0.25">
      <c r="A7343" s="41">
        <v>43771</v>
      </c>
      <c r="B7343" s="37">
        <v>366.93</v>
      </c>
      <c r="C7343" s="37">
        <f t="shared" si="234"/>
        <v>61.155000000000001</v>
      </c>
      <c r="D7343" s="37">
        <v>10.282</v>
      </c>
      <c r="E7343" s="33">
        <f t="shared" si="235"/>
        <v>-2.2569066782683928E-3</v>
      </c>
    </row>
    <row r="7344" spans="1:5" x14ac:dyDescent="0.25">
      <c r="A7344" s="41">
        <v>43771</v>
      </c>
      <c r="B7344" s="37">
        <v>365.88</v>
      </c>
      <c r="C7344" s="37">
        <f t="shared" si="234"/>
        <v>60.98</v>
      </c>
      <c r="D7344" s="37">
        <v>10.282</v>
      </c>
      <c r="E7344" s="33">
        <f t="shared" si="235"/>
        <v>-2.861581228027175E-3</v>
      </c>
    </row>
    <row r="7345" spans="1:5" x14ac:dyDescent="0.25">
      <c r="A7345" s="41">
        <v>43771</v>
      </c>
      <c r="B7345" s="37">
        <v>363.24</v>
      </c>
      <c r="C7345" s="37">
        <f t="shared" si="234"/>
        <v>60.54</v>
      </c>
      <c r="D7345" s="37">
        <v>10.282</v>
      </c>
      <c r="E7345" s="33">
        <f t="shared" si="235"/>
        <v>-7.2154804854050137E-3</v>
      </c>
    </row>
    <row r="7346" spans="1:5" x14ac:dyDescent="0.25">
      <c r="A7346" s="41">
        <v>43772</v>
      </c>
      <c r="B7346" s="37">
        <v>362.58</v>
      </c>
      <c r="C7346" s="37">
        <f t="shared" si="234"/>
        <v>60.43</v>
      </c>
      <c r="D7346" s="37">
        <v>9.0850000000000009</v>
      </c>
      <c r="E7346" s="33">
        <f t="shared" si="235"/>
        <v>-1.8169805087546113E-3</v>
      </c>
    </row>
    <row r="7347" spans="1:5" x14ac:dyDescent="0.25">
      <c r="A7347" s="41">
        <v>43772</v>
      </c>
      <c r="B7347" s="37">
        <v>356.11</v>
      </c>
      <c r="C7347" s="37">
        <f t="shared" si="234"/>
        <v>59.351666666666667</v>
      </c>
      <c r="D7347" s="37">
        <v>9.0850000000000009</v>
      </c>
      <c r="E7347" s="33">
        <f t="shared" si="235"/>
        <v>-1.7844337801312733E-2</v>
      </c>
    </row>
    <row r="7348" spans="1:5" x14ac:dyDescent="0.25">
      <c r="A7348" s="41">
        <v>43772</v>
      </c>
      <c r="B7348" s="37">
        <v>353.1</v>
      </c>
      <c r="C7348" s="37">
        <f t="shared" si="234"/>
        <v>58.85</v>
      </c>
      <c r="D7348" s="37">
        <v>9.0850000000000009</v>
      </c>
      <c r="E7348" s="33">
        <f t="shared" si="235"/>
        <v>-8.4524444694054953E-3</v>
      </c>
    </row>
    <row r="7349" spans="1:5" x14ac:dyDescent="0.25">
      <c r="A7349" s="41">
        <v>43772</v>
      </c>
      <c r="B7349" s="37">
        <v>350.08</v>
      </c>
      <c r="C7349" s="37">
        <f t="shared" si="234"/>
        <v>58.346666666666664</v>
      </c>
      <c r="D7349" s="37">
        <v>9.0850000000000009</v>
      </c>
      <c r="E7349" s="33">
        <f t="shared" si="235"/>
        <v>-8.5528178986124005E-3</v>
      </c>
    </row>
    <row r="7350" spans="1:5" x14ac:dyDescent="0.25">
      <c r="A7350" s="41">
        <v>43772</v>
      </c>
      <c r="B7350" s="37">
        <v>349.43</v>
      </c>
      <c r="C7350" s="37">
        <f t="shared" si="234"/>
        <v>58.238333333333337</v>
      </c>
      <c r="D7350" s="37">
        <v>9.0850000000000009</v>
      </c>
      <c r="E7350" s="33">
        <f t="shared" si="235"/>
        <v>-1.8567184643509406E-3</v>
      </c>
    </row>
    <row r="7351" spans="1:5" x14ac:dyDescent="0.25">
      <c r="A7351" s="41">
        <v>43772</v>
      </c>
      <c r="B7351" s="37">
        <v>340.33</v>
      </c>
      <c r="C7351" s="37">
        <f t="shared" si="234"/>
        <v>56.721666666666664</v>
      </c>
      <c r="D7351" s="37">
        <v>9.0850000000000009</v>
      </c>
      <c r="E7351" s="33">
        <f t="shared" si="235"/>
        <v>-2.6042411927997087E-2</v>
      </c>
    </row>
    <row r="7352" spans="1:5" x14ac:dyDescent="0.25">
      <c r="A7352" s="41">
        <v>43772</v>
      </c>
      <c r="B7352" s="37">
        <v>325.16000000000003</v>
      </c>
      <c r="C7352" s="37">
        <f t="shared" si="234"/>
        <v>54.193333333333342</v>
      </c>
      <c r="D7352" s="37">
        <v>9.0850000000000009</v>
      </c>
      <c r="E7352" s="33">
        <f t="shared" si="235"/>
        <v>-4.4574383686421887E-2</v>
      </c>
    </row>
    <row r="7353" spans="1:5" x14ac:dyDescent="0.25">
      <c r="A7353" s="41">
        <v>43772</v>
      </c>
      <c r="B7353" s="37">
        <v>344.91</v>
      </c>
      <c r="C7353" s="37">
        <f t="shared" si="234"/>
        <v>57.484999999999999</v>
      </c>
      <c r="D7353" s="37">
        <v>9.0850000000000009</v>
      </c>
      <c r="E7353" s="33">
        <f t="shared" si="235"/>
        <v>6.0739328330667974E-2</v>
      </c>
    </row>
    <row r="7354" spans="1:5" x14ac:dyDescent="0.25">
      <c r="A7354" s="41">
        <v>43772</v>
      </c>
      <c r="B7354" s="37">
        <v>351.65</v>
      </c>
      <c r="C7354" s="37">
        <f t="shared" si="234"/>
        <v>58.608333333333334</v>
      </c>
      <c r="D7354" s="37">
        <v>9.0850000000000009</v>
      </c>
      <c r="E7354" s="33">
        <f t="shared" si="235"/>
        <v>1.954132962222015E-2</v>
      </c>
    </row>
    <row r="7355" spans="1:5" x14ac:dyDescent="0.25">
      <c r="A7355" s="41">
        <v>43772</v>
      </c>
      <c r="B7355" s="37">
        <v>355.15</v>
      </c>
      <c r="C7355" s="37">
        <f t="shared" si="234"/>
        <v>59.19166666666667</v>
      </c>
      <c r="D7355" s="37">
        <v>9.0850000000000009</v>
      </c>
      <c r="E7355" s="33">
        <f t="shared" si="235"/>
        <v>9.9530783449452587E-3</v>
      </c>
    </row>
    <row r="7356" spans="1:5" x14ac:dyDescent="0.25">
      <c r="A7356" s="41">
        <v>43772</v>
      </c>
      <c r="B7356" s="37">
        <v>362.41</v>
      </c>
      <c r="C7356" s="37">
        <f t="shared" si="234"/>
        <v>60.401666666666664</v>
      </c>
      <c r="D7356" s="37">
        <v>9.0850000000000009</v>
      </c>
      <c r="E7356" s="33">
        <f t="shared" si="235"/>
        <v>2.0442066732366742E-2</v>
      </c>
    </row>
    <row r="7357" spans="1:5" x14ac:dyDescent="0.25">
      <c r="A7357" s="41">
        <v>43772</v>
      </c>
      <c r="B7357" s="37">
        <v>362.98</v>
      </c>
      <c r="C7357" s="37">
        <f t="shared" si="234"/>
        <v>60.49666666666667</v>
      </c>
      <c r="D7357" s="37">
        <v>9.0850000000000009</v>
      </c>
      <c r="E7357" s="33">
        <f t="shared" si="235"/>
        <v>1.5728042824425185E-3</v>
      </c>
    </row>
    <row r="7358" spans="1:5" x14ac:dyDescent="0.25">
      <c r="A7358" s="41">
        <v>43772</v>
      </c>
      <c r="B7358" s="37">
        <v>363.15</v>
      </c>
      <c r="C7358" s="37">
        <f t="shared" si="234"/>
        <v>60.524999999999999</v>
      </c>
      <c r="D7358" s="37">
        <v>9.0850000000000009</v>
      </c>
      <c r="E7358" s="33">
        <f t="shared" si="235"/>
        <v>4.6834536338078976E-4</v>
      </c>
    </row>
    <row r="7359" spans="1:5" x14ac:dyDescent="0.25">
      <c r="A7359" s="41">
        <v>43772</v>
      </c>
      <c r="B7359" s="37">
        <v>363.15</v>
      </c>
      <c r="C7359" s="37">
        <f t="shared" si="234"/>
        <v>60.524999999999999</v>
      </c>
      <c r="D7359" s="37">
        <v>9.0850000000000009</v>
      </c>
      <c r="E7359" s="33">
        <f t="shared" si="235"/>
        <v>0</v>
      </c>
    </row>
    <row r="7360" spans="1:5" x14ac:dyDescent="0.25">
      <c r="A7360" s="41">
        <v>43772</v>
      </c>
      <c r="B7360" s="37">
        <v>363.15</v>
      </c>
      <c r="C7360" s="37">
        <f t="shared" si="234"/>
        <v>60.524999999999999</v>
      </c>
      <c r="D7360" s="37">
        <v>9.0850000000000009</v>
      </c>
      <c r="E7360" s="33">
        <f t="shared" si="235"/>
        <v>0</v>
      </c>
    </row>
    <row r="7361" spans="1:5" x14ac:dyDescent="0.25">
      <c r="A7361" s="41">
        <v>43772</v>
      </c>
      <c r="B7361" s="37">
        <v>363.15</v>
      </c>
      <c r="C7361" s="37">
        <f t="shared" si="234"/>
        <v>60.524999999999999</v>
      </c>
      <c r="D7361" s="37">
        <v>9.0850000000000009</v>
      </c>
      <c r="E7361" s="33">
        <f t="shared" si="235"/>
        <v>0</v>
      </c>
    </row>
    <row r="7362" spans="1:5" x14ac:dyDescent="0.25">
      <c r="A7362" s="41">
        <v>43772</v>
      </c>
      <c r="B7362" s="37">
        <v>363.21</v>
      </c>
      <c r="C7362" s="37">
        <f t="shared" si="234"/>
        <v>60.534999999999997</v>
      </c>
      <c r="D7362" s="37">
        <v>9.0850000000000009</v>
      </c>
      <c r="E7362" s="33">
        <f t="shared" si="235"/>
        <v>1.6522098306485551E-4</v>
      </c>
    </row>
    <row r="7363" spans="1:5" x14ac:dyDescent="0.25">
      <c r="A7363" s="41">
        <v>43772</v>
      </c>
      <c r="B7363" s="37">
        <v>364.92</v>
      </c>
      <c r="C7363" s="37">
        <f t="shared" ref="C7363:C7426" si="236">(B7363*100/600)</f>
        <v>60.82</v>
      </c>
      <c r="D7363" s="37">
        <v>9.0850000000000009</v>
      </c>
      <c r="E7363" s="33">
        <f t="shared" si="235"/>
        <v>4.7080201536302321E-3</v>
      </c>
    </row>
    <row r="7364" spans="1:5" x14ac:dyDescent="0.25">
      <c r="A7364" s="41">
        <v>43772</v>
      </c>
      <c r="B7364" s="37">
        <v>374.74</v>
      </c>
      <c r="C7364" s="37">
        <f t="shared" si="236"/>
        <v>62.456666666666663</v>
      </c>
      <c r="D7364" s="37">
        <v>9.0850000000000009</v>
      </c>
      <c r="E7364" s="33">
        <f t="shared" ref="E7364:E7427" si="237">(B7364-B7363)/B7363</f>
        <v>2.6910007672914592E-2</v>
      </c>
    </row>
    <row r="7365" spans="1:5" x14ac:dyDescent="0.25">
      <c r="A7365" s="41">
        <v>43772</v>
      </c>
      <c r="B7365" s="37">
        <v>376.32</v>
      </c>
      <c r="C7365" s="37">
        <f t="shared" si="236"/>
        <v>62.72</v>
      </c>
      <c r="D7365" s="37">
        <v>9.0850000000000009</v>
      </c>
      <c r="E7365" s="33">
        <f t="shared" si="237"/>
        <v>4.2162566045791322E-3</v>
      </c>
    </row>
    <row r="7366" spans="1:5" x14ac:dyDescent="0.25">
      <c r="A7366" s="41">
        <v>43772</v>
      </c>
      <c r="B7366" s="37">
        <v>373.91</v>
      </c>
      <c r="C7366" s="37">
        <f t="shared" si="236"/>
        <v>62.318333333333335</v>
      </c>
      <c r="D7366" s="37">
        <v>9.0850000000000009</v>
      </c>
      <c r="E7366" s="33">
        <f t="shared" si="237"/>
        <v>-6.4041241496597791E-3</v>
      </c>
    </row>
    <row r="7367" spans="1:5" x14ac:dyDescent="0.25">
      <c r="A7367" s="41">
        <v>43772</v>
      </c>
      <c r="B7367" s="37">
        <v>373.21</v>
      </c>
      <c r="C7367" s="37">
        <f t="shared" si="236"/>
        <v>62.201666666666668</v>
      </c>
      <c r="D7367" s="37">
        <v>9.0850000000000009</v>
      </c>
      <c r="E7367" s="33">
        <f t="shared" si="237"/>
        <v>-1.8721082613464349E-3</v>
      </c>
    </row>
    <row r="7368" spans="1:5" x14ac:dyDescent="0.25">
      <c r="A7368" s="41">
        <v>43772</v>
      </c>
      <c r="B7368" s="37">
        <v>371.88</v>
      </c>
      <c r="C7368" s="37">
        <f t="shared" si="236"/>
        <v>61.98</v>
      </c>
      <c r="D7368" s="37">
        <v>9.0850000000000009</v>
      </c>
      <c r="E7368" s="33">
        <f t="shared" si="237"/>
        <v>-3.5636772862463069E-3</v>
      </c>
    </row>
    <row r="7369" spans="1:5" x14ac:dyDescent="0.25">
      <c r="A7369" s="41">
        <v>43772</v>
      </c>
      <c r="B7369" s="37">
        <v>367.74</v>
      </c>
      <c r="C7369" s="37">
        <f t="shared" si="236"/>
        <v>61.29</v>
      </c>
      <c r="D7369" s="37">
        <v>9.0850000000000009</v>
      </c>
      <c r="E7369" s="33">
        <f t="shared" si="237"/>
        <v>-1.113262342691187E-2</v>
      </c>
    </row>
    <row r="7370" spans="1:5" x14ac:dyDescent="0.25">
      <c r="A7370" s="41">
        <v>43773</v>
      </c>
      <c r="B7370" s="37">
        <v>366.92</v>
      </c>
      <c r="C7370" s="37">
        <f t="shared" si="236"/>
        <v>61.153333333333336</v>
      </c>
      <c r="D7370" s="37">
        <v>9.5150000000000006</v>
      </c>
      <c r="E7370" s="33">
        <f t="shared" si="237"/>
        <v>-2.2298362973840026E-3</v>
      </c>
    </row>
    <row r="7371" spans="1:5" x14ac:dyDescent="0.25">
      <c r="A7371" s="41">
        <v>43773</v>
      </c>
      <c r="B7371" s="37">
        <v>365.15</v>
      </c>
      <c r="C7371" s="37">
        <f t="shared" si="236"/>
        <v>60.858333333333334</v>
      </c>
      <c r="D7371" s="37">
        <v>9.5150000000000006</v>
      </c>
      <c r="E7371" s="33">
        <f t="shared" si="237"/>
        <v>-4.8239398233948507E-3</v>
      </c>
    </row>
    <row r="7372" spans="1:5" x14ac:dyDescent="0.25">
      <c r="A7372" s="41">
        <v>43773</v>
      </c>
      <c r="B7372" s="37">
        <v>363.9</v>
      </c>
      <c r="C7372" s="37">
        <f t="shared" si="236"/>
        <v>60.65</v>
      </c>
      <c r="D7372" s="37">
        <v>9.5150000000000006</v>
      </c>
      <c r="E7372" s="33">
        <f t="shared" si="237"/>
        <v>-3.423250718882651E-3</v>
      </c>
    </row>
    <row r="7373" spans="1:5" x14ac:dyDescent="0.25">
      <c r="A7373" s="41">
        <v>43773</v>
      </c>
      <c r="B7373" s="37">
        <v>363.59</v>
      </c>
      <c r="C7373" s="37">
        <f t="shared" si="236"/>
        <v>60.598333333333336</v>
      </c>
      <c r="D7373" s="37">
        <v>9.5150000000000006</v>
      </c>
      <c r="E7373" s="33">
        <f t="shared" si="237"/>
        <v>-8.5188238527068502E-4</v>
      </c>
    </row>
    <row r="7374" spans="1:5" x14ac:dyDescent="0.25">
      <c r="A7374" s="41">
        <v>43773</v>
      </c>
      <c r="B7374" s="37">
        <v>363.45</v>
      </c>
      <c r="C7374" s="37">
        <f t="shared" si="236"/>
        <v>60.575000000000003</v>
      </c>
      <c r="D7374" s="37">
        <v>9.5150000000000006</v>
      </c>
      <c r="E7374" s="33">
        <f t="shared" si="237"/>
        <v>-3.8504909375941684E-4</v>
      </c>
    </row>
    <row r="7375" spans="1:5" x14ac:dyDescent="0.25">
      <c r="A7375" s="41">
        <v>43773</v>
      </c>
      <c r="B7375" s="37">
        <v>363.88</v>
      </c>
      <c r="C7375" s="37">
        <f t="shared" si="236"/>
        <v>60.646666666666668</v>
      </c>
      <c r="D7375" s="37">
        <v>9.5150000000000006</v>
      </c>
      <c r="E7375" s="33">
        <f t="shared" si="237"/>
        <v>1.1831063420002939E-3</v>
      </c>
    </row>
    <row r="7376" spans="1:5" x14ac:dyDescent="0.25">
      <c r="A7376" s="41">
        <v>43773</v>
      </c>
      <c r="B7376" s="37">
        <v>364.6</v>
      </c>
      <c r="C7376" s="37">
        <f t="shared" si="236"/>
        <v>60.766666666666666</v>
      </c>
      <c r="D7376" s="37">
        <v>9.5150000000000006</v>
      </c>
      <c r="E7376" s="33">
        <f t="shared" si="237"/>
        <v>1.9786742882269628E-3</v>
      </c>
    </row>
    <row r="7377" spans="1:5" x14ac:dyDescent="0.25">
      <c r="A7377" s="41">
        <v>43773</v>
      </c>
      <c r="B7377" s="37">
        <v>371.48</v>
      </c>
      <c r="C7377" s="37">
        <f t="shared" si="236"/>
        <v>61.913333333333334</v>
      </c>
      <c r="D7377" s="37">
        <v>9.5150000000000006</v>
      </c>
      <c r="E7377" s="33">
        <f t="shared" si="237"/>
        <v>1.8869994514536463E-2</v>
      </c>
    </row>
    <row r="7378" spans="1:5" x14ac:dyDescent="0.25">
      <c r="A7378" s="41">
        <v>43773</v>
      </c>
      <c r="B7378" s="37">
        <v>383.36</v>
      </c>
      <c r="C7378" s="37">
        <f t="shared" si="236"/>
        <v>63.893333333333331</v>
      </c>
      <c r="D7378" s="37">
        <v>9.5150000000000006</v>
      </c>
      <c r="E7378" s="33">
        <f t="shared" si="237"/>
        <v>3.1980187358673404E-2</v>
      </c>
    </row>
    <row r="7379" spans="1:5" x14ac:dyDescent="0.25">
      <c r="A7379" s="41">
        <v>43773</v>
      </c>
      <c r="B7379" s="37">
        <v>390.38</v>
      </c>
      <c r="C7379" s="37">
        <f t="shared" si="236"/>
        <v>65.063333333333333</v>
      </c>
      <c r="D7379" s="37">
        <v>9.5150000000000006</v>
      </c>
      <c r="E7379" s="33">
        <f t="shared" si="237"/>
        <v>1.8311769616026662E-2</v>
      </c>
    </row>
    <row r="7380" spans="1:5" x14ac:dyDescent="0.25">
      <c r="A7380" s="41">
        <v>43773</v>
      </c>
      <c r="B7380" s="37">
        <v>397.7</v>
      </c>
      <c r="C7380" s="37">
        <f t="shared" si="236"/>
        <v>66.283333333333331</v>
      </c>
      <c r="D7380" s="37">
        <v>9.5150000000000006</v>
      </c>
      <c r="E7380" s="33">
        <f t="shared" si="237"/>
        <v>1.8750960602489864E-2</v>
      </c>
    </row>
    <row r="7381" spans="1:5" x14ac:dyDescent="0.25">
      <c r="A7381" s="41">
        <v>43773</v>
      </c>
      <c r="B7381" s="37">
        <v>397.55</v>
      </c>
      <c r="C7381" s="37">
        <f t="shared" si="236"/>
        <v>66.25833333333334</v>
      </c>
      <c r="D7381" s="37">
        <v>9.5150000000000006</v>
      </c>
      <c r="E7381" s="33">
        <f t="shared" si="237"/>
        <v>-3.7716872014075247E-4</v>
      </c>
    </row>
    <row r="7382" spans="1:5" x14ac:dyDescent="0.25">
      <c r="A7382" s="41">
        <v>43773</v>
      </c>
      <c r="B7382" s="37">
        <v>393.32</v>
      </c>
      <c r="C7382" s="37">
        <f t="shared" si="236"/>
        <v>65.553333333333327</v>
      </c>
      <c r="D7382" s="37">
        <v>9.5150000000000006</v>
      </c>
      <c r="E7382" s="33">
        <f t="shared" si="237"/>
        <v>-1.0640171047667006E-2</v>
      </c>
    </row>
    <row r="7383" spans="1:5" x14ac:dyDescent="0.25">
      <c r="A7383" s="41">
        <v>43773</v>
      </c>
      <c r="B7383" s="37">
        <v>400.96</v>
      </c>
      <c r="C7383" s="37">
        <f t="shared" si="236"/>
        <v>66.826666666666668</v>
      </c>
      <c r="D7383" s="37">
        <v>9.5150000000000006</v>
      </c>
      <c r="E7383" s="33">
        <f t="shared" si="237"/>
        <v>1.9424387267364961E-2</v>
      </c>
    </row>
    <row r="7384" spans="1:5" x14ac:dyDescent="0.25">
      <c r="A7384" s="41">
        <v>43773</v>
      </c>
      <c r="B7384" s="37">
        <v>405.17</v>
      </c>
      <c r="C7384" s="37">
        <f t="shared" si="236"/>
        <v>67.528333333333336</v>
      </c>
      <c r="D7384" s="37">
        <v>9.5150000000000006</v>
      </c>
      <c r="E7384" s="33">
        <f t="shared" si="237"/>
        <v>1.049980047885085E-2</v>
      </c>
    </row>
    <row r="7385" spans="1:5" x14ac:dyDescent="0.25">
      <c r="A7385" s="41">
        <v>43773</v>
      </c>
      <c r="B7385" s="37">
        <v>405.01</v>
      </c>
      <c r="C7385" s="37">
        <f t="shared" si="236"/>
        <v>67.501666666666665</v>
      </c>
      <c r="D7385" s="37">
        <v>9.5150000000000006</v>
      </c>
      <c r="E7385" s="33">
        <f t="shared" si="237"/>
        <v>-3.9489596959307204E-4</v>
      </c>
    </row>
    <row r="7386" spans="1:5" x14ac:dyDescent="0.25">
      <c r="A7386" s="41">
        <v>43773</v>
      </c>
      <c r="B7386" s="37">
        <v>402.96</v>
      </c>
      <c r="C7386" s="37">
        <f t="shared" si="236"/>
        <v>67.16</v>
      </c>
      <c r="D7386" s="37">
        <v>9.5150000000000006</v>
      </c>
      <c r="E7386" s="33">
        <f t="shared" si="237"/>
        <v>-5.0616034171996034E-3</v>
      </c>
    </row>
    <row r="7387" spans="1:5" x14ac:dyDescent="0.25">
      <c r="A7387" s="41">
        <v>43773</v>
      </c>
      <c r="B7387" s="37">
        <v>392.05</v>
      </c>
      <c r="C7387" s="37">
        <f t="shared" si="236"/>
        <v>65.341666666666669</v>
      </c>
      <c r="D7387" s="37">
        <v>9.5150000000000006</v>
      </c>
      <c r="E7387" s="33">
        <f t="shared" si="237"/>
        <v>-2.707464760770292E-2</v>
      </c>
    </row>
    <row r="7388" spans="1:5" x14ac:dyDescent="0.25">
      <c r="A7388" s="41">
        <v>43773</v>
      </c>
      <c r="B7388" s="37">
        <v>391.33</v>
      </c>
      <c r="C7388" s="37">
        <f t="shared" si="236"/>
        <v>65.221666666666664</v>
      </c>
      <c r="D7388" s="37">
        <v>9.5150000000000006</v>
      </c>
      <c r="E7388" s="33">
        <f t="shared" si="237"/>
        <v>-1.8365004463717059E-3</v>
      </c>
    </row>
    <row r="7389" spans="1:5" x14ac:dyDescent="0.25">
      <c r="A7389" s="41">
        <v>43773</v>
      </c>
      <c r="B7389" s="37">
        <v>392.41</v>
      </c>
      <c r="C7389" s="37">
        <f t="shared" si="236"/>
        <v>65.401666666666671</v>
      </c>
      <c r="D7389" s="37">
        <v>9.5150000000000006</v>
      </c>
      <c r="E7389" s="33">
        <f t="shared" si="237"/>
        <v>2.7598190785271788E-3</v>
      </c>
    </row>
    <row r="7390" spans="1:5" x14ac:dyDescent="0.25">
      <c r="A7390" s="41">
        <v>43773</v>
      </c>
      <c r="B7390" s="37">
        <v>391.81</v>
      </c>
      <c r="C7390" s="37">
        <f t="shared" si="236"/>
        <v>65.301666666666662</v>
      </c>
      <c r="D7390" s="37">
        <v>9.5150000000000006</v>
      </c>
      <c r="E7390" s="33">
        <f t="shared" si="237"/>
        <v>-1.5290130220942961E-3</v>
      </c>
    </row>
    <row r="7391" spans="1:5" x14ac:dyDescent="0.25">
      <c r="A7391" s="41">
        <v>43773</v>
      </c>
      <c r="B7391" s="37">
        <v>391.61</v>
      </c>
      <c r="C7391" s="37">
        <f t="shared" si="236"/>
        <v>65.268333333333331</v>
      </c>
      <c r="D7391" s="37">
        <v>9.5150000000000006</v>
      </c>
      <c r="E7391" s="33">
        <f t="shared" si="237"/>
        <v>-5.1045149434672066E-4</v>
      </c>
    </row>
    <row r="7392" spans="1:5" x14ac:dyDescent="0.25">
      <c r="A7392" s="41">
        <v>43773</v>
      </c>
      <c r="B7392" s="37">
        <v>389.53</v>
      </c>
      <c r="C7392" s="37">
        <f t="shared" si="236"/>
        <v>64.921666666666667</v>
      </c>
      <c r="D7392" s="37">
        <v>9.5150000000000006</v>
      </c>
      <c r="E7392" s="33">
        <f t="shared" si="237"/>
        <v>-5.3114067567223535E-3</v>
      </c>
    </row>
    <row r="7393" spans="1:5" x14ac:dyDescent="0.25">
      <c r="A7393" s="41">
        <v>43773</v>
      </c>
      <c r="B7393" s="37">
        <v>380.21</v>
      </c>
      <c r="C7393" s="37">
        <f t="shared" si="236"/>
        <v>63.368333333333332</v>
      </c>
      <c r="D7393" s="37">
        <v>9.5150000000000006</v>
      </c>
      <c r="E7393" s="33">
        <f t="shared" si="237"/>
        <v>-2.3926270120401494E-2</v>
      </c>
    </row>
    <row r="7394" spans="1:5" x14ac:dyDescent="0.25">
      <c r="A7394" s="41">
        <v>43774</v>
      </c>
      <c r="B7394" s="37">
        <v>374.39</v>
      </c>
      <c r="C7394" s="37">
        <f t="shared" si="236"/>
        <v>62.398333333333333</v>
      </c>
      <c r="D7394" s="37">
        <v>17.443000000000001</v>
      </c>
      <c r="E7394" s="33">
        <f t="shared" si="237"/>
        <v>-1.5307330159648597E-2</v>
      </c>
    </row>
    <row r="7395" spans="1:5" x14ac:dyDescent="0.25">
      <c r="A7395" s="41">
        <v>43774</v>
      </c>
      <c r="B7395" s="37">
        <v>367.65</v>
      </c>
      <c r="C7395" s="37">
        <f t="shared" si="236"/>
        <v>61.274999999999999</v>
      </c>
      <c r="D7395" s="37">
        <v>17.443000000000001</v>
      </c>
      <c r="E7395" s="33">
        <f t="shared" si="237"/>
        <v>-1.8002617591281845E-2</v>
      </c>
    </row>
    <row r="7396" spans="1:5" x14ac:dyDescent="0.25">
      <c r="A7396" s="41">
        <v>43774</v>
      </c>
      <c r="B7396" s="37">
        <v>363.89</v>
      </c>
      <c r="C7396" s="37">
        <f t="shared" si="236"/>
        <v>60.648333333333333</v>
      </c>
      <c r="D7396" s="37">
        <v>17.443000000000001</v>
      </c>
      <c r="E7396" s="33">
        <f t="shared" si="237"/>
        <v>-1.0227118183054511E-2</v>
      </c>
    </row>
    <row r="7397" spans="1:5" x14ac:dyDescent="0.25">
      <c r="A7397" s="41">
        <v>43774</v>
      </c>
      <c r="B7397" s="37">
        <v>363.67</v>
      </c>
      <c r="C7397" s="37">
        <f t="shared" si="236"/>
        <v>60.611666666666665</v>
      </c>
      <c r="D7397" s="37">
        <v>17.443000000000001</v>
      </c>
      <c r="E7397" s="33">
        <f t="shared" si="237"/>
        <v>-6.0457830663104362E-4</v>
      </c>
    </row>
    <row r="7398" spans="1:5" x14ac:dyDescent="0.25">
      <c r="A7398" s="41">
        <v>43774</v>
      </c>
      <c r="B7398" s="37">
        <v>363.47</v>
      </c>
      <c r="C7398" s="37">
        <f t="shared" si="236"/>
        <v>60.578333333333333</v>
      </c>
      <c r="D7398" s="37">
        <v>17.443000000000001</v>
      </c>
      <c r="E7398" s="33">
        <f t="shared" si="237"/>
        <v>-5.4994912970547096E-4</v>
      </c>
    </row>
    <row r="7399" spans="1:5" x14ac:dyDescent="0.25">
      <c r="A7399" s="41">
        <v>43774</v>
      </c>
      <c r="B7399" s="37">
        <v>363.79</v>
      </c>
      <c r="C7399" s="37">
        <f t="shared" si="236"/>
        <v>60.631666666666668</v>
      </c>
      <c r="D7399" s="37">
        <v>17.443000000000001</v>
      </c>
      <c r="E7399" s="33">
        <f t="shared" si="237"/>
        <v>8.8040278427378639E-4</v>
      </c>
    </row>
    <row r="7400" spans="1:5" x14ac:dyDescent="0.25">
      <c r="A7400" s="41">
        <v>43774</v>
      </c>
      <c r="B7400" s="37">
        <v>367.76</v>
      </c>
      <c r="C7400" s="37">
        <f t="shared" si="236"/>
        <v>61.293333333333337</v>
      </c>
      <c r="D7400" s="37">
        <v>17.443000000000001</v>
      </c>
      <c r="E7400" s="33">
        <f t="shared" si="237"/>
        <v>1.0912889304268864E-2</v>
      </c>
    </row>
    <row r="7401" spans="1:5" x14ac:dyDescent="0.25">
      <c r="A7401" s="41">
        <v>43774</v>
      </c>
      <c r="B7401" s="37">
        <v>376.85</v>
      </c>
      <c r="C7401" s="37">
        <f t="shared" si="236"/>
        <v>62.80833333333333</v>
      </c>
      <c r="D7401" s="37">
        <v>17.443000000000001</v>
      </c>
      <c r="E7401" s="33">
        <f t="shared" si="237"/>
        <v>2.4717206874048381E-2</v>
      </c>
    </row>
    <row r="7402" spans="1:5" x14ac:dyDescent="0.25">
      <c r="A7402" s="41">
        <v>43774</v>
      </c>
      <c r="B7402" s="37">
        <v>388.97</v>
      </c>
      <c r="C7402" s="37">
        <f t="shared" si="236"/>
        <v>64.828333333333333</v>
      </c>
      <c r="D7402" s="37">
        <v>17.443000000000001</v>
      </c>
      <c r="E7402" s="33">
        <f t="shared" si="237"/>
        <v>3.2161337402149409E-2</v>
      </c>
    </row>
    <row r="7403" spans="1:5" x14ac:dyDescent="0.25">
      <c r="A7403" s="41">
        <v>43774</v>
      </c>
      <c r="B7403" s="37">
        <v>397.14</v>
      </c>
      <c r="C7403" s="37">
        <f t="shared" si="236"/>
        <v>66.19</v>
      </c>
      <c r="D7403" s="37">
        <v>17.443000000000001</v>
      </c>
      <c r="E7403" s="33">
        <f t="shared" si="237"/>
        <v>2.1004190554541374E-2</v>
      </c>
    </row>
    <row r="7404" spans="1:5" x14ac:dyDescent="0.25">
      <c r="A7404" s="41">
        <v>43774</v>
      </c>
      <c r="B7404" s="37">
        <v>413.80999999999995</v>
      </c>
      <c r="C7404" s="37">
        <f t="shared" si="236"/>
        <v>68.96833333333332</v>
      </c>
      <c r="D7404" s="37">
        <v>17.443000000000001</v>
      </c>
      <c r="E7404" s="33">
        <f t="shared" si="237"/>
        <v>4.1975122123180643E-2</v>
      </c>
    </row>
    <row r="7405" spans="1:5" x14ac:dyDescent="0.25">
      <c r="A7405" s="41">
        <v>43774</v>
      </c>
      <c r="B7405" s="37">
        <v>413.89</v>
      </c>
      <c r="C7405" s="37">
        <f t="shared" si="236"/>
        <v>68.981666666666669</v>
      </c>
      <c r="D7405" s="37">
        <v>17.443000000000001</v>
      </c>
      <c r="E7405" s="33">
        <f t="shared" si="237"/>
        <v>1.9332543921133115E-4</v>
      </c>
    </row>
    <row r="7406" spans="1:5" x14ac:dyDescent="0.25">
      <c r="A7406" s="41">
        <v>43774</v>
      </c>
      <c r="B7406" s="37">
        <v>410.36</v>
      </c>
      <c r="C7406" s="37">
        <f t="shared" si="236"/>
        <v>68.393333333333331</v>
      </c>
      <c r="D7406" s="37">
        <v>17.443000000000001</v>
      </c>
      <c r="E7406" s="33">
        <f t="shared" si="237"/>
        <v>-8.5288361641981513E-3</v>
      </c>
    </row>
    <row r="7407" spans="1:5" x14ac:dyDescent="0.25">
      <c r="A7407" s="41">
        <v>43774</v>
      </c>
      <c r="B7407" s="37">
        <v>413.89</v>
      </c>
      <c r="C7407" s="37">
        <f t="shared" si="236"/>
        <v>68.981666666666669</v>
      </c>
      <c r="D7407" s="37">
        <v>17.443000000000001</v>
      </c>
      <c r="E7407" s="33">
        <f t="shared" si="237"/>
        <v>8.6022029437566351E-3</v>
      </c>
    </row>
    <row r="7408" spans="1:5" x14ac:dyDescent="0.25">
      <c r="A7408" s="41">
        <v>43774</v>
      </c>
      <c r="B7408" s="37">
        <v>413.89</v>
      </c>
      <c r="C7408" s="37">
        <f t="shared" si="236"/>
        <v>68.981666666666669</v>
      </c>
      <c r="D7408" s="37">
        <v>17.443000000000001</v>
      </c>
      <c r="E7408" s="33">
        <f t="shared" si="237"/>
        <v>0</v>
      </c>
    </row>
    <row r="7409" spans="1:5" x14ac:dyDescent="0.25">
      <c r="A7409" s="41">
        <v>43774</v>
      </c>
      <c r="B7409" s="37">
        <v>413.89</v>
      </c>
      <c r="C7409" s="37">
        <f t="shared" si="236"/>
        <v>68.981666666666669</v>
      </c>
      <c r="D7409" s="37">
        <v>17.443000000000001</v>
      </c>
      <c r="E7409" s="33">
        <f t="shared" si="237"/>
        <v>0</v>
      </c>
    </row>
    <row r="7410" spans="1:5" x14ac:dyDescent="0.25">
      <c r="A7410" s="41">
        <v>43774</v>
      </c>
      <c r="B7410" s="37">
        <v>413.89</v>
      </c>
      <c r="C7410" s="37">
        <f t="shared" si="236"/>
        <v>68.981666666666669</v>
      </c>
      <c r="D7410" s="37">
        <v>17.443000000000001</v>
      </c>
      <c r="E7410" s="33">
        <f t="shared" si="237"/>
        <v>0</v>
      </c>
    </row>
    <row r="7411" spans="1:5" x14ac:dyDescent="0.25">
      <c r="A7411" s="41">
        <v>43774</v>
      </c>
      <c r="B7411" s="37">
        <v>401.76</v>
      </c>
      <c r="C7411" s="37">
        <f t="shared" si="236"/>
        <v>66.959999999999994</v>
      </c>
      <c r="D7411" s="37">
        <v>17.443000000000001</v>
      </c>
      <c r="E7411" s="33">
        <f t="shared" si="237"/>
        <v>-2.9307303873009727E-2</v>
      </c>
    </row>
    <row r="7412" spans="1:5" x14ac:dyDescent="0.25">
      <c r="A7412" s="41">
        <v>43774</v>
      </c>
      <c r="B7412" s="37">
        <v>399.24</v>
      </c>
      <c r="C7412" s="37">
        <f t="shared" si="236"/>
        <v>66.540000000000006</v>
      </c>
      <c r="D7412" s="37">
        <v>17.443000000000001</v>
      </c>
      <c r="E7412" s="33">
        <f t="shared" si="237"/>
        <v>-6.2724014336917114E-3</v>
      </c>
    </row>
    <row r="7413" spans="1:5" x14ac:dyDescent="0.25">
      <c r="A7413" s="41">
        <v>43774</v>
      </c>
      <c r="B7413" s="37">
        <v>402.23</v>
      </c>
      <c r="C7413" s="37">
        <f t="shared" si="236"/>
        <v>67.038333333333327</v>
      </c>
      <c r="D7413" s="37">
        <v>17.443000000000001</v>
      </c>
      <c r="E7413" s="33">
        <f t="shared" si="237"/>
        <v>7.4892295361186478E-3</v>
      </c>
    </row>
    <row r="7414" spans="1:5" x14ac:dyDescent="0.25">
      <c r="A7414" s="41">
        <v>43774</v>
      </c>
      <c r="B7414" s="37">
        <v>396.13</v>
      </c>
      <c r="C7414" s="37">
        <f t="shared" si="236"/>
        <v>66.021666666666661</v>
      </c>
      <c r="D7414" s="37">
        <v>17.443000000000001</v>
      </c>
      <c r="E7414" s="33">
        <f t="shared" si="237"/>
        <v>-1.5165452601745327E-2</v>
      </c>
    </row>
    <row r="7415" spans="1:5" x14ac:dyDescent="0.25">
      <c r="A7415" s="41">
        <v>43774</v>
      </c>
      <c r="B7415" s="37">
        <v>395.55</v>
      </c>
      <c r="C7415" s="37">
        <f t="shared" si="236"/>
        <v>65.924999999999997</v>
      </c>
      <c r="D7415" s="37">
        <v>17.443000000000001</v>
      </c>
      <c r="E7415" s="33">
        <f t="shared" si="237"/>
        <v>-1.4641658041551614E-3</v>
      </c>
    </row>
    <row r="7416" spans="1:5" x14ac:dyDescent="0.25">
      <c r="A7416" s="41">
        <v>43774</v>
      </c>
      <c r="B7416" s="37">
        <v>390.49</v>
      </c>
      <c r="C7416" s="37">
        <f t="shared" si="236"/>
        <v>65.081666666666663</v>
      </c>
      <c r="D7416" s="37">
        <v>17.443000000000001</v>
      </c>
      <c r="E7416" s="33">
        <f t="shared" si="237"/>
        <v>-1.2792314498799145E-2</v>
      </c>
    </row>
    <row r="7417" spans="1:5" x14ac:dyDescent="0.25">
      <c r="A7417" s="41">
        <v>43774</v>
      </c>
      <c r="B7417" s="37">
        <v>383.92</v>
      </c>
      <c r="C7417" s="37">
        <f t="shared" si="236"/>
        <v>63.986666666666665</v>
      </c>
      <c r="D7417" s="37">
        <v>17.443000000000001</v>
      </c>
      <c r="E7417" s="33">
        <f t="shared" si="237"/>
        <v>-1.6825014725088974E-2</v>
      </c>
    </row>
    <row r="7418" spans="1:5" x14ac:dyDescent="0.25">
      <c r="A7418" s="41">
        <v>43775</v>
      </c>
      <c r="B7418" s="37">
        <v>366.07</v>
      </c>
      <c r="C7418" s="37">
        <f t="shared" si="236"/>
        <v>61.011666666666663</v>
      </c>
      <c r="D7418" s="37">
        <v>21.716000000000001</v>
      </c>
      <c r="E7418" s="33">
        <f t="shared" si="237"/>
        <v>-4.6494061262763134E-2</v>
      </c>
    </row>
    <row r="7419" spans="1:5" x14ac:dyDescent="0.25">
      <c r="A7419" s="41">
        <v>43775</v>
      </c>
      <c r="B7419" s="37">
        <v>362.89</v>
      </c>
      <c r="C7419" s="37">
        <f t="shared" si="236"/>
        <v>60.481666666666669</v>
      </c>
      <c r="D7419" s="37">
        <v>21.716000000000001</v>
      </c>
      <c r="E7419" s="33">
        <f t="shared" si="237"/>
        <v>-8.6868631682465291E-3</v>
      </c>
    </row>
    <row r="7420" spans="1:5" x14ac:dyDescent="0.25">
      <c r="A7420" s="41">
        <v>43775</v>
      </c>
      <c r="B7420" s="37">
        <v>362.04</v>
      </c>
      <c r="C7420" s="37">
        <f t="shared" si="236"/>
        <v>60.34</v>
      </c>
      <c r="D7420" s="37">
        <v>21.716000000000001</v>
      </c>
      <c r="E7420" s="33">
        <f t="shared" si="237"/>
        <v>-2.3423075863208296E-3</v>
      </c>
    </row>
    <row r="7421" spans="1:5" x14ac:dyDescent="0.25">
      <c r="A7421" s="41">
        <v>43775</v>
      </c>
      <c r="B7421" s="37">
        <v>361.65</v>
      </c>
      <c r="C7421" s="37">
        <f t="shared" si="236"/>
        <v>60.274999999999999</v>
      </c>
      <c r="D7421" s="37">
        <v>21.716000000000001</v>
      </c>
      <c r="E7421" s="33">
        <f t="shared" si="237"/>
        <v>-1.0772290354658137E-3</v>
      </c>
    </row>
    <row r="7422" spans="1:5" x14ac:dyDescent="0.25">
      <c r="A7422" s="41">
        <v>43775</v>
      </c>
      <c r="B7422" s="37">
        <v>361.64</v>
      </c>
      <c r="C7422" s="37">
        <f t="shared" si="236"/>
        <v>60.273333333333333</v>
      </c>
      <c r="D7422" s="37">
        <v>21.716000000000001</v>
      </c>
      <c r="E7422" s="33">
        <f t="shared" si="237"/>
        <v>-2.7651043826879321E-5</v>
      </c>
    </row>
    <row r="7423" spans="1:5" x14ac:dyDescent="0.25">
      <c r="A7423" s="41">
        <v>43775</v>
      </c>
      <c r="B7423" s="37">
        <v>361.73</v>
      </c>
      <c r="C7423" s="37">
        <f t="shared" si="236"/>
        <v>60.288333333333334</v>
      </c>
      <c r="D7423" s="37">
        <v>21.716000000000001</v>
      </c>
      <c r="E7423" s="33">
        <f t="shared" si="237"/>
        <v>2.4886627585452893E-4</v>
      </c>
    </row>
    <row r="7424" spans="1:5" x14ac:dyDescent="0.25">
      <c r="A7424" s="41">
        <v>43775</v>
      </c>
      <c r="B7424" s="37">
        <v>361.73</v>
      </c>
      <c r="C7424" s="37">
        <f t="shared" si="236"/>
        <v>60.288333333333334</v>
      </c>
      <c r="D7424" s="37">
        <v>21.716000000000001</v>
      </c>
      <c r="E7424" s="33">
        <f t="shared" si="237"/>
        <v>0</v>
      </c>
    </row>
    <row r="7425" spans="1:5" x14ac:dyDescent="0.25">
      <c r="A7425" s="41">
        <v>43775</v>
      </c>
      <c r="B7425" s="37">
        <v>365.21</v>
      </c>
      <c r="C7425" s="37">
        <f t="shared" si="236"/>
        <v>60.868333333333332</v>
      </c>
      <c r="D7425" s="37">
        <v>21.716000000000001</v>
      </c>
      <c r="E7425" s="33">
        <f t="shared" si="237"/>
        <v>9.6204351311750778E-3</v>
      </c>
    </row>
    <row r="7426" spans="1:5" x14ac:dyDescent="0.25">
      <c r="A7426" s="41">
        <v>43775</v>
      </c>
      <c r="B7426" s="37">
        <v>377.91</v>
      </c>
      <c r="C7426" s="37">
        <f t="shared" si="236"/>
        <v>62.984999999999999</v>
      </c>
      <c r="D7426" s="37">
        <v>21.716000000000001</v>
      </c>
      <c r="E7426" s="33">
        <f t="shared" si="237"/>
        <v>3.4774513293721547E-2</v>
      </c>
    </row>
    <row r="7427" spans="1:5" x14ac:dyDescent="0.25">
      <c r="A7427" s="41">
        <v>43775</v>
      </c>
      <c r="B7427" s="37">
        <v>385.47</v>
      </c>
      <c r="C7427" s="37">
        <f t="shared" ref="C7427:C7490" si="238">(B7427*100/600)</f>
        <v>64.245000000000005</v>
      </c>
      <c r="D7427" s="37">
        <v>21.716000000000001</v>
      </c>
      <c r="E7427" s="33">
        <f t="shared" si="237"/>
        <v>2.0004763038818769E-2</v>
      </c>
    </row>
    <row r="7428" spans="1:5" x14ac:dyDescent="0.25">
      <c r="A7428" s="41">
        <v>43775</v>
      </c>
      <c r="B7428" s="37">
        <v>393.58</v>
      </c>
      <c r="C7428" s="37">
        <f t="shared" si="238"/>
        <v>65.596666666666664</v>
      </c>
      <c r="D7428" s="37">
        <v>21.716000000000001</v>
      </c>
      <c r="E7428" s="33">
        <f t="shared" ref="E7428:E7491" si="239">(B7428-B7427)/B7427</f>
        <v>2.1039250784756158E-2</v>
      </c>
    </row>
    <row r="7429" spans="1:5" x14ac:dyDescent="0.25">
      <c r="A7429" s="41">
        <v>43775</v>
      </c>
      <c r="B7429" s="37">
        <v>394.51</v>
      </c>
      <c r="C7429" s="37">
        <f t="shared" si="238"/>
        <v>65.751666666666665</v>
      </c>
      <c r="D7429" s="37">
        <v>21.716000000000001</v>
      </c>
      <c r="E7429" s="33">
        <f t="shared" si="239"/>
        <v>2.3629249453732577E-3</v>
      </c>
    </row>
    <row r="7430" spans="1:5" x14ac:dyDescent="0.25">
      <c r="A7430" s="41">
        <v>43775</v>
      </c>
      <c r="B7430" s="37">
        <v>387.16</v>
      </c>
      <c r="C7430" s="37">
        <f t="shared" si="238"/>
        <v>64.526666666666671</v>
      </c>
      <c r="D7430" s="37">
        <v>21.716000000000001</v>
      </c>
      <c r="E7430" s="33">
        <f t="shared" si="239"/>
        <v>-1.8630706445970865E-2</v>
      </c>
    </row>
    <row r="7431" spans="1:5" x14ac:dyDescent="0.25">
      <c r="A7431" s="41">
        <v>43775</v>
      </c>
      <c r="B7431" s="37">
        <v>405.26</v>
      </c>
      <c r="C7431" s="37">
        <f t="shared" si="238"/>
        <v>67.543333333333337</v>
      </c>
      <c r="D7431" s="37">
        <v>21.716000000000001</v>
      </c>
      <c r="E7431" s="33">
        <f t="shared" si="239"/>
        <v>4.6750697386093512E-2</v>
      </c>
    </row>
    <row r="7432" spans="1:5" x14ac:dyDescent="0.25">
      <c r="A7432" s="41">
        <v>43775</v>
      </c>
      <c r="B7432" s="37">
        <v>413.89</v>
      </c>
      <c r="C7432" s="37">
        <f t="shared" si="238"/>
        <v>68.981666666666669</v>
      </c>
      <c r="D7432" s="37">
        <v>21.716000000000001</v>
      </c>
      <c r="E7432" s="33">
        <f t="shared" si="239"/>
        <v>2.1294971129645155E-2</v>
      </c>
    </row>
    <row r="7433" spans="1:5" x14ac:dyDescent="0.25">
      <c r="A7433" s="41">
        <v>43775</v>
      </c>
      <c r="B7433" s="37">
        <v>413.89</v>
      </c>
      <c r="C7433" s="37">
        <f t="shared" si="238"/>
        <v>68.981666666666669</v>
      </c>
      <c r="D7433" s="37">
        <v>21.716000000000001</v>
      </c>
      <c r="E7433" s="33">
        <f t="shared" si="239"/>
        <v>0</v>
      </c>
    </row>
    <row r="7434" spans="1:5" x14ac:dyDescent="0.25">
      <c r="A7434" s="41">
        <v>43775</v>
      </c>
      <c r="B7434" s="37">
        <v>407.68</v>
      </c>
      <c r="C7434" s="37">
        <f t="shared" si="238"/>
        <v>67.946666666666673</v>
      </c>
      <c r="D7434" s="37">
        <v>21.716000000000001</v>
      </c>
      <c r="E7434" s="33">
        <f t="shared" si="239"/>
        <v>-1.5003986566478967E-2</v>
      </c>
    </row>
    <row r="7435" spans="1:5" x14ac:dyDescent="0.25">
      <c r="A7435" s="41">
        <v>43775</v>
      </c>
      <c r="B7435" s="37">
        <v>387.28</v>
      </c>
      <c r="C7435" s="37">
        <f t="shared" si="238"/>
        <v>64.546666666666667</v>
      </c>
      <c r="D7435" s="37">
        <v>21.716000000000001</v>
      </c>
      <c r="E7435" s="33">
        <f t="shared" si="239"/>
        <v>-5.0039246467817981E-2</v>
      </c>
    </row>
    <row r="7436" spans="1:5" x14ac:dyDescent="0.25">
      <c r="A7436" s="41">
        <v>43775</v>
      </c>
      <c r="B7436" s="37">
        <v>387.36</v>
      </c>
      <c r="C7436" s="37">
        <f t="shared" si="238"/>
        <v>64.56</v>
      </c>
      <c r="D7436" s="37">
        <v>21.716000000000001</v>
      </c>
      <c r="E7436" s="33">
        <f t="shared" si="239"/>
        <v>2.0656889072516251E-4</v>
      </c>
    </row>
    <row r="7437" spans="1:5" x14ac:dyDescent="0.25">
      <c r="A7437" s="41">
        <v>43775</v>
      </c>
      <c r="B7437" s="37">
        <v>387.32</v>
      </c>
      <c r="C7437" s="37">
        <f t="shared" si="238"/>
        <v>64.553333333333327</v>
      </c>
      <c r="D7437" s="37">
        <v>21.716000000000001</v>
      </c>
      <c r="E7437" s="33">
        <f t="shared" si="239"/>
        <v>-1.0326311441558359E-4</v>
      </c>
    </row>
    <row r="7438" spans="1:5" x14ac:dyDescent="0.25">
      <c r="A7438" s="41">
        <v>43775</v>
      </c>
      <c r="B7438" s="37">
        <v>385.03</v>
      </c>
      <c r="C7438" s="37">
        <f t="shared" si="238"/>
        <v>64.171666666666667</v>
      </c>
      <c r="D7438" s="37">
        <v>21.716000000000001</v>
      </c>
      <c r="E7438" s="33">
        <f t="shared" si="239"/>
        <v>-5.9124238355881967E-3</v>
      </c>
    </row>
    <row r="7439" spans="1:5" x14ac:dyDescent="0.25">
      <c r="A7439" s="41">
        <v>43775</v>
      </c>
      <c r="B7439" s="37">
        <v>384.94</v>
      </c>
      <c r="C7439" s="37">
        <f t="shared" si="238"/>
        <v>64.156666666666666</v>
      </c>
      <c r="D7439" s="37">
        <v>21.716000000000001</v>
      </c>
      <c r="E7439" s="33">
        <f t="shared" si="239"/>
        <v>-2.337480196347687E-4</v>
      </c>
    </row>
    <row r="7440" spans="1:5" x14ac:dyDescent="0.25">
      <c r="A7440" s="41">
        <v>43775</v>
      </c>
      <c r="B7440" s="37">
        <v>382.22</v>
      </c>
      <c r="C7440" s="37">
        <f t="shared" si="238"/>
        <v>63.703333333333333</v>
      </c>
      <c r="D7440" s="37">
        <v>21.716000000000001</v>
      </c>
      <c r="E7440" s="33">
        <f t="shared" si="239"/>
        <v>-7.0660362653919328E-3</v>
      </c>
    </row>
    <row r="7441" spans="1:5" x14ac:dyDescent="0.25">
      <c r="A7441" s="41">
        <v>43775</v>
      </c>
      <c r="B7441" s="37">
        <v>370.41</v>
      </c>
      <c r="C7441" s="37">
        <f t="shared" si="238"/>
        <v>61.734999999999999</v>
      </c>
      <c r="D7441" s="37">
        <v>21.716000000000001</v>
      </c>
      <c r="E7441" s="33">
        <f t="shared" si="239"/>
        <v>-3.0898435456020099E-2</v>
      </c>
    </row>
    <row r="7442" spans="1:5" x14ac:dyDescent="0.25">
      <c r="A7442" s="41">
        <v>43776</v>
      </c>
      <c r="B7442" s="37">
        <v>360.26</v>
      </c>
      <c r="C7442" s="37">
        <f t="shared" si="238"/>
        <v>60.043333333333337</v>
      </c>
      <c r="D7442" s="37">
        <v>19.074000000000002</v>
      </c>
      <c r="E7442" s="33">
        <f t="shared" si="239"/>
        <v>-2.7402067978726366E-2</v>
      </c>
    </row>
    <row r="7443" spans="1:5" x14ac:dyDescent="0.25">
      <c r="A7443" s="41">
        <v>43776</v>
      </c>
      <c r="B7443" s="37">
        <v>356.56</v>
      </c>
      <c r="C7443" s="37">
        <f t="shared" si="238"/>
        <v>59.426666666666669</v>
      </c>
      <c r="D7443" s="37">
        <v>19.074000000000002</v>
      </c>
      <c r="E7443" s="33">
        <f t="shared" si="239"/>
        <v>-1.0270360295342222E-2</v>
      </c>
    </row>
    <row r="7444" spans="1:5" x14ac:dyDescent="0.25">
      <c r="A7444" s="41">
        <v>43776</v>
      </c>
      <c r="B7444" s="37">
        <v>354.09</v>
      </c>
      <c r="C7444" s="37">
        <f t="shared" si="238"/>
        <v>59.015000000000001</v>
      </c>
      <c r="D7444" s="37">
        <v>19.074000000000002</v>
      </c>
      <c r="E7444" s="33">
        <f t="shared" si="239"/>
        <v>-6.9273053623514335E-3</v>
      </c>
    </row>
    <row r="7445" spans="1:5" x14ac:dyDescent="0.25">
      <c r="A7445" s="41">
        <v>43776</v>
      </c>
      <c r="B7445" s="37">
        <v>353.91</v>
      </c>
      <c r="C7445" s="37">
        <f t="shared" si="238"/>
        <v>58.984999999999999</v>
      </c>
      <c r="D7445" s="37">
        <v>19.074000000000002</v>
      </c>
      <c r="E7445" s="33">
        <f t="shared" si="239"/>
        <v>-5.0834533593140162E-4</v>
      </c>
    </row>
    <row r="7446" spans="1:5" x14ac:dyDescent="0.25">
      <c r="A7446" s="41">
        <v>43776</v>
      </c>
      <c r="B7446" s="37">
        <v>353.95</v>
      </c>
      <c r="C7446" s="37">
        <f t="shared" si="238"/>
        <v>58.991666666666667</v>
      </c>
      <c r="D7446" s="37">
        <v>19.074000000000002</v>
      </c>
      <c r="E7446" s="33">
        <f t="shared" si="239"/>
        <v>1.1302308496500132E-4</v>
      </c>
    </row>
    <row r="7447" spans="1:5" x14ac:dyDescent="0.25">
      <c r="A7447" s="41">
        <v>43776</v>
      </c>
      <c r="B7447" s="37">
        <v>354.21</v>
      </c>
      <c r="C7447" s="37">
        <f t="shared" si="238"/>
        <v>59.034999999999997</v>
      </c>
      <c r="D7447" s="37">
        <v>19.074000000000002</v>
      </c>
      <c r="E7447" s="33">
        <f t="shared" si="239"/>
        <v>7.3456702924139261E-4</v>
      </c>
    </row>
    <row r="7448" spans="1:5" x14ac:dyDescent="0.25">
      <c r="A7448" s="41">
        <v>43776</v>
      </c>
      <c r="B7448" s="37">
        <v>357.8</v>
      </c>
      <c r="C7448" s="37">
        <f t="shared" si="238"/>
        <v>59.633333333333333</v>
      </c>
      <c r="D7448" s="37">
        <v>19.074000000000002</v>
      </c>
      <c r="E7448" s="33">
        <f t="shared" si="239"/>
        <v>1.0135230512972621E-2</v>
      </c>
    </row>
    <row r="7449" spans="1:5" x14ac:dyDescent="0.25">
      <c r="A7449" s="41">
        <v>43776</v>
      </c>
      <c r="B7449" s="37">
        <v>361.15</v>
      </c>
      <c r="C7449" s="37">
        <f t="shared" si="238"/>
        <v>60.19166666666667</v>
      </c>
      <c r="D7449" s="37">
        <v>19.074000000000002</v>
      </c>
      <c r="E7449" s="33">
        <f t="shared" si="239"/>
        <v>9.3627724986024754E-3</v>
      </c>
    </row>
    <row r="7450" spans="1:5" x14ac:dyDescent="0.25">
      <c r="A7450" s="41">
        <v>43776</v>
      </c>
      <c r="B7450" s="37">
        <v>371.65</v>
      </c>
      <c r="C7450" s="37">
        <f t="shared" si="238"/>
        <v>61.94166666666667</v>
      </c>
      <c r="D7450" s="37">
        <v>19.074000000000002</v>
      </c>
      <c r="E7450" s="33">
        <f t="shared" si="239"/>
        <v>2.9073792053163506E-2</v>
      </c>
    </row>
    <row r="7451" spans="1:5" x14ac:dyDescent="0.25">
      <c r="A7451" s="41">
        <v>43776</v>
      </c>
      <c r="B7451" s="37">
        <v>380.92</v>
      </c>
      <c r="C7451" s="37">
        <f t="shared" si="238"/>
        <v>63.486666666666665</v>
      </c>
      <c r="D7451" s="37">
        <v>19.074000000000002</v>
      </c>
      <c r="E7451" s="33">
        <f t="shared" si="239"/>
        <v>2.4942822548096433E-2</v>
      </c>
    </row>
    <row r="7452" spans="1:5" x14ac:dyDescent="0.25">
      <c r="A7452" s="41">
        <v>43776</v>
      </c>
      <c r="B7452" s="37">
        <v>389.22</v>
      </c>
      <c r="C7452" s="37">
        <f t="shared" si="238"/>
        <v>64.87</v>
      </c>
      <c r="D7452" s="37">
        <v>19.074000000000002</v>
      </c>
      <c r="E7452" s="33">
        <f t="shared" si="239"/>
        <v>2.1789352094928098E-2</v>
      </c>
    </row>
    <row r="7453" spans="1:5" x14ac:dyDescent="0.25">
      <c r="A7453" s="41">
        <v>43776</v>
      </c>
      <c r="B7453" s="37">
        <v>389.68</v>
      </c>
      <c r="C7453" s="37">
        <f t="shared" si="238"/>
        <v>64.946666666666673</v>
      </c>
      <c r="D7453" s="37">
        <v>19.074000000000002</v>
      </c>
      <c r="E7453" s="33">
        <f t="shared" si="239"/>
        <v>1.1818508812496261E-3</v>
      </c>
    </row>
    <row r="7454" spans="1:5" x14ac:dyDescent="0.25">
      <c r="A7454" s="41">
        <v>43776</v>
      </c>
      <c r="B7454" s="37">
        <v>383.29</v>
      </c>
      <c r="C7454" s="37">
        <f t="shared" si="238"/>
        <v>63.881666666666668</v>
      </c>
      <c r="D7454" s="37">
        <v>19.074000000000002</v>
      </c>
      <c r="E7454" s="33">
        <f t="shared" si="239"/>
        <v>-1.6398070211455517E-2</v>
      </c>
    </row>
    <row r="7455" spans="1:5" x14ac:dyDescent="0.25">
      <c r="A7455" s="41">
        <v>43776</v>
      </c>
      <c r="B7455" s="37">
        <v>392.36</v>
      </c>
      <c r="C7455" s="37">
        <f t="shared" si="238"/>
        <v>65.393333333333331</v>
      </c>
      <c r="D7455" s="37">
        <v>19.074000000000002</v>
      </c>
      <c r="E7455" s="33">
        <f t="shared" si="239"/>
        <v>2.3663544574604067E-2</v>
      </c>
    </row>
    <row r="7456" spans="1:5" x14ac:dyDescent="0.25">
      <c r="A7456" s="41">
        <v>43776</v>
      </c>
      <c r="B7456" s="37">
        <v>409.62</v>
      </c>
      <c r="C7456" s="37">
        <f t="shared" si="238"/>
        <v>68.27</v>
      </c>
      <c r="D7456" s="37">
        <v>19.074000000000002</v>
      </c>
      <c r="E7456" s="33">
        <f t="shared" si="239"/>
        <v>4.3990213069629906E-2</v>
      </c>
    </row>
    <row r="7457" spans="1:5" x14ac:dyDescent="0.25">
      <c r="A7457" s="41">
        <v>43776</v>
      </c>
      <c r="B7457" s="37">
        <v>404.51</v>
      </c>
      <c r="C7457" s="37">
        <f t="shared" si="238"/>
        <v>67.418333333333337</v>
      </c>
      <c r="D7457" s="37">
        <v>19.074000000000002</v>
      </c>
      <c r="E7457" s="33">
        <f t="shared" si="239"/>
        <v>-1.2474976807773092E-2</v>
      </c>
    </row>
    <row r="7458" spans="1:5" x14ac:dyDescent="0.25">
      <c r="A7458" s="41">
        <v>43776</v>
      </c>
      <c r="B7458" s="37">
        <v>389.21</v>
      </c>
      <c r="C7458" s="37">
        <f t="shared" si="238"/>
        <v>64.868333333333339</v>
      </c>
      <c r="D7458" s="37">
        <v>19.074000000000002</v>
      </c>
      <c r="E7458" s="33">
        <f t="shared" si="239"/>
        <v>-3.7823539591110261E-2</v>
      </c>
    </row>
    <row r="7459" spans="1:5" x14ac:dyDescent="0.25">
      <c r="A7459" s="41">
        <v>43776</v>
      </c>
      <c r="B7459" s="37">
        <v>380.27</v>
      </c>
      <c r="C7459" s="37">
        <f t="shared" si="238"/>
        <v>63.37833333333333</v>
      </c>
      <c r="D7459" s="37">
        <v>19.074000000000002</v>
      </c>
      <c r="E7459" s="33">
        <f t="shared" si="239"/>
        <v>-2.2969605097505199E-2</v>
      </c>
    </row>
    <row r="7460" spans="1:5" x14ac:dyDescent="0.25">
      <c r="A7460" s="41">
        <v>43776</v>
      </c>
      <c r="B7460" s="37">
        <v>379.43</v>
      </c>
      <c r="C7460" s="37">
        <f t="shared" si="238"/>
        <v>63.238333333333337</v>
      </c>
      <c r="D7460" s="37">
        <v>19.074000000000002</v>
      </c>
      <c r="E7460" s="33">
        <f t="shared" si="239"/>
        <v>-2.2089567938569305E-3</v>
      </c>
    </row>
    <row r="7461" spans="1:5" x14ac:dyDescent="0.25">
      <c r="A7461" s="41">
        <v>43776</v>
      </c>
      <c r="B7461" s="37">
        <v>381.65</v>
      </c>
      <c r="C7461" s="37">
        <f t="shared" si="238"/>
        <v>63.608333333333334</v>
      </c>
      <c r="D7461" s="37">
        <v>19.074000000000002</v>
      </c>
      <c r="E7461" s="33">
        <f t="shared" si="239"/>
        <v>5.8508815855361209E-3</v>
      </c>
    </row>
    <row r="7462" spans="1:5" x14ac:dyDescent="0.25">
      <c r="A7462" s="41">
        <v>43776</v>
      </c>
      <c r="B7462" s="37">
        <v>378.32</v>
      </c>
      <c r="C7462" s="37">
        <f t="shared" si="238"/>
        <v>63.053333333333335</v>
      </c>
      <c r="D7462" s="37">
        <v>19.074000000000002</v>
      </c>
      <c r="E7462" s="33">
        <f t="shared" si="239"/>
        <v>-8.7252718459320949E-3</v>
      </c>
    </row>
    <row r="7463" spans="1:5" x14ac:dyDescent="0.25">
      <c r="A7463" s="41">
        <v>43776</v>
      </c>
      <c r="B7463" s="37">
        <v>377.19</v>
      </c>
      <c r="C7463" s="37">
        <f t="shared" si="238"/>
        <v>62.865000000000002</v>
      </c>
      <c r="D7463" s="37">
        <v>19.074000000000002</v>
      </c>
      <c r="E7463" s="33">
        <f t="shared" si="239"/>
        <v>-2.9868894057940246E-3</v>
      </c>
    </row>
    <row r="7464" spans="1:5" x14ac:dyDescent="0.25">
      <c r="A7464" s="41">
        <v>43776</v>
      </c>
      <c r="B7464" s="37">
        <v>372.45</v>
      </c>
      <c r="C7464" s="37">
        <f t="shared" si="238"/>
        <v>62.075000000000003</v>
      </c>
      <c r="D7464" s="37">
        <v>19.074000000000002</v>
      </c>
      <c r="E7464" s="33">
        <f t="shared" si="239"/>
        <v>-1.2566610991807866E-2</v>
      </c>
    </row>
    <row r="7465" spans="1:5" x14ac:dyDescent="0.25">
      <c r="A7465" s="41">
        <v>43776</v>
      </c>
      <c r="B7465" s="37">
        <v>361.79</v>
      </c>
      <c r="C7465" s="37">
        <f t="shared" si="238"/>
        <v>60.298333333333332</v>
      </c>
      <c r="D7465" s="37">
        <v>19.074000000000002</v>
      </c>
      <c r="E7465" s="33">
        <f t="shared" si="239"/>
        <v>-2.8621291448516495E-2</v>
      </c>
    </row>
    <row r="7466" spans="1:5" x14ac:dyDescent="0.25">
      <c r="A7466" s="41">
        <v>43777</v>
      </c>
      <c r="B7466" s="37">
        <v>355.28</v>
      </c>
      <c r="C7466" s="37">
        <f t="shared" si="238"/>
        <v>59.213333333333331</v>
      </c>
      <c r="D7466" s="37">
        <v>16.898</v>
      </c>
      <c r="E7466" s="33">
        <f t="shared" si="239"/>
        <v>-1.7993863843666347E-2</v>
      </c>
    </row>
    <row r="7467" spans="1:5" x14ac:dyDescent="0.25">
      <c r="A7467" s="41">
        <v>43777</v>
      </c>
      <c r="B7467" s="37">
        <v>352.56</v>
      </c>
      <c r="C7467" s="37">
        <f t="shared" si="238"/>
        <v>58.76</v>
      </c>
      <c r="D7467" s="37">
        <v>16.898</v>
      </c>
      <c r="E7467" s="33">
        <f t="shared" si="239"/>
        <v>-7.6559333483448844E-3</v>
      </c>
    </row>
    <row r="7468" spans="1:5" x14ac:dyDescent="0.25">
      <c r="A7468" s="41">
        <v>43777</v>
      </c>
      <c r="B7468" s="37">
        <v>351.8</v>
      </c>
      <c r="C7468" s="37">
        <f t="shared" si="238"/>
        <v>58.633333333333333</v>
      </c>
      <c r="D7468" s="37">
        <v>16.898</v>
      </c>
      <c r="E7468" s="33">
        <f t="shared" si="239"/>
        <v>-2.1556614476968203E-3</v>
      </c>
    </row>
    <row r="7469" spans="1:5" x14ac:dyDescent="0.25">
      <c r="A7469" s="41">
        <v>43777</v>
      </c>
      <c r="B7469" s="37">
        <v>351.78</v>
      </c>
      <c r="C7469" s="37">
        <f t="shared" si="238"/>
        <v>58.63</v>
      </c>
      <c r="D7469" s="37">
        <v>16.898</v>
      </c>
      <c r="E7469" s="33">
        <f t="shared" si="239"/>
        <v>-5.6850483229217321E-5</v>
      </c>
    </row>
    <row r="7470" spans="1:5" x14ac:dyDescent="0.25">
      <c r="A7470" s="41">
        <v>43777</v>
      </c>
      <c r="B7470" s="37">
        <v>351.78</v>
      </c>
      <c r="C7470" s="37">
        <f t="shared" si="238"/>
        <v>58.63</v>
      </c>
      <c r="D7470" s="37">
        <v>16.898</v>
      </c>
      <c r="E7470" s="33">
        <f t="shared" si="239"/>
        <v>0</v>
      </c>
    </row>
    <row r="7471" spans="1:5" x14ac:dyDescent="0.25">
      <c r="A7471" s="41">
        <v>43777</v>
      </c>
      <c r="B7471" s="37">
        <v>351.93</v>
      </c>
      <c r="C7471" s="37">
        <f t="shared" si="238"/>
        <v>58.655000000000001</v>
      </c>
      <c r="D7471" s="37">
        <v>16.898</v>
      </c>
      <c r="E7471" s="33">
        <f t="shared" si="239"/>
        <v>4.2640286542735265E-4</v>
      </c>
    </row>
    <row r="7472" spans="1:5" x14ac:dyDescent="0.25">
      <c r="A7472" s="41">
        <v>43777</v>
      </c>
      <c r="B7472" s="37">
        <v>353.09</v>
      </c>
      <c r="C7472" s="37">
        <f t="shared" si="238"/>
        <v>58.848333333333336</v>
      </c>
      <c r="D7472" s="37">
        <v>16.898</v>
      </c>
      <c r="E7472" s="33">
        <f t="shared" si="239"/>
        <v>3.2961100218792607E-3</v>
      </c>
    </row>
    <row r="7473" spans="1:5" x14ac:dyDescent="0.25">
      <c r="A7473" s="41">
        <v>43777</v>
      </c>
      <c r="B7473" s="37">
        <v>356.92</v>
      </c>
      <c r="C7473" s="37">
        <f t="shared" si="238"/>
        <v>59.486666666666665</v>
      </c>
      <c r="D7473" s="37">
        <v>16.898</v>
      </c>
      <c r="E7473" s="33">
        <f t="shared" si="239"/>
        <v>1.0847092809198905E-2</v>
      </c>
    </row>
    <row r="7474" spans="1:5" x14ac:dyDescent="0.25">
      <c r="A7474" s="41">
        <v>43777</v>
      </c>
      <c r="B7474" s="37">
        <v>364.78</v>
      </c>
      <c r="C7474" s="37">
        <f t="shared" si="238"/>
        <v>60.796666666666667</v>
      </c>
      <c r="D7474" s="37">
        <v>16.898</v>
      </c>
      <c r="E7474" s="33">
        <f t="shared" si="239"/>
        <v>2.2021741566737522E-2</v>
      </c>
    </row>
    <row r="7475" spans="1:5" x14ac:dyDescent="0.25">
      <c r="A7475" s="41">
        <v>43777</v>
      </c>
      <c r="B7475" s="37">
        <v>373.69</v>
      </c>
      <c r="C7475" s="37">
        <f t="shared" si="238"/>
        <v>62.281666666666666</v>
      </c>
      <c r="D7475" s="37">
        <v>16.898</v>
      </c>
      <c r="E7475" s="33">
        <f t="shared" si="239"/>
        <v>2.4425681232523783E-2</v>
      </c>
    </row>
    <row r="7476" spans="1:5" x14ac:dyDescent="0.25">
      <c r="A7476" s="41">
        <v>43777</v>
      </c>
      <c r="B7476" s="37">
        <v>379.44</v>
      </c>
      <c r="C7476" s="37">
        <f t="shared" si="238"/>
        <v>63.24</v>
      </c>
      <c r="D7476" s="37">
        <v>16.898</v>
      </c>
      <c r="E7476" s="33">
        <f t="shared" si="239"/>
        <v>1.5387085552195671E-2</v>
      </c>
    </row>
    <row r="7477" spans="1:5" x14ac:dyDescent="0.25">
      <c r="A7477" s="41">
        <v>43777</v>
      </c>
      <c r="B7477" s="37">
        <v>381.07</v>
      </c>
      <c r="C7477" s="37">
        <f t="shared" si="238"/>
        <v>63.511666666666663</v>
      </c>
      <c r="D7477" s="37">
        <v>16.898</v>
      </c>
      <c r="E7477" s="33">
        <f t="shared" si="239"/>
        <v>4.2958043432426611E-3</v>
      </c>
    </row>
    <row r="7478" spans="1:5" x14ac:dyDescent="0.25">
      <c r="A7478" s="41">
        <v>43777</v>
      </c>
      <c r="B7478" s="37">
        <v>377.11</v>
      </c>
      <c r="C7478" s="37">
        <f t="shared" si="238"/>
        <v>62.851666666666667</v>
      </c>
      <c r="D7478" s="37">
        <v>16.898</v>
      </c>
      <c r="E7478" s="33">
        <f t="shared" si="239"/>
        <v>-1.0391791534363712E-2</v>
      </c>
    </row>
    <row r="7479" spans="1:5" x14ac:dyDescent="0.25">
      <c r="A7479" s="41">
        <v>43777</v>
      </c>
      <c r="B7479" s="37">
        <v>382.06</v>
      </c>
      <c r="C7479" s="37">
        <f t="shared" si="238"/>
        <v>63.676666666666669</v>
      </c>
      <c r="D7479" s="37">
        <v>16.898</v>
      </c>
      <c r="E7479" s="33">
        <f t="shared" si="239"/>
        <v>1.3126143565537877E-2</v>
      </c>
    </row>
    <row r="7480" spans="1:5" x14ac:dyDescent="0.25">
      <c r="A7480" s="41">
        <v>43777</v>
      </c>
      <c r="B7480" s="37">
        <v>383.92</v>
      </c>
      <c r="C7480" s="37">
        <f t="shared" si="238"/>
        <v>63.986666666666665</v>
      </c>
      <c r="D7480" s="37">
        <v>16.898</v>
      </c>
      <c r="E7480" s="33">
        <f t="shared" si="239"/>
        <v>4.8683452860807559E-3</v>
      </c>
    </row>
    <row r="7481" spans="1:5" x14ac:dyDescent="0.25">
      <c r="A7481" s="41">
        <v>43777</v>
      </c>
      <c r="B7481" s="37">
        <v>383.57</v>
      </c>
      <c r="C7481" s="37">
        <f t="shared" si="238"/>
        <v>63.928333333333335</v>
      </c>
      <c r="D7481" s="37">
        <v>16.898</v>
      </c>
      <c r="E7481" s="33">
        <f t="shared" si="239"/>
        <v>-9.1164826005423719E-4</v>
      </c>
    </row>
    <row r="7482" spans="1:5" x14ac:dyDescent="0.25">
      <c r="A7482" s="41">
        <v>43777</v>
      </c>
      <c r="B7482" s="37">
        <v>379.61</v>
      </c>
      <c r="C7482" s="37">
        <f t="shared" si="238"/>
        <v>63.268333333333331</v>
      </c>
      <c r="D7482" s="37">
        <v>16.898</v>
      </c>
      <c r="E7482" s="33">
        <f t="shared" si="239"/>
        <v>-1.0324060797246863E-2</v>
      </c>
    </row>
    <row r="7483" spans="1:5" x14ac:dyDescent="0.25">
      <c r="A7483" s="41">
        <v>43777</v>
      </c>
      <c r="B7483" s="37">
        <v>371.79</v>
      </c>
      <c r="C7483" s="37">
        <f t="shared" si="238"/>
        <v>61.965000000000003</v>
      </c>
      <c r="D7483" s="37">
        <v>16.898</v>
      </c>
      <c r="E7483" s="33">
        <f t="shared" si="239"/>
        <v>-2.0600089565606789E-2</v>
      </c>
    </row>
    <row r="7484" spans="1:5" x14ac:dyDescent="0.25">
      <c r="A7484" s="41">
        <v>43777</v>
      </c>
      <c r="B7484" s="37">
        <v>372.01</v>
      </c>
      <c r="C7484" s="37">
        <f t="shared" si="238"/>
        <v>62.001666666666665</v>
      </c>
      <c r="D7484" s="37">
        <v>16.898</v>
      </c>
      <c r="E7484" s="33">
        <f t="shared" si="239"/>
        <v>5.9173189165919046E-4</v>
      </c>
    </row>
    <row r="7485" spans="1:5" x14ac:dyDescent="0.25">
      <c r="A7485" s="41">
        <v>43777</v>
      </c>
      <c r="B7485" s="37">
        <v>373.69</v>
      </c>
      <c r="C7485" s="37">
        <f t="shared" si="238"/>
        <v>62.281666666666666</v>
      </c>
      <c r="D7485" s="37">
        <v>16.898</v>
      </c>
      <c r="E7485" s="33">
        <f t="shared" si="239"/>
        <v>4.5160076342033997E-3</v>
      </c>
    </row>
    <row r="7486" spans="1:5" x14ac:dyDescent="0.25">
      <c r="A7486" s="41">
        <v>43777</v>
      </c>
      <c r="B7486" s="37">
        <v>368.37</v>
      </c>
      <c r="C7486" s="37">
        <f t="shared" si="238"/>
        <v>61.395000000000003</v>
      </c>
      <c r="D7486" s="37">
        <v>16.898</v>
      </c>
      <c r="E7486" s="33">
        <f t="shared" si="239"/>
        <v>-1.423639915437928E-2</v>
      </c>
    </row>
    <row r="7487" spans="1:5" x14ac:dyDescent="0.25">
      <c r="A7487" s="41">
        <v>43777</v>
      </c>
      <c r="B7487" s="37">
        <v>367.42</v>
      </c>
      <c r="C7487" s="37">
        <f t="shared" si="238"/>
        <v>61.236666666666665</v>
      </c>
      <c r="D7487" s="37">
        <v>16.898</v>
      </c>
      <c r="E7487" s="33">
        <f t="shared" si="239"/>
        <v>-2.5789287944186241E-3</v>
      </c>
    </row>
    <row r="7488" spans="1:5" x14ac:dyDescent="0.25">
      <c r="A7488" s="41">
        <v>43777</v>
      </c>
      <c r="B7488" s="37">
        <v>363.1</v>
      </c>
      <c r="C7488" s="37">
        <f t="shared" si="238"/>
        <v>60.516666666666666</v>
      </c>
      <c r="D7488" s="37">
        <v>16.898</v>
      </c>
      <c r="E7488" s="33">
        <f t="shared" si="239"/>
        <v>-1.1757661531761996E-2</v>
      </c>
    </row>
    <row r="7489" spans="1:5" x14ac:dyDescent="0.25">
      <c r="A7489" s="41">
        <v>43777</v>
      </c>
      <c r="B7489" s="37">
        <v>356.09</v>
      </c>
      <c r="C7489" s="37">
        <f t="shared" si="238"/>
        <v>59.348333333333336</v>
      </c>
      <c r="D7489" s="37">
        <v>16.898</v>
      </c>
      <c r="E7489" s="33">
        <f t="shared" si="239"/>
        <v>-1.9305976315064852E-2</v>
      </c>
    </row>
    <row r="7490" spans="1:5" x14ac:dyDescent="0.25">
      <c r="A7490" s="41">
        <v>43778</v>
      </c>
      <c r="B7490" s="37">
        <v>316.47000000000003</v>
      </c>
      <c r="C7490" s="37">
        <f t="shared" si="238"/>
        <v>52.745000000000005</v>
      </c>
      <c r="D7490" s="37">
        <v>14.760999999999999</v>
      </c>
      <c r="E7490" s="33">
        <f t="shared" si="239"/>
        <v>-0.11126400629054439</v>
      </c>
    </row>
    <row r="7491" spans="1:5" x14ac:dyDescent="0.25">
      <c r="A7491" s="41">
        <v>43778</v>
      </c>
      <c r="B7491" s="37">
        <v>313.61</v>
      </c>
      <c r="C7491" s="37">
        <f t="shared" ref="C7491:C7554" si="240">(B7491*100/600)</f>
        <v>52.268333333333331</v>
      </c>
      <c r="D7491" s="37">
        <v>14.760999999999999</v>
      </c>
      <c r="E7491" s="33">
        <f t="shared" si="239"/>
        <v>-9.0371915189433865E-3</v>
      </c>
    </row>
    <row r="7492" spans="1:5" x14ac:dyDescent="0.25">
      <c r="A7492" s="41">
        <v>43778</v>
      </c>
      <c r="B7492" s="37">
        <v>312.04000000000002</v>
      </c>
      <c r="C7492" s="37">
        <f t="shared" si="240"/>
        <v>52.006666666666675</v>
      </c>
      <c r="D7492" s="37">
        <v>14.760999999999999</v>
      </c>
      <c r="E7492" s="33">
        <f t="shared" ref="E7492:E7555" si="241">(B7492-B7491)/B7491</f>
        <v>-5.0062179139695583E-3</v>
      </c>
    </row>
    <row r="7493" spans="1:5" x14ac:dyDescent="0.25">
      <c r="A7493" s="41">
        <v>43778</v>
      </c>
      <c r="B7493" s="37">
        <v>311.10000000000002</v>
      </c>
      <c r="C7493" s="37">
        <f t="shared" si="240"/>
        <v>51.850000000000009</v>
      </c>
      <c r="D7493" s="37">
        <v>14.760999999999999</v>
      </c>
      <c r="E7493" s="33">
        <f t="shared" si="241"/>
        <v>-3.0124343032944421E-3</v>
      </c>
    </row>
    <row r="7494" spans="1:5" x14ac:dyDescent="0.25">
      <c r="A7494" s="41">
        <v>43778</v>
      </c>
      <c r="B7494" s="37">
        <v>310.52</v>
      </c>
      <c r="C7494" s="37">
        <f t="shared" si="240"/>
        <v>51.75333333333333</v>
      </c>
      <c r="D7494" s="37">
        <v>14.760999999999999</v>
      </c>
      <c r="E7494" s="33">
        <f t="shared" si="241"/>
        <v>-1.8643522982964992E-3</v>
      </c>
    </row>
    <row r="7495" spans="1:5" x14ac:dyDescent="0.25">
      <c r="A7495" s="41">
        <v>43778</v>
      </c>
      <c r="B7495" s="37">
        <v>309.06</v>
      </c>
      <c r="C7495" s="37">
        <f t="shared" si="240"/>
        <v>51.51</v>
      </c>
      <c r="D7495" s="37">
        <v>14.760999999999999</v>
      </c>
      <c r="E7495" s="33">
        <f t="shared" si="241"/>
        <v>-4.7017905448923725E-3</v>
      </c>
    </row>
    <row r="7496" spans="1:5" x14ac:dyDescent="0.25">
      <c r="A7496" s="41">
        <v>43778</v>
      </c>
      <c r="B7496" s="37">
        <v>308</v>
      </c>
      <c r="C7496" s="37">
        <f t="shared" si="240"/>
        <v>51.333333333333336</v>
      </c>
      <c r="D7496" s="37">
        <v>14.760999999999999</v>
      </c>
      <c r="E7496" s="33">
        <f t="shared" si="241"/>
        <v>-3.4297547401799075E-3</v>
      </c>
    </row>
    <row r="7497" spans="1:5" x14ac:dyDescent="0.25">
      <c r="A7497" s="41">
        <v>43778</v>
      </c>
      <c r="B7497" s="37">
        <v>310.83999999999997</v>
      </c>
      <c r="C7497" s="37">
        <f t="shared" si="240"/>
        <v>51.806666666666658</v>
      </c>
      <c r="D7497" s="37">
        <v>14.760999999999999</v>
      </c>
      <c r="E7497" s="33">
        <f t="shared" si="241"/>
        <v>9.2207792207791399E-3</v>
      </c>
    </row>
    <row r="7498" spans="1:5" x14ac:dyDescent="0.25">
      <c r="A7498" s="41">
        <v>43778</v>
      </c>
      <c r="B7498" s="37">
        <v>314.66000000000003</v>
      </c>
      <c r="C7498" s="37">
        <f t="shared" si="240"/>
        <v>52.443333333333342</v>
      </c>
      <c r="D7498" s="37">
        <v>14.760999999999999</v>
      </c>
      <c r="E7498" s="33">
        <f t="shared" si="241"/>
        <v>1.2289280658860025E-2</v>
      </c>
    </row>
    <row r="7499" spans="1:5" x14ac:dyDescent="0.25">
      <c r="A7499" s="41">
        <v>43778</v>
      </c>
      <c r="B7499" s="37">
        <v>317.25</v>
      </c>
      <c r="C7499" s="37">
        <f t="shared" si="240"/>
        <v>52.875</v>
      </c>
      <c r="D7499" s="37">
        <v>14.760999999999999</v>
      </c>
      <c r="E7499" s="33">
        <f t="shared" si="241"/>
        <v>8.2311065912412593E-3</v>
      </c>
    </row>
    <row r="7500" spans="1:5" x14ac:dyDescent="0.25">
      <c r="A7500" s="41">
        <v>43778</v>
      </c>
      <c r="B7500" s="37">
        <v>318.72000000000003</v>
      </c>
      <c r="C7500" s="37">
        <f t="shared" si="240"/>
        <v>53.120000000000005</v>
      </c>
      <c r="D7500" s="37">
        <v>14.760999999999999</v>
      </c>
      <c r="E7500" s="33">
        <f t="shared" si="241"/>
        <v>4.6335697399528045E-3</v>
      </c>
    </row>
    <row r="7501" spans="1:5" x14ac:dyDescent="0.25">
      <c r="A7501" s="41">
        <v>43778</v>
      </c>
      <c r="B7501" s="37">
        <v>319.85000000000002</v>
      </c>
      <c r="C7501" s="37">
        <f t="shared" si="240"/>
        <v>53.308333333333337</v>
      </c>
      <c r="D7501" s="37">
        <v>14.760999999999999</v>
      </c>
      <c r="E7501" s="33">
        <f t="shared" si="241"/>
        <v>3.5454317269076161E-3</v>
      </c>
    </row>
    <row r="7502" spans="1:5" x14ac:dyDescent="0.25">
      <c r="A7502" s="41">
        <v>43778</v>
      </c>
      <c r="B7502" s="37">
        <v>319.56</v>
      </c>
      <c r="C7502" s="37">
        <f t="shared" si="240"/>
        <v>53.26</v>
      </c>
      <c r="D7502" s="37">
        <v>14.760999999999999</v>
      </c>
      <c r="E7502" s="33">
        <f t="shared" si="241"/>
        <v>-9.0667500390814585E-4</v>
      </c>
    </row>
    <row r="7503" spans="1:5" x14ac:dyDescent="0.25">
      <c r="A7503" s="41">
        <v>43778</v>
      </c>
      <c r="B7503" s="37">
        <v>319.69</v>
      </c>
      <c r="C7503" s="37">
        <f t="shared" si="240"/>
        <v>53.281666666666666</v>
      </c>
      <c r="D7503" s="37">
        <v>14.760999999999999</v>
      </c>
      <c r="E7503" s="33">
        <f t="shared" si="241"/>
        <v>4.0680936287393744E-4</v>
      </c>
    </row>
    <row r="7504" spans="1:5" x14ac:dyDescent="0.25">
      <c r="A7504" s="41">
        <v>43778</v>
      </c>
      <c r="B7504" s="37">
        <v>319.97000000000003</v>
      </c>
      <c r="C7504" s="37">
        <f t="shared" si="240"/>
        <v>53.32833333333334</v>
      </c>
      <c r="D7504" s="37">
        <v>14.760999999999999</v>
      </c>
      <c r="E7504" s="33">
        <f t="shared" si="241"/>
        <v>8.7584847821336152E-4</v>
      </c>
    </row>
    <row r="7505" spans="1:5" x14ac:dyDescent="0.25">
      <c r="A7505" s="41">
        <v>43778</v>
      </c>
      <c r="B7505" s="37">
        <v>319.94</v>
      </c>
      <c r="C7505" s="37">
        <f t="shared" si="240"/>
        <v>53.323333333333331</v>
      </c>
      <c r="D7505" s="37">
        <v>14.760999999999999</v>
      </c>
      <c r="E7505" s="33">
        <f t="shared" si="241"/>
        <v>-9.375878988664423E-5</v>
      </c>
    </row>
    <row r="7506" spans="1:5" x14ac:dyDescent="0.25">
      <c r="A7506" s="41">
        <v>43778</v>
      </c>
      <c r="B7506" s="37">
        <v>319.74</v>
      </c>
      <c r="C7506" s="37">
        <f t="shared" si="240"/>
        <v>53.29</v>
      </c>
      <c r="D7506" s="37">
        <v>14.760999999999999</v>
      </c>
      <c r="E7506" s="33">
        <f t="shared" si="241"/>
        <v>-6.2511720947674141E-4</v>
      </c>
    </row>
    <row r="7507" spans="1:5" x14ac:dyDescent="0.25">
      <c r="A7507" s="41">
        <v>43778</v>
      </c>
      <c r="B7507" s="37">
        <v>320.37</v>
      </c>
      <c r="C7507" s="37">
        <f t="shared" si="240"/>
        <v>53.395000000000003</v>
      </c>
      <c r="D7507" s="37">
        <v>14.760999999999999</v>
      </c>
      <c r="E7507" s="33">
        <f t="shared" si="241"/>
        <v>1.9703509101144539E-3</v>
      </c>
    </row>
    <row r="7508" spans="1:5" x14ac:dyDescent="0.25">
      <c r="A7508" s="41">
        <v>43778</v>
      </c>
      <c r="B7508" s="37">
        <v>324.42</v>
      </c>
      <c r="C7508" s="37">
        <f t="shared" si="240"/>
        <v>54.07</v>
      </c>
      <c r="D7508" s="37">
        <v>14.760999999999999</v>
      </c>
      <c r="E7508" s="33">
        <f t="shared" si="241"/>
        <v>1.2641633111714616E-2</v>
      </c>
    </row>
    <row r="7509" spans="1:5" x14ac:dyDescent="0.25">
      <c r="A7509" s="41">
        <v>43778</v>
      </c>
      <c r="B7509" s="37">
        <v>326.11</v>
      </c>
      <c r="C7509" s="37">
        <f t="shared" si="240"/>
        <v>54.351666666666667</v>
      </c>
      <c r="D7509" s="37">
        <v>14.760999999999999</v>
      </c>
      <c r="E7509" s="33">
        <f t="shared" si="241"/>
        <v>5.2092965908390283E-3</v>
      </c>
    </row>
    <row r="7510" spans="1:5" x14ac:dyDescent="0.25">
      <c r="A7510" s="41">
        <v>43778</v>
      </c>
      <c r="B7510" s="37">
        <v>322.69</v>
      </c>
      <c r="C7510" s="37">
        <f t="shared" si="240"/>
        <v>53.781666666666666</v>
      </c>
      <c r="D7510" s="37">
        <v>14.760999999999999</v>
      </c>
      <c r="E7510" s="33">
        <f t="shared" si="241"/>
        <v>-1.0487258900371089E-2</v>
      </c>
    </row>
    <row r="7511" spans="1:5" x14ac:dyDescent="0.25">
      <c r="A7511" s="41">
        <v>43778</v>
      </c>
      <c r="B7511" s="37">
        <v>320.82</v>
      </c>
      <c r="C7511" s="37">
        <f t="shared" si="240"/>
        <v>53.47</v>
      </c>
      <c r="D7511" s="37">
        <v>14.760999999999999</v>
      </c>
      <c r="E7511" s="33">
        <f t="shared" si="241"/>
        <v>-5.7950354829712867E-3</v>
      </c>
    </row>
    <row r="7512" spans="1:5" x14ac:dyDescent="0.25">
      <c r="A7512" s="41">
        <v>43778</v>
      </c>
      <c r="B7512" s="37">
        <v>317.76</v>
      </c>
      <c r="C7512" s="37">
        <f t="shared" si="240"/>
        <v>52.96</v>
      </c>
      <c r="D7512" s="37">
        <v>14.760999999999999</v>
      </c>
      <c r="E7512" s="33">
        <f t="shared" si="241"/>
        <v>-9.5380587245184282E-3</v>
      </c>
    </row>
    <row r="7513" spans="1:5" x14ac:dyDescent="0.25">
      <c r="A7513" s="41">
        <v>43778</v>
      </c>
      <c r="B7513" s="37">
        <v>315.69</v>
      </c>
      <c r="C7513" s="37">
        <f t="shared" si="240"/>
        <v>52.615000000000002</v>
      </c>
      <c r="D7513" s="37">
        <v>14.760999999999999</v>
      </c>
      <c r="E7513" s="33">
        <f t="shared" si="241"/>
        <v>-6.5143504531721842E-3</v>
      </c>
    </row>
    <row r="7514" spans="1:5" x14ac:dyDescent="0.25">
      <c r="A7514" s="41">
        <v>43779</v>
      </c>
      <c r="B7514" s="37">
        <v>313.27999999999997</v>
      </c>
      <c r="C7514" s="37">
        <f t="shared" si="240"/>
        <v>52.213333333333324</v>
      </c>
      <c r="D7514" s="37">
        <v>12.711</v>
      </c>
      <c r="E7514" s="33">
        <f t="shared" si="241"/>
        <v>-7.6340713991574806E-3</v>
      </c>
    </row>
    <row r="7515" spans="1:5" x14ac:dyDescent="0.25">
      <c r="A7515" s="41">
        <v>43779</v>
      </c>
      <c r="B7515" s="37">
        <v>312.69</v>
      </c>
      <c r="C7515" s="37">
        <f t="shared" si="240"/>
        <v>52.115000000000002</v>
      </c>
      <c r="D7515" s="37">
        <v>12.711</v>
      </c>
      <c r="E7515" s="33">
        <f t="shared" si="241"/>
        <v>-1.8832992849845986E-3</v>
      </c>
    </row>
    <row r="7516" spans="1:5" x14ac:dyDescent="0.25">
      <c r="A7516" s="41">
        <v>43779</v>
      </c>
      <c r="B7516" s="37">
        <v>311.25</v>
      </c>
      <c r="C7516" s="37">
        <f t="shared" si="240"/>
        <v>51.875</v>
      </c>
      <c r="D7516" s="37">
        <v>12.711</v>
      </c>
      <c r="E7516" s="33">
        <f t="shared" si="241"/>
        <v>-4.6052000383766598E-3</v>
      </c>
    </row>
    <row r="7517" spans="1:5" x14ac:dyDescent="0.25">
      <c r="A7517" s="41">
        <v>43779</v>
      </c>
      <c r="B7517" s="37">
        <v>309.25</v>
      </c>
      <c r="C7517" s="37">
        <f t="shared" si="240"/>
        <v>51.541666666666664</v>
      </c>
      <c r="D7517" s="37">
        <v>12.711</v>
      </c>
      <c r="E7517" s="33">
        <f t="shared" si="241"/>
        <v>-6.4257028112449802E-3</v>
      </c>
    </row>
    <row r="7518" spans="1:5" x14ac:dyDescent="0.25">
      <c r="A7518" s="41">
        <v>43779</v>
      </c>
      <c r="B7518" s="37">
        <v>306.42</v>
      </c>
      <c r="C7518" s="37">
        <f t="shared" si="240"/>
        <v>51.07</v>
      </c>
      <c r="D7518" s="37">
        <v>12.711</v>
      </c>
      <c r="E7518" s="33">
        <f t="shared" si="241"/>
        <v>-9.1511721907841046E-3</v>
      </c>
    </row>
    <row r="7519" spans="1:5" x14ac:dyDescent="0.25">
      <c r="A7519" s="41">
        <v>43779</v>
      </c>
      <c r="B7519" s="37">
        <v>291.38</v>
      </c>
      <c r="C7519" s="37">
        <f t="shared" si="240"/>
        <v>48.563333333333333</v>
      </c>
      <c r="D7519" s="37">
        <v>12.711</v>
      </c>
      <c r="E7519" s="33">
        <f t="shared" si="241"/>
        <v>-4.908295803146015E-2</v>
      </c>
    </row>
    <row r="7520" spans="1:5" x14ac:dyDescent="0.25">
      <c r="A7520" s="41">
        <v>43779</v>
      </c>
      <c r="B7520" s="37">
        <v>267.27999999999997</v>
      </c>
      <c r="C7520" s="37">
        <f t="shared" si="240"/>
        <v>44.54666666666666</v>
      </c>
      <c r="D7520" s="37">
        <v>12.711</v>
      </c>
      <c r="E7520" s="33">
        <f t="shared" si="241"/>
        <v>-8.2709863408607392E-2</v>
      </c>
    </row>
    <row r="7521" spans="1:5" x14ac:dyDescent="0.25">
      <c r="A7521" s="41">
        <v>43779</v>
      </c>
      <c r="B7521" s="37">
        <v>278.06</v>
      </c>
      <c r="C7521" s="37">
        <f t="shared" si="240"/>
        <v>46.343333333333334</v>
      </c>
      <c r="D7521" s="37">
        <v>12.711</v>
      </c>
      <c r="E7521" s="33">
        <f t="shared" si="241"/>
        <v>4.03322358575278E-2</v>
      </c>
    </row>
    <row r="7522" spans="1:5" x14ac:dyDescent="0.25">
      <c r="A7522" s="41">
        <v>43779</v>
      </c>
      <c r="B7522" s="37">
        <v>296.20999999999998</v>
      </c>
      <c r="C7522" s="37">
        <f t="shared" si="240"/>
        <v>49.368333333333325</v>
      </c>
      <c r="D7522" s="37">
        <v>12.711</v>
      </c>
      <c r="E7522" s="33">
        <f t="shared" si="241"/>
        <v>6.5273681939149744E-2</v>
      </c>
    </row>
    <row r="7523" spans="1:5" x14ac:dyDescent="0.25">
      <c r="A7523" s="41">
        <v>43779</v>
      </c>
      <c r="B7523" s="37">
        <v>306.16000000000003</v>
      </c>
      <c r="C7523" s="37">
        <f t="shared" si="240"/>
        <v>51.026666666666671</v>
      </c>
      <c r="D7523" s="37">
        <v>12.711</v>
      </c>
      <c r="E7523" s="33">
        <f t="shared" si="241"/>
        <v>3.359103338847455E-2</v>
      </c>
    </row>
    <row r="7524" spans="1:5" x14ac:dyDescent="0.25">
      <c r="A7524" s="41">
        <v>43779</v>
      </c>
      <c r="B7524" s="37">
        <v>311.72000000000003</v>
      </c>
      <c r="C7524" s="37">
        <f t="shared" si="240"/>
        <v>51.95333333333334</v>
      </c>
      <c r="D7524" s="37">
        <v>12.711</v>
      </c>
      <c r="E7524" s="33">
        <f t="shared" si="241"/>
        <v>1.8160438986151037E-2</v>
      </c>
    </row>
    <row r="7525" spans="1:5" x14ac:dyDescent="0.25">
      <c r="A7525" s="41">
        <v>43779</v>
      </c>
      <c r="B7525" s="37">
        <v>313.41000000000003</v>
      </c>
      <c r="C7525" s="37">
        <f t="shared" si="240"/>
        <v>52.235000000000007</v>
      </c>
      <c r="D7525" s="37">
        <v>12.711</v>
      </c>
      <c r="E7525" s="33">
        <f t="shared" si="241"/>
        <v>5.421532144231995E-3</v>
      </c>
    </row>
    <row r="7526" spans="1:5" x14ac:dyDescent="0.25">
      <c r="A7526" s="41">
        <v>43779</v>
      </c>
      <c r="B7526" s="37">
        <v>313.42</v>
      </c>
      <c r="C7526" s="37">
        <f t="shared" si="240"/>
        <v>52.236666666666665</v>
      </c>
      <c r="D7526" s="37">
        <v>12.711</v>
      </c>
      <c r="E7526" s="33">
        <f t="shared" si="241"/>
        <v>3.1907086563896823E-5</v>
      </c>
    </row>
    <row r="7527" spans="1:5" x14ac:dyDescent="0.25">
      <c r="A7527" s="41">
        <v>43779</v>
      </c>
      <c r="B7527" s="37">
        <v>313.42</v>
      </c>
      <c r="C7527" s="37">
        <f t="shared" si="240"/>
        <v>52.236666666666665</v>
      </c>
      <c r="D7527" s="37">
        <v>12.711</v>
      </c>
      <c r="E7527" s="33">
        <f t="shared" si="241"/>
        <v>0</v>
      </c>
    </row>
    <row r="7528" spans="1:5" x14ac:dyDescent="0.25">
      <c r="A7528" s="41">
        <v>43779</v>
      </c>
      <c r="B7528" s="37">
        <v>313.42</v>
      </c>
      <c r="C7528" s="37">
        <f t="shared" si="240"/>
        <v>52.236666666666665</v>
      </c>
      <c r="D7528" s="37">
        <v>12.711</v>
      </c>
      <c r="E7528" s="33">
        <f t="shared" si="241"/>
        <v>0</v>
      </c>
    </row>
    <row r="7529" spans="1:5" x14ac:dyDescent="0.25">
      <c r="A7529" s="41">
        <v>43779</v>
      </c>
      <c r="B7529" s="37">
        <v>313.42</v>
      </c>
      <c r="C7529" s="37">
        <f t="shared" si="240"/>
        <v>52.236666666666665</v>
      </c>
      <c r="D7529" s="37">
        <v>12.711</v>
      </c>
      <c r="E7529" s="33">
        <f t="shared" si="241"/>
        <v>0</v>
      </c>
    </row>
    <row r="7530" spans="1:5" x14ac:dyDescent="0.25">
      <c r="A7530" s="41">
        <v>43779</v>
      </c>
      <c r="B7530" s="37">
        <v>313.74</v>
      </c>
      <c r="C7530" s="37">
        <f t="shared" si="240"/>
        <v>52.29</v>
      </c>
      <c r="D7530" s="37">
        <v>12.711</v>
      </c>
      <c r="E7530" s="33">
        <f t="shared" si="241"/>
        <v>1.020994193095505E-3</v>
      </c>
    </row>
    <row r="7531" spans="1:5" x14ac:dyDescent="0.25">
      <c r="A7531" s="41">
        <v>43779</v>
      </c>
      <c r="B7531" s="37">
        <v>316.7</v>
      </c>
      <c r="C7531" s="37">
        <f t="shared" si="240"/>
        <v>52.783333333333331</v>
      </c>
      <c r="D7531" s="37">
        <v>12.711</v>
      </c>
      <c r="E7531" s="33">
        <f t="shared" si="241"/>
        <v>9.4345636514310566E-3</v>
      </c>
    </row>
    <row r="7532" spans="1:5" x14ac:dyDescent="0.25">
      <c r="A7532" s="41">
        <v>43779</v>
      </c>
      <c r="B7532" s="37">
        <v>321.63</v>
      </c>
      <c r="C7532" s="37">
        <f t="shared" si="240"/>
        <v>53.604999999999997</v>
      </c>
      <c r="D7532" s="37">
        <v>12.711</v>
      </c>
      <c r="E7532" s="33">
        <f t="shared" si="241"/>
        <v>1.556678244395329E-2</v>
      </c>
    </row>
    <row r="7533" spans="1:5" x14ac:dyDescent="0.25">
      <c r="A7533" s="41">
        <v>43779</v>
      </c>
      <c r="B7533" s="37">
        <v>322.93</v>
      </c>
      <c r="C7533" s="37">
        <f t="shared" si="240"/>
        <v>53.821666666666665</v>
      </c>
      <c r="D7533" s="37">
        <v>12.711</v>
      </c>
      <c r="E7533" s="33">
        <f t="shared" si="241"/>
        <v>4.0419115132295227E-3</v>
      </c>
    </row>
    <row r="7534" spans="1:5" x14ac:dyDescent="0.25">
      <c r="A7534" s="41">
        <v>43779</v>
      </c>
      <c r="B7534" s="37">
        <v>320.98</v>
      </c>
      <c r="C7534" s="37">
        <f t="shared" si="240"/>
        <v>53.49666666666667</v>
      </c>
      <c r="D7534" s="37">
        <v>12.711</v>
      </c>
      <c r="E7534" s="33">
        <f t="shared" si="241"/>
        <v>-6.038460347443683E-3</v>
      </c>
    </row>
    <row r="7535" spans="1:5" x14ac:dyDescent="0.25">
      <c r="A7535" s="41">
        <v>43779</v>
      </c>
      <c r="B7535" s="37">
        <v>320.04000000000002</v>
      </c>
      <c r="C7535" s="37">
        <f t="shared" si="240"/>
        <v>53.34</v>
      </c>
      <c r="D7535" s="37">
        <v>12.711</v>
      </c>
      <c r="E7535" s="33">
        <f t="shared" si="241"/>
        <v>-2.9285313726711872E-3</v>
      </c>
    </row>
    <row r="7536" spans="1:5" x14ac:dyDescent="0.25">
      <c r="A7536" s="41">
        <v>43779</v>
      </c>
      <c r="B7536" s="37">
        <v>318.61</v>
      </c>
      <c r="C7536" s="37">
        <f t="shared" si="240"/>
        <v>53.101666666666667</v>
      </c>
      <c r="D7536" s="37">
        <v>12.711</v>
      </c>
      <c r="E7536" s="33">
        <f t="shared" si="241"/>
        <v>-4.4681914760655132E-3</v>
      </c>
    </row>
    <row r="7537" spans="1:5" x14ac:dyDescent="0.25">
      <c r="A7537" s="41">
        <v>43779</v>
      </c>
      <c r="B7537" s="37">
        <v>315.24</v>
      </c>
      <c r="C7537" s="37">
        <f t="shared" si="240"/>
        <v>52.54</v>
      </c>
      <c r="D7537" s="37">
        <v>12.711</v>
      </c>
      <c r="E7537" s="33">
        <f t="shared" si="241"/>
        <v>-1.0577194689432235E-2</v>
      </c>
    </row>
    <row r="7538" spans="1:5" x14ac:dyDescent="0.25">
      <c r="A7538" s="41">
        <v>43780</v>
      </c>
      <c r="B7538" s="37">
        <v>311.42</v>
      </c>
      <c r="C7538" s="37">
        <f t="shared" si="240"/>
        <v>51.903333333333336</v>
      </c>
      <c r="D7538" s="37">
        <v>12.114000000000001</v>
      </c>
      <c r="E7538" s="33">
        <f t="shared" si="241"/>
        <v>-1.2117751554371252E-2</v>
      </c>
    </row>
    <row r="7539" spans="1:5" x14ac:dyDescent="0.25">
      <c r="A7539" s="41">
        <v>43780</v>
      </c>
      <c r="B7539" s="37">
        <v>310.73</v>
      </c>
      <c r="C7539" s="37">
        <f t="shared" si="240"/>
        <v>51.788333333333334</v>
      </c>
      <c r="D7539" s="37">
        <v>12.114000000000001</v>
      </c>
      <c r="E7539" s="33">
        <f t="shared" si="241"/>
        <v>-2.2156573116691213E-3</v>
      </c>
    </row>
    <row r="7540" spans="1:5" x14ac:dyDescent="0.25">
      <c r="A7540" s="41">
        <v>43780</v>
      </c>
      <c r="B7540" s="37">
        <v>310.27999999999997</v>
      </c>
      <c r="C7540" s="37">
        <f t="shared" si="240"/>
        <v>51.713333333333324</v>
      </c>
      <c r="D7540" s="37">
        <v>12.114000000000001</v>
      </c>
      <c r="E7540" s="33">
        <f t="shared" si="241"/>
        <v>-1.4482026196377738E-3</v>
      </c>
    </row>
    <row r="7541" spans="1:5" x14ac:dyDescent="0.25">
      <c r="A7541" s="41">
        <v>43780</v>
      </c>
      <c r="B7541" s="37">
        <v>309.54000000000002</v>
      </c>
      <c r="C7541" s="37">
        <f t="shared" si="240"/>
        <v>51.59</v>
      </c>
      <c r="D7541" s="37">
        <v>12.114000000000001</v>
      </c>
      <c r="E7541" s="33">
        <f t="shared" si="241"/>
        <v>-2.3849426324608495E-3</v>
      </c>
    </row>
    <row r="7542" spans="1:5" x14ac:dyDescent="0.25">
      <c r="A7542" s="41">
        <v>43780</v>
      </c>
      <c r="B7542" s="37">
        <v>309.89</v>
      </c>
      <c r="C7542" s="37">
        <f t="shared" si="240"/>
        <v>51.648333333333333</v>
      </c>
      <c r="D7542" s="37">
        <v>12.114000000000001</v>
      </c>
      <c r="E7542" s="33">
        <f t="shared" si="241"/>
        <v>1.1307100859338562E-3</v>
      </c>
    </row>
    <row r="7543" spans="1:5" x14ac:dyDescent="0.25">
      <c r="A7543" s="41">
        <v>43780</v>
      </c>
      <c r="B7543" s="37">
        <v>310.79000000000002</v>
      </c>
      <c r="C7543" s="37">
        <f t="shared" si="240"/>
        <v>51.798333333333339</v>
      </c>
      <c r="D7543" s="37">
        <v>12.114000000000001</v>
      </c>
      <c r="E7543" s="33">
        <f t="shared" si="241"/>
        <v>2.9042563490271843E-3</v>
      </c>
    </row>
    <row r="7544" spans="1:5" x14ac:dyDescent="0.25">
      <c r="A7544" s="41">
        <v>43780</v>
      </c>
      <c r="B7544" s="37">
        <v>311.18</v>
      </c>
      <c r="C7544" s="37">
        <f t="shared" si="240"/>
        <v>51.863333333333337</v>
      </c>
      <c r="D7544" s="37">
        <v>12.114000000000001</v>
      </c>
      <c r="E7544" s="33">
        <f t="shared" si="241"/>
        <v>1.254866630200413E-3</v>
      </c>
    </row>
    <row r="7545" spans="1:5" x14ac:dyDescent="0.25">
      <c r="A7545" s="41">
        <v>43780</v>
      </c>
      <c r="B7545" s="37">
        <v>315.52999999999997</v>
      </c>
      <c r="C7545" s="37">
        <f t="shared" si="240"/>
        <v>52.588333333333324</v>
      </c>
      <c r="D7545" s="37">
        <v>12.114000000000001</v>
      </c>
      <c r="E7545" s="33">
        <f t="shared" si="241"/>
        <v>1.3979047496625638E-2</v>
      </c>
    </row>
    <row r="7546" spans="1:5" x14ac:dyDescent="0.25">
      <c r="A7546" s="41">
        <v>43780</v>
      </c>
      <c r="B7546" s="37">
        <v>321.87</v>
      </c>
      <c r="C7546" s="37">
        <f t="shared" si="240"/>
        <v>53.645000000000003</v>
      </c>
      <c r="D7546" s="37">
        <v>12.114000000000001</v>
      </c>
      <c r="E7546" s="33">
        <f t="shared" si="241"/>
        <v>2.0093176560073631E-2</v>
      </c>
    </row>
    <row r="7547" spans="1:5" x14ac:dyDescent="0.25">
      <c r="A7547" s="41">
        <v>43780</v>
      </c>
      <c r="B7547" s="37">
        <v>330.13</v>
      </c>
      <c r="C7547" s="37">
        <f t="shared" si="240"/>
        <v>55.021666666666668</v>
      </c>
      <c r="D7547" s="37">
        <v>12.114000000000001</v>
      </c>
      <c r="E7547" s="33">
        <f t="shared" si="241"/>
        <v>2.5662534563643678E-2</v>
      </c>
    </row>
    <row r="7548" spans="1:5" x14ac:dyDescent="0.25">
      <c r="A7548" s="41">
        <v>43780</v>
      </c>
      <c r="B7548" s="37">
        <v>332.13</v>
      </c>
      <c r="C7548" s="37">
        <f t="shared" si="240"/>
        <v>55.354999999999997</v>
      </c>
      <c r="D7548" s="37">
        <v>12.114000000000001</v>
      </c>
      <c r="E7548" s="33">
        <f t="shared" si="241"/>
        <v>6.0582194892920974E-3</v>
      </c>
    </row>
    <row r="7549" spans="1:5" x14ac:dyDescent="0.25">
      <c r="A7549" s="41">
        <v>43780</v>
      </c>
      <c r="B7549" s="37">
        <v>332.6</v>
      </c>
      <c r="C7549" s="37">
        <f t="shared" si="240"/>
        <v>55.43333333333333</v>
      </c>
      <c r="D7549" s="37">
        <v>12.114000000000001</v>
      </c>
      <c r="E7549" s="33">
        <f t="shared" si="241"/>
        <v>1.4151085418361103E-3</v>
      </c>
    </row>
    <row r="7550" spans="1:5" x14ac:dyDescent="0.25">
      <c r="A7550" s="41">
        <v>43780</v>
      </c>
      <c r="B7550" s="37">
        <v>332.02</v>
      </c>
      <c r="C7550" s="37">
        <f t="shared" si="240"/>
        <v>55.336666666666666</v>
      </c>
      <c r="D7550" s="37">
        <v>12.114000000000001</v>
      </c>
      <c r="E7550" s="33">
        <f t="shared" si="241"/>
        <v>-1.7438364401684934E-3</v>
      </c>
    </row>
    <row r="7551" spans="1:5" x14ac:dyDescent="0.25">
      <c r="A7551" s="41">
        <v>43780</v>
      </c>
      <c r="B7551" s="37">
        <v>333.14</v>
      </c>
      <c r="C7551" s="37">
        <f t="shared" si="240"/>
        <v>55.523333333333333</v>
      </c>
      <c r="D7551" s="37">
        <v>12.114000000000001</v>
      </c>
      <c r="E7551" s="33">
        <f t="shared" si="241"/>
        <v>3.373290765616543E-3</v>
      </c>
    </row>
    <row r="7552" spans="1:5" x14ac:dyDescent="0.25">
      <c r="A7552" s="41">
        <v>43780</v>
      </c>
      <c r="B7552" s="37">
        <v>334.17</v>
      </c>
      <c r="C7552" s="37">
        <f t="shared" si="240"/>
        <v>55.695</v>
      </c>
      <c r="D7552" s="37">
        <v>12.114000000000001</v>
      </c>
      <c r="E7552" s="33">
        <f t="shared" si="241"/>
        <v>3.0917932400793347E-3</v>
      </c>
    </row>
    <row r="7553" spans="1:5" x14ac:dyDescent="0.25">
      <c r="A7553" s="41">
        <v>43780</v>
      </c>
      <c r="B7553" s="37">
        <v>334.22</v>
      </c>
      <c r="C7553" s="37">
        <f t="shared" si="240"/>
        <v>55.703333333333333</v>
      </c>
      <c r="D7553" s="37">
        <v>12.114000000000001</v>
      </c>
      <c r="E7553" s="33">
        <f t="shared" si="241"/>
        <v>1.4962444264898515E-4</v>
      </c>
    </row>
    <row r="7554" spans="1:5" x14ac:dyDescent="0.25">
      <c r="A7554" s="41">
        <v>43780</v>
      </c>
      <c r="B7554" s="37">
        <v>333.34</v>
      </c>
      <c r="C7554" s="37">
        <f t="shared" si="240"/>
        <v>55.556666666666665</v>
      </c>
      <c r="D7554" s="37">
        <v>12.114000000000001</v>
      </c>
      <c r="E7554" s="33">
        <f t="shared" si="241"/>
        <v>-2.6329962300282814E-3</v>
      </c>
    </row>
    <row r="7555" spans="1:5" x14ac:dyDescent="0.25">
      <c r="A7555" s="41">
        <v>43780</v>
      </c>
      <c r="B7555" s="37">
        <v>331.54</v>
      </c>
      <c r="C7555" s="37">
        <f t="shared" ref="C7555:C7618" si="242">(B7555*100/600)</f>
        <v>55.256666666666668</v>
      </c>
      <c r="D7555" s="37">
        <v>12.114000000000001</v>
      </c>
      <c r="E7555" s="33">
        <f t="shared" si="241"/>
        <v>-5.3998920021598208E-3</v>
      </c>
    </row>
    <row r="7556" spans="1:5" x14ac:dyDescent="0.25">
      <c r="A7556" s="41">
        <v>43780</v>
      </c>
      <c r="B7556" s="37">
        <v>331.8</v>
      </c>
      <c r="C7556" s="37">
        <f t="shared" si="242"/>
        <v>55.3</v>
      </c>
      <c r="D7556" s="37">
        <v>12.114000000000001</v>
      </c>
      <c r="E7556" s="33">
        <f t="shared" ref="E7556:E7619" si="243">(B7556-B7555)/B7555</f>
        <v>7.8421909875125441E-4</v>
      </c>
    </row>
    <row r="7557" spans="1:5" x14ac:dyDescent="0.25">
      <c r="A7557" s="41">
        <v>43780</v>
      </c>
      <c r="B7557" s="37">
        <v>332.08</v>
      </c>
      <c r="C7557" s="37">
        <f t="shared" si="242"/>
        <v>55.346666666666664</v>
      </c>
      <c r="D7557" s="37">
        <v>12.114000000000001</v>
      </c>
      <c r="E7557" s="33">
        <f t="shared" si="243"/>
        <v>8.4388185654000211E-4</v>
      </c>
    </row>
    <row r="7558" spans="1:5" x14ac:dyDescent="0.25">
      <c r="A7558" s="41">
        <v>43780</v>
      </c>
      <c r="B7558" s="37">
        <v>331.16</v>
      </c>
      <c r="C7558" s="37">
        <f t="shared" si="242"/>
        <v>55.193333333333335</v>
      </c>
      <c r="D7558" s="37">
        <v>12.114000000000001</v>
      </c>
      <c r="E7558" s="33">
        <f t="shared" si="243"/>
        <v>-2.7704167670439626E-3</v>
      </c>
    </row>
    <row r="7559" spans="1:5" x14ac:dyDescent="0.25">
      <c r="A7559" s="41">
        <v>43780</v>
      </c>
      <c r="B7559" s="37">
        <v>330.96</v>
      </c>
      <c r="C7559" s="37">
        <f t="shared" si="242"/>
        <v>55.16</v>
      </c>
      <c r="D7559" s="37">
        <v>12.114000000000001</v>
      </c>
      <c r="E7559" s="33">
        <f t="shared" si="243"/>
        <v>-6.0393767363221839E-4</v>
      </c>
    </row>
    <row r="7560" spans="1:5" x14ac:dyDescent="0.25">
      <c r="A7560" s="41">
        <v>43780</v>
      </c>
      <c r="B7560" s="37">
        <v>326.72000000000003</v>
      </c>
      <c r="C7560" s="37">
        <f t="shared" si="242"/>
        <v>54.45333333333334</v>
      </c>
      <c r="D7560" s="37">
        <v>12.114000000000001</v>
      </c>
      <c r="E7560" s="33">
        <f t="shared" si="243"/>
        <v>-1.2811215856900992E-2</v>
      </c>
    </row>
    <row r="7561" spans="1:5" x14ac:dyDescent="0.25">
      <c r="A7561" s="41">
        <v>43780</v>
      </c>
      <c r="B7561" s="37">
        <v>318.29000000000002</v>
      </c>
      <c r="C7561" s="37">
        <f t="shared" si="242"/>
        <v>53.048333333333339</v>
      </c>
      <c r="D7561" s="37">
        <v>12.114000000000001</v>
      </c>
      <c r="E7561" s="33">
        <f t="shared" si="243"/>
        <v>-2.5801909892262505E-2</v>
      </c>
    </row>
    <row r="7562" spans="1:5" x14ac:dyDescent="0.25">
      <c r="A7562" s="41">
        <v>43781</v>
      </c>
      <c r="B7562" s="37">
        <v>317.68</v>
      </c>
      <c r="C7562" s="37">
        <f t="shared" si="242"/>
        <v>52.946666666666665</v>
      </c>
      <c r="D7562" s="37">
        <v>11.602</v>
      </c>
      <c r="E7562" s="33">
        <f t="shared" si="243"/>
        <v>-1.9164912501178598E-3</v>
      </c>
    </row>
    <row r="7563" spans="1:5" x14ac:dyDescent="0.25">
      <c r="A7563" s="41">
        <v>43781</v>
      </c>
      <c r="B7563" s="37">
        <v>313.8</v>
      </c>
      <c r="C7563" s="37">
        <f t="shared" si="242"/>
        <v>52.3</v>
      </c>
      <c r="D7563" s="37">
        <v>11.602</v>
      </c>
      <c r="E7563" s="33">
        <f t="shared" si="243"/>
        <v>-1.2213548224628543E-2</v>
      </c>
    </row>
    <row r="7564" spans="1:5" x14ac:dyDescent="0.25">
      <c r="A7564" s="41">
        <v>43781</v>
      </c>
      <c r="B7564" s="37">
        <v>313</v>
      </c>
      <c r="C7564" s="37">
        <f t="shared" si="242"/>
        <v>52.166666666666664</v>
      </c>
      <c r="D7564" s="37">
        <v>11.602</v>
      </c>
      <c r="E7564" s="33">
        <f t="shared" si="243"/>
        <v>-2.5493945188018209E-3</v>
      </c>
    </row>
    <row r="7565" spans="1:5" x14ac:dyDescent="0.25">
      <c r="A7565" s="41">
        <v>43781</v>
      </c>
      <c r="B7565" s="37">
        <v>312.95</v>
      </c>
      <c r="C7565" s="37">
        <f t="shared" si="242"/>
        <v>52.158333333333331</v>
      </c>
      <c r="D7565" s="37">
        <v>11.602</v>
      </c>
      <c r="E7565" s="33">
        <f t="shared" si="243"/>
        <v>-1.5974440894572323E-4</v>
      </c>
    </row>
    <row r="7566" spans="1:5" x14ac:dyDescent="0.25">
      <c r="A7566" s="41">
        <v>43781</v>
      </c>
      <c r="B7566" s="37">
        <v>313.07</v>
      </c>
      <c r="C7566" s="37">
        <f t="shared" si="242"/>
        <v>52.178333333333335</v>
      </c>
      <c r="D7566" s="37">
        <v>11.602</v>
      </c>
      <c r="E7566" s="33">
        <f t="shared" si="243"/>
        <v>3.8344783511744544E-4</v>
      </c>
    </row>
    <row r="7567" spans="1:5" x14ac:dyDescent="0.25">
      <c r="A7567" s="41">
        <v>43781</v>
      </c>
      <c r="B7567" s="37">
        <v>313.64999999999998</v>
      </c>
      <c r="C7567" s="37">
        <f t="shared" si="242"/>
        <v>52.274999999999991</v>
      </c>
      <c r="D7567" s="37">
        <v>11.602</v>
      </c>
      <c r="E7567" s="33">
        <f t="shared" si="243"/>
        <v>1.8526208196249531E-3</v>
      </c>
    </row>
    <row r="7568" spans="1:5" x14ac:dyDescent="0.25">
      <c r="A7568" s="41">
        <v>43781</v>
      </c>
      <c r="B7568" s="37">
        <v>317.95999999999998</v>
      </c>
      <c r="C7568" s="37">
        <f t="shared" si="242"/>
        <v>52.993333333333325</v>
      </c>
      <c r="D7568" s="37">
        <v>11.602</v>
      </c>
      <c r="E7568" s="33">
        <f t="shared" si="243"/>
        <v>1.3741431531962387E-2</v>
      </c>
    </row>
    <row r="7569" spans="1:5" x14ac:dyDescent="0.25">
      <c r="A7569" s="41">
        <v>43781</v>
      </c>
      <c r="B7569" s="37">
        <v>326.87</v>
      </c>
      <c r="C7569" s="37">
        <f t="shared" si="242"/>
        <v>54.478333333333332</v>
      </c>
      <c r="D7569" s="37">
        <v>11.602</v>
      </c>
      <c r="E7569" s="33">
        <f t="shared" si="243"/>
        <v>2.8022392753805591E-2</v>
      </c>
    </row>
    <row r="7570" spans="1:5" x14ac:dyDescent="0.25">
      <c r="A7570" s="41">
        <v>43781</v>
      </c>
      <c r="B7570" s="37">
        <v>336.36</v>
      </c>
      <c r="C7570" s="37">
        <f t="shared" si="242"/>
        <v>56.06</v>
      </c>
      <c r="D7570" s="37">
        <v>11.602</v>
      </c>
      <c r="E7570" s="33">
        <f t="shared" si="243"/>
        <v>2.9032948878759166E-2</v>
      </c>
    </row>
    <row r="7571" spans="1:5" x14ac:dyDescent="0.25">
      <c r="A7571" s="41">
        <v>43781</v>
      </c>
      <c r="B7571" s="37">
        <v>339.49</v>
      </c>
      <c r="C7571" s="37">
        <f t="shared" si="242"/>
        <v>56.581666666666663</v>
      </c>
      <c r="D7571" s="37">
        <v>11.602</v>
      </c>
      <c r="E7571" s="33">
        <f t="shared" si="243"/>
        <v>9.305506005470315E-3</v>
      </c>
    </row>
    <row r="7572" spans="1:5" x14ac:dyDescent="0.25">
      <c r="A7572" s="41">
        <v>43781</v>
      </c>
      <c r="B7572" s="37">
        <v>342.84</v>
      </c>
      <c r="C7572" s="37">
        <f t="shared" si="242"/>
        <v>57.14</v>
      </c>
      <c r="D7572" s="37">
        <v>11.602</v>
      </c>
      <c r="E7572" s="33">
        <f t="shared" si="243"/>
        <v>9.8677427906564731E-3</v>
      </c>
    </row>
    <row r="7573" spans="1:5" x14ac:dyDescent="0.25">
      <c r="A7573" s="41">
        <v>43781</v>
      </c>
      <c r="B7573" s="37">
        <v>341.41</v>
      </c>
      <c r="C7573" s="37">
        <f t="shared" si="242"/>
        <v>56.901666666666664</v>
      </c>
      <c r="D7573" s="37">
        <v>11.602</v>
      </c>
      <c r="E7573" s="33">
        <f t="shared" si="243"/>
        <v>-4.1710418854274591E-3</v>
      </c>
    </row>
    <row r="7574" spans="1:5" x14ac:dyDescent="0.25">
      <c r="A7574" s="41">
        <v>43781</v>
      </c>
      <c r="B7574" s="37">
        <v>339.24</v>
      </c>
      <c r="C7574" s="37">
        <f t="shared" si="242"/>
        <v>56.54</v>
      </c>
      <c r="D7574" s="37">
        <v>11.602</v>
      </c>
      <c r="E7574" s="33">
        <f t="shared" si="243"/>
        <v>-6.3559942591020057E-3</v>
      </c>
    </row>
    <row r="7575" spans="1:5" x14ac:dyDescent="0.25">
      <c r="A7575" s="41">
        <v>43781</v>
      </c>
      <c r="B7575" s="37">
        <v>344.3</v>
      </c>
      <c r="C7575" s="37">
        <f t="shared" si="242"/>
        <v>57.383333333333333</v>
      </c>
      <c r="D7575" s="37">
        <v>11.602</v>
      </c>
      <c r="E7575" s="33">
        <f t="shared" si="243"/>
        <v>1.4915693904020758E-2</v>
      </c>
    </row>
    <row r="7576" spans="1:5" x14ac:dyDescent="0.25">
      <c r="A7576" s="41">
        <v>43781</v>
      </c>
      <c r="B7576" s="37">
        <v>348.87</v>
      </c>
      <c r="C7576" s="37">
        <f t="shared" si="242"/>
        <v>58.145000000000003</v>
      </c>
      <c r="D7576" s="37">
        <v>11.602</v>
      </c>
      <c r="E7576" s="33">
        <f t="shared" si="243"/>
        <v>1.3273308161487056E-2</v>
      </c>
    </row>
    <row r="7577" spans="1:5" x14ac:dyDescent="0.25">
      <c r="A7577" s="41">
        <v>43781</v>
      </c>
      <c r="B7577" s="37">
        <v>348.79</v>
      </c>
      <c r="C7577" s="37">
        <f t="shared" si="242"/>
        <v>58.131666666666668</v>
      </c>
      <c r="D7577" s="37">
        <v>11.602</v>
      </c>
      <c r="E7577" s="33">
        <f t="shared" si="243"/>
        <v>-2.2931177802615324E-4</v>
      </c>
    </row>
    <row r="7578" spans="1:5" x14ac:dyDescent="0.25">
      <c r="A7578" s="41">
        <v>43781</v>
      </c>
      <c r="B7578" s="37">
        <v>345.8</v>
      </c>
      <c r="C7578" s="37">
        <f t="shared" si="242"/>
        <v>57.633333333333333</v>
      </c>
      <c r="D7578" s="37">
        <v>11.602</v>
      </c>
      <c r="E7578" s="33">
        <f t="shared" si="243"/>
        <v>-8.5724934774506403E-3</v>
      </c>
    </row>
    <row r="7579" spans="1:5" x14ac:dyDescent="0.25">
      <c r="A7579" s="41">
        <v>43781</v>
      </c>
      <c r="B7579" s="37">
        <v>338.8</v>
      </c>
      <c r="C7579" s="37">
        <f t="shared" si="242"/>
        <v>56.466666666666669</v>
      </c>
      <c r="D7579" s="37">
        <v>11.602</v>
      </c>
      <c r="E7579" s="33">
        <f t="shared" si="243"/>
        <v>-2.0242914979757085E-2</v>
      </c>
    </row>
    <row r="7580" spans="1:5" x14ac:dyDescent="0.25">
      <c r="A7580" s="41">
        <v>43781</v>
      </c>
      <c r="B7580" s="37">
        <v>339.22</v>
      </c>
      <c r="C7580" s="37">
        <f t="shared" si="242"/>
        <v>56.536666666666669</v>
      </c>
      <c r="D7580" s="37">
        <v>11.602</v>
      </c>
      <c r="E7580" s="33">
        <f t="shared" si="243"/>
        <v>1.2396694214876502E-3</v>
      </c>
    </row>
    <row r="7581" spans="1:5" x14ac:dyDescent="0.25">
      <c r="A7581" s="41">
        <v>43781</v>
      </c>
      <c r="B7581" s="37">
        <v>340.74</v>
      </c>
      <c r="C7581" s="37">
        <f t="shared" si="242"/>
        <v>56.79</v>
      </c>
      <c r="D7581" s="37">
        <v>11.602</v>
      </c>
      <c r="E7581" s="33">
        <f t="shared" si="243"/>
        <v>4.48086787335647E-3</v>
      </c>
    </row>
    <row r="7582" spans="1:5" x14ac:dyDescent="0.25">
      <c r="A7582" s="41">
        <v>43781</v>
      </c>
      <c r="B7582" s="37">
        <v>338.67</v>
      </c>
      <c r="C7582" s="37">
        <f t="shared" si="242"/>
        <v>56.445</v>
      </c>
      <c r="D7582" s="37">
        <v>11.602</v>
      </c>
      <c r="E7582" s="33">
        <f t="shared" si="243"/>
        <v>-6.0750132065504284E-3</v>
      </c>
    </row>
    <row r="7583" spans="1:5" x14ac:dyDescent="0.25">
      <c r="A7583" s="41">
        <v>43781</v>
      </c>
      <c r="B7583" s="37">
        <v>338.06</v>
      </c>
      <c r="C7583" s="37">
        <f t="shared" si="242"/>
        <v>56.343333333333334</v>
      </c>
      <c r="D7583" s="37">
        <v>11.602</v>
      </c>
      <c r="E7583" s="33">
        <f t="shared" si="243"/>
        <v>-1.8011633743762767E-3</v>
      </c>
    </row>
    <row r="7584" spans="1:5" x14ac:dyDescent="0.25">
      <c r="A7584" s="41">
        <v>43781</v>
      </c>
      <c r="B7584" s="37">
        <v>335.24</v>
      </c>
      <c r="C7584" s="37">
        <f t="shared" si="242"/>
        <v>55.873333333333335</v>
      </c>
      <c r="D7584" s="37">
        <v>11.602</v>
      </c>
      <c r="E7584" s="33">
        <f t="shared" si="243"/>
        <v>-8.3417144885523081E-3</v>
      </c>
    </row>
    <row r="7585" spans="1:5" x14ac:dyDescent="0.25">
      <c r="A7585" s="41">
        <v>43781</v>
      </c>
      <c r="B7585" s="37">
        <v>324.5</v>
      </c>
      <c r="C7585" s="37">
        <f t="shared" si="242"/>
        <v>54.083333333333336</v>
      </c>
      <c r="D7585" s="37">
        <v>11.602</v>
      </c>
      <c r="E7585" s="33">
        <f t="shared" si="243"/>
        <v>-3.2036749791194391E-2</v>
      </c>
    </row>
    <row r="7586" spans="1:5" x14ac:dyDescent="0.25">
      <c r="A7586" s="41">
        <v>43782</v>
      </c>
      <c r="B7586" s="37">
        <v>313.66000000000003</v>
      </c>
      <c r="C7586" s="37">
        <f t="shared" si="242"/>
        <v>52.276666666666671</v>
      </c>
      <c r="D7586" s="37">
        <v>10.409000000000001</v>
      </c>
      <c r="E7586" s="33">
        <f t="shared" si="243"/>
        <v>-3.3405238828967565E-2</v>
      </c>
    </row>
    <row r="7587" spans="1:5" x14ac:dyDescent="0.25">
      <c r="A7587" s="41">
        <v>43782</v>
      </c>
      <c r="B7587" s="37">
        <v>307.8</v>
      </c>
      <c r="C7587" s="37">
        <f t="shared" si="242"/>
        <v>51.3</v>
      </c>
      <c r="D7587" s="37">
        <v>10.409000000000001</v>
      </c>
      <c r="E7587" s="33">
        <f t="shared" si="243"/>
        <v>-1.8682650003188209E-2</v>
      </c>
    </row>
    <row r="7588" spans="1:5" x14ac:dyDescent="0.25">
      <c r="A7588" s="41">
        <v>43782</v>
      </c>
      <c r="B7588" s="37">
        <v>305.24</v>
      </c>
      <c r="C7588" s="37">
        <f t="shared" si="242"/>
        <v>50.873333333333335</v>
      </c>
      <c r="D7588" s="37">
        <v>10.409000000000001</v>
      </c>
      <c r="E7588" s="33">
        <f t="shared" si="243"/>
        <v>-8.3170890188434127E-3</v>
      </c>
    </row>
    <row r="7589" spans="1:5" x14ac:dyDescent="0.25">
      <c r="A7589" s="41">
        <v>43782</v>
      </c>
      <c r="B7589" s="37">
        <v>305.05</v>
      </c>
      <c r="C7589" s="37">
        <f t="shared" si="242"/>
        <v>50.841666666666669</v>
      </c>
      <c r="D7589" s="37">
        <v>10.409000000000001</v>
      </c>
      <c r="E7589" s="33">
        <f t="shared" si="243"/>
        <v>-6.2246101428383479E-4</v>
      </c>
    </row>
    <row r="7590" spans="1:5" x14ac:dyDescent="0.25">
      <c r="A7590" s="41">
        <v>43782</v>
      </c>
      <c r="B7590" s="37">
        <v>305.67</v>
      </c>
      <c r="C7590" s="37">
        <f t="shared" si="242"/>
        <v>50.945</v>
      </c>
      <c r="D7590" s="37">
        <v>10.409000000000001</v>
      </c>
      <c r="E7590" s="33">
        <f t="shared" si="243"/>
        <v>2.0324536961154058E-3</v>
      </c>
    </row>
    <row r="7591" spans="1:5" x14ac:dyDescent="0.25">
      <c r="A7591" s="41">
        <v>43782</v>
      </c>
      <c r="B7591" s="37">
        <v>307.47000000000003</v>
      </c>
      <c r="C7591" s="37">
        <f t="shared" si="242"/>
        <v>51.245000000000005</v>
      </c>
      <c r="D7591" s="37">
        <v>10.409000000000001</v>
      </c>
      <c r="E7591" s="33">
        <f t="shared" si="243"/>
        <v>5.8887035037786216E-3</v>
      </c>
    </row>
    <row r="7592" spans="1:5" x14ac:dyDescent="0.25">
      <c r="A7592" s="41">
        <v>43782</v>
      </c>
      <c r="B7592" s="37">
        <v>314.27</v>
      </c>
      <c r="C7592" s="37">
        <f t="shared" si="242"/>
        <v>52.37833333333333</v>
      </c>
      <c r="D7592" s="37">
        <v>10.409000000000001</v>
      </c>
      <c r="E7592" s="33">
        <f t="shared" si="243"/>
        <v>2.2115978794679005E-2</v>
      </c>
    </row>
    <row r="7593" spans="1:5" x14ac:dyDescent="0.25">
      <c r="A7593" s="41">
        <v>43782</v>
      </c>
      <c r="B7593" s="37">
        <v>316.12</v>
      </c>
      <c r="C7593" s="37">
        <f t="shared" si="242"/>
        <v>52.686666666666667</v>
      </c>
      <c r="D7593" s="37">
        <v>10.409000000000001</v>
      </c>
      <c r="E7593" s="33">
        <f t="shared" si="243"/>
        <v>5.8866579692621723E-3</v>
      </c>
    </row>
    <row r="7594" spans="1:5" x14ac:dyDescent="0.25">
      <c r="A7594" s="41">
        <v>43782</v>
      </c>
      <c r="B7594" s="37">
        <v>327.20999999999998</v>
      </c>
      <c r="C7594" s="37">
        <f t="shared" si="242"/>
        <v>54.534999999999997</v>
      </c>
      <c r="D7594" s="37">
        <v>10.409000000000001</v>
      </c>
      <c r="E7594" s="33">
        <f t="shared" si="243"/>
        <v>3.5081614576742928E-2</v>
      </c>
    </row>
    <row r="7595" spans="1:5" x14ac:dyDescent="0.25">
      <c r="A7595" s="41">
        <v>43782</v>
      </c>
      <c r="B7595" s="37">
        <v>335.09</v>
      </c>
      <c r="C7595" s="37">
        <f t="shared" si="242"/>
        <v>55.848333333333336</v>
      </c>
      <c r="D7595" s="37">
        <v>10.409000000000001</v>
      </c>
      <c r="E7595" s="33">
        <f t="shared" si="243"/>
        <v>2.4082393569878659E-2</v>
      </c>
    </row>
    <row r="7596" spans="1:5" x14ac:dyDescent="0.25">
      <c r="A7596" s="41">
        <v>43782</v>
      </c>
      <c r="B7596" s="37">
        <v>341.75</v>
      </c>
      <c r="C7596" s="37">
        <f t="shared" si="242"/>
        <v>56.958333333333336</v>
      </c>
      <c r="D7596" s="37">
        <v>10.409000000000001</v>
      </c>
      <c r="E7596" s="33">
        <f t="shared" si="243"/>
        <v>1.9875257393536142E-2</v>
      </c>
    </row>
    <row r="7597" spans="1:5" x14ac:dyDescent="0.25">
      <c r="A7597" s="41">
        <v>43782</v>
      </c>
      <c r="B7597" s="37">
        <v>341.72</v>
      </c>
      <c r="C7597" s="37">
        <f t="shared" si="242"/>
        <v>56.953333333333333</v>
      </c>
      <c r="D7597" s="37">
        <v>10.409000000000001</v>
      </c>
      <c r="E7597" s="33">
        <f t="shared" si="243"/>
        <v>-8.7783467446884311E-5</v>
      </c>
    </row>
    <row r="7598" spans="1:5" x14ac:dyDescent="0.25">
      <c r="A7598" s="41">
        <v>43782</v>
      </c>
      <c r="B7598" s="37">
        <v>339.95</v>
      </c>
      <c r="C7598" s="37">
        <f t="shared" si="242"/>
        <v>56.658333333333331</v>
      </c>
      <c r="D7598" s="37">
        <v>10.409000000000001</v>
      </c>
      <c r="E7598" s="33">
        <f t="shared" si="243"/>
        <v>-5.1796792695775447E-3</v>
      </c>
    </row>
    <row r="7599" spans="1:5" x14ac:dyDescent="0.25">
      <c r="A7599" s="41">
        <v>43782</v>
      </c>
      <c r="B7599" s="37">
        <v>344.22</v>
      </c>
      <c r="C7599" s="37">
        <f t="shared" si="242"/>
        <v>57.37</v>
      </c>
      <c r="D7599" s="37">
        <v>10.409000000000001</v>
      </c>
      <c r="E7599" s="33">
        <f t="shared" si="243"/>
        <v>1.2560670686865829E-2</v>
      </c>
    </row>
    <row r="7600" spans="1:5" x14ac:dyDescent="0.25">
      <c r="A7600" s="41">
        <v>43782</v>
      </c>
      <c r="B7600" s="37">
        <v>361.71</v>
      </c>
      <c r="C7600" s="37">
        <f t="shared" si="242"/>
        <v>60.284999999999997</v>
      </c>
      <c r="D7600" s="37">
        <v>10.409000000000001</v>
      </c>
      <c r="E7600" s="33">
        <f t="shared" si="243"/>
        <v>5.081052815060122E-2</v>
      </c>
    </row>
    <row r="7601" spans="1:5" x14ac:dyDescent="0.25">
      <c r="A7601" s="41">
        <v>43782</v>
      </c>
      <c r="B7601" s="37">
        <v>357.03</v>
      </c>
      <c r="C7601" s="37">
        <f t="shared" si="242"/>
        <v>59.505000000000003</v>
      </c>
      <c r="D7601" s="37">
        <v>10.409000000000001</v>
      </c>
      <c r="E7601" s="33">
        <f t="shared" si="243"/>
        <v>-1.2938541925852221E-2</v>
      </c>
    </row>
    <row r="7602" spans="1:5" x14ac:dyDescent="0.25">
      <c r="A7602" s="41">
        <v>43782</v>
      </c>
      <c r="B7602" s="37">
        <v>342.22</v>
      </c>
      <c r="C7602" s="37">
        <f t="shared" si="242"/>
        <v>57.036666666666669</v>
      </c>
      <c r="D7602" s="37">
        <v>10.409000000000001</v>
      </c>
      <c r="E7602" s="33">
        <f t="shared" si="243"/>
        <v>-4.1481108030137374E-2</v>
      </c>
    </row>
    <row r="7603" spans="1:5" x14ac:dyDescent="0.25">
      <c r="A7603" s="41">
        <v>43782</v>
      </c>
      <c r="B7603" s="37">
        <v>335.7</v>
      </c>
      <c r="C7603" s="37">
        <f t="shared" si="242"/>
        <v>55.95</v>
      </c>
      <c r="D7603" s="37">
        <v>10.409000000000001</v>
      </c>
      <c r="E7603" s="33">
        <f t="shared" si="243"/>
        <v>-1.9052071766699895E-2</v>
      </c>
    </row>
    <row r="7604" spans="1:5" x14ac:dyDescent="0.25">
      <c r="A7604" s="41">
        <v>43782</v>
      </c>
      <c r="B7604" s="37">
        <v>336.03</v>
      </c>
      <c r="C7604" s="37">
        <f t="shared" si="242"/>
        <v>56.005000000000003</v>
      </c>
      <c r="D7604" s="37">
        <v>10.409000000000001</v>
      </c>
      <c r="E7604" s="33">
        <f t="shared" si="243"/>
        <v>9.8302055406608319E-4</v>
      </c>
    </row>
    <row r="7605" spans="1:5" x14ac:dyDescent="0.25">
      <c r="A7605" s="41">
        <v>43782</v>
      </c>
      <c r="B7605" s="37">
        <v>338.44</v>
      </c>
      <c r="C7605" s="37">
        <f t="shared" si="242"/>
        <v>56.406666666666666</v>
      </c>
      <c r="D7605" s="37">
        <v>10.409000000000001</v>
      </c>
      <c r="E7605" s="33">
        <f t="shared" si="243"/>
        <v>7.1719786923787315E-3</v>
      </c>
    </row>
    <row r="7606" spans="1:5" x14ac:dyDescent="0.25">
      <c r="A7606" s="41">
        <v>43782</v>
      </c>
      <c r="B7606" s="37">
        <v>334</v>
      </c>
      <c r="C7606" s="37">
        <f t="shared" si="242"/>
        <v>55.666666666666664</v>
      </c>
      <c r="D7606" s="37">
        <v>10.409000000000001</v>
      </c>
      <c r="E7606" s="33">
        <f t="shared" si="243"/>
        <v>-1.3119016664696838E-2</v>
      </c>
    </row>
    <row r="7607" spans="1:5" x14ac:dyDescent="0.25">
      <c r="A7607" s="41">
        <v>43782</v>
      </c>
      <c r="B7607" s="37">
        <v>333.67</v>
      </c>
      <c r="C7607" s="37">
        <f t="shared" si="242"/>
        <v>55.611666666666665</v>
      </c>
      <c r="D7607" s="37">
        <v>10.409000000000001</v>
      </c>
      <c r="E7607" s="33">
        <f t="shared" si="243"/>
        <v>-9.8802395209576072E-4</v>
      </c>
    </row>
    <row r="7608" spans="1:5" x14ac:dyDescent="0.25">
      <c r="A7608" s="41">
        <v>43782</v>
      </c>
      <c r="B7608" s="37">
        <v>329.19</v>
      </c>
      <c r="C7608" s="37">
        <f t="shared" si="242"/>
        <v>54.865000000000002</v>
      </c>
      <c r="D7608" s="37">
        <v>10.409000000000001</v>
      </c>
      <c r="E7608" s="33">
        <f t="shared" si="243"/>
        <v>-1.342643929631078E-2</v>
      </c>
    </row>
    <row r="7609" spans="1:5" x14ac:dyDescent="0.25">
      <c r="A7609" s="41">
        <v>43782</v>
      </c>
      <c r="B7609" s="37">
        <v>320</v>
      </c>
      <c r="C7609" s="37">
        <f t="shared" si="242"/>
        <v>53.333333333333336</v>
      </c>
      <c r="D7609" s="37">
        <v>10.409000000000001</v>
      </c>
      <c r="E7609" s="33">
        <f t="shared" si="243"/>
        <v>-2.7917008414593387E-2</v>
      </c>
    </row>
    <row r="7610" spans="1:5" x14ac:dyDescent="0.25">
      <c r="A7610" s="41">
        <v>43783</v>
      </c>
      <c r="B7610" s="37">
        <v>317.83</v>
      </c>
      <c r="C7610" s="37">
        <f t="shared" si="242"/>
        <v>52.971666666666664</v>
      </c>
      <c r="D7610" s="37">
        <v>9.641</v>
      </c>
      <c r="E7610" s="33">
        <f t="shared" si="243"/>
        <v>-6.7812500000000494E-3</v>
      </c>
    </row>
    <row r="7611" spans="1:5" x14ac:dyDescent="0.25">
      <c r="A7611" s="41">
        <v>43783</v>
      </c>
      <c r="B7611" s="37">
        <v>314.3</v>
      </c>
      <c r="C7611" s="37">
        <f t="shared" si="242"/>
        <v>52.383333333333333</v>
      </c>
      <c r="D7611" s="37">
        <v>9.641</v>
      </c>
      <c r="E7611" s="33">
        <f t="shared" si="243"/>
        <v>-1.1106566403423128E-2</v>
      </c>
    </row>
    <row r="7612" spans="1:5" x14ac:dyDescent="0.25">
      <c r="A7612" s="41">
        <v>43783</v>
      </c>
      <c r="B7612" s="37">
        <v>310.55</v>
      </c>
      <c r="C7612" s="37">
        <f t="shared" si="242"/>
        <v>51.758333333333333</v>
      </c>
      <c r="D7612" s="37">
        <v>9.641</v>
      </c>
      <c r="E7612" s="33">
        <f t="shared" si="243"/>
        <v>-1.1931275851097677E-2</v>
      </c>
    </row>
    <row r="7613" spans="1:5" x14ac:dyDescent="0.25">
      <c r="A7613" s="41">
        <v>43783</v>
      </c>
      <c r="B7613" s="37">
        <v>309.57</v>
      </c>
      <c r="C7613" s="37">
        <f t="shared" si="242"/>
        <v>51.594999999999999</v>
      </c>
      <c r="D7613" s="37">
        <v>9.641</v>
      </c>
      <c r="E7613" s="33">
        <f t="shared" si="243"/>
        <v>-3.1556915150539951E-3</v>
      </c>
    </row>
    <row r="7614" spans="1:5" x14ac:dyDescent="0.25">
      <c r="A7614" s="41">
        <v>43783</v>
      </c>
      <c r="B7614" s="37">
        <v>311.52</v>
      </c>
      <c r="C7614" s="37">
        <f t="shared" si="242"/>
        <v>51.92</v>
      </c>
      <c r="D7614" s="37">
        <v>9.641</v>
      </c>
      <c r="E7614" s="33">
        <f t="shared" si="243"/>
        <v>6.2990599864327576E-3</v>
      </c>
    </row>
    <row r="7615" spans="1:5" x14ac:dyDescent="0.25">
      <c r="A7615" s="41">
        <v>43783</v>
      </c>
      <c r="B7615" s="37">
        <v>312.69</v>
      </c>
      <c r="C7615" s="37">
        <f t="shared" si="242"/>
        <v>52.115000000000002</v>
      </c>
      <c r="D7615" s="37">
        <v>9.641</v>
      </c>
      <c r="E7615" s="33">
        <f t="shared" si="243"/>
        <v>3.7557781201849509E-3</v>
      </c>
    </row>
    <row r="7616" spans="1:5" x14ac:dyDescent="0.25">
      <c r="A7616" s="41">
        <v>43783</v>
      </c>
      <c r="B7616" s="37">
        <v>316.92</v>
      </c>
      <c r="C7616" s="37">
        <f t="shared" si="242"/>
        <v>52.82</v>
      </c>
      <c r="D7616" s="37">
        <v>9.641</v>
      </c>
      <c r="E7616" s="33">
        <f t="shared" si="243"/>
        <v>1.3527775112731517E-2</v>
      </c>
    </row>
    <row r="7617" spans="1:5" x14ac:dyDescent="0.25">
      <c r="A7617" s="41">
        <v>43783</v>
      </c>
      <c r="B7617" s="37">
        <v>321.73</v>
      </c>
      <c r="C7617" s="37">
        <f t="shared" si="242"/>
        <v>53.62166666666667</v>
      </c>
      <c r="D7617" s="37">
        <v>9.641</v>
      </c>
      <c r="E7617" s="33">
        <f t="shared" si="243"/>
        <v>1.5177331818755529E-2</v>
      </c>
    </row>
    <row r="7618" spans="1:5" x14ac:dyDescent="0.25">
      <c r="A7618" s="41">
        <v>43783</v>
      </c>
      <c r="B7618" s="37">
        <v>332.99</v>
      </c>
      <c r="C7618" s="37">
        <f t="shared" si="242"/>
        <v>55.498333333333335</v>
      </c>
      <c r="D7618" s="37">
        <v>9.641</v>
      </c>
      <c r="E7618" s="33">
        <f t="shared" si="243"/>
        <v>3.4998290492027448E-2</v>
      </c>
    </row>
    <row r="7619" spans="1:5" x14ac:dyDescent="0.25">
      <c r="A7619" s="41">
        <v>43783</v>
      </c>
      <c r="B7619" s="37">
        <v>342.1</v>
      </c>
      <c r="C7619" s="37">
        <f t="shared" ref="C7619:C7682" si="244">(B7619*100/600)</f>
        <v>57.016666666666666</v>
      </c>
      <c r="D7619" s="37">
        <v>9.641</v>
      </c>
      <c r="E7619" s="33">
        <f t="shared" si="243"/>
        <v>2.735817892429206E-2</v>
      </c>
    </row>
    <row r="7620" spans="1:5" x14ac:dyDescent="0.25">
      <c r="A7620" s="41">
        <v>43783</v>
      </c>
      <c r="B7620" s="37">
        <v>345.07</v>
      </c>
      <c r="C7620" s="37">
        <f t="shared" si="244"/>
        <v>57.511666666666663</v>
      </c>
      <c r="D7620" s="37">
        <v>9.641</v>
      </c>
      <c r="E7620" s="33">
        <f t="shared" ref="E7620:E7683" si="245">(B7620-B7619)/B7619</f>
        <v>8.6816720257233849E-3</v>
      </c>
    </row>
    <row r="7621" spans="1:5" x14ac:dyDescent="0.25">
      <c r="A7621" s="41">
        <v>43783</v>
      </c>
      <c r="B7621" s="37">
        <v>345.9</v>
      </c>
      <c r="C7621" s="37">
        <f t="shared" si="244"/>
        <v>57.65</v>
      </c>
      <c r="D7621" s="37">
        <v>9.641</v>
      </c>
      <c r="E7621" s="33">
        <f t="shared" si="245"/>
        <v>2.4053090677253431E-3</v>
      </c>
    </row>
    <row r="7622" spans="1:5" x14ac:dyDescent="0.25">
      <c r="A7622" s="41">
        <v>43783</v>
      </c>
      <c r="B7622" s="37">
        <v>343.66</v>
      </c>
      <c r="C7622" s="37">
        <f t="shared" si="244"/>
        <v>57.276666666666664</v>
      </c>
      <c r="D7622" s="37">
        <v>9.641</v>
      </c>
      <c r="E7622" s="33">
        <f t="shared" si="245"/>
        <v>-6.4758600751660955E-3</v>
      </c>
    </row>
    <row r="7623" spans="1:5" x14ac:dyDescent="0.25">
      <c r="A7623" s="41">
        <v>43783</v>
      </c>
      <c r="B7623" s="37">
        <v>353.14</v>
      </c>
      <c r="C7623" s="37">
        <f t="shared" si="244"/>
        <v>58.856666666666669</v>
      </c>
      <c r="D7623" s="37">
        <v>9.641</v>
      </c>
      <c r="E7623" s="33">
        <f t="shared" si="245"/>
        <v>2.7585404178548451E-2</v>
      </c>
    </row>
    <row r="7624" spans="1:5" x14ac:dyDescent="0.25">
      <c r="A7624" s="41">
        <v>43783</v>
      </c>
      <c r="B7624" s="37">
        <v>370.8</v>
      </c>
      <c r="C7624" s="37">
        <f t="shared" si="244"/>
        <v>61.8</v>
      </c>
      <c r="D7624" s="37">
        <v>9.641</v>
      </c>
      <c r="E7624" s="33">
        <f t="shared" si="245"/>
        <v>5.0008495214362646E-2</v>
      </c>
    </row>
    <row r="7625" spans="1:5" x14ac:dyDescent="0.25">
      <c r="A7625" s="41">
        <v>43783</v>
      </c>
      <c r="B7625" s="37">
        <v>366.04</v>
      </c>
      <c r="C7625" s="37">
        <f t="shared" si="244"/>
        <v>61.006666666666668</v>
      </c>
      <c r="D7625" s="37">
        <v>9.641</v>
      </c>
      <c r="E7625" s="33">
        <f t="shared" si="245"/>
        <v>-1.2837108953613783E-2</v>
      </c>
    </row>
    <row r="7626" spans="1:5" x14ac:dyDescent="0.25">
      <c r="A7626" s="41">
        <v>43783</v>
      </c>
      <c r="B7626" s="37">
        <v>350.47</v>
      </c>
      <c r="C7626" s="37">
        <f t="shared" si="244"/>
        <v>58.411666666666669</v>
      </c>
      <c r="D7626" s="37">
        <v>9.641</v>
      </c>
      <c r="E7626" s="33">
        <f t="shared" si="245"/>
        <v>-4.2536334826794864E-2</v>
      </c>
    </row>
    <row r="7627" spans="1:5" x14ac:dyDescent="0.25">
      <c r="A7627" s="41">
        <v>43783</v>
      </c>
      <c r="B7627" s="37">
        <v>342.44</v>
      </c>
      <c r="C7627" s="37">
        <f t="shared" si="244"/>
        <v>57.073333333333331</v>
      </c>
      <c r="D7627" s="37">
        <v>9.641</v>
      </c>
      <c r="E7627" s="33">
        <f t="shared" si="245"/>
        <v>-2.2912089479841437E-2</v>
      </c>
    </row>
    <row r="7628" spans="1:5" x14ac:dyDescent="0.25">
      <c r="A7628" s="41">
        <v>43783</v>
      </c>
      <c r="B7628" s="37">
        <v>342.2</v>
      </c>
      <c r="C7628" s="37">
        <f t="shared" si="244"/>
        <v>57.033333333333331</v>
      </c>
      <c r="D7628" s="37">
        <v>9.641</v>
      </c>
      <c r="E7628" s="33">
        <f t="shared" si="245"/>
        <v>-7.0085270412337665E-4</v>
      </c>
    </row>
    <row r="7629" spans="1:5" x14ac:dyDescent="0.25">
      <c r="A7629" s="41">
        <v>43783</v>
      </c>
      <c r="B7629" s="37">
        <v>342.64</v>
      </c>
      <c r="C7629" s="37">
        <f t="shared" si="244"/>
        <v>57.106666666666669</v>
      </c>
      <c r="D7629" s="37">
        <v>9.641</v>
      </c>
      <c r="E7629" s="33">
        <f t="shared" si="245"/>
        <v>1.2857977790765567E-3</v>
      </c>
    </row>
    <row r="7630" spans="1:5" x14ac:dyDescent="0.25">
      <c r="A7630" s="41">
        <v>43783</v>
      </c>
      <c r="B7630" s="37">
        <v>341.28</v>
      </c>
      <c r="C7630" s="37">
        <f t="shared" si="244"/>
        <v>56.88</v>
      </c>
      <c r="D7630" s="37">
        <v>9.641</v>
      </c>
      <c r="E7630" s="33">
        <f t="shared" si="245"/>
        <v>-3.9691804809713219E-3</v>
      </c>
    </row>
    <row r="7631" spans="1:5" x14ac:dyDescent="0.25">
      <c r="A7631" s="41">
        <v>43783</v>
      </c>
      <c r="B7631" s="37">
        <v>339.38</v>
      </c>
      <c r="C7631" s="37">
        <f t="shared" si="244"/>
        <v>56.563333333333333</v>
      </c>
      <c r="D7631" s="37">
        <v>9.641</v>
      </c>
      <c r="E7631" s="33">
        <f t="shared" si="245"/>
        <v>-5.5672761368963236E-3</v>
      </c>
    </row>
    <row r="7632" spans="1:5" x14ac:dyDescent="0.25">
      <c r="A7632" s="41">
        <v>43783</v>
      </c>
      <c r="B7632" s="37">
        <v>332.56</v>
      </c>
      <c r="C7632" s="37">
        <f t="shared" si="244"/>
        <v>55.426666666666669</v>
      </c>
      <c r="D7632" s="37">
        <v>9.641</v>
      </c>
      <c r="E7632" s="33">
        <f t="shared" si="245"/>
        <v>-2.0095468206729899E-2</v>
      </c>
    </row>
    <row r="7633" spans="1:5" x14ac:dyDescent="0.25">
      <c r="A7633" s="41">
        <v>43783</v>
      </c>
      <c r="B7633" s="37">
        <v>326.76</v>
      </c>
      <c r="C7633" s="37">
        <f t="shared" si="244"/>
        <v>54.46</v>
      </c>
      <c r="D7633" s="37">
        <v>9.641</v>
      </c>
      <c r="E7633" s="33">
        <f t="shared" si="245"/>
        <v>-1.7440461871542013E-2</v>
      </c>
    </row>
    <row r="7634" spans="1:5" x14ac:dyDescent="0.25">
      <c r="A7634" s="41">
        <v>43784</v>
      </c>
      <c r="B7634" s="37">
        <v>317.66000000000003</v>
      </c>
      <c r="C7634" s="37">
        <f t="shared" si="244"/>
        <v>52.943333333333342</v>
      </c>
      <c r="D7634" s="37">
        <v>9.0050000000000008</v>
      </c>
      <c r="E7634" s="33">
        <f t="shared" si="245"/>
        <v>-2.7849185946872218E-2</v>
      </c>
    </row>
    <row r="7635" spans="1:5" x14ac:dyDescent="0.25">
      <c r="A7635" s="41">
        <v>43784</v>
      </c>
      <c r="B7635" s="37">
        <v>313.55</v>
      </c>
      <c r="C7635" s="37">
        <f t="shared" si="244"/>
        <v>52.258333333333333</v>
      </c>
      <c r="D7635" s="37">
        <v>9.0050000000000008</v>
      </c>
      <c r="E7635" s="33">
        <f t="shared" si="245"/>
        <v>-1.2938361770446431E-2</v>
      </c>
    </row>
    <row r="7636" spans="1:5" x14ac:dyDescent="0.25">
      <c r="A7636" s="41">
        <v>43784</v>
      </c>
      <c r="B7636" s="37">
        <v>309.45</v>
      </c>
      <c r="C7636" s="37">
        <f t="shared" si="244"/>
        <v>51.575000000000003</v>
      </c>
      <c r="D7636" s="37">
        <v>9.0050000000000008</v>
      </c>
      <c r="E7636" s="33">
        <f t="shared" si="245"/>
        <v>-1.3076064423536989E-2</v>
      </c>
    </row>
    <row r="7637" spans="1:5" x14ac:dyDescent="0.25">
      <c r="A7637" s="41">
        <v>43784</v>
      </c>
      <c r="B7637" s="37">
        <v>308.56</v>
      </c>
      <c r="C7637" s="37">
        <f t="shared" si="244"/>
        <v>51.426666666666669</v>
      </c>
      <c r="D7637" s="37">
        <v>9.0050000000000008</v>
      </c>
      <c r="E7637" s="33">
        <f t="shared" si="245"/>
        <v>-2.8760704475682222E-3</v>
      </c>
    </row>
    <row r="7638" spans="1:5" x14ac:dyDescent="0.25">
      <c r="A7638" s="41">
        <v>43784</v>
      </c>
      <c r="B7638" s="37">
        <v>307.93</v>
      </c>
      <c r="C7638" s="37">
        <f t="shared" si="244"/>
        <v>51.321666666666665</v>
      </c>
      <c r="D7638" s="37">
        <v>9.0050000000000008</v>
      </c>
      <c r="E7638" s="33">
        <f t="shared" si="245"/>
        <v>-2.0417422867513462E-3</v>
      </c>
    </row>
    <row r="7639" spans="1:5" x14ac:dyDescent="0.25">
      <c r="A7639" s="41">
        <v>43784</v>
      </c>
      <c r="B7639" s="37">
        <v>301.19</v>
      </c>
      <c r="C7639" s="37">
        <f t="shared" si="244"/>
        <v>50.198333333333331</v>
      </c>
      <c r="D7639" s="37">
        <v>9.0050000000000008</v>
      </c>
      <c r="E7639" s="33">
        <f t="shared" si="245"/>
        <v>-2.1888091449355402E-2</v>
      </c>
    </row>
    <row r="7640" spans="1:5" x14ac:dyDescent="0.25">
      <c r="A7640" s="41">
        <v>43784</v>
      </c>
      <c r="B7640" s="37">
        <v>295.25</v>
      </c>
      <c r="C7640" s="37">
        <f t="shared" si="244"/>
        <v>49.208333333333336</v>
      </c>
      <c r="D7640" s="37">
        <v>9.0050000000000008</v>
      </c>
      <c r="E7640" s="33">
        <f t="shared" si="245"/>
        <v>-1.9721770311099299E-2</v>
      </c>
    </row>
    <row r="7641" spans="1:5" x14ac:dyDescent="0.25">
      <c r="A7641" s="41">
        <v>43784</v>
      </c>
      <c r="B7641" s="37">
        <v>302.86</v>
      </c>
      <c r="C7641" s="37">
        <f t="shared" si="244"/>
        <v>50.476666666666667</v>
      </c>
      <c r="D7641" s="37">
        <v>9.0050000000000008</v>
      </c>
      <c r="E7641" s="33">
        <f t="shared" si="245"/>
        <v>2.5774767146486074E-2</v>
      </c>
    </row>
    <row r="7642" spans="1:5" x14ac:dyDescent="0.25">
      <c r="A7642" s="41">
        <v>43784</v>
      </c>
      <c r="B7642" s="37">
        <v>312.51</v>
      </c>
      <c r="C7642" s="37">
        <f t="shared" si="244"/>
        <v>52.085000000000001</v>
      </c>
      <c r="D7642" s="37">
        <v>9.0050000000000008</v>
      </c>
      <c r="E7642" s="33">
        <f t="shared" si="245"/>
        <v>3.1862906953707908E-2</v>
      </c>
    </row>
    <row r="7643" spans="1:5" x14ac:dyDescent="0.25">
      <c r="A7643" s="41">
        <v>43784</v>
      </c>
      <c r="B7643" s="37">
        <v>316.20999999999998</v>
      </c>
      <c r="C7643" s="37">
        <f t="shared" si="244"/>
        <v>52.701666666666661</v>
      </c>
      <c r="D7643" s="37">
        <v>9.0050000000000008</v>
      </c>
      <c r="E7643" s="33">
        <f t="shared" si="245"/>
        <v>1.1839621132123735E-2</v>
      </c>
    </row>
    <row r="7644" spans="1:5" x14ac:dyDescent="0.25">
      <c r="A7644" s="41">
        <v>43784</v>
      </c>
      <c r="B7644" s="37">
        <v>319.02</v>
      </c>
      <c r="C7644" s="37">
        <f t="shared" si="244"/>
        <v>53.17</v>
      </c>
      <c r="D7644" s="37">
        <v>9.0050000000000008</v>
      </c>
      <c r="E7644" s="33">
        <f t="shared" si="245"/>
        <v>8.8864994781948786E-3</v>
      </c>
    </row>
    <row r="7645" spans="1:5" x14ac:dyDescent="0.25">
      <c r="A7645" s="41">
        <v>43784</v>
      </c>
      <c r="B7645" s="37">
        <v>319.27</v>
      </c>
      <c r="C7645" s="37">
        <f t="shared" si="244"/>
        <v>53.211666666666666</v>
      </c>
      <c r="D7645" s="37">
        <v>9.0050000000000008</v>
      </c>
      <c r="E7645" s="33">
        <f t="shared" si="245"/>
        <v>7.8364992790420668E-4</v>
      </c>
    </row>
    <row r="7646" spans="1:5" x14ac:dyDescent="0.25">
      <c r="A7646" s="41">
        <v>43784</v>
      </c>
      <c r="B7646" s="37">
        <v>319.36</v>
      </c>
      <c r="C7646" s="37">
        <f t="shared" si="244"/>
        <v>53.226666666666667</v>
      </c>
      <c r="D7646" s="37">
        <v>9.0050000000000008</v>
      </c>
      <c r="E7646" s="33">
        <f t="shared" si="245"/>
        <v>2.818930685627583E-4</v>
      </c>
    </row>
    <row r="7647" spans="1:5" x14ac:dyDescent="0.25">
      <c r="A7647" s="41">
        <v>43784</v>
      </c>
      <c r="B7647" s="37">
        <v>319.44</v>
      </c>
      <c r="C7647" s="37">
        <f t="shared" si="244"/>
        <v>53.24</v>
      </c>
      <c r="D7647" s="37">
        <v>9.0050000000000008</v>
      </c>
      <c r="E7647" s="33">
        <f t="shared" si="245"/>
        <v>2.5050100200395818E-4</v>
      </c>
    </row>
    <row r="7648" spans="1:5" x14ac:dyDescent="0.25">
      <c r="A7648" s="41">
        <v>43784</v>
      </c>
      <c r="B7648" s="37">
        <v>319.52999999999997</v>
      </c>
      <c r="C7648" s="37">
        <f t="shared" si="244"/>
        <v>53.254999999999995</v>
      </c>
      <c r="D7648" s="37">
        <v>9.0050000000000008</v>
      </c>
      <c r="E7648" s="33">
        <f t="shared" si="245"/>
        <v>2.8174305033801337E-4</v>
      </c>
    </row>
    <row r="7649" spans="1:5" x14ac:dyDescent="0.25">
      <c r="A7649" s="41">
        <v>43784</v>
      </c>
      <c r="B7649" s="37">
        <v>319.62</v>
      </c>
      <c r="C7649" s="37">
        <f t="shared" si="244"/>
        <v>53.27</v>
      </c>
      <c r="D7649" s="37">
        <v>9.0050000000000008</v>
      </c>
      <c r="E7649" s="33">
        <f t="shared" si="245"/>
        <v>2.8166369355000104E-4</v>
      </c>
    </row>
    <row r="7650" spans="1:5" x14ac:dyDescent="0.25">
      <c r="A7650" s="41">
        <v>43784</v>
      </c>
      <c r="B7650" s="37">
        <v>319.70999999999998</v>
      </c>
      <c r="C7650" s="37">
        <f t="shared" si="244"/>
        <v>53.284999999999997</v>
      </c>
      <c r="D7650" s="37">
        <v>9.0050000000000008</v>
      </c>
      <c r="E7650" s="33">
        <f t="shared" si="245"/>
        <v>2.8158438145289713E-4</v>
      </c>
    </row>
    <row r="7651" spans="1:5" x14ac:dyDescent="0.25">
      <c r="A7651" s="41">
        <v>43784</v>
      </c>
      <c r="B7651" s="37">
        <v>321.48</v>
      </c>
      <c r="C7651" s="37">
        <f t="shared" si="244"/>
        <v>53.58</v>
      </c>
      <c r="D7651" s="37">
        <v>9.0050000000000008</v>
      </c>
      <c r="E7651" s="33">
        <f t="shared" si="245"/>
        <v>5.5362672421883545E-3</v>
      </c>
    </row>
    <row r="7652" spans="1:5" x14ac:dyDescent="0.25">
      <c r="A7652" s="41">
        <v>43784</v>
      </c>
      <c r="B7652" s="37">
        <v>329.34</v>
      </c>
      <c r="C7652" s="37">
        <f t="shared" si="244"/>
        <v>54.89</v>
      </c>
      <c r="D7652" s="37">
        <v>9.0050000000000008</v>
      </c>
      <c r="E7652" s="33">
        <f t="shared" si="245"/>
        <v>2.4449421425905053E-2</v>
      </c>
    </row>
    <row r="7653" spans="1:5" x14ac:dyDescent="0.25">
      <c r="A7653" s="41">
        <v>43784</v>
      </c>
      <c r="B7653" s="37">
        <v>330.88</v>
      </c>
      <c r="C7653" s="37">
        <f t="shared" si="244"/>
        <v>55.146666666666668</v>
      </c>
      <c r="D7653" s="37">
        <v>9.0050000000000008</v>
      </c>
      <c r="E7653" s="33">
        <f t="shared" si="245"/>
        <v>4.6760187040748788E-3</v>
      </c>
    </row>
    <row r="7654" spans="1:5" x14ac:dyDescent="0.25">
      <c r="A7654" s="41">
        <v>43784</v>
      </c>
      <c r="B7654" s="37">
        <v>329.91</v>
      </c>
      <c r="C7654" s="37">
        <f t="shared" si="244"/>
        <v>54.984999999999999</v>
      </c>
      <c r="D7654" s="37">
        <v>9.0050000000000008</v>
      </c>
      <c r="E7654" s="33">
        <f t="shared" si="245"/>
        <v>-2.9315764023209938E-3</v>
      </c>
    </row>
    <row r="7655" spans="1:5" x14ac:dyDescent="0.25">
      <c r="A7655" s="41">
        <v>43784</v>
      </c>
      <c r="B7655" s="37">
        <v>329.06</v>
      </c>
      <c r="C7655" s="37">
        <f t="shared" si="244"/>
        <v>54.843333333333334</v>
      </c>
      <c r="D7655" s="37">
        <v>9.0050000000000008</v>
      </c>
      <c r="E7655" s="33">
        <f t="shared" si="245"/>
        <v>-2.5764602467340265E-3</v>
      </c>
    </row>
    <row r="7656" spans="1:5" x14ac:dyDescent="0.25">
      <c r="A7656" s="41">
        <v>43784</v>
      </c>
      <c r="B7656" s="37">
        <v>327.83</v>
      </c>
      <c r="C7656" s="37">
        <f t="shared" si="244"/>
        <v>54.638333333333335</v>
      </c>
      <c r="D7656" s="37">
        <v>9.0050000000000008</v>
      </c>
      <c r="E7656" s="33">
        <f t="shared" si="245"/>
        <v>-3.7379201361454392E-3</v>
      </c>
    </row>
    <row r="7657" spans="1:5" x14ac:dyDescent="0.25">
      <c r="A7657" s="41">
        <v>43784</v>
      </c>
      <c r="B7657" s="37">
        <v>324.95</v>
      </c>
      <c r="C7657" s="37">
        <f t="shared" si="244"/>
        <v>54.158333333333331</v>
      </c>
      <c r="D7657" s="37">
        <v>9.0050000000000008</v>
      </c>
      <c r="E7657" s="33">
        <f t="shared" si="245"/>
        <v>-8.7850410273617296E-3</v>
      </c>
    </row>
    <row r="7658" spans="1:5" x14ac:dyDescent="0.25">
      <c r="A7658" s="41">
        <v>43785</v>
      </c>
      <c r="B7658" s="37">
        <v>346.44</v>
      </c>
      <c r="C7658" s="37">
        <f t="shared" si="244"/>
        <v>57.74</v>
      </c>
      <c r="D7658" s="37">
        <v>8.3450000000000006</v>
      </c>
      <c r="E7658" s="33">
        <f t="shared" si="245"/>
        <v>6.6133251269426097E-2</v>
      </c>
    </row>
    <row r="7659" spans="1:5" x14ac:dyDescent="0.25">
      <c r="A7659" s="41">
        <v>43785</v>
      </c>
      <c r="B7659" s="37">
        <v>341.85</v>
      </c>
      <c r="C7659" s="37">
        <f t="shared" si="244"/>
        <v>56.975000000000001</v>
      </c>
      <c r="D7659" s="37">
        <v>8.3450000000000006</v>
      </c>
      <c r="E7659" s="33">
        <f t="shared" si="245"/>
        <v>-1.3249047454104535E-2</v>
      </c>
    </row>
    <row r="7660" spans="1:5" x14ac:dyDescent="0.25">
      <c r="A7660" s="41">
        <v>43785</v>
      </c>
      <c r="B7660" s="37">
        <v>338.83</v>
      </c>
      <c r="C7660" s="37">
        <f t="shared" si="244"/>
        <v>56.471666666666664</v>
      </c>
      <c r="D7660" s="37">
        <v>8.3450000000000006</v>
      </c>
      <c r="E7660" s="33">
        <f t="shared" si="245"/>
        <v>-8.8342840427089037E-3</v>
      </c>
    </row>
    <row r="7661" spans="1:5" x14ac:dyDescent="0.25">
      <c r="A7661" s="41">
        <v>43785</v>
      </c>
      <c r="B7661" s="37">
        <v>338.76</v>
      </c>
      <c r="C7661" s="37">
        <f t="shared" si="244"/>
        <v>56.46</v>
      </c>
      <c r="D7661" s="37">
        <v>8.3450000000000006</v>
      </c>
      <c r="E7661" s="33">
        <f t="shared" si="245"/>
        <v>-2.065932768644842E-4</v>
      </c>
    </row>
    <row r="7662" spans="1:5" x14ac:dyDescent="0.25">
      <c r="A7662" s="41">
        <v>43785</v>
      </c>
      <c r="B7662" s="37">
        <v>338.62</v>
      </c>
      <c r="C7662" s="37">
        <f t="shared" si="244"/>
        <v>56.436666666666667</v>
      </c>
      <c r="D7662" s="37">
        <v>8.3450000000000006</v>
      </c>
      <c r="E7662" s="33">
        <f t="shared" si="245"/>
        <v>-4.132719329318289E-4</v>
      </c>
    </row>
    <row r="7663" spans="1:5" x14ac:dyDescent="0.25">
      <c r="A7663" s="41">
        <v>43785</v>
      </c>
      <c r="B7663" s="37">
        <v>337.81</v>
      </c>
      <c r="C7663" s="37">
        <f t="shared" si="244"/>
        <v>56.301666666666669</v>
      </c>
      <c r="D7663" s="37">
        <v>8.3450000000000006</v>
      </c>
      <c r="E7663" s="33">
        <f t="shared" si="245"/>
        <v>-2.3920618982930784E-3</v>
      </c>
    </row>
    <row r="7664" spans="1:5" x14ac:dyDescent="0.25">
      <c r="A7664" s="41">
        <v>43785</v>
      </c>
      <c r="B7664" s="37">
        <v>337.14</v>
      </c>
      <c r="C7664" s="37">
        <f t="shared" si="244"/>
        <v>56.19</v>
      </c>
      <c r="D7664" s="37">
        <v>8.3450000000000006</v>
      </c>
      <c r="E7664" s="33">
        <f t="shared" si="245"/>
        <v>-1.9833634291466086E-3</v>
      </c>
    </row>
    <row r="7665" spans="1:5" x14ac:dyDescent="0.25">
      <c r="A7665" s="41">
        <v>43785</v>
      </c>
      <c r="B7665" s="37">
        <v>338.62</v>
      </c>
      <c r="C7665" s="37">
        <f t="shared" si="244"/>
        <v>56.436666666666667</v>
      </c>
      <c r="D7665" s="37">
        <v>8.3450000000000006</v>
      </c>
      <c r="E7665" s="33">
        <f t="shared" si="245"/>
        <v>4.3898677107433656E-3</v>
      </c>
    </row>
    <row r="7666" spans="1:5" x14ac:dyDescent="0.25">
      <c r="A7666" s="41">
        <v>43785</v>
      </c>
      <c r="B7666" s="37">
        <v>343.09</v>
      </c>
      <c r="C7666" s="37">
        <f t="shared" si="244"/>
        <v>57.181666666666665</v>
      </c>
      <c r="D7666" s="37">
        <v>8.3450000000000006</v>
      </c>
      <c r="E7666" s="33">
        <f t="shared" si="245"/>
        <v>1.3200637883172791E-2</v>
      </c>
    </row>
    <row r="7667" spans="1:5" x14ac:dyDescent="0.25">
      <c r="A7667" s="41">
        <v>43785</v>
      </c>
      <c r="B7667" s="37">
        <v>346.26</v>
      </c>
      <c r="C7667" s="37">
        <f t="shared" si="244"/>
        <v>57.71</v>
      </c>
      <c r="D7667" s="37">
        <v>8.3450000000000006</v>
      </c>
      <c r="E7667" s="33">
        <f t="shared" si="245"/>
        <v>9.2395581334344234E-3</v>
      </c>
    </row>
    <row r="7668" spans="1:5" x14ac:dyDescent="0.25">
      <c r="A7668" s="41">
        <v>43785</v>
      </c>
      <c r="B7668" s="37">
        <v>347.97</v>
      </c>
      <c r="C7668" s="37">
        <f t="shared" si="244"/>
        <v>57.994999999999997</v>
      </c>
      <c r="D7668" s="37">
        <v>8.3450000000000006</v>
      </c>
      <c r="E7668" s="33">
        <f t="shared" si="245"/>
        <v>4.9384855311038998E-3</v>
      </c>
    </row>
    <row r="7669" spans="1:5" x14ac:dyDescent="0.25">
      <c r="A7669" s="41">
        <v>43785</v>
      </c>
      <c r="B7669" s="37">
        <v>347.91</v>
      </c>
      <c r="C7669" s="37">
        <f t="shared" si="244"/>
        <v>57.984999999999999</v>
      </c>
      <c r="D7669" s="37">
        <v>8.3450000000000006</v>
      </c>
      <c r="E7669" s="33">
        <f t="shared" si="245"/>
        <v>-1.7242865764290676E-4</v>
      </c>
    </row>
    <row r="7670" spans="1:5" x14ac:dyDescent="0.25">
      <c r="A7670" s="41">
        <v>43785</v>
      </c>
      <c r="B7670" s="37">
        <v>347.84</v>
      </c>
      <c r="C7670" s="37">
        <f t="shared" si="244"/>
        <v>57.973333333333336</v>
      </c>
      <c r="D7670" s="37">
        <v>8.3450000000000006</v>
      </c>
      <c r="E7670" s="33">
        <f t="shared" si="245"/>
        <v>-2.0120146014788312E-4</v>
      </c>
    </row>
    <row r="7671" spans="1:5" x14ac:dyDescent="0.25">
      <c r="A7671" s="41">
        <v>43785</v>
      </c>
      <c r="B7671" s="37">
        <v>347.77</v>
      </c>
      <c r="C7671" s="37">
        <f t="shared" si="244"/>
        <v>57.961666666666666</v>
      </c>
      <c r="D7671" s="37">
        <v>8.3450000000000006</v>
      </c>
      <c r="E7671" s="33">
        <f t="shared" si="245"/>
        <v>-2.0124195032196753E-4</v>
      </c>
    </row>
    <row r="7672" spans="1:5" x14ac:dyDescent="0.25">
      <c r="A7672" s="41">
        <v>43785</v>
      </c>
      <c r="B7672" s="37">
        <v>347.67</v>
      </c>
      <c r="C7672" s="37">
        <f t="shared" si="244"/>
        <v>57.945</v>
      </c>
      <c r="D7672" s="37">
        <v>8.3450000000000006</v>
      </c>
      <c r="E7672" s="33">
        <f t="shared" si="245"/>
        <v>-2.875463668515568E-4</v>
      </c>
    </row>
    <row r="7673" spans="1:5" x14ac:dyDescent="0.25">
      <c r="A7673" s="41">
        <v>43785</v>
      </c>
      <c r="B7673" s="37">
        <v>347.68</v>
      </c>
      <c r="C7673" s="37">
        <f t="shared" si="244"/>
        <v>57.946666666666665</v>
      </c>
      <c r="D7673" s="37">
        <v>8.3450000000000006</v>
      </c>
      <c r="E7673" s="33">
        <f t="shared" si="245"/>
        <v>2.876290735464925E-5</v>
      </c>
    </row>
    <row r="7674" spans="1:5" x14ac:dyDescent="0.25">
      <c r="A7674" s="41">
        <v>43785</v>
      </c>
      <c r="B7674" s="37">
        <v>347.97</v>
      </c>
      <c r="C7674" s="37">
        <f t="shared" si="244"/>
        <v>57.994999999999997</v>
      </c>
      <c r="D7674" s="37">
        <v>8.3450000000000006</v>
      </c>
      <c r="E7674" s="33">
        <f t="shared" si="245"/>
        <v>8.3410032213535566E-4</v>
      </c>
    </row>
    <row r="7675" spans="1:5" x14ac:dyDescent="0.25">
      <c r="A7675" s="41">
        <v>43785</v>
      </c>
      <c r="B7675" s="37">
        <v>349.13</v>
      </c>
      <c r="C7675" s="37">
        <f t="shared" si="244"/>
        <v>58.188333333333333</v>
      </c>
      <c r="D7675" s="37">
        <v>8.3450000000000006</v>
      </c>
      <c r="E7675" s="33">
        <f t="shared" si="245"/>
        <v>3.3336207144293133E-3</v>
      </c>
    </row>
    <row r="7676" spans="1:5" x14ac:dyDescent="0.25">
      <c r="A7676" s="41">
        <v>43785</v>
      </c>
      <c r="B7676" s="37">
        <v>355.59</v>
      </c>
      <c r="C7676" s="37">
        <f t="shared" si="244"/>
        <v>59.265000000000001</v>
      </c>
      <c r="D7676" s="37">
        <v>8.3450000000000006</v>
      </c>
      <c r="E7676" s="33">
        <f t="shared" si="245"/>
        <v>1.8503136367542118E-2</v>
      </c>
    </row>
    <row r="7677" spans="1:5" x14ac:dyDescent="0.25">
      <c r="A7677" s="41">
        <v>43785</v>
      </c>
      <c r="B7677" s="37">
        <v>358.75</v>
      </c>
      <c r="C7677" s="37">
        <f t="shared" si="244"/>
        <v>59.791666666666664</v>
      </c>
      <c r="D7677" s="37">
        <v>8.3450000000000006</v>
      </c>
      <c r="E7677" s="33">
        <f t="shared" si="245"/>
        <v>8.8866391068365969E-3</v>
      </c>
    </row>
    <row r="7678" spans="1:5" x14ac:dyDescent="0.25">
      <c r="A7678" s="41">
        <v>43785</v>
      </c>
      <c r="B7678" s="37">
        <v>355.13</v>
      </c>
      <c r="C7678" s="37">
        <f t="shared" si="244"/>
        <v>59.188333333333333</v>
      </c>
      <c r="D7678" s="37">
        <v>8.3450000000000006</v>
      </c>
      <c r="E7678" s="33">
        <f t="shared" si="245"/>
        <v>-1.0090592334494787E-2</v>
      </c>
    </row>
    <row r="7679" spans="1:5" x14ac:dyDescent="0.25">
      <c r="A7679" s="41">
        <v>43785</v>
      </c>
      <c r="B7679" s="37">
        <v>351.4</v>
      </c>
      <c r="C7679" s="37">
        <f t="shared" si="244"/>
        <v>58.56666666666667</v>
      </c>
      <c r="D7679" s="37">
        <v>8.3450000000000006</v>
      </c>
      <c r="E7679" s="33">
        <f t="shared" si="245"/>
        <v>-1.0503196012727785E-2</v>
      </c>
    </row>
    <row r="7680" spans="1:5" x14ac:dyDescent="0.25">
      <c r="A7680" s="41">
        <v>43785</v>
      </c>
      <c r="B7680" s="37">
        <v>349.93</v>
      </c>
      <c r="C7680" s="37">
        <f t="shared" si="244"/>
        <v>58.321666666666665</v>
      </c>
      <c r="D7680" s="37">
        <v>8.3450000000000006</v>
      </c>
      <c r="E7680" s="33">
        <f t="shared" si="245"/>
        <v>-4.1832669322708323E-3</v>
      </c>
    </row>
    <row r="7681" spans="1:5" x14ac:dyDescent="0.25">
      <c r="A7681" s="41">
        <v>43785</v>
      </c>
      <c r="B7681" s="37">
        <v>347.21</v>
      </c>
      <c r="C7681" s="37">
        <f t="shared" si="244"/>
        <v>57.868333333333332</v>
      </c>
      <c r="D7681" s="37">
        <v>8.3450000000000006</v>
      </c>
      <c r="E7681" s="33">
        <f t="shared" si="245"/>
        <v>-7.7729831680622618E-3</v>
      </c>
    </row>
    <row r="7682" spans="1:5" x14ac:dyDescent="0.25">
      <c r="A7682" s="41">
        <v>43786</v>
      </c>
      <c r="B7682" s="37">
        <v>341.75</v>
      </c>
      <c r="C7682" s="37">
        <f t="shared" si="244"/>
        <v>56.958333333333336</v>
      </c>
      <c r="D7682" s="37">
        <v>7.7539999999999996</v>
      </c>
      <c r="E7682" s="33">
        <f t="shared" si="245"/>
        <v>-1.5725353532444284E-2</v>
      </c>
    </row>
    <row r="7683" spans="1:5" x14ac:dyDescent="0.25">
      <c r="A7683" s="41">
        <v>43786</v>
      </c>
      <c r="B7683" s="37">
        <v>338.47</v>
      </c>
      <c r="C7683" s="37">
        <f t="shared" ref="C7683:C7746" si="246">(B7683*100/600)</f>
        <v>56.411666666666669</v>
      </c>
      <c r="D7683" s="37">
        <v>7.7539999999999996</v>
      </c>
      <c r="E7683" s="33">
        <f t="shared" si="245"/>
        <v>-9.5976591075346684E-3</v>
      </c>
    </row>
    <row r="7684" spans="1:5" x14ac:dyDescent="0.25">
      <c r="A7684" s="41">
        <v>43786</v>
      </c>
      <c r="B7684" s="37">
        <v>336.28</v>
      </c>
      <c r="C7684" s="37">
        <f t="shared" si="246"/>
        <v>56.046666666666667</v>
      </c>
      <c r="D7684" s="37">
        <v>7.7539999999999996</v>
      </c>
      <c r="E7684" s="33">
        <f t="shared" ref="E7684:E7747" si="247">(B7684-B7683)/B7683</f>
        <v>-6.4702927881350025E-3</v>
      </c>
    </row>
    <row r="7685" spans="1:5" x14ac:dyDescent="0.25">
      <c r="A7685" s="41">
        <v>43786</v>
      </c>
      <c r="B7685" s="37">
        <v>335.49</v>
      </c>
      <c r="C7685" s="37">
        <f t="shared" si="246"/>
        <v>55.914999999999999</v>
      </c>
      <c r="D7685" s="37">
        <v>7.7539999999999996</v>
      </c>
      <c r="E7685" s="33">
        <f t="shared" si="247"/>
        <v>-2.349232782205197E-3</v>
      </c>
    </row>
    <row r="7686" spans="1:5" x14ac:dyDescent="0.25">
      <c r="A7686" s="41">
        <v>43786</v>
      </c>
      <c r="B7686" s="37">
        <v>331.74</v>
      </c>
      <c r="C7686" s="37">
        <f t="shared" si="246"/>
        <v>55.29</v>
      </c>
      <c r="D7686" s="37">
        <v>7.7539999999999996</v>
      </c>
      <c r="E7686" s="33">
        <f t="shared" si="247"/>
        <v>-1.1177680407761782E-2</v>
      </c>
    </row>
    <row r="7687" spans="1:5" x14ac:dyDescent="0.25">
      <c r="A7687" s="41">
        <v>43786</v>
      </c>
      <c r="B7687" s="37">
        <v>302.14999999999998</v>
      </c>
      <c r="C7687" s="37">
        <f t="shared" si="246"/>
        <v>50.358333333333327</v>
      </c>
      <c r="D7687" s="37">
        <v>7.7539999999999996</v>
      </c>
      <c r="E7687" s="33">
        <f t="shared" si="247"/>
        <v>-8.9196358594079789E-2</v>
      </c>
    </row>
    <row r="7688" spans="1:5" x14ac:dyDescent="0.25">
      <c r="A7688" s="41">
        <v>43786</v>
      </c>
      <c r="B7688" s="37">
        <v>291.07</v>
      </c>
      <c r="C7688" s="37">
        <f t="shared" si="246"/>
        <v>48.511666666666663</v>
      </c>
      <c r="D7688" s="37">
        <v>7.7539999999999996</v>
      </c>
      <c r="E7688" s="33">
        <f t="shared" si="247"/>
        <v>-3.6670527883501523E-2</v>
      </c>
    </row>
    <row r="7689" spans="1:5" x14ac:dyDescent="0.25">
      <c r="A7689" s="41">
        <v>43786</v>
      </c>
      <c r="B7689" s="37">
        <v>291.39999999999998</v>
      </c>
      <c r="C7689" s="37">
        <f t="shared" si="246"/>
        <v>48.566666666666663</v>
      </c>
      <c r="D7689" s="37">
        <v>7.7539999999999996</v>
      </c>
      <c r="E7689" s="33">
        <f t="shared" si="247"/>
        <v>1.133747895695139E-3</v>
      </c>
    </row>
    <row r="7690" spans="1:5" x14ac:dyDescent="0.25">
      <c r="A7690" s="41">
        <v>43786</v>
      </c>
      <c r="B7690" s="37">
        <v>315.92</v>
      </c>
      <c r="C7690" s="37">
        <f t="shared" si="246"/>
        <v>52.653333333333336</v>
      </c>
      <c r="D7690" s="37">
        <v>7.7539999999999996</v>
      </c>
      <c r="E7690" s="33">
        <f t="shared" si="247"/>
        <v>8.4145504461221834E-2</v>
      </c>
    </row>
    <row r="7691" spans="1:5" x14ac:dyDescent="0.25">
      <c r="A7691" s="41">
        <v>43786</v>
      </c>
      <c r="B7691" s="37">
        <v>334.42</v>
      </c>
      <c r="C7691" s="37">
        <f t="shared" si="246"/>
        <v>55.736666666666665</v>
      </c>
      <c r="D7691" s="37">
        <v>7.7539999999999996</v>
      </c>
      <c r="E7691" s="33">
        <f t="shared" si="247"/>
        <v>5.8559128893390731E-2</v>
      </c>
    </row>
    <row r="7692" spans="1:5" x14ac:dyDescent="0.25">
      <c r="A7692" s="41">
        <v>43786</v>
      </c>
      <c r="B7692" s="37">
        <v>337.99</v>
      </c>
      <c r="C7692" s="37">
        <f t="shared" si="246"/>
        <v>56.331666666666663</v>
      </c>
      <c r="D7692" s="37">
        <v>7.7539999999999996</v>
      </c>
      <c r="E7692" s="33">
        <f t="shared" si="247"/>
        <v>1.0675198851743296E-2</v>
      </c>
    </row>
    <row r="7693" spans="1:5" x14ac:dyDescent="0.25">
      <c r="A7693" s="41">
        <v>43786</v>
      </c>
      <c r="B7693" s="37">
        <v>338.48</v>
      </c>
      <c r="C7693" s="37">
        <f t="shared" si="246"/>
        <v>56.413333333333334</v>
      </c>
      <c r="D7693" s="37">
        <v>7.7539999999999996</v>
      </c>
      <c r="E7693" s="33">
        <f t="shared" si="247"/>
        <v>1.4497470339359421E-3</v>
      </c>
    </row>
    <row r="7694" spans="1:5" x14ac:dyDescent="0.25">
      <c r="A7694" s="41">
        <v>43786</v>
      </c>
      <c r="B7694" s="37">
        <v>338.48</v>
      </c>
      <c r="C7694" s="37">
        <f t="shared" si="246"/>
        <v>56.413333333333334</v>
      </c>
      <c r="D7694" s="37">
        <v>7.7539999999999996</v>
      </c>
      <c r="E7694" s="33">
        <f t="shared" si="247"/>
        <v>0</v>
      </c>
    </row>
    <row r="7695" spans="1:5" x14ac:dyDescent="0.25">
      <c r="A7695" s="41">
        <v>43786</v>
      </c>
      <c r="B7695" s="37">
        <v>338.47</v>
      </c>
      <c r="C7695" s="37">
        <f t="shared" si="246"/>
        <v>56.411666666666669</v>
      </c>
      <c r="D7695" s="37">
        <v>7.7539999999999996</v>
      </c>
      <c r="E7695" s="33">
        <f t="shared" si="247"/>
        <v>-2.9543843063078778E-5</v>
      </c>
    </row>
    <row r="7696" spans="1:5" x14ac:dyDescent="0.25">
      <c r="A7696" s="41">
        <v>43786</v>
      </c>
      <c r="B7696" s="37">
        <v>338.47</v>
      </c>
      <c r="C7696" s="37">
        <f t="shared" si="246"/>
        <v>56.411666666666669</v>
      </c>
      <c r="D7696" s="37">
        <v>7.7539999999999996</v>
      </c>
      <c r="E7696" s="33">
        <f t="shared" si="247"/>
        <v>0</v>
      </c>
    </row>
    <row r="7697" spans="1:5" x14ac:dyDescent="0.25">
      <c r="A7697" s="41">
        <v>43786</v>
      </c>
      <c r="B7697" s="37">
        <v>338.71</v>
      </c>
      <c r="C7697" s="37">
        <f t="shared" si="246"/>
        <v>56.451666666666668</v>
      </c>
      <c r="D7697" s="37">
        <v>7.7539999999999996</v>
      </c>
      <c r="E7697" s="33">
        <f t="shared" si="247"/>
        <v>7.0907318226121139E-4</v>
      </c>
    </row>
    <row r="7698" spans="1:5" x14ac:dyDescent="0.25">
      <c r="A7698" s="41">
        <v>43786</v>
      </c>
      <c r="B7698" s="37">
        <v>340.3</v>
      </c>
      <c r="C7698" s="37">
        <f t="shared" si="246"/>
        <v>56.716666666666669</v>
      </c>
      <c r="D7698" s="37">
        <v>7.7539999999999996</v>
      </c>
      <c r="E7698" s="33">
        <f t="shared" si="247"/>
        <v>4.6942812435417673E-3</v>
      </c>
    </row>
    <row r="7699" spans="1:5" x14ac:dyDescent="0.25">
      <c r="A7699" s="41">
        <v>43786</v>
      </c>
      <c r="B7699" s="37">
        <v>345.01</v>
      </c>
      <c r="C7699" s="37">
        <f t="shared" si="246"/>
        <v>57.501666666666665</v>
      </c>
      <c r="D7699" s="37">
        <v>7.7539999999999996</v>
      </c>
      <c r="E7699" s="33">
        <f t="shared" si="247"/>
        <v>1.384072876873341E-2</v>
      </c>
    </row>
    <row r="7700" spans="1:5" x14ac:dyDescent="0.25">
      <c r="A7700" s="41">
        <v>43786</v>
      </c>
      <c r="B7700" s="37">
        <v>352.23</v>
      </c>
      <c r="C7700" s="37">
        <f t="shared" si="246"/>
        <v>58.704999999999998</v>
      </c>
      <c r="D7700" s="37">
        <v>7.7539999999999996</v>
      </c>
      <c r="E7700" s="33">
        <f t="shared" si="247"/>
        <v>2.0926929654213E-2</v>
      </c>
    </row>
    <row r="7701" spans="1:5" x14ac:dyDescent="0.25">
      <c r="A7701" s="41">
        <v>43786</v>
      </c>
      <c r="B7701" s="37">
        <v>355.37</v>
      </c>
      <c r="C7701" s="37">
        <f t="shared" si="246"/>
        <v>59.228333333333332</v>
      </c>
      <c r="D7701" s="37">
        <v>7.7539999999999996</v>
      </c>
      <c r="E7701" s="33">
        <f t="shared" si="247"/>
        <v>8.9146296454021123E-3</v>
      </c>
    </row>
    <row r="7702" spans="1:5" x14ac:dyDescent="0.25">
      <c r="A7702" s="41">
        <v>43786</v>
      </c>
      <c r="B7702" s="37">
        <v>353.9</v>
      </c>
      <c r="C7702" s="37">
        <f t="shared" si="246"/>
        <v>58.983333333333334</v>
      </c>
      <c r="D7702" s="37">
        <v>7.7539999999999996</v>
      </c>
      <c r="E7702" s="33">
        <f t="shared" si="247"/>
        <v>-4.1365337535527119E-3</v>
      </c>
    </row>
    <row r="7703" spans="1:5" x14ac:dyDescent="0.25">
      <c r="A7703" s="41">
        <v>43786</v>
      </c>
      <c r="B7703" s="37">
        <v>352.46</v>
      </c>
      <c r="C7703" s="37">
        <f t="shared" si="246"/>
        <v>58.743333333333332</v>
      </c>
      <c r="D7703" s="37">
        <v>7.7539999999999996</v>
      </c>
      <c r="E7703" s="33">
        <f t="shared" si="247"/>
        <v>-4.0689460299519579E-3</v>
      </c>
    </row>
    <row r="7704" spans="1:5" x14ac:dyDescent="0.25">
      <c r="A7704" s="41">
        <v>43786</v>
      </c>
      <c r="B7704" s="37">
        <v>350.14</v>
      </c>
      <c r="C7704" s="37">
        <f t="shared" si="246"/>
        <v>58.356666666666669</v>
      </c>
      <c r="D7704" s="37">
        <v>7.7539999999999996</v>
      </c>
      <c r="E7704" s="33">
        <f t="shared" si="247"/>
        <v>-6.5823072121659002E-3</v>
      </c>
    </row>
    <row r="7705" spans="1:5" x14ac:dyDescent="0.25">
      <c r="A7705" s="41">
        <v>43786</v>
      </c>
      <c r="B7705" s="37">
        <v>346.82</v>
      </c>
      <c r="C7705" s="37">
        <f t="shared" si="246"/>
        <v>57.803333333333335</v>
      </c>
      <c r="D7705" s="37">
        <v>7.7539999999999996</v>
      </c>
      <c r="E7705" s="33">
        <f t="shared" si="247"/>
        <v>-9.4819215171074236E-3</v>
      </c>
    </row>
    <row r="7706" spans="1:5" x14ac:dyDescent="0.25">
      <c r="A7706" s="41">
        <v>43787</v>
      </c>
      <c r="B7706" s="37">
        <v>335.46</v>
      </c>
      <c r="C7706" s="37">
        <f t="shared" si="246"/>
        <v>55.91</v>
      </c>
      <c r="D7706" s="37">
        <v>6.9420000000000002</v>
      </c>
      <c r="E7706" s="33">
        <f t="shared" si="247"/>
        <v>-3.2754743094400594E-2</v>
      </c>
    </row>
    <row r="7707" spans="1:5" x14ac:dyDescent="0.25">
      <c r="A7707" s="41">
        <v>43787</v>
      </c>
      <c r="B7707" s="37">
        <v>332.71</v>
      </c>
      <c r="C7707" s="37">
        <f t="shared" si="246"/>
        <v>55.451666666666668</v>
      </c>
      <c r="D7707" s="37">
        <v>6.9420000000000002</v>
      </c>
      <c r="E7707" s="33">
        <f t="shared" si="247"/>
        <v>-8.1976986824062494E-3</v>
      </c>
    </row>
    <row r="7708" spans="1:5" x14ac:dyDescent="0.25">
      <c r="A7708" s="41">
        <v>43787</v>
      </c>
      <c r="B7708" s="37">
        <v>331.28</v>
      </c>
      <c r="C7708" s="37">
        <f t="shared" si="246"/>
        <v>55.213333333333331</v>
      </c>
      <c r="D7708" s="37">
        <v>6.9420000000000002</v>
      </c>
      <c r="E7708" s="33">
        <f t="shared" si="247"/>
        <v>-4.2980373298067594E-3</v>
      </c>
    </row>
    <row r="7709" spans="1:5" x14ac:dyDescent="0.25">
      <c r="A7709" s="41">
        <v>43787</v>
      </c>
      <c r="B7709" s="37">
        <v>331.21</v>
      </c>
      <c r="C7709" s="37">
        <f t="shared" si="246"/>
        <v>55.201666666666668</v>
      </c>
      <c r="D7709" s="37">
        <v>6.9420000000000002</v>
      </c>
      <c r="E7709" s="33">
        <f t="shared" si="247"/>
        <v>-2.1130161796665414E-4</v>
      </c>
    </row>
    <row r="7710" spans="1:5" x14ac:dyDescent="0.25">
      <c r="A7710" s="41">
        <v>43787</v>
      </c>
      <c r="B7710" s="37">
        <v>331.23</v>
      </c>
      <c r="C7710" s="37">
        <f t="shared" si="246"/>
        <v>55.204999999999998</v>
      </c>
      <c r="D7710" s="37">
        <v>6.9420000000000002</v>
      </c>
      <c r="E7710" s="33">
        <f t="shared" si="247"/>
        <v>6.0384650222030295E-5</v>
      </c>
    </row>
    <row r="7711" spans="1:5" x14ac:dyDescent="0.25">
      <c r="A7711" s="41">
        <v>43787</v>
      </c>
      <c r="B7711" s="37">
        <v>331.3</v>
      </c>
      <c r="C7711" s="37">
        <f t="shared" si="246"/>
        <v>55.216666666666669</v>
      </c>
      <c r="D7711" s="37">
        <v>6.9420000000000002</v>
      </c>
      <c r="E7711" s="33">
        <f t="shared" si="247"/>
        <v>2.1133351447632514E-4</v>
      </c>
    </row>
    <row r="7712" spans="1:5" x14ac:dyDescent="0.25">
      <c r="A7712" s="41">
        <v>43787</v>
      </c>
      <c r="B7712" s="37">
        <v>333.94</v>
      </c>
      <c r="C7712" s="37">
        <f t="shared" si="246"/>
        <v>55.656666666666666</v>
      </c>
      <c r="D7712" s="37">
        <v>6.9420000000000002</v>
      </c>
      <c r="E7712" s="33">
        <f t="shared" si="247"/>
        <v>7.9686085119226868E-3</v>
      </c>
    </row>
    <row r="7713" spans="1:5" x14ac:dyDescent="0.25">
      <c r="A7713" s="41">
        <v>43787</v>
      </c>
      <c r="B7713" s="37">
        <v>343.7</v>
      </c>
      <c r="C7713" s="37">
        <f t="shared" si="246"/>
        <v>57.283333333333331</v>
      </c>
      <c r="D7713" s="37">
        <v>6.9420000000000002</v>
      </c>
      <c r="E7713" s="33">
        <f t="shared" si="247"/>
        <v>2.9226807210876178E-2</v>
      </c>
    </row>
    <row r="7714" spans="1:5" x14ac:dyDescent="0.25">
      <c r="A7714" s="41">
        <v>43787</v>
      </c>
      <c r="B7714" s="37">
        <v>357.32</v>
      </c>
      <c r="C7714" s="37">
        <f t="shared" si="246"/>
        <v>59.553333333333335</v>
      </c>
      <c r="D7714" s="37">
        <v>6.9420000000000002</v>
      </c>
      <c r="E7714" s="33">
        <f t="shared" si="247"/>
        <v>3.9627582193773651E-2</v>
      </c>
    </row>
    <row r="7715" spans="1:5" x14ac:dyDescent="0.25">
      <c r="A7715" s="41">
        <v>43787</v>
      </c>
      <c r="B7715" s="37">
        <v>364.45</v>
      </c>
      <c r="C7715" s="37">
        <f t="shared" si="246"/>
        <v>60.741666666666667</v>
      </c>
      <c r="D7715" s="37">
        <v>6.9420000000000002</v>
      </c>
      <c r="E7715" s="33">
        <f t="shared" si="247"/>
        <v>1.9954102765028535E-2</v>
      </c>
    </row>
    <row r="7716" spans="1:5" x14ac:dyDescent="0.25">
      <c r="A7716" s="41">
        <v>43787</v>
      </c>
      <c r="B7716" s="37">
        <v>370.44</v>
      </c>
      <c r="C7716" s="37">
        <f t="shared" si="246"/>
        <v>61.74</v>
      </c>
      <c r="D7716" s="37">
        <v>6.9420000000000002</v>
      </c>
      <c r="E7716" s="33">
        <f t="shared" si="247"/>
        <v>1.6435725065166714E-2</v>
      </c>
    </row>
    <row r="7717" spans="1:5" x14ac:dyDescent="0.25">
      <c r="A7717" s="41">
        <v>43787</v>
      </c>
      <c r="B7717" s="37">
        <v>372.27</v>
      </c>
      <c r="C7717" s="37">
        <f t="shared" si="246"/>
        <v>62.045000000000002</v>
      </c>
      <c r="D7717" s="37">
        <v>6.9420000000000002</v>
      </c>
      <c r="E7717" s="33">
        <f t="shared" si="247"/>
        <v>4.940071266601836E-3</v>
      </c>
    </row>
    <row r="7718" spans="1:5" x14ac:dyDescent="0.25">
      <c r="A7718" s="41">
        <v>43787</v>
      </c>
      <c r="B7718" s="37">
        <v>366.3</v>
      </c>
      <c r="C7718" s="37">
        <f t="shared" si="246"/>
        <v>61.05</v>
      </c>
      <c r="D7718" s="37">
        <v>6.9420000000000002</v>
      </c>
      <c r="E7718" s="33">
        <f t="shared" si="247"/>
        <v>-1.6036747521959788E-2</v>
      </c>
    </row>
    <row r="7719" spans="1:5" x14ac:dyDescent="0.25">
      <c r="A7719" s="41">
        <v>43787</v>
      </c>
      <c r="B7719" s="37">
        <v>372.88</v>
      </c>
      <c r="C7719" s="37">
        <f t="shared" si="246"/>
        <v>62.146666666666668</v>
      </c>
      <c r="D7719" s="37">
        <v>6.9420000000000002</v>
      </c>
      <c r="E7719" s="33">
        <f t="shared" si="247"/>
        <v>1.7963417963417921E-2</v>
      </c>
    </row>
    <row r="7720" spans="1:5" x14ac:dyDescent="0.25">
      <c r="A7720" s="41">
        <v>43787</v>
      </c>
      <c r="B7720" s="37">
        <v>376</v>
      </c>
      <c r="C7720" s="37">
        <f t="shared" si="246"/>
        <v>62.666666666666664</v>
      </c>
      <c r="D7720" s="37">
        <v>6.9420000000000002</v>
      </c>
      <c r="E7720" s="33">
        <f t="shared" si="247"/>
        <v>8.3673031538296621E-3</v>
      </c>
    </row>
    <row r="7721" spans="1:5" x14ac:dyDescent="0.25">
      <c r="A7721" s="41">
        <v>43787</v>
      </c>
      <c r="B7721" s="37">
        <v>374.75</v>
      </c>
      <c r="C7721" s="37">
        <f t="shared" si="246"/>
        <v>62.458333333333336</v>
      </c>
      <c r="D7721" s="37">
        <v>6.9420000000000002</v>
      </c>
      <c r="E7721" s="33">
        <f t="shared" si="247"/>
        <v>-3.324468085106383E-3</v>
      </c>
    </row>
    <row r="7722" spans="1:5" x14ac:dyDescent="0.25">
      <c r="A7722" s="41">
        <v>43787</v>
      </c>
      <c r="B7722" s="37">
        <v>371.97</v>
      </c>
      <c r="C7722" s="37">
        <f t="shared" si="246"/>
        <v>61.994999999999997</v>
      </c>
      <c r="D7722" s="37">
        <v>6.9420000000000002</v>
      </c>
      <c r="E7722" s="33">
        <f t="shared" si="247"/>
        <v>-7.4182788525683063E-3</v>
      </c>
    </row>
    <row r="7723" spans="1:5" x14ac:dyDescent="0.25">
      <c r="A7723" s="41">
        <v>43787</v>
      </c>
      <c r="B7723" s="37">
        <v>364.45</v>
      </c>
      <c r="C7723" s="37">
        <f t="shared" si="246"/>
        <v>60.741666666666667</v>
      </c>
      <c r="D7723" s="37">
        <v>6.9420000000000002</v>
      </c>
      <c r="E7723" s="33">
        <f t="shared" si="247"/>
        <v>-2.0216684141194284E-2</v>
      </c>
    </row>
    <row r="7724" spans="1:5" x14ac:dyDescent="0.25">
      <c r="A7724" s="41">
        <v>43787</v>
      </c>
      <c r="B7724" s="37">
        <v>364.2</v>
      </c>
      <c r="C7724" s="37">
        <f t="shared" si="246"/>
        <v>60.7</v>
      </c>
      <c r="D7724" s="37">
        <v>6.9420000000000002</v>
      </c>
      <c r="E7724" s="33">
        <f t="shared" si="247"/>
        <v>-6.8596515297022912E-4</v>
      </c>
    </row>
    <row r="7725" spans="1:5" x14ac:dyDescent="0.25">
      <c r="A7725" s="41">
        <v>43787</v>
      </c>
      <c r="B7725" s="37">
        <v>364.84</v>
      </c>
      <c r="C7725" s="37">
        <f t="shared" si="246"/>
        <v>60.806666666666665</v>
      </c>
      <c r="D7725" s="37">
        <v>6.9420000000000002</v>
      </c>
      <c r="E7725" s="33">
        <f t="shared" si="247"/>
        <v>1.7572762218560857E-3</v>
      </c>
    </row>
    <row r="7726" spans="1:5" x14ac:dyDescent="0.25">
      <c r="A7726" s="41">
        <v>43787</v>
      </c>
      <c r="B7726" s="37">
        <v>364.48</v>
      </c>
      <c r="C7726" s="37">
        <f t="shared" si="246"/>
        <v>60.74666666666667</v>
      </c>
      <c r="D7726" s="37">
        <v>6.9420000000000002</v>
      </c>
      <c r="E7726" s="33">
        <f t="shared" si="247"/>
        <v>-9.8673391075528136E-4</v>
      </c>
    </row>
    <row r="7727" spans="1:5" x14ac:dyDescent="0.25">
      <c r="A7727" s="41">
        <v>43787</v>
      </c>
      <c r="B7727" s="37">
        <v>364.41</v>
      </c>
      <c r="C7727" s="37">
        <f t="shared" si="246"/>
        <v>60.734999999999999</v>
      </c>
      <c r="D7727" s="37">
        <v>6.9420000000000002</v>
      </c>
      <c r="E7727" s="33">
        <f t="shared" si="247"/>
        <v>-1.920544337137653E-4</v>
      </c>
    </row>
    <row r="7728" spans="1:5" x14ac:dyDescent="0.25">
      <c r="A7728" s="41">
        <v>43787</v>
      </c>
      <c r="B7728" s="37">
        <v>362.54</v>
      </c>
      <c r="C7728" s="37">
        <f t="shared" si="246"/>
        <v>60.423333333333332</v>
      </c>
      <c r="D7728" s="37">
        <v>6.9420000000000002</v>
      </c>
      <c r="E7728" s="33">
        <f t="shared" si="247"/>
        <v>-5.1315825581076382E-3</v>
      </c>
    </row>
    <row r="7729" spans="1:5" x14ac:dyDescent="0.25">
      <c r="A7729" s="41">
        <v>43787</v>
      </c>
      <c r="B7729" s="37">
        <v>351.39</v>
      </c>
      <c r="C7729" s="37">
        <f t="shared" si="246"/>
        <v>58.564999999999998</v>
      </c>
      <c r="D7729" s="37">
        <v>6.9420000000000002</v>
      </c>
      <c r="E7729" s="33">
        <f t="shared" si="247"/>
        <v>-3.0755227009433533E-2</v>
      </c>
    </row>
    <row r="7730" spans="1:5" x14ac:dyDescent="0.25">
      <c r="A7730" s="41">
        <v>43788</v>
      </c>
      <c r="B7730" s="37">
        <v>343.39</v>
      </c>
      <c r="C7730" s="37">
        <f t="shared" si="246"/>
        <v>57.231666666666669</v>
      </c>
      <c r="D7730" s="37">
        <v>6.2709999999999999</v>
      </c>
      <c r="E7730" s="33">
        <f t="shared" si="247"/>
        <v>-2.2766726429323543E-2</v>
      </c>
    </row>
    <row r="7731" spans="1:5" x14ac:dyDescent="0.25">
      <c r="A7731" s="41">
        <v>43788</v>
      </c>
      <c r="B7731" s="37">
        <v>335.35</v>
      </c>
      <c r="C7731" s="37">
        <f t="shared" si="246"/>
        <v>55.891666666666666</v>
      </c>
      <c r="D7731" s="37">
        <v>6.2709999999999999</v>
      </c>
      <c r="E7731" s="33">
        <f t="shared" si="247"/>
        <v>-2.3413611345700119E-2</v>
      </c>
    </row>
    <row r="7732" spans="1:5" x14ac:dyDescent="0.25">
      <c r="A7732" s="41">
        <v>43788</v>
      </c>
      <c r="B7732" s="37">
        <v>334.72</v>
      </c>
      <c r="C7732" s="37">
        <f t="shared" si="246"/>
        <v>55.786666666666669</v>
      </c>
      <c r="D7732" s="37">
        <v>6.2709999999999999</v>
      </c>
      <c r="E7732" s="33">
        <f t="shared" si="247"/>
        <v>-1.8786342627105871E-3</v>
      </c>
    </row>
    <row r="7733" spans="1:5" x14ac:dyDescent="0.25">
      <c r="A7733" s="41">
        <v>43788</v>
      </c>
      <c r="B7733" s="37">
        <v>334.33</v>
      </c>
      <c r="C7733" s="37">
        <f t="shared" si="246"/>
        <v>55.721666666666664</v>
      </c>
      <c r="D7733" s="37">
        <v>6.2709999999999999</v>
      </c>
      <c r="E7733" s="33">
        <f t="shared" si="247"/>
        <v>-1.165152963671257E-3</v>
      </c>
    </row>
    <row r="7734" spans="1:5" x14ac:dyDescent="0.25">
      <c r="A7734" s="41">
        <v>43788</v>
      </c>
      <c r="B7734" s="37">
        <v>334.21</v>
      </c>
      <c r="C7734" s="37">
        <f t="shared" si="246"/>
        <v>55.701666666666668</v>
      </c>
      <c r="D7734" s="37">
        <v>6.2709999999999999</v>
      </c>
      <c r="E7734" s="33">
        <f t="shared" si="247"/>
        <v>-3.5892680884157735E-4</v>
      </c>
    </row>
    <row r="7735" spans="1:5" x14ac:dyDescent="0.25">
      <c r="A7735" s="41">
        <v>43788</v>
      </c>
      <c r="B7735" s="37">
        <v>335.02</v>
      </c>
      <c r="C7735" s="37">
        <f t="shared" si="246"/>
        <v>55.836666666666666</v>
      </c>
      <c r="D7735" s="37">
        <v>6.2709999999999999</v>
      </c>
      <c r="E7735" s="33">
        <f t="shared" si="247"/>
        <v>2.4236258639777457E-3</v>
      </c>
    </row>
    <row r="7736" spans="1:5" x14ac:dyDescent="0.25">
      <c r="A7736" s="41">
        <v>43788</v>
      </c>
      <c r="B7736" s="37">
        <v>342.16</v>
      </c>
      <c r="C7736" s="37">
        <f t="shared" si="246"/>
        <v>57.026666666666664</v>
      </c>
      <c r="D7736" s="37">
        <v>6.2709999999999999</v>
      </c>
      <c r="E7736" s="33">
        <f t="shared" si="247"/>
        <v>2.1312160468031888E-2</v>
      </c>
    </row>
    <row r="7737" spans="1:5" x14ac:dyDescent="0.25">
      <c r="A7737" s="41">
        <v>43788</v>
      </c>
      <c r="B7737" s="37">
        <v>350.6</v>
      </c>
      <c r="C7737" s="37">
        <f t="shared" si="246"/>
        <v>58.43333333333333</v>
      </c>
      <c r="D7737" s="37">
        <v>6.2709999999999999</v>
      </c>
      <c r="E7737" s="33">
        <f t="shared" si="247"/>
        <v>2.4666822539162955E-2</v>
      </c>
    </row>
    <row r="7738" spans="1:5" x14ac:dyDescent="0.25">
      <c r="A7738" s="41">
        <v>43788</v>
      </c>
      <c r="B7738" s="37">
        <v>357.77</v>
      </c>
      <c r="C7738" s="37">
        <f t="shared" si="246"/>
        <v>59.62833333333333</v>
      </c>
      <c r="D7738" s="37">
        <v>6.2709999999999999</v>
      </c>
      <c r="E7738" s="33">
        <f t="shared" si="247"/>
        <v>2.0450656018254302E-2</v>
      </c>
    </row>
    <row r="7739" spans="1:5" x14ac:dyDescent="0.25">
      <c r="A7739" s="41">
        <v>43788</v>
      </c>
      <c r="B7739" s="37">
        <v>359.97</v>
      </c>
      <c r="C7739" s="37">
        <f t="shared" si="246"/>
        <v>59.994999999999997</v>
      </c>
      <c r="D7739" s="37">
        <v>6.2709999999999999</v>
      </c>
      <c r="E7739" s="33">
        <f t="shared" si="247"/>
        <v>6.1492020012858693E-3</v>
      </c>
    </row>
    <row r="7740" spans="1:5" x14ac:dyDescent="0.25">
      <c r="A7740" s="41">
        <v>43788</v>
      </c>
      <c r="B7740" s="37">
        <v>364.42</v>
      </c>
      <c r="C7740" s="37">
        <f t="shared" si="246"/>
        <v>60.736666666666665</v>
      </c>
      <c r="D7740" s="37">
        <v>6.2709999999999999</v>
      </c>
      <c r="E7740" s="33">
        <f t="shared" si="247"/>
        <v>1.2362141289551874E-2</v>
      </c>
    </row>
    <row r="7741" spans="1:5" x14ac:dyDescent="0.25">
      <c r="A7741" s="41">
        <v>43788</v>
      </c>
      <c r="B7741" s="37">
        <v>364.84</v>
      </c>
      <c r="C7741" s="37">
        <f t="shared" si="246"/>
        <v>60.806666666666665</v>
      </c>
      <c r="D7741" s="37">
        <v>6.2709999999999999</v>
      </c>
      <c r="E7741" s="33">
        <f t="shared" si="247"/>
        <v>1.1525163273145246E-3</v>
      </c>
    </row>
    <row r="7742" spans="1:5" x14ac:dyDescent="0.25">
      <c r="A7742" s="41">
        <v>43788</v>
      </c>
      <c r="B7742" s="37">
        <v>361.77</v>
      </c>
      <c r="C7742" s="37">
        <f t="shared" si="246"/>
        <v>60.295000000000002</v>
      </c>
      <c r="D7742" s="37">
        <v>6.2709999999999999</v>
      </c>
      <c r="E7742" s="33">
        <f t="shared" si="247"/>
        <v>-8.4146475167196401E-3</v>
      </c>
    </row>
    <row r="7743" spans="1:5" x14ac:dyDescent="0.25">
      <c r="A7743" s="41">
        <v>43788</v>
      </c>
      <c r="B7743" s="37">
        <v>366.14</v>
      </c>
      <c r="C7743" s="37">
        <f t="shared" si="246"/>
        <v>61.023333333333333</v>
      </c>
      <c r="D7743" s="37">
        <v>6.2709999999999999</v>
      </c>
      <c r="E7743" s="33">
        <f t="shared" si="247"/>
        <v>1.2079498023606172E-2</v>
      </c>
    </row>
    <row r="7744" spans="1:5" x14ac:dyDescent="0.25">
      <c r="A7744" s="41">
        <v>43788</v>
      </c>
      <c r="B7744" s="37">
        <v>370.42</v>
      </c>
      <c r="C7744" s="37">
        <f t="shared" si="246"/>
        <v>61.736666666666665</v>
      </c>
      <c r="D7744" s="37">
        <v>6.2709999999999999</v>
      </c>
      <c r="E7744" s="33">
        <f t="shared" si="247"/>
        <v>1.1689517670836373E-2</v>
      </c>
    </row>
    <row r="7745" spans="1:5" x14ac:dyDescent="0.25">
      <c r="A7745" s="41">
        <v>43788</v>
      </c>
      <c r="B7745" s="37">
        <v>370.02</v>
      </c>
      <c r="C7745" s="37">
        <f t="shared" si="246"/>
        <v>61.67</v>
      </c>
      <c r="D7745" s="37">
        <v>6.2709999999999999</v>
      </c>
      <c r="E7745" s="33">
        <f t="shared" si="247"/>
        <v>-1.0798552993899738E-3</v>
      </c>
    </row>
    <row r="7746" spans="1:5" x14ac:dyDescent="0.25">
      <c r="A7746" s="41">
        <v>43788</v>
      </c>
      <c r="B7746" s="37">
        <v>365.87</v>
      </c>
      <c r="C7746" s="37">
        <f t="shared" si="246"/>
        <v>60.978333333333332</v>
      </c>
      <c r="D7746" s="37">
        <v>6.2709999999999999</v>
      </c>
      <c r="E7746" s="33">
        <f t="shared" si="247"/>
        <v>-1.1215609967028748E-2</v>
      </c>
    </row>
    <row r="7747" spans="1:5" x14ac:dyDescent="0.25">
      <c r="A7747" s="41">
        <v>43788</v>
      </c>
      <c r="B7747" s="37">
        <v>360.61</v>
      </c>
      <c r="C7747" s="37">
        <f t="shared" ref="C7747:C7810" si="248">(B7747*100/600)</f>
        <v>60.101666666666667</v>
      </c>
      <c r="D7747" s="37">
        <v>6.2709999999999999</v>
      </c>
      <c r="E7747" s="33">
        <f t="shared" si="247"/>
        <v>-1.4376691174460849E-2</v>
      </c>
    </row>
    <row r="7748" spans="1:5" x14ac:dyDescent="0.25">
      <c r="A7748" s="41">
        <v>43788</v>
      </c>
      <c r="B7748" s="37">
        <v>360.34</v>
      </c>
      <c r="C7748" s="37">
        <f t="shared" si="248"/>
        <v>60.056666666666665</v>
      </c>
      <c r="D7748" s="37">
        <v>6.2709999999999999</v>
      </c>
      <c r="E7748" s="33">
        <f t="shared" ref="E7748:E7811" si="249">(B7748-B7747)/B7747</f>
        <v>-7.4873131638068455E-4</v>
      </c>
    </row>
    <row r="7749" spans="1:5" x14ac:dyDescent="0.25">
      <c r="A7749" s="41">
        <v>43788</v>
      </c>
      <c r="B7749" s="37">
        <v>360.88</v>
      </c>
      <c r="C7749" s="37">
        <f t="shared" si="248"/>
        <v>60.146666666666668</v>
      </c>
      <c r="D7749" s="37">
        <v>6.2709999999999999</v>
      </c>
      <c r="E7749" s="33">
        <f t="shared" si="249"/>
        <v>1.4985846700339138E-3</v>
      </c>
    </row>
    <row r="7750" spans="1:5" x14ac:dyDescent="0.25">
      <c r="A7750" s="41">
        <v>43788</v>
      </c>
      <c r="B7750" s="37">
        <v>360.79</v>
      </c>
      <c r="C7750" s="37">
        <f t="shared" si="248"/>
        <v>60.131666666666668</v>
      </c>
      <c r="D7750" s="37">
        <v>6.2709999999999999</v>
      </c>
      <c r="E7750" s="33">
        <f t="shared" si="249"/>
        <v>-2.4939037907330687E-4</v>
      </c>
    </row>
    <row r="7751" spans="1:5" x14ac:dyDescent="0.25">
      <c r="A7751" s="41">
        <v>43788</v>
      </c>
      <c r="B7751" s="37">
        <v>360.13</v>
      </c>
      <c r="C7751" s="37">
        <f t="shared" si="248"/>
        <v>60.021666666666668</v>
      </c>
      <c r="D7751" s="37">
        <v>6.2709999999999999</v>
      </c>
      <c r="E7751" s="33">
        <f t="shared" si="249"/>
        <v>-1.8293189944289614E-3</v>
      </c>
    </row>
    <row r="7752" spans="1:5" x14ac:dyDescent="0.25">
      <c r="A7752" s="41">
        <v>43788</v>
      </c>
      <c r="B7752" s="37">
        <v>358.39</v>
      </c>
      <c r="C7752" s="37">
        <f t="shared" si="248"/>
        <v>59.731666666666669</v>
      </c>
      <c r="D7752" s="37">
        <v>6.2709999999999999</v>
      </c>
      <c r="E7752" s="33">
        <f t="shared" si="249"/>
        <v>-4.8315885930081057E-3</v>
      </c>
    </row>
    <row r="7753" spans="1:5" x14ac:dyDescent="0.25">
      <c r="A7753" s="41">
        <v>43788</v>
      </c>
      <c r="B7753" s="37">
        <v>352.46</v>
      </c>
      <c r="C7753" s="37">
        <f t="shared" si="248"/>
        <v>58.743333333333332</v>
      </c>
      <c r="D7753" s="37">
        <v>6.2709999999999999</v>
      </c>
      <c r="E7753" s="33">
        <f t="shared" si="249"/>
        <v>-1.6546220597672946E-2</v>
      </c>
    </row>
    <row r="7754" spans="1:5" x14ac:dyDescent="0.25">
      <c r="A7754" s="41">
        <v>43789</v>
      </c>
      <c r="B7754" s="37">
        <v>344.84</v>
      </c>
      <c r="C7754" s="37">
        <f t="shared" si="248"/>
        <v>57.473333333333336</v>
      </c>
      <c r="D7754" s="37">
        <v>5.681</v>
      </c>
      <c r="E7754" s="33">
        <f t="shared" si="249"/>
        <v>-2.1619474550303594E-2</v>
      </c>
    </row>
    <row r="7755" spans="1:5" x14ac:dyDescent="0.25">
      <c r="A7755" s="41">
        <v>43789</v>
      </c>
      <c r="B7755" s="37">
        <v>337.1</v>
      </c>
      <c r="C7755" s="37">
        <f t="shared" si="248"/>
        <v>56.18333333333333</v>
      </c>
      <c r="D7755" s="37">
        <v>5.681</v>
      </c>
      <c r="E7755" s="33">
        <f t="shared" si="249"/>
        <v>-2.2445191973088831E-2</v>
      </c>
    </row>
    <row r="7756" spans="1:5" x14ac:dyDescent="0.25">
      <c r="A7756" s="41">
        <v>43789</v>
      </c>
      <c r="B7756" s="37">
        <v>332.95</v>
      </c>
      <c r="C7756" s="37">
        <f t="shared" si="248"/>
        <v>55.491666666666667</v>
      </c>
      <c r="D7756" s="37">
        <v>5.681</v>
      </c>
      <c r="E7756" s="33">
        <f t="shared" si="249"/>
        <v>-1.2310886977158214E-2</v>
      </c>
    </row>
    <row r="7757" spans="1:5" x14ac:dyDescent="0.25">
      <c r="A7757" s="41">
        <v>43789</v>
      </c>
      <c r="B7757" s="37">
        <v>334.48</v>
      </c>
      <c r="C7757" s="37">
        <f t="shared" si="248"/>
        <v>55.74666666666667</v>
      </c>
      <c r="D7757" s="37">
        <v>5.681</v>
      </c>
      <c r="E7757" s="33">
        <f t="shared" si="249"/>
        <v>4.5952845772639422E-3</v>
      </c>
    </row>
    <row r="7758" spans="1:5" x14ac:dyDescent="0.25">
      <c r="A7758" s="41">
        <v>43789</v>
      </c>
      <c r="B7758" s="37">
        <v>335.03</v>
      </c>
      <c r="C7758" s="37">
        <f t="shared" si="248"/>
        <v>55.838333333333331</v>
      </c>
      <c r="D7758" s="37">
        <v>5.681</v>
      </c>
      <c r="E7758" s="33">
        <f t="shared" si="249"/>
        <v>1.6443434585026145E-3</v>
      </c>
    </row>
    <row r="7759" spans="1:5" x14ac:dyDescent="0.25">
      <c r="A7759" s="41">
        <v>43789</v>
      </c>
      <c r="B7759" s="37">
        <v>335.45</v>
      </c>
      <c r="C7759" s="37">
        <f t="shared" si="248"/>
        <v>55.908333333333331</v>
      </c>
      <c r="D7759" s="37">
        <v>5.681</v>
      </c>
      <c r="E7759" s="33">
        <f t="shared" si="249"/>
        <v>1.2536190788885054E-3</v>
      </c>
    </row>
    <row r="7760" spans="1:5" x14ac:dyDescent="0.25">
      <c r="A7760" s="41">
        <v>43789</v>
      </c>
      <c r="B7760" s="37">
        <v>339.58</v>
      </c>
      <c r="C7760" s="37">
        <f t="shared" si="248"/>
        <v>56.596666666666664</v>
      </c>
      <c r="D7760" s="37">
        <v>5.681</v>
      </c>
      <c r="E7760" s="33">
        <f t="shared" si="249"/>
        <v>1.2311819943359652E-2</v>
      </c>
    </row>
    <row r="7761" spans="1:5" x14ac:dyDescent="0.25">
      <c r="A7761" s="41">
        <v>43789</v>
      </c>
      <c r="B7761" s="37">
        <v>348.44</v>
      </c>
      <c r="C7761" s="37">
        <f t="shared" si="248"/>
        <v>58.073333333333331</v>
      </c>
      <c r="D7761" s="37">
        <v>5.681</v>
      </c>
      <c r="E7761" s="33">
        <f t="shared" si="249"/>
        <v>2.6091053654514442E-2</v>
      </c>
    </row>
    <row r="7762" spans="1:5" x14ac:dyDescent="0.25">
      <c r="A7762" s="41">
        <v>43789</v>
      </c>
      <c r="B7762" s="37">
        <v>355.41</v>
      </c>
      <c r="C7762" s="37">
        <f t="shared" si="248"/>
        <v>59.234999999999999</v>
      </c>
      <c r="D7762" s="37">
        <v>5.681</v>
      </c>
      <c r="E7762" s="33">
        <f t="shared" si="249"/>
        <v>2.000344392147867E-2</v>
      </c>
    </row>
    <row r="7763" spans="1:5" x14ac:dyDescent="0.25">
      <c r="A7763" s="41">
        <v>43789</v>
      </c>
      <c r="B7763" s="37">
        <v>361.66</v>
      </c>
      <c r="C7763" s="37">
        <f t="shared" si="248"/>
        <v>60.276666666666664</v>
      </c>
      <c r="D7763" s="37">
        <v>5.681</v>
      </c>
      <c r="E7763" s="33">
        <f t="shared" si="249"/>
        <v>1.7585323992009228E-2</v>
      </c>
    </row>
    <row r="7764" spans="1:5" x14ac:dyDescent="0.25">
      <c r="A7764" s="41">
        <v>43789</v>
      </c>
      <c r="B7764" s="37">
        <v>364</v>
      </c>
      <c r="C7764" s="37">
        <f t="shared" si="248"/>
        <v>60.666666666666664</v>
      </c>
      <c r="D7764" s="37">
        <v>5.681</v>
      </c>
      <c r="E7764" s="33">
        <f t="shared" si="249"/>
        <v>6.4701653486699522E-3</v>
      </c>
    </row>
    <row r="7765" spans="1:5" x14ac:dyDescent="0.25">
      <c r="A7765" s="41">
        <v>43789</v>
      </c>
      <c r="B7765" s="37">
        <v>364.56</v>
      </c>
      <c r="C7765" s="37">
        <f t="shared" si="248"/>
        <v>60.76</v>
      </c>
      <c r="D7765" s="37">
        <v>5.681</v>
      </c>
      <c r="E7765" s="33">
        <f t="shared" si="249"/>
        <v>1.5384615384615447E-3</v>
      </c>
    </row>
    <row r="7766" spans="1:5" x14ac:dyDescent="0.25">
      <c r="A7766" s="41">
        <v>43789</v>
      </c>
      <c r="B7766" s="37">
        <v>363.56</v>
      </c>
      <c r="C7766" s="37">
        <f t="shared" si="248"/>
        <v>60.593333333333334</v>
      </c>
      <c r="D7766" s="37">
        <v>5.681</v>
      </c>
      <c r="E7766" s="33">
        <f t="shared" si="249"/>
        <v>-2.7430326969497478E-3</v>
      </c>
    </row>
    <row r="7767" spans="1:5" x14ac:dyDescent="0.25">
      <c r="A7767" s="41">
        <v>43789</v>
      </c>
      <c r="B7767" s="37">
        <v>365.03</v>
      </c>
      <c r="C7767" s="37">
        <f t="shared" si="248"/>
        <v>60.838333333333331</v>
      </c>
      <c r="D7767" s="37">
        <v>5.681</v>
      </c>
      <c r="E7767" s="33">
        <f t="shared" si="249"/>
        <v>4.0433491033116144E-3</v>
      </c>
    </row>
    <row r="7768" spans="1:5" x14ac:dyDescent="0.25">
      <c r="A7768" s="41">
        <v>43789</v>
      </c>
      <c r="B7768" s="37">
        <v>365.19</v>
      </c>
      <c r="C7768" s="37">
        <f t="shared" si="248"/>
        <v>60.865000000000002</v>
      </c>
      <c r="D7768" s="37">
        <v>5.681</v>
      </c>
      <c r="E7768" s="33">
        <f t="shared" si="249"/>
        <v>4.3832013807091204E-4</v>
      </c>
    </row>
    <row r="7769" spans="1:5" x14ac:dyDescent="0.25">
      <c r="A7769" s="41">
        <v>43789</v>
      </c>
      <c r="B7769" s="37">
        <v>365.14</v>
      </c>
      <c r="C7769" s="37">
        <f t="shared" si="248"/>
        <v>60.856666666666669</v>
      </c>
      <c r="D7769" s="37">
        <v>5.681</v>
      </c>
      <c r="E7769" s="33">
        <f t="shared" si="249"/>
        <v>-1.3691503053208295E-4</v>
      </c>
    </row>
    <row r="7770" spans="1:5" x14ac:dyDescent="0.25">
      <c r="A7770" s="41">
        <v>43789</v>
      </c>
      <c r="B7770" s="37">
        <v>365.14</v>
      </c>
      <c r="C7770" s="37">
        <f t="shared" si="248"/>
        <v>60.856666666666669</v>
      </c>
      <c r="D7770" s="37">
        <v>5.681</v>
      </c>
      <c r="E7770" s="33">
        <f t="shared" si="249"/>
        <v>0</v>
      </c>
    </row>
    <row r="7771" spans="1:5" x14ac:dyDescent="0.25">
      <c r="A7771" s="41">
        <v>43789</v>
      </c>
      <c r="B7771" s="37">
        <v>361.94</v>
      </c>
      <c r="C7771" s="37">
        <f t="shared" si="248"/>
        <v>60.323333333333331</v>
      </c>
      <c r="D7771" s="37">
        <v>5.681</v>
      </c>
      <c r="E7771" s="33">
        <f t="shared" si="249"/>
        <v>-8.7637618447718377E-3</v>
      </c>
    </row>
    <row r="7772" spans="1:5" x14ac:dyDescent="0.25">
      <c r="A7772" s="41">
        <v>43789</v>
      </c>
      <c r="B7772" s="37">
        <v>362.04</v>
      </c>
      <c r="C7772" s="37">
        <f t="shared" si="248"/>
        <v>60.34</v>
      </c>
      <c r="D7772" s="37">
        <v>5.681</v>
      </c>
      <c r="E7772" s="33">
        <f t="shared" si="249"/>
        <v>2.7628888766100109E-4</v>
      </c>
    </row>
    <row r="7773" spans="1:5" x14ac:dyDescent="0.25">
      <c r="A7773" s="41">
        <v>43789</v>
      </c>
      <c r="B7773" s="37">
        <v>363.57</v>
      </c>
      <c r="C7773" s="37">
        <f t="shared" si="248"/>
        <v>60.594999999999999</v>
      </c>
      <c r="D7773" s="37">
        <v>5.681</v>
      </c>
      <c r="E7773" s="33">
        <f t="shared" si="249"/>
        <v>4.2260523699038021E-3</v>
      </c>
    </row>
    <row r="7774" spans="1:5" x14ac:dyDescent="0.25">
      <c r="A7774" s="41">
        <v>43789</v>
      </c>
      <c r="B7774" s="37">
        <v>361.49</v>
      </c>
      <c r="C7774" s="37">
        <f t="shared" si="248"/>
        <v>60.248333333333335</v>
      </c>
      <c r="D7774" s="37">
        <v>5.681</v>
      </c>
      <c r="E7774" s="33">
        <f t="shared" si="249"/>
        <v>-5.7210440905464807E-3</v>
      </c>
    </row>
    <row r="7775" spans="1:5" x14ac:dyDescent="0.25">
      <c r="A7775" s="41">
        <v>43789</v>
      </c>
      <c r="B7775" s="37">
        <v>361.26</v>
      </c>
      <c r="C7775" s="37">
        <f t="shared" si="248"/>
        <v>60.21</v>
      </c>
      <c r="D7775" s="37">
        <v>5.681</v>
      </c>
      <c r="E7775" s="33">
        <f t="shared" si="249"/>
        <v>-6.3625549807745218E-4</v>
      </c>
    </row>
    <row r="7776" spans="1:5" x14ac:dyDescent="0.25">
      <c r="A7776" s="41">
        <v>43789</v>
      </c>
      <c r="B7776" s="37">
        <v>359.66</v>
      </c>
      <c r="C7776" s="37">
        <f t="shared" si="248"/>
        <v>59.943333333333335</v>
      </c>
      <c r="D7776" s="37">
        <v>5.681</v>
      </c>
      <c r="E7776" s="33">
        <f t="shared" si="249"/>
        <v>-4.4289431434423017E-3</v>
      </c>
    </row>
    <row r="7777" spans="1:5" x14ac:dyDescent="0.25">
      <c r="A7777" s="41">
        <v>43789</v>
      </c>
      <c r="B7777" s="37">
        <v>351.45</v>
      </c>
      <c r="C7777" s="37">
        <f t="shared" si="248"/>
        <v>58.575000000000003</v>
      </c>
      <c r="D7777" s="37">
        <v>5.681</v>
      </c>
      <c r="E7777" s="33">
        <f t="shared" si="249"/>
        <v>-2.2827114497025066E-2</v>
      </c>
    </row>
    <row r="7778" spans="1:5" x14ac:dyDescent="0.25">
      <c r="A7778" s="41">
        <v>43790</v>
      </c>
      <c r="B7778" s="37">
        <v>337.33</v>
      </c>
      <c r="C7778" s="37">
        <f t="shared" si="248"/>
        <v>56.221666666666664</v>
      </c>
      <c r="D7778" s="37">
        <v>5.1749999999999998</v>
      </c>
      <c r="E7778" s="33">
        <f t="shared" si="249"/>
        <v>-4.0176412007397938E-2</v>
      </c>
    </row>
    <row r="7779" spans="1:5" x14ac:dyDescent="0.25">
      <c r="A7779" s="41">
        <v>43790</v>
      </c>
      <c r="B7779" s="37">
        <v>334.04</v>
      </c>
      <c r="C7779" s="37">
        <f t="shared" si="248"/>
        <v>55.673333333333332</v>
      </c>
      <c r="D7779" s="37">
        <v>5.1749999999999998</v>
      </c>
      <c r="E7779" s="33">
        <f t="shared" si="249"/>
        <v>-9.7530608009959493E-3</v>
      </c>
    </row>
    <row r="7780" spans="1:5" x14ac:dyDescent="0.25">
      <c r="A7780" s="41">
        <v>43790</v>
      </c>
      <c r="B7780" s="37">
        <v>331.78</v>
      </c>
      <c r="C7780" s="37">
        <f t="shared" si="248"/>
        <v>55.296666666666667</v>
      </c>
      <c r="D7780" s="37">
        <v>5.1749999999999998</v>
      </c>
      <c r="E7780" s="33">
        <f t="shared" si="249"/>
        <v>-6.7656568075680984E-3</v>
      </c>
    </row>
    <row r="7781" spans="1:5" x14ac:dyDescent="0.25">
      <c r="A7781" s="41">
        <v>43790</v>
      </c>
      <c r="B7781" s="37">
        <v>331.04</v>
      </c>
      <c r="C7781" s="37">
        <f t="shared" si="248"/>
        <v>55.173333333333332</v>
      </c>
      <c r="D7781" s="37">
        <v>5.1749999999999998</v>
      </c>
      <c r="E7781" s="33">
        <f t="shared" si="249"/>
        <v>-2.2303936343358623E-3</v>
      </c>
    </row>
    <row r="7782" spans="1:5" x14ac:dyDescent="0.25">
      <c r="A7782" s="41">
        <v>43790</v>
      </c>
      <c r="B7782" s="37">
        <v>331.05</v>
      </c>
      <c r="C7782" s="37">
        <f t="shared" si="248"/>
        <v>55.174999999999997</v>
      </c>
      <c r="D7782" s="37">
        <v>5.1749999999999998</v>
      </c>
      <c r="E7782" s="33">
        <f t="shared" si="249"/>
        <v>3.0207829869474701E-5</v>
      </c>
    </row>
    <row r="7783" spans="1:5" x14ac:dyDescent="0.25">
      <c r="A7783" s="41">
        <v>43790</v>
      </c>
      <c r="B7783" s="37">
        <v>332.87</v>
      </c>
      <c r="C7783" s="37">
        <f t="shared" si="248"/>
        <v>55.478333333333332</v>
      </c>
      <c r="D7783" s="37">
        <v>5.1749999999999998</v>
      </c>
      <c r="E7783" s="33">
        <f t="shared" si="249"/>
        <v>5.4976589639027127E-3</v>
      </c>
    </row>
    <row r="7784" spans="1:5" x14ac:dyDescent="0.25">
      <c r="A7784" s="41">
        <v>43790</v>
      </c>
      <c r="B7784" s="37">
        <v>334.29</v>
      </c>
      <c r="C7784" s="37">
        <f t="shared" si="248"/>
        <v>55.715000000000003</v>
      </c>
      <c r="D7784" s="37">
        <v>5.1749999999999998</v>
      </c>
      <c r="E7784" s="33">
        <f t="shared" si="249"/>
        <v>4.2659296422027093E-3</v>
      </c>
    </row>
    <row r="7785" spans="1:5" x14ac:dyDescent="0.25">
      <c r="A7785" s="41">
        <v>43790</v>
      </c>
      <c r="B7785" s="37">
        <v>341.21</v>
      </c>
      <c r="C7785" s="37">
        <f t="shared" si="248"/>
        <v>56.868333333333332</v>
      </c>
      <c r="D7785" s="37">
        <v>5.1749999999999998</v>
      </c>
      <c r="E7785" s="33">
        <f t="shared" si="249"/>
        <v>2.0700589308683952E-2</v>
      </c>
    </row>
    <row r="7786" spans="1:5" x14ac:dyDescent="0.25">
      <c r="A7786" s="41">
        <v>43790</v>
      </c>
      <c r="B7786" s="37">
        <v>355.57</v>
      </c>
      <c r="C7786" s="37">
        <f t="shared" si="248"/>
        <v>59.261666666666663</v>
      </c>
      <c r="D7786" s="37">
        <v>5.1749999999999998</v>
      </c>
      <c r="E7786" s="33">
        <f t="shared" si="249"/>
        <v>4.2085519181735628E-2</v>
      </c>
    </row>
    <row r="7787" spans="1:5" x14ac:dyDescent="0.25">
      <c r="A7787" s="41">
        <v>43790</v>
      </c>
      <c r="B7787" s="37">
        <v>362.31</v>
      </c>
      <c r="C7787" s="37">
        <f t="shared" si="248"/>
        <v>60.384999999999998</v>
      </c>
      <c r="D7787" s="37">
        <v>5.1749999999999998</v>
      </c>
      <c r="E7787" s="33">
        <f t="shared" si="249"/>
        <v>1.8955479933627721E-2</v>
      </c>
    </row>
    <row r="7788" spans="1:5" x14ac:dyDescent="0.25">
      <c r="A7788" s="41">
        <v>43790</v>
      </c>
      <c r="B7788" s="37">
        <v>371.38</v>
      </c>
      <c r="C7788" s="37">
        <f t="shared" si="248"/>
        <v>61.896666666666668</v>
      </c>
      <c r="D7788" s="37">
        <v>5.1749999999999998</v>
      </c>
      <c r="E7788" s="33">
        <f t="shared" si="249"/>
        <v>2.5033810824984109E-2</v>
      </c>
    </row>
    <row r="7789" spans="1:5" x14ac:dyDescent="0.25">
      <c r="A7789" s="41">
        <v>43790</v>
      </c>
      <c r="B7789" s="37">
        <v>375.19</v>
      </c>
      <c r="C7789" s="37">
        <f t="shared" si="248"/>
        <v>62.531666666666666</v>
      </c>
      <c r="D7789" s="37">
        <v>5.1749999999999998</v>
      </c>
      <c r="E7789" s="33">
        <f t="shared" si="249"/>
        <v>1.0259033873660409E-2</v>
      </c>
    </row>
    <row r="7790" spans="1:5" x14ac:dyDescent="0.25">
      <c r="A7790" s="41">
        <v>43790</v>
      </c>
      <c r="B7790" s="37">
        <v>365.47</v>
      </c>
      <c r="C7790" s="37">
        <f t="shared" si="248"/>
        <v>60.911666666666669</v>
      </c>
      <c r="D7790" s="37">
        <v>5.1749999999999998</v>
      </c>
      <c r="E7790" s="33">
        <f t="shared" si="249"/>
        <v>-2.5906873850582293E-2</v>
      </c>
    </row>
    <row r="7791" spans="1:5" x14ac:dyDescent="0.25">
      <c r="A7791" s="41">
        <v>43790</v>
      </c>
      <c r="B7791" s="37">
        <v>380.94</v>
      </c>
      <c r="C7791" s="37">
        <f t="shared" si="248"/>
        <v>63.49</v>
      </c>
      <c r="D7791" s="37">
        <v>5.1749999999999998</v>
      </c>
      <c r="E7791" s="33">
        <f t="shared" si="249"/>
        <v>4.2329055736448871E-2</v>
      </c>
    </row>
    <row r="7792" spans="1:5" x14ac:dyDescent="0.25">
      <c r="A7792" s="41">
        <v>43790</v>
      </c>
      <c r="B7792" s="37">
        <v>387.63</v>
      </c>
      <c r="C7792" s="37">
        <f t="shared" si="248"/>
        <v>64.605000000000004</v>
      </c>
      <c r="D7792" s="37">
        <v>5.1749999999999998</v>
      </c>
      <c r="E7792" s="33">
        <f t="shared" si="249"/>
        <v>1.7561820759174666E-2</v>
      </c>
    </row>
    <row r="7793" spans="1:5" x14ac:dyDescent="0.25">
      <c r="A7793" s="41">
        <v>43790</v>
      </c>
      <c r="B7793" s="37">
        <v>387.48</v>
      </c>
      <c r="C7793" s="37">
        <f t="shared" si="248"/>
        <v>64.58</v>
      </c>
      <c r="D7793" s="37">
        <v>5.1749999999999998</v>
      </c>
      <c r="E7793" s="33">
        <f t="shared" si="249"/>
        <v>-3.8696695302215325E-4</v>
      </c>
    </row>
    <row r="7794" spans="1:5" x14ac:dyDescent="0.25">
      <c r="A7794" s="41">
        <v>43790</v>
      </c>
      <c r="B7794" s="37">
        <v>380.7</v>
      </c>
      <c r="C7794" s="37">
        <f t="shared" si="248"/>
        <v>63.45</v>
      </c>
      <c r="D7794" s="37">
        <v>5.1749999999999998</v>
      </c>
      <c r="E7794" s="33">
        <f t="shared" si="249"/>
        <v>-1.7497677299473598E-2</v>
      </c>
    </row>
    <row r="7795" spans="1:5" x14ac:dyDescent="0.25">
      <c r="A7795" s="41">
        <v>43790</v>
      </c>
      <c r="B7795" s="37">
        <v>364.91</v>
      </c>
      <c r="C7795" s="37">
        <f t="shared" si="248"/>
        <v>60.818333333333335</v>
      </c>
      <c r="D7795" s="37">
        <v>5.1749999999999998</v>
      </c>
      <c r="E7795" s="33">
        <f t="shared" si="249"/>
        <v>-4.1476228001050601E-2</v>
      </c>
    </row>
    <row r="7796" spans="1:5" x14ac:dyDescent="0.25">
      <c r="A7796" s="41">
        <v>43790</v>
      </c>
      <c r="B7796" s="37">
        <v>362.7</v>
      </c>
      <c r="C7796" s="37">
        <f t="shared" si="248"/>
        <v>60.45</v>
      </c>
      <c r="D7796" s="37">
        <v>5.1749999999999998</v>
      </c>
      <c r="E7796" s="33">
        <f t="shared" si="249"/>
        <v>-6.0562878517991733E-3</v>
      </c>
    </row>
    <row r="7797" spans="1:5" x14ac:dyDescent="0.25">
      <c r="A7797" s="41">
        <v>43790</v>
      </c>
      <c r="B7797" s="37">
        <v>364.11</v>
      </c>
      <c r="C7797" s="37">
        <f t="shared" si="248"/>
        <v>60.685000000000002</v>
      </c>
      <c r="D7797" s="37">
        <v>5.1749999999999998</v>
      </c>
      <c r="E7797" s="33">
        <f t="shared" si="249"/>
        <v>3.8875103391233113E-3</v>
      </c>
    </row>
    <row r="7798" spans="1:5" x14ac:dyDescent="0.25">
      <c r="A7798" s="41">
        <v>43790</v>
      </c>
      <c r="B7798" s="37">
        <v>363.58</v>
      </c>
      <c r="C7798" s="37">
        <f t="shared" si="248"/>
        <v>60.596666666666664</v>
      </c>
      <c r="D7798" s="37">
        <v>5.1749999999999998</v>
      </c>
      <c r="E7798" s="33">
        <f t="shared" si="249"/>
        <v>-1.4556040756914931E-3</v>
      </c>
    </row>
    <row r="7799" spans="1:5" x14ac:dyDescent="0.25">
      <c r="A7799" s="41">
        <v>43790</v>
      </c>
      <c r="B7799" s="37">
        <v>362.53</v>
      </c>
      <c r="C7799" s="37">
        <f t="shared" si="248"/>
        <v>60.421666666666667</v>
      </c>
      <c r="D7799" s="37">
        <v>5.1749999999999998</v>
      </c>
      <c r="E7799" s="33">
        <f t="shared" si="249"/>
        <v>-2.8879476318829731E-3</v>
      </c>
    </row>
    <row r="7800" spans="1:5" x14ac:dyDescent="0.25">
      <c r="A7800" s="41">
        <v>43790</v>
      </c>
      <c r="B7800" s="37">
        <v>359.01</v>
      </c>
      <c r="C7800" s="37">
        <f t="shared" si="248"/>
        <v>59.835000000000001</v>
      </c>
      <c r="D7800" s="37">
        <v>5.1749999999999998</v>
      </c>
      <c r="E7800" s="33">
        <f t="shared" si="249"/>
        <v>-9.70954127934235E-3</v>
      </c>
    </row>
    <row r="7801" spans="1:5" x14ac:dyDescent="0.25">
      <c r="A7801" s="41">
        <v>43790</v>
      </c>
      <c r="B7801" s="37">
        <v>349.5</v>
      </c>
      <c r="C7801" s="37">
        <f t="shared" si="248"/>
        <v>58.25</v>
      </c>
      <c r="D7801" s="37">
        <v>5.1749999999999998</v>
      </c>
      <c r="E7801" s="33">
        <f t="shared" si="249"/>
        <v>-2.6489512826940727E-2</v>
      </c>
    </row>
    <row r="7802" spans="1:5" x14ac:dyDescent="0.25">
      <c r="A7802" s="41">
        <v>43791</v>
      </c>
      <c r="B7802" s="37">
        <v>342.83</v>
      </c>
      <c r="C7802" s="37">
        <f t="shared" si="248"/>
        <v>57.138333333333335</v>
      </c>
      <c r="D7802" s="37">
        <v>4.7679999999999998</v>
      </c>
      <c r="E7802" s="33">
        <f t="shared" si="249"/>
        <v>-1.9084406294706771E-2</v>
      </c>
    </row>
    <row r="7803" spans="1:5" x14ac:dyDescent="0.25">
      <c r="A7803" s="41">
        <v>43791</v>
      </c>
      <c r="B7803" s="37">
        <v>337.22</v>
      </c>
      <c r="C7803" s="37">
        <f t="shared" si="248"/>
        <v>56.203333333333333</v>
      </c>
      <c r="D7803" s="37">
        <v>4.7679999999999998</v>
      </c>
      <c r="E7803" s="33">
        <f t="shared" si="249"/>
        <v>-1.6363795467141024E-2</v>
      </c>
    </row>
    <row r="7804" spans="1:5" x14ac:dyDescent="0.25">
      <c r="A7804" s="41">
        <v>43791</v>
      </c>
      <c r="B7804" s="37">
        <v>335.04</v>
      </c>
      <c r="C7804" s="37">
        <f t="shared" si="248"/>
        <v>55.84</v>
      </c>
      <c r="D7804" s="37">
        <v>4.7679999999999998</v>
      </c>
      <c r="E7804" s="33">
        <f t="shared" si="249"/>
        <v>-6.4646225016310021E-3</v>
      </c>
    </row>
    <row r="7805" spans="1:5" x14ac:dyDescent="0.25">
      <c r="A7805" s="41">
        <v>43791</v>
      </c>
      <c r="B7805" s="37">
        <v>335.05</v>
      </c>
      <c r="C7805" s="37">
        <f t="shared" si="248"/>
        <v>55.841666666666669</v>
      </c>
      <c r="D7805" s="37">
        <v>4.7679999999999998</v>
      </c>
      <c r="E7805" s="33">
        <f t="shared" si="249"/>
        <v>2.9847182425951841E-5</v>
      </c>
    </row>
    <row r="7806" spans="1:5" x14ac:dyDescent="0.25">
      <c r="A7806" s="41">
        <v>43791</v>
      </c>
      <c r="B7806" s="37">
        <v>335.03</v>
      </c>
      <c r="C7806" s="37">
        <f t="shared" si="248"/>
        <v>55.838333333333331</v>
      </c>
      <c r="D7806" s="37">
        <v>4.7679999999999998</v>
      </c>
      <c r="E7806" s="33">
        <f t="shared" si="249"/>
        <v>-5.9692583196653192E-5</v>
      </c>
    </row>
    <row r="7807" spans="1:5" x14ac:dyDescent="0.25">
      <c r="A7807" s="41">
        <v>43791</v>
      </c>
      <c r="B7807" s="37">
        <v>335.27</v>
      </c>
      <c r="C7807" s="37">
        <f t="shared" si="248"/>
        <v>55.87833333333333</v>
      </c>
      <c r="D7807" s="37">
        <v>4.7679999999999998</v>
      </c>
      <c r="E7807" s="33">
        <f t="shared" si="249"/>
        <v>7.1635375936486025E-4</v>
      </c>
    </row>
    <row r="7808" spans="1:5" x14ac:dyDescent="0.25">
      <c r="A7808" s="41">
        <v>43791</v>
      </c>
      <c r="B7808" s="37">
        <v>340.46</v>
      </c>
      <c r="C7808" s="37">
        <f t="shared" si="248"/>
        <v>56.743333333333332</v>
      </c>
      <c r="D7808" s="37">
        <v>4.7679999999999998</v>
      </c>
      <c r="E7808" s="33">
        <f t="shared" si="249"/>
        <v>1.5480060846481934E-2</v>
      </c>
    </row>
    <row r="7809" spans="1:5" x14ac:dyDescent="0.25">
      <c r="A7809" s="41">
        <v>43791</v>
      </c>
      <c r="B7809" s="37">
        <v>348.78</v>
      </c>
      <c r="C7809" s="37">
        <f t="shared" si="248"/>
        <v>58.13</v>
      </c>
      <c r="D7809" s="37">
        <v>4.7679999999999998</v>
      </c>
      <c r="E7809" s="33">
        <f t="shared" si="249"/>
        <v>2.4437525700522805E-2</v>
      </c>
    </row>
    <row r="7810" spans="1:5" x14ac:dyDescent="0.25">
      <c r="A7810" s="41">
        <v>43791</v>
      </c>
      <c r="B7810" s="37">
        <v>359.91</v>
      </c>
      <c r="C7810" s="37">
        <f t="shared" si="248"/>
        <v>59.984999999999999</v>
      </c>
      <c r="D7810" s="37">
        <v>4.7679999999999998</v>
      </c>
      <c r="E7810" s="33">
        <f t="shared" si="249"/>
        <v>3.1911233442284685E-2</v>
      </c>
    </row>
    <row r="7811" spans="1:5" x14ac:dyDescent="0.25">
      <c r="A7811" s="41">
        <v>43791</v>
      </c>
      <c r="B7811" s="37">
        <v>377.8</v>
      </c>
      <c r="C7811" s="37">
        <f t="shared" ref="C7811:C7874" si="250">(B7811*100/600)</f>
        <v>62.966666666666669</v>
      </c>
      <c r="D7811" s="37">
        <v>4.7679999999999998</v>
      </c>
      <c r="E7811" s="33">
        <f t="shared" si="249"/>
        <v>4.9706871162234961E-2</v>
      </c>
    </row>
    <row r="7812" spans="1:5" x14ac:dyDescent="0.25">
      <c r="A7812" s="41">
        <v>43791</v>
      </c>
      <c r="B7812" s="37">
        <v>387.3</v>
      </c>
      <c r="C7812" s="37">
        <f t="shared" si="250"/>
        <v>64.55</v>
      </c>
      <c r="D7812" s="37">
        <v>4.7679999999999998</v>
      </c>
      <c r="E7812" s="33">
        <f t="shared" ref="E7812:E7875" si="251">(B7812-B7811)/B7811</f>
        <v>2.5145579671784012E-2</v>
      </c>
    </row>
    <row r="7813" spans="1:5" x14ac:dyDescent="0.25">
      <c r="A7813" s="41">
        <v>43791</v>
      </c>
      <c r="B7813" s="37">
        <v>387.12</v>
      </c>
      <c r="C7813" s="37">
        <f t="shared" si="250"/>
        <v>64.52</v>
      </c>
      <c r="D7813" s="37">
        <v>4.7679999999999998</v>
      </c>
      <c r="E7813" s="33">
        <f t="shared" si="251"/>
        <v>-4.6475600309839094E-4</v>
      </c>
    </row>
    <row r="7814" spans="1:5" x14ac:dyDescent="0.25">
      <c r="A7814" s="41">
        <v>43791</v>
      </c>
      <c r="B7814" s="37">
        <v>386.98</v>
      </c>
      <c r="C7814" s="37">
        <f t="shared" si="250"/>
        <v>64.49666666666667</v>
      </c>
      <c r="D7814" s="37">
        <v>4.7679999999999998</v>
      </c>
      <c r="E7814" s="33">
        <f t="shared" si="251"/>
        <v>-3.6164496796855329E-4</v>
      </c>
    </row>
    <row r="7815" spans="1:5" x14ac:dyDescent="0.25">
      <c r="A7815" s="41">
        <v>43791</v>
      </c>
      <c r="B7815" s="37">
        <v>386.85</v>
      </c>
      <c r="C7815" s="37">
        <f t="shared" si="250"/>
        <v>64.474999999999994</v>
      </c>
      <c r="D7815" s="37">
        <v>4.7679999999999998</v>
      </c>
      <c r="E7815" s="33">
        <f t="shared" si="251"/>
        <v>-3.3593467362653224E-4</v>
      </c>
    </row>
    <row r="7816" spans="1:5" x14ac:dyDescent="0.25">
      <c r="A7816" s="41">
        <v>43791</v>
      </c>
      <c r="B7816" s="37">
        <v>387.6</v>
      </c>
      <c r="C7816" s="37">
        <f t="shared" si="250"/>
        <v>64.599999999999994</v>
      </c>
      <c r="D7816" s="37">
        <v>4.7679999999999998</v>
      </c>
      <c r="E7816" s="33">
        <f t="shared" si="251"/>
        <v>1.9387359441644047E-3</v>
      </c>
    </row>
    <row r="7817" spans="1:5" x14ac:dyDescent="0.25">
      <c r="A7817" s="41">
        <v>43791</v>
      </c>
      <c r="B7817" s="37">
        <v>387.39</v>
      </c>
      <c r="C7817" s="37">
        <f t="shared" si="250"/>
        <v>64.564999999999998</v>
      </c>
      <c r="D7817" s="37">
        <v>4.7679999999999998</v>
      </c>
      <c r="E7817" s="33">
        <f t="shared" si="251"/>
        <v>-5.4179566563476874E-4</v>
      </c>
    </row>
    <row r="7818" spans="1:5" x14ac:dyDescent="0.25">
      <c r="A7818" s="41">
        <v>43791</v>
      </c>
      <c r="B7818" s="37">
        <v>386.45</v>
      </c>
      <c r="C7818" s="37">
        <f t="shared" si="250"/>
        <v>64.408333333333331</v>
      </c>
      <c r="D7818" s="37">
        <v>4.7679999999999998</v>
      </c>
      <c r="E7818" s="33">
        <f t="shared" si="251"/>
        <v>-2.4264952631714754E-3</v>
      </c>
    </row>
    <row r="7819" spans="1:5" x14ac:dyDescent="0.25">
      <c r="A7819" s="41">
        <v>43791</v>
      </c>
      <c r="B7819" s="37">
        <v>366.97</v>
      </c>
      <c r="C7819" s="37">
        <f t="shared" si="250"/>
        <v>61.161666666666669</v>
      </c>
      <c r="D7819" s="37">
        <v>4.7679999999999998</v>
      </c>
      <c r="E7819" s="33">
        <f t="shared" si="251"/>
        <v>-5.0407555958079858E-2</v>
      </c>
    </row>
    <row r="7820" spans="1:5" x14ac:dyDescent="0.25">
      <c r="A7820" s="41">
        <v>43791</v>
      </c>
      <c r="B7820" s="37">
        <v>363.83</v>
      </c>
      <c r="C7820" s="37">
        <f t="shared" si="250"/>
        <v>60.638333333333335</v>
      </c>
      <c r="D7820" s="37">
        <v>4.7679999999999998</v>
      </c>
      <c r="E7820" s="33">
        <f t="shared" si="251"/>
        <v>-8.5565577567649747E-3</v>
      </c>
    </row>
    <row r="7821" spans="1:5" x14ac:dyDescent="0.25">
      <c r="A7821" s="41">
        <v>43791</v>
      </c>
      <c r="B7821" s="37">
        <v>369.9</v>
      </c>
      <c r="C7821" s="37">
        <f t="shared" si="250"/>
        <v>61.65</v>
      </c>
      <c r="D7821" s="37">
        <v>4.7679999999999998</v>
      </c>
      <c r="E7821" s="33">
        <f t="shared" si="251"/>
        <v>1.6683615974493565E-2</v>
      </c>
    </row>
    <row r="7822" spans="1:5" x14ac:dyDescent="0.25">
      <c r="A7822" s="41">
        <v>43791</v>
      </c>
      <c r="B7822" s="37">
        <v>361.25</v>
      </c>
      <c r="C7822" s="37">
        <f t="shared" si="250"/>
        <v>60.208333333333336</v>
      </c>
      <c r="D7822" s="37">
        <v>4.7679999999999998</v>
      </c>
      <c r="E7822" s="33">
        <f t="shared" si="251"/>
        <v>-2.338469856718026E-2</v>
      </c>
    </row>
    <row r="7823" spans="1:5" x14ac:dyDescent="0.25">
      <c r="A7823" s="41">
        <v>43791</v>
      </c>
      <c r="B7823" s="37">
        <v>360.73</v>
      </c>
      <c r="C7823" s="37">
        <f t="shared" si="250"/>
        <v>60.12166666666667</v>
      </c>
      <c r="D7823" s="37">
        <v>4.7679999999999998</v>
      </c>
      <c r="E7823" s="33">
        <f t="shared" si="251"/>
        <v>-1.4394463667819566E-3</v>
      </c>
    </row>
    <row r="7824" spans="1:5" x14ac:dyDescent="0.25">
      <c r="A7824" s="41">
        <v>43791</v>
      </c>
      <c r="B7824" s="37">
        <v>358.05</v>
      </c>
      <c r="C7824" s="37">
        <f t="shared" si="250"/>
        <v>59.674999999999997</v>
      </c>
      <c r="D7824" s="37">
        <v>4.7679999999999998</v>
      </c>
      <c r="E7824" s="33">
        <f t="shared" si="251"/>
        <v>-7.4293793141685105E-3</v>
      </c>
    </row>
    <row r="7825" spans="1:5" x14ac:dyDescent="0.25">
      <c r="A7825" s="41">
        <v>43791</v>
      </c>
      <c r="B7825" s="37">
        <v>352.46</v>
      </c>
      <c r="C7825" s="37">
        <f t="shared" si="250"/>
        <v>58.743333333333332</v>
      </c>
      <c r="D7825" s="37">
        <v>4.7679999999999998</v>
      </c>
      <c r="E7825" s="33">
        <f t="shared" si="251"/>
        <v>-1.5612344644602797E-2</v>
      </c>
    </row>
    <row r="7826" spans="1:5" x14ac:dyDescent="0.25">
      <c r="A7826" s="41">
        <v>43792</v>
      </c>
      <c r="B7826" s="37">
        <v>336.71</v>
      </c>
      <c r="C7826" s="37">
        <f t="shared" si="250"/>
        <v>56.118333333333332</v>
      </c>
      <c r="D7826" s="37">
        <v>4.3920000000000003</v>
      </c>
      <c r="E7826" s="33">
        <f t="shared" si="251"/>
        <v>-4.4685921806729846E-2</v>
      </c>
    </row>
    <row r="7827" spans="1:5" x14ac:dyDescent="0.25">
      <c r="A7827" s="41">
        <v>43792</v>
      </c>
      <c r="B7827" s="37">
        <v>333.22</v>
      </c>
      <c r="C7827" s="37">
        <f t="shared" si="250"/>
        <v>55.536666666666669</v>
      </c>
      <c r="D7827" s="37">
        <v>4.3920000000000003</v>
      </c>
      <c r="E7827" s="33">
        <f t="shared" si="251"/>
        <v>-1.0365002524427408E-2</v>
      </c>
    </row>
    <row r="7828" spans="1:5" x14ac:dyDescent="0.25">
      <c r="A7828" s="41">
        <v>43792</v>
      </c>
      <c r="B7828" s="37">
        <v>330.23</v>
      </c>
      <c r="C7828" s="37">
        <f t="shared" si="250"/>
        <v>55.038333333333334</v>
      </c>
      <c r="D7828" s="37">
        <v>4.3920000000000003</v>
      </c>
      <c r="E7828" s="33">
        <f t="shared" si="251"/>
        <v>-8.9730508372847032E-3</v>
      </c>
    </row>
    <row r="7829" spans="1:5" x14ac:dyDescent="0.25">
      <c r="A7829" s="41">
        <v>43792</v>
      </c>
      <c r="B7829" s="37">
        <v>330.12</v>
      </c>
      <c r="C7829" s="37">
        <f t="shared" si="250"/>
        <v>55.02</v>
      </c>
      <c r="D7829" s="37">
        <v>4.3920000000000003</v>
      </c>
      <c r="E7829" s="33">
        <f t="shared" si="251"/>
        <v>-3.3310117191052795E-4</v>
      </c>
    </row>
    <row r="7830" spans="1:5" x14ac:dyDescent="0.25">
      <c r="A7830" s="41">
        <v>43792</v>
      </c>
      <c r="B7830" s="37">
        <v>330.07</v>
      </c>
      <c r="C7830" s="37">
        <f t="shared" si="250"/>
        <v>55.011666666666663</v>
      </c>
      <c r="D7830" s="37">
        <v>4.3920000000000003</v>
      </c>
      <c r="E7830" s="33">
        <f t="shared" si="251"/>
        <v>-1.514600751242317E-4</v>
      </c>
    </row>
    <row r="7831" spans="1:5" x14ac:dyDescent="0.25">
      <c r="A7831" s="41">
        <v>43792</v>
      </c>
      <c r="B7831" s="37">
        <v>329.65</v>
      </c>
      <c r="C7831" s="37">
        <f t="shared" si="250"/>
        <v>54.94166666666667</v>
      </c>
      <c r="D7831" s="37">
        <v>4.3920000000000003</v>
      </c>
      <c r="E7831" s="33">
        <f t="shared" si="251"/>
        <v>-1.2724573575302691E-3</v>
      </c>
    </row>
    <row r="7832" spans="1:5" x14ac:dyDescent="0.25">
      <c r="A7832" s="41">
        <v>43792</v>
      </c>
      <c r="B7832" s="37">
        <v>329.95</v>
      </c>
      <c r="C7832" s="37">
        <f t="shared" si="250"/>
        <v>54.991666666666667</v>
      </c>
      <c r="D7832" s="37">
        <v>4.3920000000000003</v>
      </c>
      <c r="E7832" s="33">
        <f t="shared" si="251"/>
        <v>9.1005612012744241E-4</v>
      </c>
    </row>
    <row r="7833" spans="1:5" x14ac:dyDescent="0.25">
      <c r="A7833" s="41">
        <v>43792</v>
      </c>
      <c r="B7833" s="37">
        <v>332.84</v>
      </c>
      <c r="C7833" s="37">
        <f t="shared" si="250"/>
        <v>55.473333333333336</v>
      </c>
      <c r="D7833" s="37">
        <v>4.3920000000000003</v>
      </c>
      <c r="E7833" s="33">
        <f t="shared" si="251"/>
        <v>8.7589028640702726E-3</v>
      </c>
    </row>
    <row r="7834" spans="1:5" x14ac:dyDescent="0.25">
      <c r="A7834" s="41">
        <v>43792</v>
      </c>
      <c r="B7834" s="37">
        <v>337.49</v>
      </c>
      <c r="C7834" s="37">
        <f t="shared" si="250"/>
        <v>56.248333333333335</v>
      </c>
      <c r="D7834" s="37">
        <v>4.3920000000000003</v>
      </c>
      <c r="E7834" s="33">
        <f t="shared" si="251"/>
        <v>1.397067660137013E-2</v>
      </c>
    </row>
    <row r="7835" spans="1:5" x14ac:dyDescent="0.25">
      <c r="A7835" s="41">
        <v>43792</v>
      </c>
      <c r="B7835" s="37">
        <v>339.04</v>
      </c>
      <c r="C7835" s="37">
        <f t="shared" si="250"/>
        <v>56.506666666666668</v>
      </c>
      <c r="D7835" s="37">
        <v>4.3920000000000003</v>
      </c>
      <c r="E7835" s="33">
        <f t="shared" si="251"/>
        <v>4.5927286734422099E-3</v>
      </c>
    </row>
    <row r="7836" spans="1:5" x14ac:dyDescent="0.25">
      <c r="A7836" s="41">
        <v>43792</v>
      </c>
      <c r="B7836" s="37">
        <v>339.51</v>
      </c>
      <c r="C7836" s="37">
        <f t="shared" si="250"/>
        <v>56.585000000000001</v>
      </c>
      <c r="D7836" s="37">
        <v>4.3920000000000003</v>
      </c>
      <c r="E7836" s="33">
        <f t="shared" si="251"/>
        <v>1.3862671071259156E-3</v>
      </c>
    </row>
    <row r="7837" spans="1:5" x14ac:dyDescent="0.25">
      <c r="A7837" s="41">
        <v>43792</v>
      </c>
      <c r="B7837" s="37">
        <v>339.3</v>
      </c>
      <c r="C7837" s="37">
        <f t="shared" si="250"/>
        <v>56.55</v>
      </c>
      <c r="D7837" s="37">
        <v>4.3920000000000003</v>
      </c>
      <c r="E7837" s="33">
        <f t="shared" si="251"/>
        <v>-6.1853848192977979E-4</v>
      </c>
    </row>
    <row r="7838" spans="1:5" x14ac:dyDescent="0.25">
      <c r="A7838" s="41">
        <v>43792</v>
      </c>
      <c r="B7838" s="37">
        <v>339.08</v>
      </c>
      <c r="C7838" s="37">
        <f t="shared" si="250"/>
        <v>56.513333333333335</v>
      </c>
      <c r="D7838" s="37">
        <v>4.3920000000000003</v>
      </c>
      <c r="E7838" s="33">
        <f t="shared" si="251"/>
        <v>-6.4839375184210814E-4</v>
      </c>
    </row>
    <row r="7839" spans="1:5" x14ac:dyDescent="0.25">
      <c r="A7839" s="41">
        <v>43792</v>
      </c>
      <c r="B7839" s="37">
        <v>338.87</v>
      </c>
      <c r="C7839" s="37">
        <f t="shared" si="250"/>
        <v>56.478333333333332</v>
      </c>
      <c r="D7839" s="37">
        <v>4.3920000000000003</v>
      </c>
      <c r="E7839" s="33">
        <f t="shared" si="251"/>
        <v>-6.1932287365807346E-4</v>
      </c>
    </row>
    <row r="7840" spans="1:5" x14ac:dyDescent="0.25">
      <c r="A7840" s="41">
        <v>43792</v>
      </c>
      <c r="B7840" s="37">
        <v>338.66</v>
      </c>
      <c r="C7840" s="37">
        <f t="shared" si="250"/>
        <v>56.443333333333335</v>
      </c>
      <c r="D7840" s="37">
        <v>4.3920000000000003</v>
      </c>
      <c r="E7840" s="33">
        <f t="shared" si="251"/>
        <v>-6.1970667217510998E-4</v>
      </c>
    </row>
    <row r="7841" spans="1:5" x14ac:dyDescent="0.25">
      <c r="A7841" s="41">
        <v>43792</v>
      </c>
      <c r="B7841" s="37">
        <v>338.45</v>
      </c>
      <c r="C7841" s="37">
        <f t="shared" si="250"/>
        <v>56.408333333333331</v>
      </c>
      <c r="D7841" s="37">
        <v>4.3920000000000003</v>
      </c>
      <c r="E7841" s="33">
        <f t="shared" si="251"/>
        <v>-6.2009094667228593E-4</v>
      </c>
    </row>
    <row r="7842" spans="1:5" x14ac:dyDescent="0.25">
      <c r="A7842" s="41">
        <v>43792</v>
      </c>
      <c r="B7842" s="37">
        <v>338.24</v>
      </c>
      <c r="C7842" s="37">
        <f t="shared" si="250"/>
        <v>56.373333333333335</v>
      </c>
      <c r="D7842" s="37">
        <v>4.3920000000000003</v>
      </c>
      <c r="E7842" s="33">
        <f t="shared" si="251"/>
        <v>-6.2047569803509988E-4</v>
      </c>
    </row>
    <row r="7843" spans="1:5" x14ac:dyDescent="0.25">
      <c r="A7843" s="41">
        <v>43792</v>
      </c>
      <c r="B7843" s="37">
        <v>337.97</v>
      </c>
      <c r="C7843" s="37">
        <f t="shared" si="250"/>
        <v>56.328333333333333</v>
      </c>
      <c r="D7843" s="37">
        <v>4.3920000000000003</v>
      </c>
      <c r="E7843" s="33">
        <f t="shared" si="251"/>
        <v>-7.9824976348149776E-4</v>
      </c>
    </row>
    <row r="7844" spans="1:5" x14ac:dyDescent="0.25">
      <c r="A7844" s="41">
        <v>43792</v>
      </c>
      <c r="B7844" s="37">
        <v>344.68</v>
      </c>
      <c r="C7844" s="37">
        <f t="shared" si="250"/>
        <v>57.446666666666665</v>
      </c>
      <c r="D7844" s="37">
        <v>4.3920000000000003</v>
      </c>
      <c r="E7844" s="33">
        <f t="shared" si="251"/>
        <v>1.9853833180459742E-2</v>
      </c>
    </row>
    <row r="7845" spans="1:5" x14ac:dyDescent="0.25">
      <c r="A7845" s="41">
        <v>43792</v>
      </c>
      <c r="B7845" s="37">
        <v>347.93</v>
      </c>
      <c r="C7845" s="37">
        <f t="shared" si="250"/>
        <v>57.988333333333337</v>
      </c>
      <c r="D7845" s="37">
        <v>4.3920000000000003</v>
      </c>
      <c r="E7845" s="33">
        <f t="shared" si="251"/>
        <v>9.429035627248462E-3</v>
      </c>
    </row>
    <row r="7846" spans="1:5" x14ac:dyDescent="0.25">
      <c r="A7846" s="41">
        <v>43792</v>
      </c>
      <c r="B7846" s="37">
        <v>342.22</v>
      </c>
      <c r="C7846" s="37">
        <f t="shared" si="250"/>
        <v>57.036666666666669</v>
      </c>
      <c r="D7846" s="37">
        <v>4.3920000000000003</v>
      </c>
      <c r="E7846" s="33">
        <f t="shared" si="251"/>
        <v>-1.6411347110050812E-2</v>
      </c>
    </row>
    <row r="7847" spans="1:5" x14ac:dyDescent="0.25">
      <c r="A7847" s="41">
        <v>43792</v>
      </c>
      <c r="B7847" s="37">
        <v>338.78</v>
      </c>
      <c r="C7847" s="37">
        <f t="shared" si="250"/>
        <v>56.463333333333331</v>
      </c>
      <c r="D7847" s="37">
        <v>4.3920000000000003</v>
      </c>
      <c r="E7847" s="33">
        <f t="shared" si="251"/>
        <v>-1.0052013324762007E-2</v>
      </c>
    </row>
    <row r="7848" spans="1:5" x14ac:dyDescent="0.25">
      <c r="A7848" s="41">
        <v>43792</v>
      </c>
      <c r="B7848" s="37">
        <v>337.31</v>
      </c>
      <c r="C7848" s="37">
        <f t="shared" si="250"/>
        <v>56.218333333333334</v>
      </c>
      <c r="D7848" s="37">
        <v>4.3920000000000003</v>
      </c>
      <c r="E7848" s="33">
        <f t="shared" si="251"/>
        <v>-4.339099120373017E-3</v>
      </c>
    </row>
    <row r="7849" spans="1:5" x14ac:dyDescent="0.25">
      <c r="A7849" s="41">
        <v>43792</v>
      </c>
      <c r="B7849" s="37">
        <v>336.68</v>
      </c>
      <c r="C7849" s="37">
        <f t="shared" si="250"/>
        <v>56.113333333333337</v>
      </c>
      <c r="D7849" s="37">
        <v>4.3920000000000003</v>
      </c>
      <c r="E7849" s="33">
        <f t="shared" si="251"/>
        <v>-1.8677181227950415E-3</v>
      </c>
    </row>
    <row r="7850" spans="1:5" x14ac:dyDescent="0.25">
      <c r="A7850" s="41">
        <v>43793</v>
      </c>
      <c r="B7850" s="37">
        <v>334.16</v>
      </c>
      <c r="C7850" s="37">
        <f t="shared" si="250"/>
        <v>55.693333333333335</v>
      </c>
      <c r="D7850" s="37">
        <v>4.1020000000000003</v>
      </c>
      <c r="E7850" s="33">
        <f t="shared" si="251"/>
        <v>-7.4848520850658842E-3</v>
      </c>
    </row>
    <row r="7851" spans="1:5" x14ac:dyDescent="0.25">
      <c r="A7851" s="41">
        <v>43793</v>
      </c>
      <c r="B7851" s="37">
        <v>330.61</v>
      </c>
      <c r="C7851" s="37">
        <f t="shared" si="250"/>
        <v>55.101666666666667</v>
      </c>
      <c r="D7851" s="37">
        <v>4.1020000000000003</v>
      </c>
      <c r="E7851" s="33">
        <f t="shared" si="251"/>
        <v>-1.0623653339717534E-2</v>
      </c>
    </row>
    <row r="7852" spans="1:5" x14ac:dyDescent="0.25">
      <c r="A7852" s="41">
        <v>43793</v>
      </c>
      <c r="B7852" s="37">
        <v>328.69</v>
      </c>
      <c r="C7852" s="37">
        <f t="shared" si="250"/>
        <v>54.781666666666666</v>
      </c>
      <c r="D7852" s="37">
        <v>4.1020000000000003</v>
      </c>
      <c r="E7852" s="33">
        <f t="shared" si="251"/>
        <v>-5.8074468406884719E-3</v>
      </c>
    </row>
    <row r="7853" spans="1:5" x14ac:dyDescent="0.25">
      <c r="A7853" s="41">
        <v>43793</v>
      </c>
      <c r="B7853" s="37">
        <v>327.04000000000002</v>
      </c>
      <c r="C7853" s="37">
        <f t="shared" si="250"/>
        <v>54.506666666666675</v>
      </c>
      <c r="D7853" s="37">
        <v>4.1020000000000003</v>
      </c>
      <c r="E7853" s="33">
        <f t="shared" si="251"/>
        <v>-5.0199275913474012E-3</v>
      </c>
    </row>
    <row r="7854" spans="1:5" x14ac:dyDescent="0.25">
      <c r="A7854" s="41">
        <v>43793</v>
      </c>
      <c r="B7854" s="37">
        <v>326.52999999999997</v>
      </c>
      <c r="C7854" s="37">
        <f t="shared" si="250"/>
        <v>54.42166666666666</v>
      </c>
      <c r="D7854" s="37">
        <v>4.1020000000000003</v>
      </c>
      <c r="E7854" s="33">
        <f t="shared" si="251"/>
        <v>-1.5594422700588543E-3</v>
      </c>
    </row>
    <row r="7855" spans="1:5" x14ac:dyDescent="0.25">
      <c r="A7855" s="41">
        <v>43793</v>
      </c>
      <c r="B7855" s="37">
        <v>324.11</v>
      </c>
      <c r="C7855" s="37">
        <f t="shared" si="250"/>
        <v>54.018333333333331</v>
      </c>
      <c r="D7855" s="37">
        <v>4.1020000000000003</v>
      </c>
      <c r="E7855" s="33">
        <f t="shared" si="251"/>
        <v>-7.4112638961196806E-3</v>
      </c>
    </row>
    <row r="7856" spans="1:5" x14ac:dyDescent="0.25">
      <c r="A7856" s="41">
        <v>43793</v>
      </c>
      <c r="B7856" s="37">
        <v>320.41000000000003</v>
      </c>
      <c r="C7856" s="37">
        <f t="shared" si="250"/>
        <v>53.401666666666671</v>
      </c>
      <c r="D7856" s="37">
        <v>4.1020000000000003</v>
      </c>
      <c r="E7856" s="33">
        <f t="shared" si="251"/>
        <v>-1.1415877325599297E-2</v>
      </c>
    </row>
    <row r="7857" spans="1:5" x14ac:dyDescent="0.25">
      <c r="A7857" s="41">
        <v>43793</v>
      </c>
      <c r="B7857" s="37">
        <v>322.81</v>
      </c>
      <c r="C7857" s="37">
        <f t="shared" si="250"/>
        <v>53.801666666666669</v>
      </c>
      <c r="D7857" s="37">
        <v>4.1020000000000003</v>
      </c>
      <c r="E7857" s="33">
        <f t="shared" si="251"/>
        <v>7.4904029212570673E-3</v>
      </c>
    </row>
    <row r="7858" spans="1:5" x14ac:dyDescent="0.25">
      <c r="A7858" s="41">
        <v>43793</v>
      </c>
      <c r="B7858" s="37">
        <v>325.39999999999998</v>
      </c>
      <c r="C7858" s="37">
        <f t="shared" si="250"/>
        <v>54.233333333333327</v>
      </c>
      <c r="D7858" s="37">
        <v>4.1020000000000003</v>
      </c>
      <c r="E7858" s="33">
        <f t="shared" si="251"/>
        <v>8.0232954369442548E-3</v>
      </c>
    </row>
    <row r="7859" spans="1:5" x14ac:dyDescent="0.25">
      <c r="A7859" s="41">
        <v>43793</v>
      </c>
      <c r="B7859" s="37">
        <v>326.98</v>
      </c>
      <c r="C7859" s="37">
        <f t="shared" si="250"/>
        <v>54.49666666666667</v>
      </c>
      <c r="D7859" s="37">
        <v>4.1020000000000003</v>
      </c>
      <c r="E7859" s="33">
        <f t="shared" si="251"/>
        <v>4.8555623847573483E-3</v>
      </c>
    </row>
    <row r="7860" spans="1:5" x14ac:dyDescent="0.25">
      <c r="A7860" s="41">
        <v>43793</v>
      </c>
      <c r="B7860" s="37">
        <v>328.75</v>
      </c>
      <c r="C7860" s="37">
        <f t="shared" si="250"/>
        <v>54.791666666666664</v>
      </c>
      <c r="D7860" s="37">
        <v>4.1020000000000003</v>
      </c>
      <c r="E7860" s="33">
        <f t="shared" si="251"/>
        <v>5.4131751177441487E-3</v>
      </c>
    </row>
    <row r="7861" spans="1:5" x14ac:dyDescent="0.25">
      <c r="A7861" s="41">
        <v>43793</v>
      </c>
      <c r="B7861" s="37">
        <v>329.95</v>
      </c>
      <c r="C7861" s="37">
        <f t="shared" si="250"/>
        <v>54.991666666666667</v>
      </c>
      <c r="D7861" s="37">
        <v>4.1020000000000003</v>
      </c>
      <c r="E7861" s="33">
        <f t="shared" si="251"/>
        <v>3.6501901140684064E-3</v>
      </c>
    </row>
    <row r="7862" spans="1:5" x14ac:dyDescent="0.25">
      <c r="A7862" s="41">
        <v>43793</v>
      </c>
      <c r="B7862" s="37">
        <v>329.93</v>
      </c>
      <c r="C7862" s="37">
        <f t="shared" si="250"/>
        <v>54.988333333333337</v>
      </c>
      <c r="D7862" s="37">
        <v>4.1020000000000003</v>
      </c>
      <c r="E7862" s="33">
        <f t="shared" si="251"/>
        <v>-6.0615244733995488E-5</v>
      </c>
    </row>
    <row r="7863" spans="1:5" x14ac:dyDescent="0.25">
      <c r="A7863" s="41">
        <v>43793</v>
      </c>
      <c r="B7863" s="37">
        <v>329.87</v>
      </c>
      <c r="C7863" s="37">
        <f t="shared" si="250"/>
        <v>54.978333333333332</v>
      </c>
      <c r="D7863" s="37">
        <v>4.1020000000000003</v>
      </c>
      <c r="E7863" s="33">
        <f t="shared" si="251"/>
        <v>-1.8185675749402076E-4</v>
      </c>
    </row>
    <row r="7864" spans="1:5" x14ac:dyDescent="0.25">
      <c r="A7864" s="41">
        <v>43793</v>
      </c>
      <c r="B7864" s="37">
        <v>329.83</v>
      </c>
      <c r="C7864" s="37">
        <f t="shared" si="250"/>
        <v>54.971666666666664</v>
      </c>
      <c r="D7864" s="37">
        <v>4.1020000000000003</v>
      </c>
      <c r="E7864" s="33">
        <f t="shared" si="251"/>
        <v>-1.2125989025986135E-4</v>
      </c>
    </row>
    <row r="7865" spans="1:5" x14ac:dyDescent="0.25">
      <c r="A7865" s="41">
        <v>43793</v>
      </c>
      <c r="B7865" s="37">
        <v>329.49</v>
      </c>
      <c r="C7865" s="37">
        <f t="shared" si="250"/>
        <v>54.914999999999999</v>
      </c>
      <c r="D7865" s="37">
        <v>4.1020000000000003</v>
      </c>
      <c r="E7865" s="33">
        <f t="shared" si="251"/>
        <v>-1.0308340660339418E-3</v>
      </c>
    </row>
    <row r="7866" spans="1:5" x14ac:dyDescent="0.25">
      <c r="A7866" s="41">
        <v>43793</v>
      </c>
      <c r="B7866" s="37">
        <v>329.95</v>
      </c>
      <c r="C7866" s="37">
        <f t="shared" si="250"/>
        <v>54.991666666666667</v>
      </c>
      <c r="D7866" s="37">
        <v>4.1020000000000003</v>
      </c>
      <c r="E7866" s="33">
        <f t="shared" si="251"/>
        <v>1.3960969983913914E-3</v>
      </c>
    </row>
    <row r="7867" spans="1:5" x14ac:dyDescent="0.25">
      <c r="A7867" s="41">
        <v>43793</v>
      </c>
      <c r="B7867" s="37">
        <v>333.94</v>
      </c>
      <c r="C7867" s="37">
        <f t="shared" si="250"/>
        <v>55.656666666666666</v>
      </c>
      <c r="D7867" s="37">
        <v>4.1020000000000003</v>
      </c>
      <c r="E7867" s="33">
        <f t="shared" si="251"/>
        <v>1.2092741324443126E-2</v>
      </c>
    </row>
    <row r="7868" spans="1:5" x14ac:dyDescent="0.25">
      <c r="A7868" s="41">
        <v>43793</v>
      </c>
      <c r="B7868" s="37">
        <v>339.05</v>
      </c>
      <c r="C7868" s="37">
        <f t="shared" si="250"/>
        <v>56.508333333333333</v>
      </c>
      <c r="D7868" s="37">
        <v>4.1020000000000003</v>
      </c>
      <c r="E7868" s="33">
        <f t="shared" si="251"/>
        <v>1.5302150086841989E-2</v>
      </c>
    </row>
    <row r="7869" spans="1:5" x14ac:dyDescent="0.25">
      <c r="A7869" s="41">
        <v>43793</v>
      </c>
      <c r="B7869" s="37">
        <v>341.02</v>
      </c>
      <c r="C7869" s="37">
        <f t="shared" si="250"/>
        <v>56.836666666666666</v>
      </c>
      <c r="D7869" s="37">
        <v>4.1020000000000003</v>
      </c>
      <c r="E7869" s="33">
        <f t="shared" si="251"/>
        <v>5.8103524553899727E-3</v>
      </c>
    </row>
    <row r="7870" spans="1:5" x14ac:dyDescent="0.25">
      <c r="A7870" s="41">
        <v>43793</v>
      </c>
      <c r="B7870" s="37">
        <v>339.63</v>
      </c>
      <c r="C7870" s="37">
        <f t="shared" si="250"/>
        <v>56.604999999999997</v>
      </c>
      <c r="D7870" s="37">
        <v>4.1020000000000003</v>
      </c>
      <c r="E7870" s="33">
        <f t="shared" si="251"/>
        <v>-4.076007272300705E-3</v>
      </c>
    </row>
    <row r="7871" spans="1:5" x14ac:dyDescent="0.25">
      <c r="A7871" s="41">
        <v>43793</v>
      </c>
      <c r="B7871" s="37">
        <v>338.93</v>
      </c>
      <c r="C7871" s="37">
        <f t="shared" si="250"/>
        <v>56.488333333333337</v>
      </c>
      <c r="D7871" s="37">
        <v>4.1020000000000003</v>
      </c>
      <c r="E7871" s="33">
        <f t="shared" si="251"/>
        <v>-2.0610664546712263E-3</v>
      </c>
    </row>
    <row r="7872" spans="1:5" x14ac:dyDescent="0.25">
      <c r="A7872" s="41">
        <v>43793</v>
      </c>
      <c r="B7872" s="37">
        <v>338.15</v>
      </c>
      <c r="C7872" s="37">
        <f t="shared" si="250"/>
        <v>56.358333333333334</v>
      </c>
      <c r="D7872" s="37">
        <v>4.1020000000000003</v>
      </c>
      <c r="E7872" s="33">
        <f t="shared" si="251"/>
        <v>-2.3013601628655758E-3</v>
      </c>
    </row>
    <row r="7873" spans="1:5" x14ac:dyDescent="0.25">
      <c r="A7873" s="41">
        <v>43793</v>
      </c>
      <c r="B7873" s="37">
        <v>335.9</v>
      </c>
      <c r="C7873" s="37">
        <f t="shared" si="250"/>
        <v>55.983333333333334</v>
      </c>
      <c r="D7873" s="37">
        <v>4.1020000000000003</v>
      </c>
      <c r="E7873" s="33">
        <f t="shared" si="251"/>
        <v>-6.6538518408990098E-3</v>
      </c>
    </row>
    <row r="7874" spans="1:5" x14ac:dyDescent="0.25">
      <c r="A7874" s="41">
        <v>43794</v>
      </c>
      <c r="B7874" s="37">
        <v>328.38</v>
      </c>
      <c r="C7874" s="37">
        <f t="shared" si="250"/>
        <v>54.73</v>
      </c>
      <c r="D7874" s="37">
        <v>3.9390000000000001</v>
      </c>
      <c r="E7874" s="33">
        <f t="shared" si="251"/>
        <v>-2.2387615361714745E-2</v>
      </c>
    </row>
    <row r="7875" spans="1:5" x14ac:dyDescent="0.25">
      <c r="A7875" s="41">
        <v>43794</v>
      </c>
      <c r="B7875" s="37">
        <v>322.87</v>
      </c>
      <c r="C7875" s="37">
        <f t="shared" ref="C7875:C7938" si="252">(B7875*100/600)</f>
        <v>53.811666666666667</v>
      </c>
      <c r="D7875" s="37">
        <v>3.9390000000000001</v>
      </c>
      <c r="E7875" s="33">
        <f t="shared" si="251"/>
        <v>-1.6779341007369483E-2</v>
      </c>
    </row>
    <row r="7876" spans="1:5" x14ac:dyDescent="0.25">
      <c r="A7876" s="41">
        <v>43794</v>
      </c>
      <c r="B7876" s="37">
        <v>316.95999999999998</v>
      </c>
      <c r="C7876" s="37">
        <f t="shared" si="252"/>
        <v>52.826666666666661</v>
      </c>
      <c r="D7876" s="37">
        <v>3.9390000000000001</v>
      </c>
      <c r="E7876" s="33">
        <f t="shared" ref="E7876:E7939" si="253">(B7876-B7875)/B7875</f>
        <v>-1.8304580791030523E-2</v>
      </c>
    </row>
    <row r="7877" spans="1:5" x14ac:dyDescent="0.25">
      <c r="A7877" s="41">
        <v>43794</v>
      </c>
      <c r="B7877" s="37">
        <v>316.64999999999998</v>
      </c>
      <c r="C7877" s="37">
        <f t="shared" si="252"/>
        <v>52.774999999999991</v>
      </c>
      <c r="D7877" s="37">
        <v>3.9390000000000001</v>
      </c>
      <c r="E7877" s="33">
        <f t="shared" si="253"/>
        <v>-9.7804139323574672E-4</v>
      </c>
    </row>
    <row r="7878" spans="1:5" x14ac:dyDescent="0.25">
      <c r="A7878" s="41">
        <v>43794</v>
      </c>
      <c r="B7878" s="37">
        <v>316.52</v>
      </c>
      <c r="C7878" s="37">
        <f t="shared" si="252"/>
        <v>52.75333333333333</v>
      </c>
      <c r="D7878" s="37">
        <v>3.9390000000000001</v>
      </c>
      <c r="E7878" s="33">
        <f t="shared" si="253"/>
        <v>-4.1054792357491065E-4</v>
      </c>
    </row>
    <row r="7879" spans="1:5" x14ac:dyDescent="0.25">
      <c r="A7879" s="41">
        <v>43794</v>
      </c>
      <c r="B7879" s="37">
        <v>316.47000000000003</v>
      </c>
      <c r="C7879" s="37">
        <f t="shared" si="252"/>
        <v>52.745000000000005</v>
      </c>
      <c r="D7879" s="37">
        <v>3.9390000000000001</v>
      </c>
      <c r="E7879" s="33">
        <f t="shared" si="253"/>
        <v>-1.5796790092238887E-4</v>
      </c>
    </row>
    <row r="7880" spans="1:5" x14ac:dyDescent="0.25">
      <c r="A7880" s="41">
        <v>43794</v>
      </c>
      <c r="B7880" s="37">
        <v>322.58999999999997</v>
      </c>
      <c r="C7880" s="37">
        <f t="shared" si="252"/>
        <v>53.764999999999993</v>
      </c>
      <c r="D7880" s="37">
        <v>3.9390000000000001</v>
      </c>
      <c r="E7880" s="33">
        <f t="shared" si="253"/>
        <v>1.9338325907668808E-2</v>
      </c>
    </row>
    <row r="7881" spans="1:5" x14ac:dyDescent="0.25">
      <c r="A7881" s="41">
        <v>43794</v>
      </c>
      <c r="B7881" s="37">
        <v>330.16</v>
      </c>
      <c r="C7881" s="37">
        <f t="shared" si="252"/>
        <v>55.026666666666664</v>
      </c>
      <c r="D7881" s="37">
        <v>3.9390000000000001</v>
      </c>
      <c r="E7881" s="33">
        <f t="shared" si="253"/>
        <v>2.3466319476735331E-2</v>
      </c>
    </row>
    <row r="7882" spans="1:5" x14ac:dyDescent="0.25">
      <c r="A7882" s="41">
        <v>43794</v>
      </c>
      <c r="B7882" s="37">
        <v>336.06</v>
      </c>
      <c r="C7882" s="37">
        <f t="shared" si="252"/>
        <v>56.01</v>
      </c>
      <c r="D7882" s="37">
        <v>3.9390000000000001</v>
      </c>
      <c r="E7882" s="33">
        <f t="shared" si="253"/>
        <v>1.7870123576447714E-2</v>
      </c>
    </row>
    <row r="7883" spans="1:5" x14ac:dyDescent="0.25">
      <c r="A7883" s="41">
        <v>43794</v>
      </c>
      <c r="B7883" s="37">
        <v>341.18</v>
      </c>
      <c r="C7883" s="37">
        <f t="shared" si="252"/>
        <v>56.863333333333337</v>
      </c>
      <c r="D7883" s="37">
        <v>3.9390000000000001</v>
      </c>
      <c r="E7883" s="33">
        <f t="shared" si="253"/>
        <v>1.5235374635481773E-2</v>
      </c>
    </row>
    <row r="7884" spans="1:5" x14ac:dyDescent="0.25">
      <c r="A7884" s="41">
        <v>43794</v>
      </c>
      <c r="B7884" s="37">
        <v>345.21</v>
      </c>
      <c r="C7884" s="37">
        <f t="shared" si="252"/>
        <v>57.534999999999997</v>
      </c>
      <c r="D7884" s="37">
        <v>3.9390000000000001</v>
      </c>
      <c r="E7884" s="33">
        <f t="shared" si="253"/>
        <v>1.1811946772964337E-2</v>
      </c>
    </row>
    <row r="7885" spans="1:5" x14ac:dyDescent="0.25">
      <c r="A7885" s="41">
        <v>43794</v>
      </c>
      <c r="B7885" s="37">
        <v>345.37</v>
      </c>
      <c r="C7885" s="37">
        <f t="shared" si="252"/>
        <v>57.561666666666667</v>
      </c>
      <c r="D7885" s="37">
        <v>3.9390000000000001</v>
      </c>
      <c r="E7885" s="33">
        <f t="shared" si="253"/>
        <v>4.6348599403269033E-4</v>
      </c>
    </row>
    <row r="7886" spans="1:5" x14ac:dyDescent="0.25">
      <c r="A7886" s="41">
        <v>43794</v>
      </c>
      <c r="B7886" s="37">
        <v>342.19</v>
      </c>
      <c r="C7886" s="37">
        <f t="shared" si="252"/>
        <v>57.031666666666666</v>
      </c>
      <c r="D7886" s="37">
        <v>3.9390000000000001</v>
      </c>
      <c r="E7886" s="33">
        <f t="shared" si="253"/>
        <v>-9.2075165764253022E-3</v>
      </c>
    </row>
    <row r="7887" spans="1:5" x14ac:dyDescent="0.25">
      <c r="A7887" s="41">
        <v>43794</v>
      </c>
      <c r="B7887" s="37">
        <v>345.29</v>
      </c>
      <c r="C7887" s="37">
        <f t="shared" si="252"/>
        <v>57.548333333333332</v>
      </c>
      <c r="D7887" s="37">
        <v>3.9390000000000001</v>
      </c>
      <c r="E7887" s="33">
        <f t="shared" si="253"/>
        <v>9.0592945439668688E-3</v>
      </c>
    </row>
    <row r="7888" spans="1:5" x14ac:dyDescent="0.25">
      <c r="A7888" s="41">
        <v>43794</v>
      </c>
      <c r="B7888" s="37">
        <v>345.63</v>
      </c>
      <c r="C7888" s="37">
        <f t="shared" si="252"/>
        <v>57.604999999999997</v>
      </c>
      <c r="D7888" s="37">
        <v>3.9390000000000001</v>
      </c>
      <c r="E7888" s="33">
        <f t="shared" si="253"/>
        <v>9.8467954473044393E-4</v>
      </c>
    </row>
    <row r="7889" spans="1:5" x14ac:dyDescent="0.25">
      <c r="A7889" s="41">
        <v>43794</v>
      </c>
      <c r="B7889" s="37">
        <v>345.39</v>
      </c>
      <c r="C7889" s="37">
        <f t="shared" si="252"/>
        <v>57.564999999999998</v>
      </c>
      <c r="D7889" s="37">
        <v>3.9390000000000001</v>
      </c>
      <c r="E7889" s="33">
        <f t="shared" si="253"/>
        <v>-6.94384168040995E-4</v>
      </c>
    </row>
    <row r="7890" spans="1:5" x14ac:dyDescent="0.25">
      <c r="A7890" s="41">
        <v>43794</v>
      </c>
      <c r="B7890" s="37">
        <v>344.65</v>
      </c>
      <c r="C7890" s="37">
        <f t="shared" si="252"/>
        <v>57.44166666666667</v>
      </c>
      <c r="D7890" s="37">
        <v>3.9390000000000001</v>
      </c>
      <c r="E7890" s="33">
        <f t="shared" si="253"/>
        <v>-2.1425055734097952E-3</v>
      </c>
    </row>
    <row r="7891" spans="1:5" x14ac:dyDescent="0.25">
      <c r="A7891" s="41">
        <v>43794</v>
      </c>
      <c r="B7891" s="37">
        <v>342.47</v>
      </c>
      <c r="C7891" s="37">
        <f t="shared" si="252"/>
        <v>57.078333333333333</v>
      </c>
      <c r="D7891" s="37">
        <v>3.9390000000000001</v>
      </c>
      <c r="E7891" s="33">
        <f t="shared" si="253"/>
        <v>-6.3252575076162779E-3</v>
      </c>
    </row>
    <row r="7892" spans="1:5" x14ac:dyDescent="0.25">
      <c r="A7892" s="41">
        <v>43794</v>
      </c>
      <c r="B7892" s="37">
        <v>342.72</v>
      </c>
      <c r="C7892" s="37">
        <f t="shared" si="252"/>
        <v>57.12</v>
      </c>
      <c r="D7892" s="37">
        <v>3.9390000000000001</v>
      </c>
      <c r="E7892" s="33">
        <f t="shared" si="253"/>
        <v>7.2999094811224336E-4</v>
      </c>
    </row>
    <row r="7893" spans="1:5" x14ac:dyDescent="0.25">
      <c r="A7893" s="41">
        <v>43794</v>
      </c>
      <c r="B7893" s="37">
        <v>343.47</v>
      </c>
      <c r="C7893" s="37">
        <f t="shared" si="252"/>
        <v>57.244999999999997</v>
      </c>
      <c r="D7893" s="37">
        <v>3.9390000000000001</v>
      </c>
      <c r="E7893" s="33">
        <f t="shared" si="253"/>
        <v>2.1883753501400561E-3</v>
      </c>
    </row>
    <row r="7894" spans="1:5" x14ac:dyDescent="0.25">
      <c r="A7894" s="41">
        <v>43794</v>
      </c>
      <c r="B7894" s="37">
        <v>343.68</v>
      </c>
      <c r="C7894" s="37">
        <f t="shared" si="252"/>
        <v>57.28</v>
      </c>
      <c r="D7894" s="37">
        <v>3.9390000000000001</v>
      </c>
      <c r="E7894" s="33">
        <f t="shared" si="253"/>
        <v>6.1140710979118852E-4</v>
      </c>
    </row>
    <row r="7895" spans="1:5" x14ac:dyDescent="0.25">
      <c r="A7895" s="41">
        <v>43794</v>
      </c>
      <c r="B7895" s="37">
        <v>342.92</v>
      </c>
      <c r="C7895" s="37">
        <f t="shared" si="252"/>
        <v>57.153333333333336</v>
      </c>
      <c r="D7895" s="37">
        <v>3.9390000000000001</v>
      </c>
      <c r="E7895" s="33">
        <f t="shared" si="253"/>
        <v>-2.2113594040968076E-3</v>
      </c>
    </row>
    <row r="7896" spans="1:5" x14ac:dyDescent="0.25">
      <c r="A7896" s="41">
        <v>43794</v>
      </c>
      <c r="B7896" s="37">
        <v>340.05</v>
      </c>
      <c r="C7896" s="37">
        <f t="shared" si="252"/>
        <v>56.674999999999997</v>
      </c>
      <c r="D7896" s="37">
        <v>3.9390000000000001</v>
      </c>
      <c r="E7896" s="33">
        <f t="shared" si="253"/>
        <v>-8.3692989618570062E-3</v>
      </c>
    </row>
    <row r="7897" spans="1:5" x14ac:dyDescent="0.25">
      <c r="A7897" s="41">
        <v>43794</v>
      </c>
      <c r="B7897" s="37">
        <v>333.35</v>
      </c>
      <c r="C7897" s="37">
        <f t="shared" si="252"/>
        <v>55.55833333333333</v>
      </c>
      <c r="D7897" s="37">
        <v>3.9390000000000001</v>
      </c>
      <c r="E7897" s="33">
        <f t="shared" si="253"/>
        <v>-1.9702984855168325E-2</v>
      </c>
    </row>
    <row r="7898" spans="1:5" x14ac:dyDescent="0.25">
      <c r="A7898" s="41">
        <v>43795</v>
      </c>
      <c r="B7898" s="37">
        <v>324</v>
      </c>
      <c r="C7898" s="37">
        <f t="shared" si="252"/>
        <v>54</v>
      </c>
      <c r="D7898" s="37">
        <v>4.0179999999999998</v>
      </c>
      <c r="E7898" s="33">
        <f t="shared" si="253"/>
        <v>-2.8048597570121559E-2</v>
      </c>
    </row>
    <row r="7899" spans="1:5" x14ac:dyDescent="0.25">
      <c r="A7899" s="41">
        <v>43795</v>
      </c>
      <c r="B7899" s="37">
        <v>318.72000000000003</v>
      </c>
      <c r="C7899" s="37">
        <f t="shared" si="252"/>
        <v>53.120000000000005</v>
      </c>
      <c r="D7899" s="37">
        <v>4.0179999999999998</v>
      </c>
      <c r="E7899" s="33">
        <f t="shared" si="253"/>
        <v>-1.6296296296296212E-2</v>
      </c>
    </row>
    <row r="7900" spans="1:5" x14ac:dyDescent="0.25">
      <c r="A7900" s="41">
        <v>43795</v>
      </c>
      <c r="B7900" s="37">
        <v>317.5</v>
      </c>
      <c r="C7900" s="37">
        <f t="shared" si="252"/>
        <v>52.916666666666664</v>
      </c>
      <c r="D7900" s="37">
        <v>4.0179999999999998</v>
      </c>
      <c r="E7900" s="33">
        <f t="shared" si="253"/>
        <v>-3.827811244980005E-3</v>
      </c>
    </row>
    <row r="7901" spans="1:5" x14ac:dyDescent="0.25">
      <c r="A7901" s="41">
        <v>43795</v>
      </c>
      <c r="B7901" s="37">
        <v>317.37</v>
      </c>
      <c r="C7901" s="37">
        <f t="shared" si="252"/>
        <v>52.895000000000003</v>
      </c>
      <c r="D7901" s="37">
        <v>4.0179999999999998</v>
      </c>
      <c r="E7901" s="33">
        <f t="shared" si="253"/>
        <v>-4.0944881889762346E-4</v>
      </c>
    </row>
    <row r="7902" spans="1:5" x14ac:dyDescent="0.25">
      <c r="A7902" s="41">
        <v>43795</v>
      </c>
      <c r="B7902" s="37">
        <v>317.23</v>
      </c>
      <c r="C7902" s="37">
        <f t="shared" si="252"/>
        <v>52.87166666666667</v>
      </c>
      <c r="D7902" s="37">
        <v>4.0179999999999998</v>
      </c>
      <c r="E7902" s="33">
        <f t="shared" si="253"/>
        <v>-4.4112550020476525E-4</v>
      </c>
    </row>
    <row r="7903" spans="1:5" x14ac:dyDescent="0.25">
      <c r="A7903" s="41">
        <v>43795</v>
      </c>
      <c r="B7903" s="37">
        <v>317.08999999999997</v>
      </c>
      <c r="C7903" s="37">
        <f t="shared" si="252"/>
        <v>52.848333333333329</v>
      </c>
      <c r="D7903" s="37">
        <v>4.0179999999999998</v>
      </c>
      <c r="E7903" s="33">
        <f t="shared" si="253"/>
        <v>-4.4132017778912206E-4</v>
      </c>
    </row>
    <row r="7904" spans="1:5" x14ac:dyDescent="0.25">
      <c r="A7904" s="41">
        <v>43795</v>
      </c>
      <c r="B7904" s="37">
        <v>320.42</v>
      </c>
      <c r="C7904" s="37">
        <f t="shared" si="252"/>
        <v>53.403333333333336</v>
      </c>
      <c r="D7904" s="37">
        <v>4.0179999999999998</v>
      </c>
      <c r="E7904" s="33">
        <f t="shared" si="253"/>
        <v>1.0501750291715416E-2</v>
      </c>
    </row>
    <row r="7905" spans="1:5" x14ac:dyDescent="0.25">
      <c r="A7905" s="41">
        <v>43795</v>
      </c>
      <c r="B7905" s="37">
        <v>325.95</v>
      </c>
      <c r="C7905" s="37">
        <f t="shared" si="252"/>
        <v>54.325000000000003</v>
      </c>
      <c r="D7905" s="37">
        <v>4.0179999999999998</v>
      </c>
      <c r="E7905" s="33">
        <f t="shared" si="253"/>
        <v>1.725859809000678E-2</v>
      </c>
    </row>
    <row r="7906" spans="1:5" x14ac:dyDescent="0.25">
      <c r="A7906" s="41">
        <v>43795</v>
      </c>
      <c r="B7906" s="37">
        <v>333.19</v>
      </c>
      <c r="C7906" s="37">
        <f t="shared" si="252"/>
        <v>55.531666666666666</v>
      </c>
      <c r="D7906" s="37">
        <v>4.0179999999999998</v>
      </c>
      <c r="E7906" s="33">
        <f t="shared" si="253"/>
        <v>2.2211995704862739E-2</v>
      </c>
    </row>
    <row r="7907" spans="1:5" x14ac:dyDescent="0.25">
      <c r="A7907" s="41">
        <v>43795</v>
      </c>
      <c r="B7907" s="37">
        <v>334.25</v>
      </c>
      <c r="C7907" s="37">
        <f t="shared" si="252"/>
        <v>55.708333333333336</v>
      </c>
      <c r="D7907" s="37">
        <v>4.0179999999999998</v>
      </c>
      <c r="E7907" s="33">
        <f t="shared" si="253"/>
        <v>3.1813679882349479E-3</v>
      </c>
    </row>
    <row r="7908" spans="1:5" x14ac:dyDescent="0.25">
      <c r="A7908" s="41">
        <v>43795</v>
      </c>
      <c r="B7908" s="37">
        <v>337.36</v>
      </c>
      <c r="C7908" s="37">
        <f t="shared" si="252"/>
        <v>56.226666666666667</v>
      </c>
      <c r="D7908" s="37">
        <v>4.0179999999999998</v>
      </c>
      <c r="E7908" s="33">
        <f t="shared" si="253"/>
        <v>9.3044128646223301E-3</v>
      </c>
    </row>
    <row r="7909" spans="1:5" x14ac:dyDescent="0.25">
      <c r="A7909" s="41">
        <v>43795</v>
      </c>
      <c r="B7909" s="37">
        <v>339.23</v>
      </c>
      <c r="C7909" s="37">
        <f t="shared" si="252"/>
        <v>56.538333333333334</v>
      </c>
      <c r="D7909" s="37">
        <v>4.0179999999999998</v>
      </c>
      <c r="E7909" s="33">
        <f t="shared" si="253"/>
        <v>5.543040075883343E-3</v>
      </c>
    </row>
    <row r="7910" spans="1:5" x14ac:dyDescent="0.25">
      <c r="A7910" s="41">
        <v>43795</v>
      </c>
      <c r="B7910" s="37">
        <v>334.21</v>
      </c>
      <c r="C7910" s="37">
        <f t="shared" si="252"/>
        <v>55.701666666666668</v>
      </c>
      <c r="D7910" s="37">
        <v>4.0179999999999998</v>
      </c>
      <c r="E7910" s="33">
        <f t="shared" si="253"/>
        <v>-1.4798219497096478E-2</v>
      </c>
    </row>
    <row r="7911" spans="1:5" x14ac:dyDescent="0.25">
      <c r="A7911" s="41">
        <v>43795</v>
      </c>
      <c r="B7911" s="37">
        <v>342.08</v>
      </c>
      <c r="C7911" s="37">
        <f t="shared" si="252"/>
        <v>57.013333333333335</v>
      </c>
      <c r="D7911" s="37">
        <v>4.0179999999999998</v>
      </c>
      <c r="E7911" s="33">
        <f t="shared" si="253"/>
        <v>2.3548068579635574E-2</v>
      </c>
    </row>
    <row r="7912" spans="1:5" x14ac:dyDescent="0.25">
      <c r="A7912" s="41">
        <v>43795</v>
      </c>
      <c r="B7912" s="37">
        <v>344.26</v>
      </c>
      <c r="C7912" s="37">
        <f t="shared" si="252"/>
        <v>57.376666666666665</v>
      </c>
      <c r="D7912" s="37">
        <v>4.0179999999999998</v>
      </c>
      <c r="E7912" s="33">
        <f t="shared" si="253"/>
        <v>6.3727782974742951E-3</v>
      </c>
    </row>
    <row r="7913" spans="1:5" x14ac:dyDescent="0.25">
      <c r="A7913" s="41">
        <v>43795</v>
      </c>
      <c r="B7913" s="37">
        <v>343.97</v>
      </c>
      <c r="C7913" s="37">
        <f t="shared" si="252"/>
        <v>57.328333333333333</v>
      </c>
      <c r="D7913" s="37">
        <v>4.0179999999999998</v>
      </c>
      <c r="E7913" s="33">
        <f t="shared" si="253"/>
        <v>-8.4238656829130202E-4</v>
      </c>
    </row>
    <row r="7914" spans="1:5" x14ac:dyDescent="0.25">
      <c r="A7914" s="41">
        <v>43795</v>
      </c>
      <c r="B7914" s="37">
        <v>342.68</v>
      </c>
      <c r="C7914" s="37">
        <f t="shared" si="252"/>
        <v>57.113333333333337</v>
      </c>
      <c r="D7914" s="37">
        <v>4.0179999999999998</v>
      </c>
      <c r="E7914" s="33">
        <f t="shared" si="253"/>
        <v>-3.7503270634067516E-3</v>
      </c>
    </row>
    <row r="7915" spans="1:5" x14ac:dyDescent="0.25">
      <c r="A7915" s="41">
        <v>43795</v>
      </c>
      <c r="B7915" s="37">
        <v>333.75</v>
      </c>
      <c r="C7915" s="37">
        <f t="shared" si="252"/>
        <v>55.625</v>
      </c>
      <c r="D7915" s="37">
        <v>4.0179999999999998</v>
      </c>
      <c r="E7915" s="33">
        <f t="shared" si="253"/>
        <v>-2.6059297303606881E-2</v>
      </c>
    </row>
    <row r="7916" spans="1:5" x14ac:dyDescent="0.25">
      <c r="A7916" s="41">
        <v>43795</v>
      </c>
      <c r="B7916" s="37">
        <v>333.17</v>
      </c>
      <c r="C7916" s="37">
        <f t="shared" si="252"/>
        <v>55.528333333333336</v>
      </c>
      <c r="D7916" s="37">
        <v>4.0179999999999998</v>
      </c>
      <c r="E7916" s="33">
        <f t="shared" si="253"/>
        <v>-1.7378277153557577E-3</v>
      </c>
    </row>
    <row r="7917" spans="1:5" x14ac:dyDescent="0.25">
      <c r="A7917" s="41">
        <v>43795</v>
      </c>
      <c r="B7917" s="37">
        <v>333.47</v>
      </c>
      <c r="C7917" s="37">
        <f t="shared" si="252"/>
        <v>55.578333333333333</v>
      </c>
      <c r="D7917" s="37">
        <v>4.0179999999999998</v>
      </c>
      <c r="E7917" s="33">
        <f t="shared" si="253"/>
        <v>9.0044121619597007E-4</v>
      </c>
    </row>
    <row r="7918" spans="1:5" x14ac:dyDescent="0.25">
      <c r="A7918" s="41">
        <v>43795</v>
      </c>
      <c r="B7918" s="37">
        <v>333.04</v>
      </c>
      <c r="C7918" s="37">
        <f t="shared" si="252"/>
        <v>55.506666666666668</v>
      </c>
      <c r="D7918" s="37">
        <v>4.0179999999999998</v>
      </c>
      <c r="E7918" s="33">
        <f t="shared" si="253"/>
        <v>-1.2894713167601486E-3</v>
      </c>
    </row>
    <row r="7919" spans="1:5" x14ac:dyDescent="0.25">
      <c r="A7919" s="41">
        <v>43795</v>
      </c>
      <c r="B7919" s="37">
        <v>332.83</v>
      </c>
      <c r="C7919" s="37">
        <f t="shared" si="252"/>
        <v>55.471666666666664</v>
      </c>
      <c r="D7919" s="37">
        <v>4.0179999999999998</v>
      </c>
      <c r="E7919" s="33">
        <f t="shared" si="253"/>
        <v>-6.3055488830181467E-4</v>
      </c>
    </row>
    <row r="7920" spans="1:5" x14ac:dyDescent="0.25">
      <c r="A7920" s="41">
        <v>43795</v>
      </c>
      <c r="B7920" s="37">
        <v>332.53</v>
      </c>
      <c r="C7920" s="37">
        <f t="shared" si="252"/>
        <v>55.421666666666667</v>
      </c>
      <c r="D7920" s="37">
        <v>4.0179999999999998</v>
      </c>
      <c r="E7920" s="33">
        <f t="shared" si="253"/>
        <v>-9.0136105519337617E-4</v>
      </c>
    </row>
    <row r="7921" spans="1:5" x14ac:dyDescent="0.25">
      <c r="A7921" s="41">
        <v>43795</v>
      </c>
      <c r="B7921" s="37">
        <v>331</v>
      </c>
      <c r="C7921" s="37">
        <f t="shared" si="252"/>
        <v>55.166666666666664</v>
      </c>
      <c r="D7921" s="37">
        <v>4.0179999999999998</v>
      </c>
      <c r="E7921" s="33">
        <f t="shared" si="253"/>
        <v>-4.6010886235827528E-3</v>
      </c>
    </row>
    <row r="7922" spans="1:5" x14ac:dyDescent="0.25">
      <c r="A7922" s="41">
        <v>43796</v>
      </c>
      <c r="B7922" s="37">
        <v>326.97000000000003</v>
      </c>
      <c r="C7922" s="37">
        <f t="shared" si="252"/>
        <v>54.495000000000005</v>
      </c>
      <c r="D7922" s="37">
        <v>4.524</v>
      </c>
      <c r="E7922" s="33">
        <f t="shared" si="253"/>
        <v>-1.2175226586102636E-2</v>
      </c>
    </row>
    <row r="7923" spans="1:5" x14ac:dyDescent="0.25">
      <c r="A7923" s="41">
        <v>43796</v>
      </c>
      <c r="B7923" s="37">
        <v>323.07</v>
      </c>
      <c r="C7923" s="37">
        <f t="shared" si="252"/>
        <v>53.844999999999999</v>
      </c>
      <c r="D7923" s="37">
        <v>4.524</v>
      </c>
      <c r="E7923" s="33">
        <f t="shared" si="253"/>
        <v>-1.1927699788971569E-2</v>
      </c>
    </row>
    <row r="7924" spans="1:5" x14ac:dyDescent="0.25">
      <c r="A7924" s="41">
        <v>43796</v>
      </c>
      <c r="B7924" s="37">
        <v>318.79000000000002</v>
      </c>
      <c r="C7924" s="37">
        <f t="shared" si="252"/>
        <v>53.131666666666675</v>
      </c>
      <c r="D7924" s="37">
        <v>4.524</v>
      </c>
      <c r="E7924" s="33">
        <f t="shared" si="253"/>
        <v>-1.3247902931253205E-2</v>
      </c>
    </row>
    <row r="7925" spans="1:5" x14ac:dyDescent="0.25">
      <c r="A7925" s="41">
        <v>43796</v>
      </c>
      <c r="B7925" s="37">
        <v>317.16000000000003</v>
      </c>
      <c r="C7925" s="37">
        <f t="shared" si="252"/>
        <v>52.860000000000007</v>
      </c>
      <c r="D7925" s="37">
        <v>4.524</v>
      </c>
      <c r="E7925" s="33">
        <f t="shared" si="253"/>
        <v>-5.1130838483013754E-3</v>
      </c>
    </row>
    <row r="7926" spans="1:5" x14ac:dyDescent="0.25">
      <c r="A7926" s="41">
        <v>43796</v>
      </c>
      <c r="B7926" s="37">
        <v>316.94</v>
      </c>
      <c r="C7926" s="37">
        <f t="shared" si="252"/>
        <v>52.823333333333331</v>
      </c>
      <c r="D7926" s="37">
        <v>4.524</v>
      </c>
      <c r="E7926" s="33">
        <f t="shared" si="253"/>
        <v>-6.9365619876411678E-4</v>
      </c>
    </row>
    <row r="7927" spans="1:5" x14ac:dyDescent="0.25">
      <c r="A7927" s="41">
        <v>43796</v>
      </c>
      <c r="B7927" s="37">
        <v>316.77999999999997</v>
      </c>
      <c r="C7927" s="37">
        <f t="shared" si="252"/>
        <v>52.79666666666666</v>
      </c>
      <c r="D7927" s="37">
        <v>4.524</v>
      </c>
      <c r="E7927" s="33">
        <f t="shared" si="253"/>
        <v>-5.0482741212855753E-4</v>
      </c>
    </row>
    <row r="7928" spans="1:5" x14ac:dyDescent="0.25">
      <c r="A7928" s="41">
        <v>43796</v>
      </c>
      <c r="B7928" s="37">
        <v>322.42</v>
      </c>
      <c r="C7928" s="37">
        <f t="shared" si="252"/>
        <v>53.736666666666665</v>
      </c>
      <c r="D7928" s="37">
        <v>4.524</v>
      </c>
      <c r="E7928" s="33">
        <f t="shared" si="253"/>
        <v>1.7804154302670763E-2</v>
      </c>
    </row>
    <row r="7929" spans="1:5" x14ac:dyDescent="0.25">
      <c r="A7929" s="41">
        <v>43796</v>
      </c>
      <c r="B7929" s="37">
        <v>326.72000000000003</v>
      </c>
      <c r="C7929" s="37">
        <f t="shared" si="252"/>
        <v>54.45333333333334</v>
      </c>
      <c r="D7929" s="37">
        <v>4.524</v>
      </c>
      <c r="E7929" s="33">
        <f t="shared" si="253"/>
        <v>1.3336641647540511E-2</v>
      </c>
    </row>
    <row r="7930" spans="1:5" x14ac:dyDescent="0.25">
      <c r="A7930" s="41">
        <v>43796</v>
      </c>
      <c r="B7930" s="37">
        <v>329.18</v>
      </c>
      <c r="C7930" s="37">
        <f t="shared" si="252"/>
        <v>54.863333333333337</v>
      </c>
      <c r="D7930" s="37">
        <v>4.524</v>
      </c>
      <c r="E7930" s="33">
        <f t="shared" si="253"/>
        <v>7.5293829578843641E-3</v>
      </c>
    </row>
    <row r="7931" spans="1:5" x14ac:dyDescent="0.25">
      <c r="A7931" s="41">
        <v>43796</v>
      </c>
      <c r="B7931" s="37">
        <v>333.28</v>
      </c>
      <c r="C7931" s="37">
        <f t="shared" si="252"/>
        <v>55.546666666666667</v>
      </c>
      <c r="D7931" s="37">
        <v>4.524</v>
      </c>
      <c r="E7931" s="33">
        <f t="shared" si="253"/>
        <v>1.2455191688437834E-2</v>
      </c>
    </row>
    <row r="7932" spans="1:5" x14ac:dyDescent="0.25">
      <c r="A7932" s="41">
        <v>43796</v>
      </c>
      <c r="B7932" s="37">
        <v>338.84</v>
      </c>
      <c r="C7932" s="37">
        <f t="shared" si="252"/>
        <v>56.473333333333336</v>
      </c>
      <c r="D7932" s="37">
        <v>4.524</v>
      </c>
      <c r="E7932" s="33">
        <f t="shared" si="253"/>
        <v>1.6682669227076341E-2</v>
      </c>
    </row>
    <row r="7933" spans="1:5" x14ac:dyDescent="0.25">
      <c r="A7933" s="41">
        <v>43796</v>
      </c>
      <c r="B7933" s="37">
        <v>341.22</v>
      </c>
      <c r="C7933" s="37">
        <f t="shared" si="252"/>
        <v>56.87</v>
      </c>
      <c r="D7933" s="37">
        <v>4.524</v>
      </c>
      <c r="E7933" s="33">
        <f t="shared" si="253"/>
        <v>7.02396411285578E-3</v>
      </c>
    </row>
    <row r="7934" spans="1:5" x14ac:dyDescent="0.25">
      <c r="A7934" s="41">
        <v>43796</v>
      </c>
      <c r="B7934" s="37">
        <v>337.9</v>
      </c>
      <c r="C7934" s="37">
        <f t="shared" si="252"/>
        <v>56.31666666666667</v>
      </c>
      <c r="D7934" s="37">
        <v>4.524</v>
      </c>
      <c r="E7934" s="33">
        <f t="shared" si="253"/>
        <v>-9.7297930953638406E-3</v>
      </c>
    </row>
    <row r="7935" spans="1:5" x14ac:dyDescent="0.25">
      <c r="A7935" s="41">
        <v>43796</v>
      </c>
      <c r="B7935" s="37">
        <v>343.1</v>
      </c>
      <c r="C7935" s="37">
        <f t="shared" si="252"/>
        <v>57.18333333333333</v>
      </c>
      <c r="D7935" s="37">
        <v>4.524</v>
      </c>
      <c r="E7935" s="33">
        <f t="shared" si="253"/>
        <v>1.5389168393015821E-2</v>
      </c>
    </row>
    <row r="7936" spans="1:5" x14ac:dyDescent="0.25">
      <c r="A7936" s="41">
        <v>43796</v>
      </c>
      <c r="B7936" s="37">
        <v>346.97</v>
      </c>
      <c r="C7936" s="37">
        <f t="shared" si="252"/>
        <v>57.828333333333333</v>
      </c>
      <c r="D7936" s="37">
        <v>4.524</v>
      </c>
      <c r="E7936" s="33">
        <f t="shared" si="253"/>
        <v>1.1279510346837669E-2</v>
      </c>
    </row>
    <row r="7937" spans="1:5" x14ac:dyDescent="0.25">
      <c r="A7937" s="41">
        <v>43796</v>
      </c>
      <c r="B7937" s="37">
        <v>346.89</v>
      </c>
      <c r="C7937" s="37">
        <f t="shared" si="252"/>
        <v>57.814999999999998</v>
      </c>
      <c r="D7937" s="37">
        <v>4.524</v>
      </c>
      <c r="E7937" s="33">
        <f t="shared" si="253"/>
        <v>-2.3056748422065575E-4</v>
      </c>
    </row>
    <row r="7938" spans="1:5" x14ac:dyDescent="0.25">
      <c r="A7938" s="41">
        <v>43796</v>
      </c>
      <c r="B7938" s="37">
        <v>344.64</v>
      </c>
      <c r="C7938" s="37">
        <f t="shared" si="252"/>
        <v>57.44</v>
      </c>
      <c r="D7938" s="37">
        <v>4.524</v>
      </c>
      <c r="E7938" s="33">
        <f t="shared" si="253"/>
        <v>-6.4862060019026209E-3</v>
      </c>
    </row>
    <row r="7939" spans="1:5" x14ac:dyDescent="0.25">
      <c r="A7939" s="41">
        <v>43796</v>
      </c>
      <c r="B7939" s="37">
        <v>337.54</v>
      </c>
      <c r="C7939" s="37">
        <f t="shared" ref="C7939:C8002" si="254">(B7939*100/600)</f>
        <v>56.256666666666668</v>
      </c>
      <c r="D7939" s="37">
        <v>4.524</v>
      </c>
      <c r="E7939" s="33">
        <f t="shared" si="253"/>
        <v>-2.0601207056638714E-2</v>
      </c>
    </row>
    <row r="7940" spans="1:5" x14ac:dyDescent="0.25">
      <c r="A7940" s="41">
        <v>43796</v>
      </c>
      <c r="B7940" s="37">
        <v>335.59</v>
      </c>
      <c r="C7940" s="37">
        <f t="shared" si="254"/>
        <v>55.931666666666665</v>
      </c>
      <c r="D7940" s="37">
        <v>4.524</v>
      </c>
      <c r="E7940" s="33">
        <f t="shared" ref="E7940:E8003" si="255">(B7940-B7939)/B7939</f>
        <v>-5.7770930852641027E-3</v>
      </c>
    </row>
    <row r="7941" spans="1:5" x14ac:dyDescent="0.25">
      <c r="A7941" s="41">
        <v>43796</v>
      </c>
      <c r="B7941" s="37">
        <v>340.24</v>
      </c>
      <c r="C7941" s="37">
        <f t="shared" si="254"/>
        <v>56.706666666666663</v>
      </c>
      <c r="D7941" s="37">
        <v>4.524</v>
      </c>
      <c r="E7941" s="33">
        <f t="shared" si="255"/>
        <v>1.3856193569534356E-2</v>
      </c>
    </row>
    <row r="7942" spans="1:5" x14ac:dyDescent="0.25">
      <c r="A7942" s="41">
        <v>43796</v>
      </c>
      <c r="B7942" s="37">
        <v>340.14</v>
      </c>
      <c r="C7942" s="37">
        <f t="shared" si="254"/>
        <v>56.69</v>
      </c>
      <c r="D7942" s="37">
        <v>4.524</v>
      </c>
      <c r="E7942" s="33">
        <f t="shared" si="255"/>
        <v>-2.9391018104873832E-4</v>
      </c>
    </row>
    <row r="7943" spans="1:5" x14ac:dyDescent="0.25">
      <c r="A7943" s="41">
        <v>43796</v>
      </c>
      <c r="B7943" s="37">
        <v>340.1</v>
      </c>
      <c r="C7943" s="37">
        <f t="shared" si="254"/>
        <v>56.68333333333333</v>
      </c>
      <c r="D7943" s="37">
        <v>4.524</v>
      </c>
      <c r="E7943" s="33">
        <f t="shared" si="255"/>
        <v>-1.1759863585571713E-4</v>
      </c>
    </row>
    <row r="7944" spans="1:5" x14ac:dyDescent="0.25">
      <c r="A7944" s="41">
        <v>43796</v>
      </c>
      <c r="B7944" s="37">
        <v>334.8</v>
      </c>
      <c r="C7944" s="37">
        <f t="shared" si="254"/>
        <v>55.8</v>
      </c>
      <c r="D7944" s="37">
        <v>4.524</v>
      </c>
      <c r="E7944" s="33">
        <f t="shared" si="255"/>
        <v>-1.5583651867097944E-2</v>
      </c>
    </row>
    <row r="7945" spans="1:5" x14ac:dyDescent="0.25">
      <c r="A7945" s="41">
        <v>43796</v>
      </c>
      <c r="B7945" s="37">
        <v>329.54</v>
      </c>
      <c r="C7945" s="37">
        <f t="shared" si="254"/>
        <v>54.923333333333332</v>
      </c>
      <c r="D7945" s="37">
        <v>4.524</v>
      </c>
      <c r="E7945" s="33">
        <f t="shared" si="255"/>
        <v>-1.5710872162485037E-2</v>
      </c>
    </row>
    <row r="7946" spans="1:5" x14ac:dyDescent="0.25">
      <c r="A7946" s="41">
        <v>43797</v>
      </c>
      <c r="B7946" s="37">
        <v>321.77</v>
      </c>
      <c r="C7946" s="37">
        <f t="shared" si="254"/>
        <v>53.62833333333333</v>
      </c>
      <c r="D7946" s="37">
        <v>5.2919999999999998</v>
      </c>
      <c r="E7946" s="33">
        <f t="shared" si="255"/>
        <v>-2.3578321296352608E-2</v>
      </c>
    </row>
    <row r="7947" spans="1:5" x14ac:dyDescent="0.25">
      <c r="A7947" s="41">
        <v>43797</v>
      </c>
      <c r="B7947" s="37">
        <v>320.45999999999998</v>
      </c>
      <c r="C7947" s="37">
        <f t="shared" si="254"/>
        <v>53.41</v>
      </c>
      <c r="D7947" s="37">
        <v>5.2919999999999998</v>
      </c>
      <c r="E7947" s="33">
        <f t="shared" si="255"/>
        <v>-4.0712310035118321E-3</v>
      </c>
    </row>
    <row r="7948" spans="1:5" x14ac:dyDescent="0.25">
      <c r="A7948" s="41">
        <v>43797</v>
      </c>
      <c r="B7948" s="37">
        <v>319.60000000000002</v>
      </c>
      <c r="C7948" s="37">
        <f t="shared" si="254"/>
        <v>53.266666666666673</v>
      </c>
      <c r="D7948" s="37">
        <v>5.2919999999999998</v>
      </c>
      <c r="E7948" s="33">
        <f t="shared" si="255"/>
        <v>-2.683642264245013E-3</v>
      </c>
    </row>
    <row r="7949" spans="1:5" x14ac:dyDescent="0.25">
      <c r="A7949" s="41">
        <v>43797</v>
      </c>
      <c r="B7949" s="37">
        <v>319.04000000000002</v>
      </c>
      <c r="C7949" s="37">
        <f t="shared" si="254"/>
        <v>53.173333333333339</v>
      </c>
      <c r="D7949" s="37">
        <v>5.2919999999999998</v>
      </c>
      <c r="E7949" s="33">
        <f t="shared" si="255"/>
        <v>-1.7521902377972535E-3</v>
      </c>
    </row>
    <row r="7950" spans="1:5" x14ac:dyDescent="0.25">
      <c r="A7950" s="41">
        <v>43797</v>
      </c>
      <c r="B7950" s="37">
        <v>319.54000000000002</v>
      </c>
      <c r="C7950" s="37">
        <f t="shared" si="254"/>
        <v>53.256666666666675</v>
      </c>
      <c r="D7950" s="37">
        <v>5.2919999999999998</v>
      </c>
      <c r="E7950" s="33">
        <f t="shared" si="255"/>
        <v>1.5672016048144432E-3</v>
      </c>
    </row>
    <row r="7951" spans="1:5" x14ac:dyDescent="0.25">
      <c r="A7951" s="41">
        <v>43797</v>
      </c>
      <c r="B7951" s="37">
        <v>319.60000000000002</v>
      </c>
      <c r="C7951" s="37">
        <f t="shared" si="254"/>
        <v>53.266666666666673</v>
      </c>
      <c r="D7951" s="37">
        <v>5.2919999999999998</v>
      </c>
      <c r="E7951" s="33">
        <f t="shared" si="255"/>
        <v>1.8776991925894182E-4</v>
      </c>
    </row>
    <row r="7952" spans="1:5" x14ac:dyDescent="0.25">
      <c r="A7952" s="41">
        <v>43797</v>
      </c>
      <c r="B7952" s="37">
        <v>320.08999999999997</v>
      </c>
      <c r="C7952" s="37">
        <f t="shared" si="254"/>
        <v>53.348333333333329</v>
      </c>
      <c r="D7952" s="37">
        <v>5.2919999999999998</v>
      </c>
      <c r="E7952" s="33">
        <f t="shared" si="255"/>
        <v>1.5331664580724412E-3</v>
      </c>
    </row>
    <row r="7953" spans="1:5" x14ac:dyDescent="0.25">
      <c r="A7953" s="41">
        <v>43797</v>
      </c>
      <c r="B7953" s="37">
        <v>323.77999999999997</v>
      </c>
      <c r="C7953" s="37">
        <f t="shared" si="254"/>
        <v>53.963333333333324</v>
      </c>
      <c r="D7953" s="37">
        <v>5.2919999999999998</v>
      </c>
      <c r="E7953" s="33">
        <f t="shared" si="255"/>
        <v>1.152800774782092E-2</v>
      </c>
    </row>
    <row r="7954" spans="1:5" x14ac:dyDescent="0.25">
      <c r="A7954" s="41">
        <v>43797</v>
      </c>
      <c r="B7954" s="37">
        <v>330.98</v>
      </c>
      <c r="C7954" s="37">
        <f t="shared" si="254"/>
        <v>55.163333333333334</v>
      </c>
      <c r="D7954" s="37">
        <v>5.2919999999999998</v>
      </c>
      <c r="E7954" s="33">
        <f t="shared" si="255"/>
        <v>2.2237321638149503E-2</v>
      </c>
    </row>
    <row r="7955" spans="1:5" x14ac:dyDescent="0.25">
      <c r="A7955" s="41">
        <v>43797</v>
      </c>
      <c r="B7955" s="37">
        <v>336.94</v>
      </c>
      <c r="C7955" s="37">
        <f t="shared" si="254"/>
        <v>56.156666666666666</v>
      </c>
      <c r="D7955" s="37">
        <v>5.2919999999999998</v>
      </c>
      <c r="E7955" s="33">
        <f t="shared" si="255"/>
        <v>1.8007130340201762E-2</v>
      </c>
    </row>
    <row r="7956" spans="1:5" x14ac:dyDescent="0.25">
      <c r="A7956" s="41">
        <v>43797</v>
      </c>
      <c r="B7956" s="37">
        <v>341.92</v>
      </c>
      <c r="C7956" s="37">
        <f t="shared" si="254"/>
        <v>56.986666666666665</v>
      </c>
      <c r="D7956" s="37">
        <v>5.2919999999999998</v>
      </c>
      <c r="E7956" s="33">
        <f t="shared" si="255"/>
        <v>1.4780079539383921E-2</v>
      </c>
    </row>
    <row r="7957" spans="1:5" x14ac:dyDescent="0.25">
      <c r="A7957" s="41">
        <v>43797</v>
      </c>
      <c r="B7957" s="37">
        <v>342.74</v>
      </c>
      <c r="C7957" s="37">
        <f t="shared" si="254"/>
        <v>57.123333333333335</v>
      </c>
      <c r="D7957" s="37">
        <v>5.2919999999999998</v>
      </c>
      <c r="E7957" s="33">
        <f t="shared" si="255"/>
        <v>2.3982218062704526E-3</v>
      </c>
    </row>
    <row r="7958" spans="1:5" x14ac:dyDescent="0.25">
      <c r="A7958" s="41">
        <v>43797</v>
      </c>
      <c r="B7958" s="37">
        <v>340.24</v>
      </c>
      <c r="C7958" s="37">
        <f t="shared" si="254"/>
        <v>56.706666666666663</v>
      </c>
      <c r="D7958" s="37">
        <v>5.2919999999999998</v>
      </c>
      <c r="E7958" s="33">
        <f t="shared" si="255"/>
        <v>-7.2941588376028476E-3</v>
      </c>
    </row>
    <row r="7959" spans="1:5" x14ac:dyDescent="0.25">
      <c r="A7959" s="41">
        <v>43797</v>
      </c>
      <c r="B7959" s="37">
        <v>343.98</v>
      </c>
      <c r="C7959" s="37">
        <f t="shared" si="254"/>
        <v>57.33</v>
      </c>
      <c r="D7959" s="37">
        <v>5.2919999999999998</v>
      </c>
      <c r="E7959" s="33">
        <f t="shared" si="255"/>
        <v>1.0992240771220341E-2</v>
      </c>
    </row>
    <row r="7960" spans="1:5" x14ac:dyDescent="0.25">
      <c r="A7960" s="41">
        <v>43797</v>
      </c>
      <c r="B7960" s="37">
        <v>347.18</v>
      </c>
      <c r="C7960" s="37">
        <f t="shared" si="254"/>
        <v>57.863333333333337</v>
      </c>
      <c r="D7960" s="37">
        <v>5.2919999999999998</v>
      </c>
      <c r="E7960" s="33">
        <f t="shared" si="255"/>
        <v>9.3028664457235552E-3</v>
      </c>
    </row>
    <row r="7961" spans="1:5" x14ac:dyDescent="0.25">
      <c r="A7961" s="41">
        <v>43797</v>
      </c>
      <c r="B7961" s="37">
        <v>345.26</v>
      </c>
      <c r="C7961" s="37">
        <f t="shared" si="254"/>
        <v>57.543333333333337</v>
      </c>
      <c r="D7961" s="37">
        <v>5.2919999999999998</v>
      </c>
      <c r="E7961" s="33">
        <f t="shared" si="255"/>
        <v>-5.5302724811337519E-3</v>
      </c>
    </row>
    <row r="7962" spans="1:5" x14ac:dyDescent="0.25">
      <c r="A7962" s="41">
        <v>43797</v>
      </c>
      <c r="B7962" s="37">
        <v>341.63</v>
      </c>
      <c r="C7962" s="37">
        <f t="shared" si="254"/>
        <v>56.938333333333333</v>
      </c>
      <c r="D7962" s="37">
        <v>5.2919999999999998</v>
      </c>
      <c r="E7962" s="33">
        <f t="shared" si="255"/>
        <v>-1.0513815675143357E-2</v>
      </c>
    </row>
    <row r="7963" spans="1:5" x14ac:dyDescent="0.25">
      <c r="A7963" s="41">
        <v>43797</v>
      </c>
      <c r="B7963" s="37">
        <v>335.48</v>
      </c>
      <c r="C7963" s="37">
        <f t="shared" si="254"/>
        <v>55.913333333333334</v>
      </c>
      <c r="D7963" s="37">
        <v>5.2919999999999998</v>
      </c>
      <c r="E7963" s="33">
        <f t="shared" si="255"/>
        <v>-1.8001931914644432E-2</v>
      </c>
    </row>
    <row r="7964" spans="1:5" x14ac:dyDescent="0.25">
      <c r="A7964" s="41">
        <v>43797</v>
      </c>
      <c r="B7964" s="37">
        <v>334.56</v>
      </c>
      <c r="C7964" s="37">
        <f t="shared" si="254"/>
        <v>55.76</v>
      </c>
      <c r="D7964" s="37">
        <v>5.2919999999999998</v>
      </c>
      <c r="E7964" s="33">
        <f t="shared" si="255"/>
        <v>-2.7423393346846783E-3</v>
      </c>
    </row>
    <row r="7965" spans="1:5" x14ac:dyDescent="0.25">
      <c r="A7965" s="41">
        <v>43797</v>
      </c>
      <c r="B7965" s="37">
        <v>338.7</v>
      </c>
      <c r="C7965" s="37">
        <f t="shared" si="254"/>
        <v>56.45</v>
      </c>
      <c r="D7965" s="37">
        <v>5.2919999999999998</v>
      </c>
      <c r="E7965" s="33">
        <f t="shared" si="255"/>
        <v>1.2374461979913876E-2</v>
      </c>
    </row>
    <row r="7966" spans="1:5" x14ac:dyDescent="0.25">
      <c r="A7966" s="41">
        <v>43797</v>
      </c>
      <c r="B7966" s="37">
        <v>335.92</v>
      </c>
      <c r="C7966" s="37">
        <f t="shared" si="254"/>
        <v>55.986666666666665</v>
      </c>
      <c r="D7966" s="37">
        <v>5.2919999999999998</v>
      </c>
      <c r="E7966" s="33">
        <f t="shared" si="255"/>
        <v>-8.2078535577206173E-3</v>
      </c>
    </row>
    <row r="7967" spans="1:5" x14ac:dyDescent="0.25">
      <c r="A7967" s="41">
        <v>43797</v>
      </c>
      <c r="B7967" s="37">
        <v>335.8</v>
      </c>
      <c r="C7967" s="37">
        <f t="shared" si="254"/>
        <v>55.966666666666669</v>
      </c>
      <c r="D7967" s="37">
        <v>5.2919999999999998</v>
      </c>
      <c r="E7967" s="33">
        <f t="shared" si="255"/>
        <v>-3.5722791140749147E-4</v>
      </c>
    </row>
    <row r="7968" spans="1:5" x14ac:dyDescent="0.25">
      <c r="A7968" s="41">
        <v>43797</v>
      </c>
      <c r="B7968" s="37">
        <v>333.3</v>
      </c>
      <c r="C7968" s="37">
        <f t="shared" si="254"/>
        <v>55.55</v>
      </c>
      <c r="D7968" s="37">
        <v>5.2919999999999998</v>
      </c>
      <c r="E7968" s="33">
        <f t="shared" si="255"/>
        <v>-7.4449076831447289E-3</v>
      </c>
    </row>
    <row r="7969" spans="1:5" x14ac:dyDescent="0.25">
      <c r="A7969" s="41">
        <v>43797</v>
      </c>
      <c r="B7969" s="37">
        <v>327.77</v>
      </c>
      <c r="C7969" s="37">
        <f t="shared" si="254"/>
        <v>54.62833333333333</v>
      </c>
      <c r="D7969" s="37">
        <v>5.2919999999999998</v>
      </c>
      <c r="E7969" s="33">
        <f t="shared" si="255"/>
        <v>-1.6591659165916681E-2</v>
      </c>
    </row>
    <row r="7970" spans="1:5" x14ac:dyDescent="0.25">
      <c r="A7970" s="41">
        <v>43798</v>
      </c>
      <c r="B7970" s="37">
        <v>317.60000000000002</v>
      </c>
      <c r="C7970" s="37">
        <f t="shared" si="254"/>
        <v>52.933333333333337</v>
      </c>
      <c r="D7970" s="37">
        <v>5.5679999999999996</v>
      </c>
      <c r="E7970" s="33">
        <f t="shared" si="255"/>
        <v>-3.1027854898251699E-2</v>
      </c>
    </row>
    <row r="7971" spans="1:5" x14ac:dyDescent="0.25">
      <c r="A7971" s="41">
        <v>43798</v>
      </c>
      <c r="B7971" s="37">
        <v>315.76</v>
      </c>
      <c r="C7971" s="37">
        <f t="shared" si="254"/>
        <v>52.626666666666665</v>
      </c>
      <c r="D7971" s="37">
        <v>5.5679999999999996</v>
      </c>
      <c r="E7971" s="33">
        <f t="shared" si="255"/>
        <v>-5.7934508816121907E-3</v>
      </c>
    </row>
    <row r="7972" spans="1:5" x14ac:dyDescent="0.25">
      <c r="A7972" s="41">
        <v>43798</v>
      </c>
      <c r="B7972" s="37">
        <v>314.04000000000002</v>
      </c>
      <c r="C7972" s="37">
        <f t="shared" si="254"/>
        <v>52.34</v>
      </c>
      <c r="D7972" s="37">
        <v>5.5679999999999996</v>
      </c>
      <c r="E7972" s="33">
        <f t="shared" si="255"/>
        <v>-5.4471750696730757E-3</v>
      </c>
    </row>
    <row r="7973" spans="1:5" x14ac:dyDescent="0.25">
      <c r="A7973" s="41">
        <v>43798</v>
      </c>
      <c r="B7973" s="37">
        <v>314.12</v>
      </c>
      <c r="C7973" s="37">
        <f t="shared" si="254"/>
        <v>52.353333333333332</v>
      </c>
      <c r="D7973" s="37">
        <v>5.5679999999999996</v>
      </c>
      <c r="E7973" s="33">
        <f t="shared" si="255"/>
        <v>2.5474461851988304E-4</v>
      </c>
    </row>
    <row r="7974" spans="1:5" x14ac:dyDescent="0.25">
      <c r="A7974" s="41">
        <v>43798</v>
      </c>
      <c r="B7974" s="37">
        <v>314.92</v>
      </c>
      <c r="C7974" s="37">
        <f t="shared" si="254"/>
        <v>52.486666666666665</v>
      </c>
      <c r="D7974" s="37">
        <v>5.5679999999999996</v>
      </c>
      <c r="E7974" s="33">
        <f t="shared" si="255"/>
        <v>2.5467974022666861E-3</v>
      </c>
    </row>
    <row r="7975" spans="1:5" x14ac:dyDescent="0.25">
      <c r="A7975" s="41">
        <v>43798</v>
      </c>
      <c r="B7975" s="37">
        <v>314.95999999999998</v>
      </c>
      <c r="C7975" s="37">
        <f t="shared" si="254"/>
        <v>52.493333333333325</v>
      </c>
      <c r="D7975" s="37">
        <v>5.5679999999999996</v>
      </c>
      <c r="E7975" s="33">
        <f t="shared" si="255"/>
        <v>1.2701638511356414E-4</v>
      </c>
    </row>
    <row r="7976" spans="1:5" x14ac:dyDescent="0.25">
      <c r="A7976" s="41">
        <v>43798</v>
      </c>
      <c r="B7976" s="37">
        <v>315.89999999999998</v>
      </c>
      <c r="C7976" s="37">
        <f t="shared" si="254"/>
        <v>52.649999999999991</v>
      </c>
      <c r="D7976" s="37">
        <v>5.5679999999999996</v>
      </c>
      <c r="E7976" s="33">
        <f t="shared" si="255"/>
        <v>2.9845059690119312E-3</v>
      </c>
    </row>
    <row r="7977" spans="1:5" x14ac:dyDescent="0.25">
      <c r="A7977" s="41">
        <v>43798</v>
      </c>
      <c r="B7977" s="37">
        <v>320.99</v>
      </c>
      <c r="C7977" s="37">
        <f t="shared" si="254"/>
        <v>53.498333333333335</v>
      </c>
      <c r="D7977" s="37">
        <v>5.5679999999999996</v>
      </c>
      <c r="E7977" s="33">
        <f t="shared" si="255"/>
        <v>1.611269389047177E-2</v>
      </c>
    </row>
    <row r="7978" spans="1:5" x14ac:dyDescent="0.25">
      <c r="A7978" s="41">
        <v>43798</v>
      </c>
      <c r="B7978" s="37">
        <v>328.18</v>
      </c>
      <c r="C7978" s="37">
        <f t="shared" si="254"/>
        <v>54.696666666666665</v>
      </c>
      <c r="D7978" s="37">
        <v>5.5679999999999996</v>
      </c>
      <c r="E7978" s="33">
        <f t="shared" si="255"/>
        <v>2.2399451696314521E-2</v>
      </c>
    </row>
    <row r="7979" spans="1:5" x14ac:dyDescent="0.25">
      <c r="A7979" s="41">
        <v>43798</v>
      </c>
      <c r="B7979" s="37">
        <v>335.1</v>
      </c>
      <c r="C7979" s="37">
        <f t="shared" si="254"/>
        <v>55.85</v>
      </c>
      <c r="D7979" s="37">
        <v>5.5679999999999996</v>
      </c>
      <c r="E7979" s="33">
        <f t="shared" si="255"/>
        <v>2.1085989396063185E-2</v>
      </c>
    </row>
    <row r="7980" spans="1:5" x14ac:dyDescent="0.25">
      <c r="A7980" s="41">
        <v>43798</v>
      </c>
      <c r="B7980" s="37">
        <v>338.49</v>
      </c>
      <c r="C7980" s="37">
        <f t="shared" si="254"/>
        <v>56.414999999999999</v>
      </c>
      <c r="D7980" s="37">
        <v>5.5679999999999996</v>
      </c>
      <c r="E7980" s="33">
        <f t="shared" si="255"/>
        <v>1.0116383169203182E-2</v>
      </c>
    </row>
    <row r="7981" spans="1:5" x14ac:dyDescent="0.25">
      <c r="A7981" s="41">
        <v>43798</v>
      </c>
      <c r="B7981" s="37">
        <v>339.02</v>
      </c>
      <c r="C7981" s="37">
        <f t="shared" si="254"/>
        <v>56.50333333333333</v>
      </c>
      <c r="D7981" s="37">
        <v>5.5679999999999996</v>
      </c>
      <c r="E7981" s="33">
        <f t="shared" si="255"/>
        <v>1.5657774232620541E-3</v>
      </c>
    </row>
    <row r="7982" spans="1:5" x14ac:dyDescent="0.25">
      <c r="A7982" s="41">
        <v>43798</v>
      </c>
      <c r="B7982" s="37">
        <v>336.55</v>
      </c>
      <c r="C7982" s="37">
        <f t="shared" si="254"/>
        <v>56.091666666666669</v>
      </c>
      <c r="D7982" s="37">
        <v>5.5679999999999996</v>
      </c>
      <c r="E7982" s="33">
        <f t="shared" si="255"/>
        <v>-7.2857058580613849E-3</v>
      </c>
    </row>
    <row r="7983" spans="1:5" x14ac:dyDescent="0.25">
      <c r="A7983" s="41">
        <v>43798</v>
      </c>
      <c r="B7983" s="37">
        <v>339.21</v>
      </c>
      <c r="C7983" s="37">
        <f t="shared" si="254"/>
        <v>56.534999999999997</v>
      </c>
      <c r="D7983" s="37">
        <v>5.5679999999999996</v>
      </c>
      <c r="E7983" s="33">
        <f t="shared" si="255"/>
        <v>7.9037290150051048E-3</v>
      </c>
    </row>
    <row r="7984" spans="1:5" x14ac:dyDescent="0.25">
      <c r="A7984" s="41">
        <v>43798</v>
      </c>
      <c r="B7984" s="37">
        <v>340.79</v>
      </c>
      <c r="C7984" s="37">
        <f t="shared" si="254"/>
        <v>56.798333333333332</v>
      </c>
      <c r="D7984" s="37">
        <v>5.5679999999999996</v>
      </c>
      <c r="E7984" s="33">
        <f t="shared" si="255"/>
        <v>4.6578815483035319E-3</v>
      </c>
    </row>
    <row r="7985" spans="1:5" x14ac:dyDescent="0.25">
      <c r="A7985" s="41">
        <v>43798</v>
      </c>
      <c r="B7985" s="37">
        <v>339.84</v>
      </c>
      <c r="C7985" s="37">
        <f t="shared" si="254"/>
        <v>56.64</v>
      </c>
      <c r="D7985" s="37">
        <v>5.5679999999999996</v>
      </c>
      <c r="E7985" s="33">
        <f t="shared" si="255"/>
        <v>-2.7876404824086548E-3</v>
      </c>
    </row>
    <row r="7986" spans="1:5" x14ac:dyDescent="0.25">
      <c r="A7986" s="41">
        <v>43798</v>
      </c>
      <c r="B7986" s="37">
        <v>336.96</v>
      </c>
      <c r="C7986" s="37">
        <f t="shared" si="254"/>
        <v>56.16</v>
      </c>
      <c r="D7986" s="37">
        <v>5.5679999999999996</v>
      </c>
      <c r="E7986" s="33">
        <f t="shared" si="255"/>
        <v>-8.4745762711864285E-3</v>
      </c>
    </row>
    <row r="7987" spans="1:5" x14ac:dyDescent="0.25">
      <c r="A7987" s="41">
        <v>43798</v>
      </c>
      <c r="B7987" s="37">
        <v>330.12</v>
      </c>
      <c r="C7987" s="37">
        <f t="shared" si="254"/>
        <v>55.02</v>
      </c>
      <c r="D7987" s="37">
        <v>5.5679999999999996</v>
      </c>
      <c r="E7987" s="33">
        <f t="shared" si="255"/>
        <v>-2.0299145299145227E-2</v>
      </c>
    </row>
    <row r="7988" spans="1:5" x14ac:dyDescent="0.25">
      <c r="A7988" s="41">
        <v>43798</v>
      </c>
      <c r="B7988" s="37">
        <v>329.28</v>
      </c>
      <c r="C7988" s="37">
        <f t="shared" si="254"/>
        <v>54.88</v>
      </c>
      <c r="D7988" s="37">
        <v>5.5679999999999996</v>
      </c>
      <c r="E7988" s="33">
        <f t="shared" si="255"/>
        <v>-2.5445292620866105E-3</v>
      </c>
    </row>
    <row r="7989" spans="1:5" x14ac:dyDescent="0.25">
      <c r="A7989" s="41">
        <v>43798</v>
      </c>
      <c r="B7989" s="37">
        <v>332.56</v>
      </c>
      <c r="C7989" s="37">
        <f t="shared" si="254"/>
        <v>55.426666666666669</v>
      </c>
      <c r="D7989" s="37">
        <v>5.5679999999999996</v>
      </c>
      <c r="E7989" s="33">
        <f t="shared" si="255"/>
        <v>9.9611273080661734E-3</v>
      </c>
    </row>
    <row r="7990" spans="1:5" x14ac:dyDescent="0.25">
      <c r="A7990" s="41">
        <v>43798</v>
      </c>
      <c r="B7990" s="37">
        <v>330.88</v>
      </c>
      <c r="C7990" s="37">
        <f t="shared" si="254"/>
        <v>55.146666666666668</v>
      </c>
      <c r="D7990" s="37">
        <v>5.5679999999999996</v>
      </c>
      <c r="E7990" s="33">
        <f t="shared" si="255"/>
        <v>-5.051719990377697E-3</v>
      </c>
    </row>
    <row r="7991" spans="1:5" x14ac:dyDescent="0.25">
      <c r="A7991" s="41">
        <v>43798</v>
      </c>
      <c r="B7991" s="37">
        <v>330.82</v>
      </c>
      <c r="C7991" s="37">
        <f t="shared" si="254"/>
        <v>55.136666666666663</v>
      </c>
      <c r="D7991" s="37">
        <v>5.5679999999999996</v>
      </c>
      <c r="E7991" s="33">
        <f t="shared" si="255"/>
        <v>-1.8133462282399139E-4</v>
      </c>
    </row>
    <row r="7992" spans="1:5" x14ac:dyDescent="0.25">
      <c r="A7992" s="41">
        <v>43798</v>
      </c>
      <c r="B7992" s="37">
        <v>326.94</v>
      </c>
      <c r="C7992" s="37">
        <f t="shared" si="254"/>
        <v>54.49</v>
      </c>
      <c r="D7992" s="37">
        <v>5.5679999999999996</v>
      </c>
      <c r="E7992" s="33">
        <f t="shared" si="255"/>
        <v>-1.172843238014629E-2</v>
      </c>
    </row>
    <row r="7993" spans="1:5" x14ac:dyDescent="0.25">
      <c r="A7993" s="41">
        <v>43798</v>
      </c>
      <c r="B7993" s="37">
        <v>322.42</v>
      </c>
      <c r="C7993" s="37">
        <f t="shared" si="254"/>
        <v>53.736666666666665</v>
      </c>
      <c r="D7993" s="37">
        <v>5.5679999999999996</v>
      </c>
      <c r="E7993" s="33">
        <f t="shared" si="255"/>
        <v>-1.3825166697253264E-2</v>
      </c>
    </row>
    <row r="7994" spans="1:5" x14ac:dyDescent="0.25">
      <c r="A7994" s="41">
        <v>43799</v>
      </c>
      <c r="B7994" s="29">
        <v>250.7</v>
      </c>
      <c r="C7994" s="37">
        <f t="shared" si="254"/>
        <v>41.783333333333331</v>
      </c>
      <c r="D7994" s="37">
        <v>5.3810000000000002</v>
      </c>
      <c r="E7994" s="33">
        <f t="shared" si="255"/>
        <v>-0.22244277650269842</v>
      </c>
    </row>
    <row r="7995" spans="1:5" x14ac:dyDescent="0.25">
      <c r="A7995" s="41">
        <v>43799</v>
      </c>
      <c r="B7995" s="29">
        <v>249.76</v>
      </c>
      <c r="C7995" s="37">
        <f t="shared" si="254"/>
        <v>41.626666666666665</v>
      </c>
      <c r="D7995" s="37">
        <v>5.3810000000000002</v>
      </c>
      <c r="E7995" s="33">
        <f t="shared" si="255"/>
        <v>-3.7495013960909367E-3</v>
      </c>
    </row>
    <row r="7996" spans="1:5" x14ac:dyDescent="0.25">
      <c r="A7996" s="41">
        <v>43799</v>
      </c>
      <c r="B7996" s="29">
        <v>247.9</v>
      </c>
      <c r="C7996" s="37">
        <f t="shared" si="254"/>
        <v>41.31666666666667</v>
      </c>
      <c r="D7996" s="37">
        <v>5.3810000000000002</v>
      </c>
      <c r="E7996" s="33">
        <f t="shared" si="255"/>
        <v>-7.447149263292702E-3</v>
      </c>
    </row>
    <row r="7997" spans="1:5" x14ac:dyDescent="0.25">
      <c r="A7997" s="41">
        <v>43799</v>
      </c>
      <c r="B7997" s="29">
        <v>247.21</v>
      </c>
      <c r="C7997" s="37">
        <f t="shared" si="254"/>
        <v>41.201666666666668</v>
      </c>
      <c r="D7997" s="37">
        <v>5.3810000000000002</v>
      </c>
      <c r="E7997" s="33">
        <f t="shared" si="255"/>
        <v>-2.7833803953206844E-3</v>
      </c>
    </row>
    <row r="7998" spans="1:5" x14ac:dyDescent="0.25">
      <c r="A7998" s="41">
        <v>43799</v>
      </c>
      <c r="B7998" s="29">
        <v>247.24</v>
      </c>
      <c r="C7998" s="37">
        <f t="shared" si="254"/>
        <v>41.206666666666663</v>
      </c>
      <c r="D7998" s="37">
        <v>5.3810000000000002</v>
      </c>
      <c r="E7998" s="33">
        <f t="shared" si="255"/>
        <v>1.2135431414587249E-4</v>
      </c>
    </row>
    <row r="7999" spans="1:5" x14ac:dyDescent="0.25">
      <c r="A7999" s="41">
        <v>43799</v>
      </c>
      <c r="B7999" s="29">
        <v>245.66</v>
      </c>
      <c r="C7999" s="37">
        <f t="shared" si="254"/>
        <v>40.943333333333335</v>
      </c>
      <c r="D7999" s="37">
        <v>5.3810000000000002</v>
      </c>
      <c r="E7999" s="33">
        <f t="shared" si="255"/>
        <v>-6.3905516906649909E-3</v>
      </c>
    </row>
    <row r="8000" spans="1:5" x14ac:dyDescent="0.25">
      <c r="A8000" s="41">
        <v>43799</v>
      </c>
      <c r="B8000" s="29">
        <v>244.68</v>
      </c>
      <c r="C8000" s="37">
        <f t="shared" si="254"/>
        <v>40.78</v>
      </c>
      <c r="D8000" s="37">
        <v>5.3810000000000002</v>
      </c>
      <c r="E8000" s="33">
        <f t="shared" si="255"/>
        <v>-3.9892534397133837E-3</v>
      </c>
    </row>
    <row r="8001" spans="1:5" x14ac:dyDescent="0.25">
      <c r="A8001" s="41">
        <v>43799</v>
      </c>
      <c r="B8001" s="29">
        <v>248.21</v>
      </c>
      <c r="C8001" s="37">
        <f t="shared" si="254"/>
        <v>41.368333333333332</v>
      </c>
      <c r="D8001" s="37">
        <v>5.3810000000000002</v>
      </c>
      <c r="E8001" s="33">
        <f t="shared" si="255"/>
        <v>1.4427006702632014E-2</v>
      </c>
    </row>
    <row r="8002" spans="1:5" x14ac:dyDescent="0.25">
      <c r="A8002" s="41">
        <v>43799</v>
      </c>
      <c r="B8002" s="29">
        <v>250.32</v>
      </c>
      <c r="C8002" s="37">
        <f t="shared" si="254"/>
        <v>41.72</v>
      </c>
      <c r="D8002" s="37">
        <v>5.3810000000000002</v>
      </c>
      <c r="E8002" s="33">
        <f t="shared" si="255"/>
        <v>8.5008662020063051E-3</v>
      </c>
    </row>
    <row r="8003" spans="1:5" x14ac:dyDescent="0.25">
      <c r="A8003" s="41">
        <v>43799</v>
      </c>
      <c r="B8003" s="29">
        <v>251.76</v>
      </c>
      <c r="C8003" s="37">
        <f t="shared" ref="C8003:C8066" si="256">(B8003*100/600)</f>
        <v>41.96</v>
      </c>
      <c r="D8003" s="37">
        <v>5.3810000000000002</v>
      </c>
      <c r="E8003" s="33">
        <f t="shared" si="255"/>
        <v>5.752636625119838E-3</v>
      </c>
    </row>
    <row r="8004" spans="1:5" x14ac:dyDescent="0.25">
      <c r="A8004" s="41">
        <v>43799</v>
      </c>
      <c r="B8004" s="29">
        <v>252.32</v>
      </c>
      <c r="C8004" s="37">
        <f t="shared" si="256"/>
        <v>42.053333333333335</v>
      </c>
      <c r="D8004" s="37">
        <v>5.3810000000000002</v>
      </c>
      <c r="E8004" s="33">
        <f t="shared" ref="E8004:E8067" si="257">(B8004-B8003)/B8003</f>
        <v>2.2243406418811658E-3</v>
      </c>
    </row>
    <row r="8005" spans="1:5" x14ac:dyDescent="0.25">
      <c r="A8005" s="41">
        <v>43799</v>
      </c>
      <c r="B8005" s="29">
        <v>252.4</v>
      </c>
      <c r="C8005" s="37">
        <f t="shared" si="256"/>
        <v>42.06666666666667</v>
      </c>
      <c r="D8005" s="37">
        <v>5.3810000000000002</v>
      </c>
      <c r="E8005" s="33">
        <f t="shared" si="257"/>
        <v>3.1705770450226895E-4</v>
      </c>
    </row>
    <row r="8006" spans="1:5" x14ac:dyDescent="0.25">
      <c r="A8006" s="41">
        <v>43799</v>
      </c>
      <c r="B8006" s="29">
        <v>252.44</v>
      </c>
      <c r="C8006" s="37">
        <f t="shared" si="256"/>
        <v>42.073333333333331</v>
      </c>
      <c r="D8006" s="37">
        <v>5.3810000000000002</v>
      </c>
      <c r="E8006" s="33">
        <f t="shared" si="257"/>
        <v>1.5847860538824104E-4</v>
      </c>
    </row>
    <row r="8007" spans="1:5" x14ac:dyDescent="0.25">
      <c r="A8007" s="41">
        <v>43799</v>
      </c>
      <c r="B8007" s="29">
        <v>252.48</v>
      </c>
      <c r="C8007" s="37">
        <f t="shared" si="256"/>
        <v>42.08</v>
      </c>
      <c r="D8007" s="37">
        <v>5.3810000000000002</v>
      </c>
      <c r="E8007" s="33">
        <f t="shared" si="257"/>
        <v>1.5845349389950896E-4</v>
      </c>
    </row>
    <row r="8008" spans="1:5" x14ac:dyDescent="0.25">
      <c r="A8008" s="41">
        <v>43799</v>
      </c>
      <c r="B8008" s="29">
        <v>252.47</v>
      </c>
      <c r="C8008" s="37">
        <f t="shared" si="256"/>
        <v>42.078333333333333</v>
      </c>
      <c r="D8008" s="37">
        <v>5.3810000000000002</v>
      </c>
      <c r="E8008" s="33">
        <f t="shared" si="257"/>
        <v>-3.9607097591852448E-5</v>
      </c>
    </row>
    <row r="8009" spans="1:5" x14ac:dyDescent="0.25">
      <c r="A8009" s="41">
        <v>43799</v>
      </c>
      <c r="B8009" s="29">
        <v>252.49</v>
      </c>
      <c r="C8009" s="37">
        <f t="shared" si="256"/>
        <v>42.081666666666663</v>
      </c>
      <c r="D8009" s="37">
        <v>5.3810000000000002</v>
      </c>
      <c r="E8009" s="33">
        <f t="shared" si="257"/>
        <v>7.9217332752446756E-5</v>
      </c>
    </row>
    <row r="8010" spans="1:5" x14ac:dyDescent="0.25">
      <c r="A8010" s="41">
        <v>43799</v>
      </c>
      <c r="B8010" s="29">
        <v>252.54</v>
      </c>
      <c r="C8010" s="37">
        <f t="shared" si="256"/>
        <v>42.09</v>
      </c>
      <c r="D8010" s="37">
        <v>5.3810000000000002</v>
      </c>
      <c r="E8010" s="33">
        <f t="shared" si="257"/>
        <v>1.9802764465912687E-4</v>
      </c>
    </row>
    <row r="8011" spans="1:5" x14ac:dyDescent="0.25">
      <c r="A8011" s="41">
        <v>43799</v>
      </c>
      <c r="B8011" s="29">
        <v>252.56</v>
      </c>
      <c r="C8011" s="37">
        <f t="shared" si="256"/>
        <v>42.093333333333334</v>
      </c>
      <c r="D8011" s="37">
        <v>5.3810000000000002</v>
      </c>
      <c r="E8011" s="33">
        <f t="shared" si="257"/>
        <v>7.9195374990141101E-5</v>
      </c>
    </row>
    <row r="8012" spans="1:5" x14ac:dyDescent="0.25">
      <c r="A8012" s="41">
        <v>43799</v>
      </c>
      <c r="B8012" s="29">
        <v>253.05</v>
      </c>
      <c r="C8012" s="37">
        <f t="shared" si="256"/>
        <v>42.174999999999997</v>
      </c>
      <c r="D8012" s="37">
        <v>5.3810000000000002</v>
      </c>
      <c r="E8012" s="33">
        <f t="shared" si="257"/>
        <v>1.9401330376940492E-3</v>
      </c>
    </row>
    <row r="8013" spans="1:5" x14ac:dyDescent="0.25">
      <c r="A8013" s="41">
        <v>43799</v>
      </c>
      <c r="B8013" s="29">
        <v>253.73</v>
      </c>
      <c r="C8013" s="37">
        <f t="shared" si="256"/>
        <v>42.288333333333334</v>
      </c>
      <c r="D8013" s="37">
        <v>5.3810000000000002</v>
      </c>
      <c r="E8013" s="33">
        <f t="shared" si="257"/>
        <v>2.6872159652241785E-3</v>
      </c>
    </row>
    <row r="8014" spans="1:5" x14ac:dyDescent="0.25">
      <c r="A8014" s="41">
        <v>43799</v>
      </c>
      <c r="B8014" s="29">
        <v>252.89</v>
      </c>
      <c r="C8014" s="37">
        <f t="shared" si="256"/>
        <v>42.148333333333333</v>
      </c>
      <c r="D8014" s="37">
        <v>5.3810000000000002</v>
      </c>
      <c r="E8014" s="33">
        <f t="shared" si="257"/>
        <v>-3.3106057620305184E-3</v>
      </c>
    </row>
    <row r="8015" spans="1:5" x14ac:dyDescent="0.25">
      <c r="A8015" s="41">
        <v>43799</v>
      </c>
      <c r="B8015" s="29">
        <v>252.58</v>
      </c>
      <c r="C8015" s="37">
        <f t="shared" si="256"/>
        <v>42.096666666666664</v>
      </c>
      <c r="D8015" s="37">
        <v>5.3810000000000002</v>
      </c>
      <c r="E8015" s="33">
        <f t="shared" si="257"/>
        <v>-1.2258294119972077E-3</v>
      </c>
    </row>
    <row r="8016" spans="1:5" x14ac:dyDescent="0.25">
      <c r="A8016" s="41">
        <v>43799</v>
      </c>
      <c r="B8016" s="29">
        <v>252.2</v>
      </c>
      <c r="C8016" s="37">
        <f t="shared" si="256"/>
        <v>42.033333333333331</v>
      </c>
      <c r="D8016" s="37">
        <v>5.3810000000000002</v>
      </c>
      <c r="E8016" s="33">
        <f t="shared" si="257"/>
        <v>-1.5044738300737345E-3</v>
      </c>
    </row>
    <row r="8017" spans="1:5" x14ac:dyDescent="0.25">
      <c r="A8017" s="41">
        <v>43799</v>
      </c>
      <c r="B8017" s="29">
        <v>250.36</v>
      </c>
      <c r="C8017" s="37">
        <f t="shared" si="256"/>
        <v>41.726666666666667</v>
      </c>
      <c r="D8017" s="37">
        <v>5.3810000000000002</v>
      </c>
      <c r="E8017" s="33">
        <f t="shared" si="257"/>
        <v>-7.2957969865185372E-3</v>
      </c>
    </row>
    <row r="8018" spans="1:5" x14ac:dyDescent="0.25">
      <c r="A8018" s="41">
        <v>43800</v>
      </c>
      <c r="B8018" s="29">
        <v>251.08</v>
      </c>
      <c r="C8018" s="37">
        <f t="shared" si="256"/>
        <v>41.846666666666664</v>
      </c>
      <c r="D8018" s="37">
        <v>5.1230000000000002</v>
      </c>
      <c r="E8018" s="33">
        <f t="shared" si="257"/>
        <v>2.8758587633807269E-3</v>
      </c>
    </row>
    <row r="8019" spans="1:5" x14ac:dyDescent="0.25">
      <c r="A8019" s="41">
        <v>43800</v>
      </c>
      <c r="B8019" s="29">
        <v>250.51</v>
      </c>
      <c r="C8019" s="37">
        <f t="shared" si="256"/>
        <v>41.751666666666665</v>
      </c>
      <c r="D8019" s="37">
        <v>5.1230000000000002</v>
      </c>
      <c r="E8019" s="33">
        <f t="shared" si="257"/>
        <v>-2.2701927672455855E-3</v>
      </c>
    </row>
    <row r="8020" spans="1:5" x14ac:dyDescent="0.25">
      <c r="A8020" s="41">
        <v>43800</v>
      </c>
      <c r="B8020" s="29">
        <v>249.3</v>
      </c>
      <c r="C8020" s="37">
        <f t="shared" si="256"/>
        <v>41.55</v>
      </c>
      <c r="D8020" s="37">
        <v>5.1230000000000002</v>
      </c>
      <c r="E8020" s="33">
        <f t="shared" si="257"/>
        <v>-4.830146501137598E-3</v>
      </c>
    </row>
    <row r="8021" spans="1:5" x14ac:dyDescent="0.25">
      <c r="A8021" s="41">
        <v>43800</v>
      </c>
      <c r="B8021" s="29">
        <v>247.94</v>
      </c>
      <c r="C8021" s="37">
        <f t="shared" si="256"/>
        <v>41.323333333333331</v>
      </c>
      <c r="D8021" s="37">
        <v>5.1230000000000002</v>
      </c>
      <c r="E8021" s="33">
        <f t="shared" si="257"/>
        <v>-5.4552747693542465E-3</v>
      </c>
    </row>
    <row r="8022" spans="1:5" x14ac:dyDescent="0.25">
      <c r="A8022" s="41">
        <v>43800</v>
      </c>
      <c r="B8022" s="29">
        <v>246.62</v>
      </c>
      <c r="C8022" s="37">
        <f t="shared" si="256"/>
        <v>41.103333333333332</v>
      </c>
      <c r="D8022" s="37">
        <v>5.1230000000000002</v>
      </c>
      <c r="E8022" s="33">
        <f t="shared" si="257"/>
        <v>-5.3238686779059179E-3</v>
      </c>
    </row>
    <row r="8023" spans="1:5" x14ac:dyDescent="0.25">
      <c r="A8023" s="41">
        <v>43800</v>
      </c>
      <c r="B8023" s="29">
        <v>244.32</v>
      </c>
      <c r="C8023" s="37">
        <f t="shared" si="256"/>
        <v>40.72</v>
      </c>
      <c r="D8023" s="37">
        <v>5.1230000000000002</v>
      </c>
      <c r="E8023" s="33">
        <f t="shared" si="257"/>
        <v>-9.3260887194875162E-3</v>
      </c>
    </row>
    <row r="8024" spans="1:5" x14ac:dyDescent="0.25">
      <c r="A8024" s="41">
        <v>43800</v>
      </c>
      <c r="B8024" s="29">
        <v>241.97</v>
      </c>
      <c r="C8024" s="37">
        <f t="shared" si="256"/>
        <v>40.328333333333333</v>
      </c>
      <c r="D8024" s="37">
        <v>5.1230000000000002</v>
      </c>
      <c r="E8024" s="33">
        <f t="shared" si="257"/>
        <v>-9.6185330713817706E-3</v>
      </c>
    </row>
    <row r="8025" spans="1:5" x14ac:dyDescent="0.25">
      <c r="A8025" s="41">
        <v>43800</v>
      </c>
      <c r="B8025" s="29">
        <v>243.06</v>
      </c>
      <c r="C8025" s="37">
        <f t="shared" si="256"/>
        <v>40.51</v>
      </c>
      <c r="D8025" s="37">
        <v>5.1230000000000002</v>
      </c>
      <c r="E8025" s="33">
        <f t="shared" si="257"/>
        <v>4.5046906641319313E-3</v>
      </c>
    </row>
    <row r="8026" spans="1:5" x14ac:dyDescent="0.25">
      <c r="A8026" s="41">
        <v>43800</v>
      </c>
      <c r="B8026" s="29">
        <v>245.78</v>
      </c>
      <c r="C8026" s="37">
        <f t="shared" si="256"/>
        <v>40.963333333333331</v>
      </c>
      <c r="D8026" s="37">
        <v>5.1230000000000002</v>
      </c>
      <c r="E8026" s="33">
        <f t="shared" si="257"/>
        <v>1.11906525137826E-2</v>
      </c>
    </row>
    <row r="8027" spans="1:5" x14ac:dyDescent="0.25">
      <c r="A8027" s="41">
        <v>43800</v>
      </c>
      <c r="B8027" s="29">
        <v>249.24</v>
      </c>
      <c r="C8027" s="37">
        <f t="shared" si="256"/>
        <v>41.54</v>
      </c>
      <c r="D8027" s="37">
        <v>5.1230000000000002</v>
      </c>
      <c r="E8027" s="33">
        <f t="shared" si="257"/>
        <v>1.4077630401171812E-2</v>
      </c>
    </row>
    <row r="8028" spans="1:5" x14ac:dyDescent="0.25">
      <c r="A8028" s="41">
        <v>43800</v>
      </c>
      <c r="B8028" s="29">
        <v>249.96</v>
      </c>
      <c r="C8028" s="37">
        <f t="shared" si="256"/>
        <v>41.66</v>
      </c>
      <c r="D8028" s="37">
        <v>5.1230000000000002</v>
      </c>
      <c r="E8028" s="33">
        <f t="shared" si="257"/>
        <v>2.8887818969667743E-3</v>
      </c>
    </row>
    <row r="8029" spans="1:5" x14ac:dyDescent="0.25">
      <c r="A8029" s="41">
        <v>43800</v>
      </c>
      <c r="B8029" s="29">
        <v>251.55</v>
      </c>
      <c r="C8029" s="37">
        <f t="shared" si="256"/>
        <v>41.924999999999997</v>
      </c>
      <c r="D8029" s="37">
        <v>5.1230000000000002</v>
      </c>
      <c r="E8029" s="33">
        <f t="shared" si="257"/>
        <v>6.3610177628420682E-3</v>
      </c>
    </row>
    <row r="8030" spans="1:5" x14ac:dyDescent="0.25">
      <c r="A8030" s="41">
        <v>43800</v>
      </c>
      <c r="B8030" s="29">
        <v>251.55</v>
      </c>
      <c r="C8030" s="37">
        <f t="shared" si="256"/>
        <v>41.924999999999997</v>
      </c>
      <c r="D8030" s="37">
        <v>5.1230000000000002</v>
      </c>
      <c r="E8030" s="33">
        <f t="shared" si="257"/>
        <v>0</v>
      </c>
    </row>
    <row r="8031" spans="1:5" x14ac:dyDescent="0.25">
      <c r="A8031" s="41">
        <v>43800</v>
      </c>
      <c r="B8031" s="29">
        <v>251.52</v>
      </c>
      <c r="C8031" s="37">
        <f t="shared" si="256"/>
        <v>41.92</v>
      </c>
      <c r="D8031" s="37">
        <v>5.1230000000000002</v>
      </c>
      <c r="E8031" s="33">
        <f t="shared" si="257"/>
        <v>-1.1926058437686796E-4</v>
      </c>
    </row>
    <row r="8032" spans="1:5" x14ac:dyDescent="0.25">
      <c r="A8032" s="41">
        <v>43800</v>
      </c>
      <c r="B8032" s="29">
        <v>251.4</v>
      </c>
      <c r="C8032" s="37">
        <f t="shared" si="256"/>
        <v>41.9</v>
      </c>
      <c r="D8032" s="37">
        <v>5.1230000000000002</v>
      </c>
      <c r="E8032" s="33">
        <f t="shared" si="257"/>
        <v>-4.7709923664123946E-4</v>
      </c>
    </row>
    <row r="8033" spans="1:5" x14ac:dyDescent="0.25">
      <c r="A8033" s="41">
        <v>43800</v>
      </c>
      <c r="B8033" s="29">
        <v>251.4</v>
      </c>
      <c r="C8033" s="37">
        <f t="shared" si="256"/>
        <v>41.9</v>
      </c>
      <c r="D8033" s="37">
        <v>5.1230000000000002</v>
      </c>
      <c r="E8033" s="33">
        <f t="shared" si="257"/>
        <v>0</v>
      </c>
    </row>
    <row r="8034" spans="1:5" x14ac:dyDescent="0.25">
      <c r="A8034" s="41">
        <v>43800</v>
      </c>
      <c r="B8034" s="29">
        <v>251.53</v>
      </c>
      <c r="C8034" s="37">
        <f t="shared" si="256"/>
        <v>41.921666666666667</v>
      </c>
      <c r="D8034" s="37">
        <v>5.1230000000000002</v>
      </c>
      <c r="E8034" s="33">
        <f t="shared" si="257"/>
        <v>5.1710421638820781E-4</v>
      </c>
    </row>
    <row r="8035" spans="1:5" x14ac:dyDescent="0.25">
      <c r="A8035" s="41">
        <v>43800</v>
      </c>
      <c r="B8035" s="29">
        <v>252.36</v>
      </c>
      <c r="C8035" s="37">
        <f t="shared" si="256"/>
        <v>42.06</v>
      </c>
      <c r="D8035" s="37">
        <v>5.1230000000000002</v>
      </c>
      <c r="E8035" s="33">
        <f t="shared" si="257"/>
        <v>3.2998051922236414E-3</v>
      </c>
    </row>
    <row r="8036" spans="1:5" x14ac:dyDescent="0.25">
      <c r="A8036" s="41">
        <v>43800</v>
      </c>
      <c r="B8036" s="29">
        <v>254.74</v>
      </c>
      <c r="C8036" s="37">
        <f t="shared" si="256"/>
        <v>42.456666666666663</v>
      </c>
      <c r="D8036" s="37">
        <v>5.1230000000000002</v>
      </c>
      <c r="E8036" s="33">
        <f t="shared" si="257"/>
        <v>9.4309716278332349E-3</v>
      </c>
    </row>
    <row r="8037" spans="1:5" x14ac:dyDescent="0.25">
      <c r="A8037" s="41">
        <v>43800</v>
      </c>
      <c r="B8037" s="29">
        <v>256.14999999999998</v>
      </c>
      <c r="C8037" s="37">
        <f t="shared" si="256"/>
        <v>42.691666666666663</v>
      </c>
      <c r="D8037" s="37">
        <v>5.1230000000000002</v>
      </c>
      <c r="E8037" s="33">
        <f t="shared" si="257"/>
        <v>5.5350553505533803E-3</v>
      </c>
    </row>
    <row r="8038" spans="1:5" x14ac:dyDescent="0.25">
      <c r="A8038" s="41">
        <v>43800</v>
      </c>
      <c r="B8038" s="29">
        <v>256.10000000000002</v>
      </c>
      <c r="C8038" s="37">
        <f t="shared" si="256"/>
        <v>42.683333333333337</v>
      </c>
      <c r="D8038" s="37">
        <v>5.1230000000000002</v>
      </c>
      <c r="E8038" s="33">
        <f t="shared" si="257"/>
        <v>-1.9519812609781196E-4</v>
      </c>
    </row>
    <row r="8039" spans="1:5" x14ac:dyDescent="0.25">
      <c r="A8039" s="41">
        <v>43800</v>
      </c>
      <c r="B8039" s="29">
        <v>256.04000000000002</v>
      </c>
      <c r="C8039" s="37">
        <f t="shared" si="256"/>
        <v>42.673333333333339</v>
      </c>
      <c r="D8039" s="37">
        <v>5.1230000000000002</v>
      </c>
      <c r="E8039" s="33">
        <f t="shared" si="257"/>
        <v>-2.3428348301445635E-4</v>
      </c>
    </row>
    <row r="8040" spans="1:5" x14ac:dyDescent="0.25">
      <c r="A8040" s="41">
        <v>43800</v>
      </c>
      <c r="B8040" s="29">
        <v>254.29</v>
      </c>
      <c r="C8040" s="37">
        <f t="shared" si="256"/>
        <v>42.381666666666668</v>
      </c>
      <c r="D8040" s="37">
        <v>5.1230000000000002</v>
      </c>
      <c r="E8040" s="33">
        <f t="shared" si="257"/>
        <v>-6.8348695516326679E-3</v>
      </c>
    </row>
    <row r="8041" spans="1:5" x14ac:dyDescent="0.25">
      <c r="A8041" s="41">
        <v>43800</v>
      </c>
      <c r="B8041" s="29">
        <v>252.74</v>
      </c>
      <c r="C8041" s="37">
        <f t="shared" si="256"/>
        <v>42.123333333333335</v>
      </c>
      <c r="D8041" s="37">
        <v>5.1230000000000002</v>
      </c>
      <c r="E8041" s="33">
        <f t="shared" si="257"/>
        <v>-6.0954028864681391E-3</v>
      </c>
    </row>
    <row r="8042" spans="1:5" x14ac:dyDescent="0.25">
      <c r="A8042" s="41">
        <v>43801</v>
      </c>
      <c r="B8042" s="29">
        <v>251.26</v>
      </c>
      <c r="C8042" s="37">
        <f t="shared" si="256"/>
        <v>41.876666666666665</v>
      </c>
      <c r="D8042" s="37">
        <v>4.9569999999999999</v>
      </c>
      <c r="E8042" s="33">
        <f t="shared" si="257"/>
        <v>-5.8558202104930686E-3</v>
      </c>
    </row>
    <row r="8043" spans="1:5" x14ac:dyDescent="0.25">
      <c r="A8043" s="41">
        <v>43801</v>
      </c>
      <c r="B8043" s="29">
        <v>250.82</v>
      </c>
      <c r="C8043" s="37">
        <f t="shared" si="256"/>
        <v>41.803333333333335</v>
      </c>
      <c r="D8043" s="37">
        <v>4.9569999999999999</v>
      </c>
      <c r="E8043" s="33">
        <f t="shared" si="257"/>
        <v>-1.7511740826235682E-3</v>
      </c>
    </row>
    <row r="8044" spans="1:5" x14ac:dyDescent="0.25">
      <c r="A8044" s="41">
        <v>43801</v>
      </c>
      <c r="B8044" s="29">
        <v>250.06</v>
      </c>
      <c r="C8044" s="37">
        <f t="shared" si="256"/>
        <v>41.676666666666669</v>
      </c>
      <c r="D8044" s="37">
        <v>4.9569999999999999</v>
      </c>
      <c r="E8044" s="33">
        <f t="shared" si="257"/>
        <v>-3.0300613986125146E-3</v>
      </c>
    </row>
    <row r="8045" spans="1:5" x14ac:dyDescent="0.25">
      <c r="A8045" s="41">
        <v>43801</v>
      </c>
      <c r="B8045" s="29">
        <v>249.64</v>
      </c>
      <c r="C8045" s="37">
        <f t="shared" si="256"/>
        <v>41.606666666666669</v>
      </c>
      <c r="D8045" s="37">
        <v>4.9569999999999999</v>
      </c>
      <c r="E8045" s="33">
        <f t="shared" si="257"/>
        <v>-1.6795968967448448E-3</v>
      </c>
    </row>
    <row r="8046" spans="1:5" x14ac:dyDescent="0.25">
      <c r="A8046" s="41">
        <v>43801</v>
      </c>
      <c r="B8046" s="29">
        <v>249.81</v>
      </c>
      <c r="C8046" s="37">
        <f t="shared" si="256"/>
        <v>41.634999999999998</v>
      </c>
      <c r="D8046" s="37">
        <v>4.9569999999999999</v>
      </c>
      <c r="E8046" s="33">
        <f t="shared" si="257"/>
        <v>6.8098061208146101E-4</v>
      </c>
    </row>
    <row r="8047" spans="1:5" x14ac:dyDescent="0.25">
      <c r="A8047" s="41">
        <v>43801</v>
      </c>
      <c r="B8047" s="29">
        <v>250.5</v>
      </c>
      <c r="C8047" s="37">
        <f t="shared" si="256"/>
        <v>41.75</v>
      </c>
      <c r="D8047" s="37">
        <v>4.9569999999999999</v>
      </c>
      <c r="E8047" s="33">
        <f t="shared" si="257"/>
        <v>2.7620991953884863E-3</v>
      </c>
    </row>
    <row r="8048" spans="1:5" x14ac:dyDescent="0.25">
      <c r="A8048" s="41">
        <v>43801</v>
      </c>
      <c r="B8048" s="29">
        <v>251.4</v>
      </c>
      <c r="C8048" s="37">
        <f t="shared" si="256"/>
        <v>41.9</v>
      </c>
      <c r="D8048" s="37">
        <v>4.9569999999999999</v>
      </c>
      <c r="E8048" s="33">
        <f t="shared" si="257"/>
        <v>3.5928143712575075E-3</v>
      </c>
    </row>
    <row r="8049" spans="1:5" x14ac:dyDescent="0.25">
      <c r="A8049" s="41">
        <v>43801</v>
      </c>
      <c r="B8049" s="29">
        <v>254.37</v>
      </c>
      <c r="C8049" s="37">
        <f t="shared" si="256"/>
        <v>42.395000000000003</v>
      </c>
      <c r="D8049" s="37">
        <v>4.9569999999999999</v>
      </c>
      <c r="E8049" s="33">
        <f t="shared" si="257"/>
        <v>1.1813842482100234E-2</v>
      </c>
    </row>
    <row r="8050" spans="1:5" x14ac:dyDescent="0.25">
      <c r="A8050" s="41">
        <v>43801</v>
      </c>
      <c r="B8050" s="29">
        <v>259.39999999999998</v>
      </c>
      <c r="C8050" s="37">
        <f t="shared" si="256"/>
        <v>43.233333333333327</v>
      </c>
      <c r="D8050" s="37">
        <v>4.9569999999999999</v>
      </c>
      <c r="E8050" s="33">
        <f t="shared" si="257"/>
        <v>1.9774344458859033E-2</v>
      </c>
    </row>
    <row r="8051" spans="1:5" x14ac:dyDescent="0.25">
      <c r="A8051" s="41">
        <v>43801</v>
      </c>
      <c r="B8051" s="29">
        <v>261.10000000000002</v>
      </c>
      <c r="C8051" s="37">
        <f t="shared" si="256"/>
        <v>43.516666666666673</v>
      </c>
      <c r="D8051" s="37">
        <v>4.9569999999999999</v>
      </c>
      <c r="E8051" s="33">
        <f t="shared" si="257"/>
        <v>6.5535851966077316E-3</v>
      </c>
    </row>
    <row r="8052" spans="1:5" x14ac:dyDescent="0.25">
      <c r="A8052" s="41">
        <v>43801</v>
      </c>
      <c r="B8052" s="29">
        <v>261.81</v>
      </c>
      <c r="C8052" s="37">
        <f t="shared" si="256"/>
        <v>43.634999999999998</v>
      </c>
      <c r="D8052" s="37">
        <v>4.9569999999999999</v>
      </c>
      <c r="E8052" s="33">
        <f t="shared" si="257"/>
        <v>2.7192646495594773E-3</v>
      </c>
    </row>
    <row r="8053" spans="1:5" x14ac:dyDescent="0.25">
      <c r="A8053" s="41">
        <v>43801</v>
      </c>
      <c r="B8053" s="29">
        <v>261.94</v>
      </c>
      <c r="C8053" s="37">
        <f t="shared" si="256"/>
        <v>43.656666666666666</v>
      </c>
      <c r="D8053" s="37">
        <v>4.9569999999999999</v>
      </c>
      <c r="E8053" s="33">
        <f t="shared" si="257"/>
        <v>4.9654329475572157E-4</v>
      </c>
    </row>
    <row r="8054" spans="1:5" x14ac:dyDescent="0.25">
      <c r="A8054" s="41">
        <v>43801</v>
      </c>
      <c r="B8054" s="29">
        <v>261.52</v>
      </c>
      <c r="C8054" s="37">
        <f t="shared" si="256"/>
        <v>43.586666666666666</v>
      </c>
      <c r="D8054" s="37">
        <v>4.9569999999999999</v>
      </c>
      <c r="E8054" s="33">
        <f t="shared" si="257"/>
        <v>-1.6034206306788422E-3</v>
      </c>
    </row>
    <row r="8055" spans="1:5" x14ac:dyDescent="0.25">
      <c r="A8055" s="41">
        <v>43801</v>
      </c>
      <c r="B8055" s="29">
        <v>261.7</v>
      </c>
      <c r="C8055" s="37">
        <f t="shared" si="256"/>
        <v>43.616666666666667</v>
      </c>
      <c r="D8055" s="37">
        <v>4.9569999999999999</v>
      </c>
      <c r="E8055" s="33">
        <f t="shared" si="257"/>
        <v>6.8828387886206346E-4</v>
      </c>
    </row>
    <row r="8056" spans="1:5" x14ac:dyDescent="0.25">
      <c r="A8056" s="41">
        <v>43801</v>
      </c>
      <c r="B8056" s="29">
        <v>262.70999999999998</v>
      </c>
      <c r="C8056" s="37">
        <f t="shared" si="256"/>
        <v>43.784999999999997</v>
      </c>
      <c r="D8056" s="37">
        <v>4.9569999999999999</v>
      </c>
      <c r="E8056" s="33">
        <f t="shared" si="257"/>
        <v>3.859380970576962E-3</v>
      </c>
    </row>
    <row r="8057" spans="1:5" x14ac:dyDescent="0.25">
      <c r="A8057" s="41">
        <v>43801</v>
      </c>
      <c r="B8057" s="29">
        <v>262.5</v>
      </c>
      <c r="C8057" s="37">
        <f t="shared" si="256"/>
        <v>43.75</v>
      </c>
      <c r="D8057" s="37">
        <v>4.9569999999999999</v>
      </c>
      <c r="E8057" s="33">
        <f t="shared" si="257"/>
        <v>-7.9936051159064955E-4</v>
      </c>
    </row>
    <row r="8058" spans="1:5" x14ac:dyDescent="0.25">
      <c r="A8058" s="41">
        <v>43801</v>
      </c>
      <c r="B8058" s="29">
        <v>261.61</v>
      </c>
      <c r="C8058" s="37">
        <f t="shared" si="256"/>
        <v>43.601666666666667</v>
      </c>
      <c r="D8058" s="37">
        <v>4.9569999999999999</v>
      </c>
      <c r="E8058" s="33">
        <f t="shared" si="257"/>
        <v>-3.3904761904761387E-3</v>
      </c>
    </row>
    <row r="8059" spans="1:5" x14ac:dyDescent="0.25">
      <c r="A8059" s="41">
        <v>43801</v>
      </c>
      <c r="B8059" s="29">
        <v>260.83999999999997</v>
      </c>
      <c r="C8059" s="37">
        <f t="shared" si="256"/>
        <v>43.473333333333329</v>
      </c>
      <c r="D8059" s="37">
        <v>4.9569999999999999</v>
      </c>
      <c r="E8059" s="33">
        <f t="shared" si="257"/>
        <v>-2.9433125645045625E-3</v>
      </c>
    </row>
    <row r="8060" spans="1:5" x14ac:dyDescent="0.25">
      <c r="A8060" s="41">
        <v>43801</v>
      </c>
      <c r="B8060" s="29">
        <v>260.61</v>
      </c>
      <c r="C8060" s="37">
        <f t="shared" si="256"/>
        <v>43.435000000000002</v>
      </c>
      <c r="D8060" s="37">
        <v>4.9569999999999999</v>
      </c>
      <c r="E8060" s="33">
        <f t="shared" si="257"/>
        <v>-8.8176660021454286E-4</v>
      </c>
    </row>
    <row r="8061" spans="1:5" x14ac:dyDescent="0.25">
      <c r="A8061" s="41">
        <v>43801</v>
      </c>
      <c r="B8061" s="29">
        <v>260.64</v>
      </c>
      <c r="C8061" s="37">
        <f t="shared" si="256"/>
        <v>43.44</v>
      </c>
      <c r="D8061" s="37">
        <v>4.9569999999999999</v>
      </c>
      <c r="E8061" s="33">
        <f t="shared" si="257"/>
        <v>1.1511453896616674E-4</v>
      </c>
    </row>
    <row r="8062" spans="1:5" x14ac:dyDescent="0.25">
      <c r="A8062" s="41">
        <v>43801</v>
      </c>
      <c r="B8062" s="29">
        <v>260.51</v>
      </c>
      <c r="C8062" s="37">
        <f t="shared" si="256"/>
        <v>43.418333333333337</v>
      </c>
      <c r="D8062" s="37">
        <v>4.9569999999999999</v>
      </c>
      <c r="E8062" s="33">
        <f t="shared" si="257"/>
        <v>-4.987722529158819E-4</v>
      </c>
    </row>
    <row r="8063" spans="1:5" x14ac:dyDescent="0.25">
      <c r="A8063" s="41">
        <v>43801</v>
      </c>
      <c r="B8063" s="29">
        <v>260.38</v>
      </c>
      <c r="C8063" s="37">
        <f t="shared" si="256"/>
        <v>43.396666666666668</v>
      </c>
      <c r="D8063" s="37">
        <v>4.9569999999999999</v>
      </c>
      <c r="E8063" s="33">
        <f t="shared" si="257"/>
        <v>-4.9902115081952884E-4</v>
      </c>
    </row>
    <row r="8064" spans="1:5" x14ac:dyDescent="0.25">
      <c r="A8064" s="41">
        <v>43801</v>
      </c>
      <c r="B8064" s="29">
        <v>260.26</v>
      </c>
      <c r="C8064" s="37">
        <f t="shared" si="256"/>
        <v>43.376666666666665</v>
      </c>
      <c r="D8064" s="37">
        <v>4.9569999999999999</v>
      </c>
      <c r="E8064" s="33">
        <f t="shared" si="257"/>
        <v>-4.6086488977649799E-4</v>
      </c>
    </row>
    <row r="8065" spans="1:5" x14ac:dyDescent="0.25">
      <c r="A8065" s="41">
        <v>43801</v>
      </c>
      <c r="B8065" s="29">
        <v>257.89</v>
      </c>
      <c r="C8065" s="37">
        <f t="shared" si="256"/>
        <v>42.981666666666669</v>
      </c>
      <c r="D8065" s="37">
        <v>4.9569999999999999</v>
      </c>
      <c r="E8065" s="33">
        <f t="shared" si="257"/>
        <v>-9.1062783370475849E-3</v>
      </c>
    </row>
    <row r="8066" spans="1:5" x14ac:dyDescent="0.25">
      <c r="A8066" s="41">
        <v>43802</v>
      </c>
      <c r="B8066" s="29">
        <v>252.87</v>
      </c>
      <c r="C8066" s="37">
        <f t="shared" si="256"/>
        <v>42.145000000000003</v>
      </c>
      <c r="D8066" s="37">
        <v>4.8010000000000002</v>
      </c>
      <c r="E8066" s="33">
        <f t="shared" si="257"/>
        <v>-1.9465663655046657E-2</v>
      </c>
    </row>
    <row r="8067" spans="1:5" x14ac:dyDescent="0.25">
      <c r="A8067" s="41">
        <v>43802</v>
      </c>
      <c r="B8067" s="29">
        <v>252.08</v>
      </c>
      <c r="C8067" s="37">
        <f t="shared" ref="C8067:C8130" si="258">(B8067*100/600)</f>
        <v>42.013333333333335</v>
      </c>
      <c r="D8067" s="37">
        <v>4.8010000000000002</v>
      </c>
      <c r="E8067" s="33">
        <f t="shared" si="257"/>
        <v>-3.1241349309921781E-3</v>
      </c>
    </row>
    <row r="8068" spans="1:5" x14ac:dyDescent="0.25">
      <c r="A8068" s="41">
        <v>43802</v>
      </c>
      <c r="B8068" s="29">
        <v>250.45</v>
      </c>
      <c r="C8068" s="37">
        <f t="shared" si="258"/>
        <v>41.741666666666667</v>
      </c>
      <c r="D8068" s="37">
        <v>4.8010000000000002</v>
      </c>
      <c r="E8068" s="33">
        <f t="shared" ref="E8068:E8131" si="259">(B8068-B8067)/B8067</f>
        <v>-6.4662012059664544E-3</v>
      </c>
    </row>
    <row r="8069" spans="1:5" x14ac:dyDescent="0.25">
      <c r="A8069" s="41">
        <v>43802</v>
      </c>
      <c r="B8069" s="29">
        <v>250.08</v>
      </c>
      <c r="C8069" s="37">
        <f t="shared" si="258"/>
        <v>41.68</v>
      </c>
      <c r="D8069" s="37">
        <v>4.8010000000000002</v>
      </c>
      <c r="E8069" s="33">
        <f t="shared" si="259"/>
        <v>-1.4773407865840533E-3</v>
      </c>
    </row>
    <row r="8070" spans="1:5" x14ac:dyDescent="0.25">
      <c r="A8070" s="41">
        <v>43802</v>
      </c>
      <c r="B8070" s="29">
        <v>250.34</v>
      </c>
      <c r="C8070" s="37">
        <f t="shared" si="258"/>
        <v>41.723333333333336</v>
      </c>
      <c r="D8070" s="37">
        <v>4.8010000000000002</v>
      </c>
      <c r="E8070" s="33">
        <f t="shared" si="259"/>
        <v>1.0396673064618958E-3</v>
      </c>
    </row>
    <row r="8071" spans="1:5" x14ac:dyDescent="0.25">
      <c r="A8071" s="41">
        <v>43802</v>
      </c>
      <c r="B8071" s="29">
        <v>250.6</v>
      </c>
      <c r="C8071" s="37">
        <f t="shared" si="258"/>
        <v>41.766666666666666</v>
      </c>
      <c r="D8071" s="37">
        <v>4.8010000000000002</v>
      </c>
      <c r="E8071" s="33">
        <f t="shared" si="259"/>
        <v>1.0385875209714425E-3</v>
      </c>
    </row>
    <row r="8072" spans="1:5" x14ac:dyDescent="0.25">
      <c r="A8072" s="41">
        <v>43802</v>
      </c>
      <c r="B8072" s="29">
        <v>252.08</v>
      </c>
      <c r="C8072" s="37">
        <f t="shared" si="258"/>
        <v>42.013333333333335</v>
      </c>
      <c r="D8072" s="37">
        <v>4.8010000000000002</v>
      </c>
      <c r="E8072" s="33">
        <f t="shared" si="259"/>
        <v>5.9058260175579337E-3</v>
      </c>
    </row>
    <row r="8073" spans="1:5" x14ac:dyDescent="0.25">
      <c r="A8073" s="41">
        <v>43802</v>
      </c>
      <c r="B8073" s="29">
        <v>254.79</v>
      </c>
      <c r="C8073" s="37">
        <f t="shared" si="258"/>
        <v>42.465000000000003</v>
      </c>
      <c r="D8073" s="37">
        <v>4.8010000000000002</v>
      </c>
      <c r="E8073" s="33">
        <f t="shared" si="259"/>
        <v>1.0750555379244603E-2</v>
      </c>
    </row>
    <row r="8074" spans="1:5" x14ac:dyDescent="0.25">
      <c r="A8074" s="41">
        <v>43802</v>
      </c>
      <c r="B8074" s="29">
        <v>257.05</v>
      </c>
      <c r="C8074" s="37">
        <f t="shared" si="258"/>
        <v>42.841666666666669</v>
      </c>
      <c r="D8074" s="37">
        <v>4.8010000000000002</v>
      </c>
      <c r="E8074" s="33">
        <f t="shared" si="259"/>
        <v>8.870049844970444E-3</v>
      </c>
    </row>
    <row r="8075" spans="1:5" x14ac:dyDescent="0.25">
      <c r="A8075" s="41">
        <v>43802</v>
      </c>
      <c r="B8075" s="29">
        <v>259.44</v>
      </c>
      <c r="C8075" s="37">
        <f t="shared" si="258"/>
        <v>43.24</v>
      </c>
      <c r="D8075" s="37">
        <v>4.8010000000000002</v>
      </c>
      <c r="E8075" s="33">
        <f t="shared" si="259"/>
        <v>9.2978019840497424E-3</v>
      </c>
    </row>
    <row r="8076" spans="1:5" x14ac:dyDescent="0.25">
      <c r="A8076" s="41">
        <v>43802</v>
      </c>
      <c r="B8076" s="29">
        <v>264.38</v>
      </c>
      <c r="C8076" s="37">
        <f t="shared" si="258"/>
        <v>44.063333333333333</v>
      </c>
      <c r="D8076" s="37">
        <v>4.8010000000000002</v>
      </c>
      <c r="E8076" s="33">
        <f t="shared" si="259"/>
        <v>1.9041011409189013E-2</v>
      </c>
    </row>
    <row r="8077" spans="1:5" x14ac:dyDescent="0.25">
      <c r="A8077" s="41">
        <v>43802</v>
      </c>
      <c r="B8077" s="29">
        <v>264.38</v>
      </c>
      <c r="C8077" s="37">
        <f t="shared" si="258"/>
        <v>44.063333333333333</v>
      </c>
      <c r="D8077" s="37">
        <v>4.8010000000000002</v>
      </c>
      <c r="E8077" s="33">
        <f t="shared" si="259"/>
        <v>0</v>
      </c>
    </row>
    <row r="8078" spans="1:5" x14ac:dyDescent="0.25">
      <c r="A8078" s="41">
        <v>43802</v>
      </c>
      <c r="B8078" s="29">
        <v>260.27999999999997</v>
      </c>
      <c r="C8078" s="37">
        <f t="shared" si="258"/>
        <v>43.379999999999995</v>
      </c>
      <c r="D8078" s="37">
        <v>4.8010000000000002</v>
      </c>
      <c r="E8078" s="33">
        <f t="shared" si="259"/>
        <v>-1.5507980936530838E-2</v>
      </c>
    </row>
    <row r="8079" spans="1:5" x14ac:dyDescent="0.25">
      <c r="A8079" s="41">
        <v>43802</v>
      </c>
      <c r="B8079" s="29">
        <v>263.23</v>
      </c>
      <c r="C8079" s="37">
        <f t="shared" si="258"/>
        <v>43.87166666666667</v>
      </c>
      <c r="D8079" s="37">
        <v>4.8010000000000002</v>
      </c>
      <c r="E8079" s="33">
        <f t="shared" si="259"/>
        <v>1.1333948055939933E-2</v>
      </c>
    </row>
    <row r="8080" spans="1:5" x14ac:dyDescent="0.25">
      <c r="A8080" s="41">
        <v>43802</v>
      </c>
      <c r="B8080" s="29">
        <v>265.36</v>
      </c>
      <c r="C8080" s="37">
        <f t="shared" si="258"/>
        <v>44.226666666666667</v>
      </c>
      <c r="D8080" s="37">
        <v>4.8010000000000002</v>
      </c>
      <c r="E8080" s="33">
        <f t="shared" si="259"/>
        <v>8.0917828514986707E-3</v>
      </c>
    </row>
    <row r="8081" spans="1:5" x14ac:dyDescent="0.25">
      <c r="A8081" s="41">
        <v>43802</v>
      </c>
      <c r="B8081" s="29">
        <v>264.58999999999997</v>
      </c>
      <c r="C8081" s="37">
        <f t="shared" si="258"/>
        <v>44.098333333333329</v>
      </c>
      <c r="D8081" s="37">
        <v>4.8010000000000002</v>
      </c>
      <c r="E8081" s="33">
        <f t="shared" si="259"/>
        <v>-2.901718420259416E-3</v>
      </c>
    </row>
    <row r="8082" spans="1:5" x14ac:dyDescent="0.25">
      <c r="A8082" s="41">
        <v>43802</v>
      </c>
      <c r="B8082" s="29">
        <v>263.24</v>
      </c>
      <c r="C8082" s="37">
        <f t="shared" si="258"/>
        <v>43.873333333333335</v>
      </c>
      <c r="D8082" s="37">
        <v>4.8010000000000002</v>
      </c>
      <c r="E8082" s="33">
        <f t="shared" si="259"/>
        <v>-5.1022336445064667E-3</v>
      </c>
    </row>
    <row r="8083" spans="1:5" x14ac:dyDescent="0.25">
      <c r="A8083" s="41">
        <v>43802</v>
      </c>
      <c r="B8083" s="29">
        <v>258.3</v>
      </c>
      <c r="C8083" s="37">
        <f t="shared" si="258"/>
        <v>43.05</v>
      </c>
      <c r="D8083" s="37">
        <v>4.8010000000000002</v>
      </c>
      <c r="E8083" s="33">
        <f t="shared" si="259"/>
        <v>-1.8766144962771607E-2</v>
      </c>
    </row>
    <row r="8084" spans="1:5" x14ac:dyDescent="0.25">
      <c r="A8084" s="41">
        <v>43802</v>
      </c>
      <c r="B8084" s="29">
        <v>256.75</v>
      </c>
      <c r="C8084" s="37">
        <f t="shared" si="258"/>
        <v>42.791666666666664</v>
      </c>
      <c r="D8084" s="37">
        <v>4.8010000000000002</v>
      </c>
      <c r="E8084" s="33">
        <f t="shared" si="259"/>
        <v>-6.0007742934572641E-3</v>
      </c>
    </row>
    <row r="8085" spans="1:5" x14ac:dyDescent="0.25">
      <c r="A8085" s="41">
        <v>43802</v>
      </c>
      <c r="B8085" s="29">
        <v>258.45999999999998</v>
      </c>
      <c r="C8085" s="37">
        <f t="shared" si="258"/>
        <v>43.076666666666661</v>
      </c>
      <c r="D8085" s="37">
        <v>4.8010000000000002</v>
      </c>
      <c r="E8085" s="33">
        <f t="shared" si="259"/>
        <v>6.6601752677701246E-3</v>
      </c>
    </row>
    <row r="8086" spans="1:5" x14ac:dyDescent="0.25">
      <c r="A8086" s="41">
        <v>43802</v>
      </c>
      <c r="B8086" s="29">
        <v>257.58999999999997</v>
      </c>
      <c r="C8086" s="37">
        <f t="shared" si="258"/>
        <v>42.931666666666658</v>
      </c>
      <c r="D8086" s="37">
        <v>4.8010000000000002</v>
      </c>
      <c r="E8086" s="33">
        <f t="shared" si="259"/>
        <v>-3.3660914648301656E-3</v>
      </c>
    </row>
    <row r="8087" spans="1:5" x14ac:dyDescent="0.25">
      <c r="A8087" s="41">
        <v>43802</v>
      </c>
      <c r="B8087" s="29">
        <v>257.32</v>
      </c>
      <c r="C8087" s="37">
        <f t="shared" si="258"/>
        <v>42.886666666666663</v>
      </c>
      <c r="D8087" s="37">
        <v>4.8010000000000002</v>
      </c>
      <c r="E8087" s="33">
        <f t="shared" si="259"/>
        <v>-1.0481773360766404E-3</v>
      </c>
    </row>
    <row r="8088" spans="1:5" x14ac:dyDescent="0.25">
      <c r="A8088" s="41">
        <v>43802</v>
      </c>
      <c r="B8088" s="29">
        <v>255.56</v>
      </c>
      <c r="C8088" s="37">
        <f t="shared" si="258"/>
        <v>42.593333333333334</v>
      </c>
      <c r="D8088" s="37">
        <v>4.8010000000000002</v>
      </c>
      <c r="E8088" s="33">
        <f t="shared" si="259"/>
        <v>-6.8397326286335726E-3</v>
      </c>
    </row>
    <row r="8089" spans="1:5" x14ac:dyDescent="0.25">
      <c r="A8089" s="41">
        <v>43802</v>
      </c>
      <c r="B8089" s="29">
        <v>253.78</v>
      </c>
      <c r="C8089" s="37">
        <f t="shared" si="258"/>
        <v>42.296666666666667</v>
      </c>
      <c r="D8089" s="37">
        <v>4.8010000000000002</v>
      </c>
      <c r="E8089" s="33">
        <f t="shared" si="259"/>
        <v>-6.9650962591954963E-3</v>
      </c>
    </row>
    <row r="8090" spans="1:5" x14ac:dyDescent="0.25">
      <c r="A8090" s="41">
        <v>43803</v>
      </c>
      <c r="B8090" s="29">
        <v>251.55</v>
      </c>
      <c r="C8090" s="37">
        <f t="shared" si="258"/>
        <v>41.924999999999997</v>
      </c>
      <c r="D8090" s="37">
        <v>4.673</v>
      </c>
      <c r="E8090" s="33">
        <f t="shared" si="259"/>
        <v>-8.7871384663881693E-3</v>
      </c>
    </row>
    <row r="8091" spans="1:5" x14ac:dyDescent="0.25">
      <c r="A8091" s="41">
        <v>43803</v>
      </c>
      <c r="B8091" s="29">
        <v>250.58</v>
      </c>
      <c r="C8091" s="37">
        <f t="shared" si="258"/>
        <v>41.763333333333335</v>
      </c>
      <c r="D8091" s="37">
        <v>4.673</v>
      </c>
      <c r="E8091" s="33">
        <f t="shared" si="259"/>
        <v>-3.8560922281852469E-3</v>
      </c>
    </row>
    <row r="8092" spans="1:5" x14ac:dyDescent="0.25">
      <c r="A8092" s="41">
        <v>43803</v>
      </c>
      <c r="B8092" s="29">
        <v>249.18</v>
      </c>
      <c r="C8092" s="37">
        <f t="shared" si="258"/>
        <v>41.53</v>
      </c>
      <c r="D8092" s="37">
        <v>4.673</v>
      </c>
      <c r="E8092" s="33">
        <f t="shared" si="259"/>
        <v>-5.5870380716737398E-3</v>
      </c>
    </row>
    <row r="8093" spans="1:5" x14ac:dyDescent="0.25">
      <c r="A8093" s="41">
        <v>43803</v>
      </c>
      <c r="B8093" s="29">
        <v>248.94</v>
      </c>
      <c r="C8093" s="37">
        <f t="shared" si="258"/>
        <v>41.49</v>
      </c>
      <c r="D8093" s="37">
        <v>4.673</v>
      </c>
      <c r="E8093" s="33">
        <f t="shared" si="259"/>
        <v>-9.6315916205156552E-4</v>
      </c>
    </row>
    <row r="8094" spans="1:5" x14ac:dyDescent="0.25">
      <c r="A8094" s="41">
        <v>43803</v>
      </c>
      <c r="B8094" s="29">
        <v>249.1</v>
      </c>
      <c r="C8094" s="37">
        <f t="shared" si="258"/>
        <v>41.516666666666666</v>
      </c>
      <c r="D8094" s="37">
        <v>4.673</v>
      </c>
      <c r="E8094" s="33">
        <f t="shared" si="259"/>
        <v>6.4272515465572662E-4</v>
      </c>
    </row>
    <row r="8095" spans="1:5" x14ac:dyDescent="0.25">
      <c r="A8095" s="41">
        <v>43803</v>
      </c>
      <c r="B8095" s="29">
        <v>249.24</v>
      </c>
      <c r="C8095" s="37">
        <f t="shared" si="258"/>
        <v>41.54</v>
      </c>
      <c r="D8095" s="37">
        <v>4.673</v>
      </c>
      <c r="E8095" s="33">
        <f t="shared" si="259"/>
        <v>5.6202328382181765E-4</v>
      </c>
    </row>
    <row r="8096" spans="1:5" x14ac:dyDescent="0.25">
      <c r="A8096" s="41">
        <v>43803</v>
      </c>
      <c r="B8096" s="29">
        <v>250.68</v>
      </c>
      <c r="C8096" s="37">
        <f t="shared" si="258"/>
        <v>41.78</v>
      </c>
      <c r="D8096" s="37">
        <v>4.673</v>
      </c>
      <c r="E8096" s="33">
        <f t="shared" si="259"/>
        <v>5.7775637939335486E-3</v>
      </c>
    </row>
    <row r="8097" spans="1:5" x14ac:dyDescent="0.25">
      <c r="A8097" s="41">
        <v>43803</v>
      </c>
      <c r="B8097" s="29">
        <v>252.98</v>
      </c>
      <c r="C8097" s="37">
        <f t="shared" si="258"/>
        <v>42.163333333333334</v>
      </c>
      <c r="D8097" s="37">
        <v>4.673</v>
      </c>
      <c r="E8097" s="33">
        <f t="shared" si="259"/>
        <v>9.1750438806445789E-3</v>
      </c>
    </row>
    <row r="8098" spans="1:5" x14ac:dyDescent="0.25">
      <c r="A8098" s="41">
        <v>43803</v>
      </c>
      <c r="B8098" s="29">
        <v>256.32</v>
      </c>
      <c r="C8098" s="37">
        <f t="shared" si="258"/>
        <v>42.72</v>
      </c>
      <c r="D8098" s="37">
        <v>4.673</v>
      </c>
      <c r="E8098" s="33">
        <f t="shared" si="259"/>
        <v>1.3202624713416095E-2</v>
      </c>
    </row>
    <row r="8099" spans="1:5" x14ac:dyDescent="0.25">
      <c r="A8099" s="41">
        <v>43803</v>
      </c>
      <c r="B8099" s="29">
        <v>257.48</v>
      </c>
      <c r="C8099" s="37">
        <f t="shared" si="258"/>
        <v>42.913333333333334</v>
      </c>
      <c r="D8099" s="37">
        <v>4.673</v>
      </c>
      <c r="E8099" s="33">
        <f t="shared" si="259"/>
        <v>4.5255930087391739E-3</v>
      </c>
    </row>
    <row r="8100" spans="1:5" x14ac:dyDescent="0.25">
      <c r="A8100" s="41">
        <v>43803</v>
      </c>
      <c r="B8100" s="29">
        <v>260.08999999999997</v>
      </c>
      <c r="C8100" s="37">
        <f t="shared" si="258"/>
        <v>43.348333333333329</v>
      </c>
      <c r="D8100" s="37">
        <v>4.673</v>
      </c>
      <c r="E8100" s="33">
        <f t="shared" si="259"/>
        <v>1.0136709647351081E-2</v>
      </c>
    </row>
    <row r="8101" spans="1:5" x14ac:dyDescent="0.25">
      <c r="A8101" s="41">
        <v>43803</v>
      </c>
      <c r="B8101" s="29">
        <v>260.89999999999998</v>
      </c>
      <c r="C8101" s="37">
        <f t="shared" si="258"/>
        <v>43.483333333333327</v>
      </c>
      <c r="D8101" s="37">
        <v>4.673</v>
      </c>
      <c r="E8101" s="33">
        <f t="shared" si="259"/>
        <v>3.1143065861817154E-3</v>
      </c>
    </row>
    <row r="8102" spans="1:5" x14ac:dyDescent="0.25">
      <c r="A8102" s="41">
        <v>43803</v>
      </c>
      <c r="B8102" s="29">
        <v>257.73</v>
      </c>
      <c r="C8102" s="37">
        <f t="shared" si="258"/>
        <v>42.954999999999998</v>
      </c>
      <c r="D8102" s="37">
        <v>4.673</v>
      </c>
      <c r="E8102" s="33">
        <f t="shared" si="259"/>
        <v>-1.2150249137600457E-2</v>
      </c>
    </row>
    <row r="8103" spans="1:5" x14ac:dyDescent="0.25">
      <c r="A8103" s="41">
        <v>43803</v>
      </c>
      <c r="B8103" s="29">
        <v>261.29000000000002</v>
      </c>
      <c r="C8103" s="37">
        <f t="shared" si="258"/>
        <v>43.548333333333339</v>
      </c>
      <c r="D8103" s="37">
        <v>4.673</v>
      </c>
      <c r="E8103" s="33">
        <f t="shared" si="259"/>
        <v>1.3812904978077842E-2</v>
      </c>
    </row>
    <row r="8104" spans="1:5" x14ac:dyDescent="0.25">
      <c r="A8104" s="41">
        <v>43803</v>
      </c>
      <c r="B8104" s="29">
        <v>263.3</v>
      </c>
      <c r="C8104" s="37">
        <f t="shared" si="258"/>
        <v>43.883333333333333</v>
      </c>
      <c r="D8104" s="37">
        <v>4.673</v>
      </c>
      <c r="E8104" s="33">
        <f t="shared" si="259"/>
        <v>7.6926020896321739E-3</v>
      </c>
    </row>
    <row r="8105" spans="1:5" x14ac:dyDescent="0.25">
      <c r="A8105" s="41">
        <v>43803</v>
      </c>
      <c r="B8105" s="29">
        <v>262.79000000000002</v>
      </c>
      <c r="C8105" s="37">
        <f t="shared" si="258"/>
        <v>43.798333333333339</v>
      </c>
      <c r="D8105" s="37">
        <v>4.673</v>
      </c>
      <c r="E8105" s="33">
        <f t="shared" si="259"/>
        <v>-1.9369540448157649E-3</v>
      </c>
    </row>
    <row r="8106" spans="1:5" x14ac:dyDescent="0.25">
      <c r="A8106" s="41">
        <v>43803</v>
      </c>
      <c r="B8106" s="29">
        <v>261</v>
      </c>
      <c r="C8106" s="37">
        <f t="shared" si="258"/>
        <v>43.5</v>
      </c>
      <c r="D8106" s="37">
        <v>4.673</v>
      </c>
      <c r="E8106" s="33">
        <f t="shared" si="259"/>
        <v>-6.8115225084669139E-3</v>
      </c>
    </row>
    <row r="8107" spans="1:5" x14ac:dyDescent="0.25">
      <c r="A8107" s="41">
        <v>43803</v>
      </c>
      <c r="B8107" s="29">
        <v>257.11</v>
      </c>
      <c r="C8107" s="37">
        <f t="shared" si="258"/>
        <v>42.851666666666667</v>
      </c>
      <c r="D8107" s="37">
        <v>4.673</v>
      </c>
      <c r="E8107" s="33">
        <f t="shared" si="259"/>
        <v>-1.4904214559386921E-2</v>
      </c>
    </row>
    <row r="8108" spans="1:5" x14ac:dyDescent="0.25">
      <c r="A8108" s="41">
        <v>43803</v>
      </c>
      <c r="B8108" s="29">
        <v>256.64</v>
      </c>
      <c r="C8108" s="37">
        <f t="shared" si="258"/>
        <v>42.773333333333333</v>
      </c>
      <c r="D8108" s="37">
        <v>4.673</v>
      </c>
      <c r="E8108" s="33">
        <f t="shared" si="259"/>
        <v>-1.8280113570068347E-3</v>
      </c>
    </row>
    <row r="8109" spans="1:5" x14ac:dyDescent="0.25">
      <c r="A8109" s="41">
        <v>43803</v>
      </c>
      <c r="B8109" s="29">
        <v>256.76</v>
      </c>
      <c r="C8109" s="37">
        <f t="shared" si="258"/>
        <v>42.793333333333337</v>
      </c>
      <c r="D8109" s="37">
        <v>4.673</v>
      </c>
      <c r="E8109" s="33">
        <f t="shared" si="259"/>
        <v>4.675810473815639E-4</v>
      </c>
    </row>
    <row r="8110" spans="1:5" x14ac:dyDescent="0.25">
      <c r="A8110" s="41">
        <v>43803</v>
      </c>
      <c r="B8110" s="29">
        <v>256.39</v>
      </c>
      <c r="C8110" s="37">
        <f t="shared" si="258"/>
        <v>42.731666666666669</v>
      </c>
      <c r="D8110" s="37">
        <v>4.673</v>
      </c>
      <c r="E8110" s="33">
        <f t="shared" si="259"/>
        <v>-1.4410344290388089E-3</v>
      </c>
    </row>
    <row r="8111" spans="1:5" x14ac:dyDescent="0.25">
      <c r="A8111" s="41">
        <v>43803</v>
      </c>
      <c r="B8111" s="29">
        <v>256.26</v>
      </c>
      <c r="C8111" s="37">
        <f t="shared" si="258"/>
        <v>42.71</v>
      </c>
      <c r="D8111" s="37">
        <v>4.673</v>
      </c>
      <c r="E8111" s="33">
        <f t="shared" si="259"/>
        <v>-5.070400561644193E-4</v>
      </c>
    </row>
    <row r="8112" spans="1:5" x14ac:dyDescent="0.25">
      <c r="A8112" s="41">
        <v>43803</v>
      </c>
      <c r="B8112" s="29">
        <v>255.38</v>
      </c>
      <c r="C8112" s="37">
        <f t="shared" si="258"/>
        <v>42.563333333333333</v>
      </c>
      <c r="D8112" s="37">
        <v>4.673</v>
      </c>
      <c r="E8112" s="33">
        <f t="shared" si="259"/>
        <v>-3.434012331226081E-3</v>
      </c>
    </row>
    <row r="8113" spans="1:5" x14ac:dyDescent="0.25">
      <c r="A8113" s="41">
        <v>43803</v>
      </c>
      <c r="B8113" s="29">
        <v>253.2</v>
      </c>
      <c r="C8113" s="37">
        <f t="shared" si="258"/>
        <v>42.2</v>
      </c>
      <c r="D8113" s="37">
        <v>4.673</v>
      </c>
      <c r="E8113" s="33">
        <f t="shared" si="259"/>
        <v>-8.5362988487744026E-3</v>
      </c>
    </row>
    <row r="8114" spans="1:5" x14ac:dyDescent="0.25">
      <c r="A8114" s="41">
        <v>43804</v>
      </c>
      <c r="B8114" s="29">
        <v>252.86</v>
      </c>
      <c r="C8114" s="37">
        <f t="shared" si="258"/>
        <v>42.143333333333331</v>
      </c>
      <c r="D8114" s="37">
        <v>4.681</v>
      </c>
      <c r="E8114" s="33">
        <f t="shared" si="259"/>
        <v>-1.3428120063190166E-3</v>
      </c>
    </row>
    <row r="8115" spans="1:5" x14ac:dyDescent="0.25">
      <c r="A8115" s="41">
        <v>43804</v>
      </c>
      <c r="B8115" s="29">
        <v>251.74</v>
      </c>
      <c r="C8115" s="37">
        <f t="shared" si="258"/>
        <v>41.956666666666663</v>
      </c>
      <c r="D8115" s="37">
        <v>4.681</v>
      </c>
      <c r="E8115" s="33">
        <f t="shared" si="259"/>
        <v>-4.429328482164061E-3</v>
      </c>
    </row>
    <row r="8116" spans="1:5" x14ac:dyDescent="0.25">
      <c r="A8116" s="41">
        <v>43804</v>
      </c>
      <c r="B8116" s="29">
        <v>250.6</v>
      </c>
      <c r="C8116" s="37">
        <f t="shared" si="258"/>
        <v>41.766666666666666</v>
      </c>
      <c r="D8116" s="37">
        <v>4.681</v>
      </c>
      <c r="E8116" s="33">
        <f t="shared" si="259"/>
        <v>-4.5284817669024183E-3</v>
      </c>
    </row>
    <row r="8117" spans="1:5" x14ac:dyDescent="0.25">
      <c r="A8117" s="41">
        <v>43804</v>
      </c>
      <c r="B8117" s="29">
        <v>250.3</v>
      </c>
      <c r="C8117" s="37">
        <f t="shared" si="258"/>
        <v>41.716666666666669</v>
      </c>
      <c r="D8117" s="37">
        <v>4.681</v>
      </c>
      <c r="E8117" s="33">
        <f t="shared" si="259"/>
        <v>-1.1971268954508497E-3</v>
      </c>
    </row>
    <row r="8118" spans="1:5" x14ac:dyDescent="0.25">
      <c r="A8118" s="41">
        <v>43804</v>
      </c>
      <c r="B8118" s="29">
        <v>250.47</v>
      </c>
      <c r="C8118" s="37">
        <f t="shared" si="258"/>
        <v>41.744999999999997</v>
      </c>
      <c r="D8118" s="37">
        <v>4.681</v>
      </c>
      <c r="E8118" s="33">
        <f t="shared" si="259"/>
        <v>6.7918497802631835E-4</v>
      </c>
    </row>
    <row r="8119" spans="1:5" x14ac:dyDescent="0.25">
      <c r="A8119" s="41">
        <v>43804</v>
      </c>
      <c r="B8119" s="29">
        <v>250.58</v>
      </c>
      <c r="C8119" s="37">
        <f t="shared" si="258"/>
        <v>41.763333333333335</v>
      </c>
      <c r="D8119" s="37">
        <v>4.681</v>
      </c>
      <c r="E8119" s="33">
        <f t="shared" si="259"/>
        <v>4.3917435221788492E-4</v>
      </c>
    </row>
    <row r="8120" spans="1:5" x14ac:dyDescent="0.25">
      <c r="A8120" s="41">
        <v>43804</v>
      </c>
      <c r="B8120" s="29">
        <v>251.68</v>
      </c>
      <c r="C8120" s="37">
        <f t="shared" si="258"/>
        <v>41.946666666666665</v>
      </c>
      <c r="D8120" s="37">
        <v>4.681</v>
      </c>
      <c r="E8120" s="33">
        <f t="shared" si="259"/>
        <v>4.3898156277436115E-3</v>
      </c>
    </row>
    <row r="8121" spans="1:5" x14ac:dyDescent="0.25">
      <c r="A8121" s="41">
        <v>43804</v>
      </c>
      <c r="B8121" s="29">
        <v>253.74</v>
      </c>
      <c r="C8121" s="37">
        <f t="shared" si="258"/>
        <v>42.29</v>
      </c>
      <c r="D8121" s="37">
        <v>4.681</v>
      </c>
      <c r="E8121" s="33">
        <f t="shared" si="259"/>
        <v>8.1849968213604657E-3</v>
      </c>
    </row>
    <row r="8122" spans="1:5" x14ac:dyDescent="0.25">
      <c r="A8122" s="41">
        <v>43804</v>
      </c>
      <c r="B8122" s="29">
        <v>256.8</v>
      </c>
      <c r="C8122" s="37">
        <f t="shared" si="258"/>
        <v>42.8</v>
      </c>
      <c r="D8122" s="37">
        <v>4.681</v>
      </c>
      <c r="E8122" s="33">
        <f t="shared" si="259"/>
        <v>1.2059588555214006E-2</v>
      </c>
    </row>
    <row r="8123" spans="1:5" x14ac:dyDescent="0.25">
      <c r="A8123" s="41">
        <v>43804</v>
      </c>
      <c r="B8123" s="29">
        <v>260.04000000000002</v>
      </c>
      <c r="C8123" s="37">
        <f t="shared" si="258"/>
        <v>43.34</v>
      </c>
      <c r="D8123" s="37">
        <v>4.681</v>
      </c>
      <c r="E8123" s="33">
        <f t="shared" si="259"/>
        <v>1.2616822429906577E-2</v>
      </c>
    </row>
    <row r="8124" spans="1:5" x14ac:dyDescent="0.25">
      <c r="A8124" s="41">
        <v>43804</v>
      </c>
      <c r="B8124" s="29">
        <v>262.81</v>
      </c>
      <c r="C8124" s="37">
        <f t="shared" si="258"/>
        <v>43.801666666666669</v>
      </c>
      <c r="D8124" s="37">
        <v>4.681</v>
      </c>
      <c r="E8124" s="33">
        <f t="shared" si="259"/>
        <v>1.0652207352714896E-2</v>
      </c>
    </row>
    <row r="8125" spans="1:5" x14ac:dyDescent="0.25">
      <c r="A8125" s="41">
        <v>43804</v>
      </c>
      <c r="B8125" s="29">
        <v>264.06</v>
      </c>
      <c r="C8125" s="37">
        <f t="shared" si="258"/>
        <v>44.01</v>
      </c>
      <c r="D8125" s="37">
        <v>4.681</v>
      </c>
      <c r="E8125" s="33">
        <f t="shared" si="259"/>
        <v>4.7562878124881094E-3</v>
      </c>
    </row>
    <row r="8126" spans="1:5" x14ac:dyDescent="0.25">
      <c r="A8126" s="41">
        <v>43804</v>
      </c>
      <c r="B8126" s="29">
        <v>261.39999999999998</v>
      </c>
      <c r="C8126" s="37">
        <f t="shared" si="258"/>
        <v>43.566666666666663</v>
      </c>
      <c r="D8126" s="37">
        <v>4.681</v>
      </c>
      <c r="E8126" s="33">
        <f t="shared" si="259"/>
        <v>-1.0073468151177857E-2</v>
      </c>
    </row>
    <row r="8127" spans="1:5" x14ac:dyDescent="0.25">
      <c r="A8127" s="41">
        <v>43804</v>
      </c>
      <c r="B8127" s="29">
        <v>266.18</v>
      </c>
      <c r="C8127" s="37">
        <f t="shared" si="258"/>
        <v>44.363333333333337</v>
      </c>
      <c r="D8127" s="37">
        <v>4.681</v>
      </c>
      <c r="E8127" s="33">
        <f t="shared" si="259"/>
        <v>1.8286151491966451E-2</v>
      </c>
    </row>
    <row r="8128" spans="1:5" x14ac:dyDescent="0.25">
      <c r="A8128" s="41">
        <v>43804</v>
      </c>
      <c r="B8128" s="29">
        <v>269.18</v>
      </c>
      <c r="C8128" s="37">
        <f t="shared" si="258"/>
        <v>44.863333333333337</v>
      </c>
      <c r="D8128" s="37">
        <v>4.681</v>
      </c>
      <c r="E8128" s="33">
        <f t="shared" si="259"/>
        <v>1.1270568788038169E-2</v>
      </c>
    </row>
    <row r="8129" spans="1:5" x14ac:dyDescent="0.25">
      <c r="A8129" s="41">
        <v>43804</v>
      </c>
      <c r="B8129" s="29">
        <v>269.11</v>
      </c>
      <c r="C8129" s="37">
        <f t="shared" si="258"/>
        <v>44.851666666666667</v>
      </c>
      <c r="D8129" s="37">
        <v>4.681</v>
      </c>
      <c r="E8129" s="33">
        <f t="shared" si="259"/>
        <v>-2.600490378185347E-4</v>
      </c>
    </row>
    <row r="8130" spans="1:5" x14ac:dyDescent="0.25">
      <c r="A8130" s="41">
        <v>43804</v>
      </c>
      <c r="B8130" s="29">
        <v>266.99</v>
      </c>
      <c r="C8130" s="37">
        <f t="shared" si="258"/>
        <v>44.498333333333335</v>
      </c>
      <c r="D8130" s="37">
        <v>4.681</v>
      </c>
      <c r="E8130" s="33">
        <f t="shared" si="259"/>
        <v>-7.8778194790234644E-3</v>
      </c>
    </row>
    <row r="8131" spans="1:5" x14ac:dyDescent="0.25">
      <c r="A8131" s="41">
        <v>43804</v>
      </c>
      <c r="B8131" s="29">
        <v>260.68</v>
      </c>
      <c r="C8131" s="37">
        <f t="shared" ref="C8131:C8194" si="260">(B8131*100/600)</f>
        <v>43.446666666666665</v>
      </c>
      <c r="D8131" s="37">
        <v>4.681</v>
      </c>
      <c r="E8131" s="33">
        <f t="shared" si="259"/>
        <v>-2.3633843964193425E-2</v>
      </c>
    </row>
    <row r="8132" spans="1:5" x14ac:dyDescent="0.25">
      <c r="A8132" s="41">
        <v>43804</v>
      </c>
      <c r="B8132" s="29">
        <v>260.52</v>
      </c>
      <c r="C8132" s="37">
        <f t="shared" si="260"/>
        <v>43.42</v>
      </c>
      <c r="D8132" s="37">
        <v>4.681</v>
      </c>
      <c r="E8132" s="33">
        <f t="shared" ref="E8132:E8195" si="261">(B8132-B8131)/B8131</f>
        <v>-6.1377934632509215E-4</v>
      </c>
    </row>
    <row r="8133" spans="1:5" x14ac:dyDescent="0.25">
      <c r="A8133" s="41">
        <v>43804</v>
      </c>
      <c r="B8133" s="29">
        <v>260.49</v>
      </c>
      <c r="C8133" s="37">
        <f t="shared" si="260"/>
        <v>43.414999999999999</v>
      </c>
      <c r="D8133" s="37">
        <v>4.681</v>
      </c>
      <c r="E8133" s="33">
        <f t="shared" si="261"/>
        <v>-1.1515430677096852E-4</v>
      </c>
    </row>
    <row r="8134" spans="1:5" x14ac:dyDescent="0.25">
      <c r="A8134" s="41">
        <v>43804</v>
      </c>
      <c r="B8134" s="29">
        <v>260.49</v>
      </c>
      <c r="C8134" s="37">
        <f t="shared" si="260"/>
        <v>43.414999999999999</v>
      </c>
      <c r="D8134" s="37">
        <v>4.681</v>
      </c>
      <c r="E8134" s="33">
        <f t="shared" si="261"/>
        <v>0</v>
      </c>
    </row>
    <row r="8135" spans="1:5" x14ac:dyDescent="0.25">
      <c r="A8135" s="41">
        <v>43804</v>
      </c>
      <c r="B8135" s="29">
        <v>260.49</v>
      </c>
      <c r="C8135" s="37">
        <f t="shared" si="260"/>
        <v>43.414999999999999</v>
      </c>
      <c r="D8135" s="37">
        <v>4.681</v>
      </c>
      <c r="E8135" s="33">
        <f t="shared" si="261"/>
        <v>0</v>
      </c>
    </row>
    <row r="8136" spans="1:5" x14ac:dyDescent="0.25">
      <c r="A8136" s="41">
        <v>43804</v>
      </c>
      <c r="B8136" s="29">
        <v>260.12</v>
      </c>
      <c r="C8136" s="37">
        <f t="shared" si="260"/>
        <v>43.353333333333332</v>
      </c>
      <c r="D8136" s="37">
        <v>4.681</v>
      </c>
      <c r="E8136" s="33">
        <f t="shared" si="261"/>
        <v>-1.4204000153556933E-3</v>
      </c>
    </row>
    <row r="8137" spans="1:5" x14ac:dyDescent="0.25">
      <c r="A8137" s="41">
        <v>43804</v>
      </c>
      <c r="B8137" s="29">
        <v>256.60000000000002</v>
      </c>
      <c r="C8137" s="37">
        <f t="shared" si="260"/>
        <v>42.766666666666673</v>
      </c>
      <c r="D8137" s="37">
        <v>4.681</v>
      </c>
      <c r="E8137" s="33">
        <f t="shared" si="261"/>
        <v>-1.3532215900353613E-2</v>
      </c>
    </row>
    <row r="8138" spans="1:5" x14ac:dyDescent="0.25">
      <c r="A8138" s="41">
        <v>43805</v>
      </c>
      <c r="B8138" s="29">
        <v>253.75</v>
      </c>
      <c r="C8138" s="37">
        <f t="shared" si="260"/>
        <v>42.291666666666664</v>
      </c>
      <c r="D8138" s="37">
        <v>4.6619999999999999</v>
      </c>
      <c r="E8138" s="33">
        <f t="shared" si="261"/>
        <v>-1.1106780982073353E-2</v>
      </c>
    </row>
    <row r="8139" spans="1:5" x14ac:dyDescent="0.25">
      <c r="A8139" s="41">
        <v>43805</v>
      </c>
      <c r="B8139" s="29">
        <v>252.92</v>
      </c>
      <c r="C8139" s="37">
        <f t="shared" si="260"/>
        <v>42.153333333333336</v>
      </c>
      <c r="D8139" s="37">
        <v>4.6619999999999999</v>
      </c>
      <c r="E8139" s="33">
        <f t="shared" si="261"/>
        <v>-3.2709359605911821E-3</v>
      </c>
    </row>
    <row r="8140" spans="1:5" x14ac:dyDescent="0.25">
      <c r="A8140" s="41">
        <v>43805</v>
      </c>
      <c r="B8140" s="29">
        <v>252.15</v>
      </c>
      <c r="C8140" s="37">
        <f t="shared" si="260"/>
        <v>42.024999999999999</v>
      </c>
      <c r="D8140" s="37">
        <v>4.6619999999999999</v>
      </c>
      <c r="E8140" s="33">
        <f t="shared" si="261"/>
        <v>-3.0444409299382486E-3</v>
      </c>
    </row>
    <row r="8141" spans="1:5" x14ac:dyDescent="0.25">
      <c r="A8141" s="41">
        <v>43805</v>
      </c>
      <c r="B8141" s="29">
        <v>251.37</v>
      </c>
      <c r="C8141" s="37">
        <f t="shared" si="260"/>
        <v>41.895000000000003</v>
      </c>
      <c r="D8141" s="37">
        <v>4.6619999999999999</v>
      </c>
      <c r="E8141" s="33">
        <f t="shared" si="261"/>
        <v>-3.0933967876264172E-3</v>
      </c>
    </row>
    <row r="8142" spans="1:5" x14ac:dyDescent="0.25">
      <c r="A8142" s="41">
        <v>43805</v>
      </c>
      <c r="B8142" s="29">
        <v>251.43</v>
      </c>
      <c r="C8142" s="37">
        <f t="shared" si="260"/>
        <v>41.905000000000001</v>
      </c>
      <c r="D8142" s="37">
        <v>4.6619999999999999</v>
      </c>
      <c r="E8142" s="33">
        <f t="shared" si="261"/>
        <v>2.3869196801528533E-4</v>
      </c>
    </row>
    <row r="8143" spans="1:5" x14ac:dyDescent="0.25">
      <c r="A8143" s="41">
        <v>43805</v>
      </c>
      <c r="B8143" s="29">
        <v>252.26</v>
      </c>
      <c r="C8143" s="37">
        <f t="shared" si="260"/>
        <v>42.043333333333337</v>
      </c>
      <c r="D8143" s="37">
        <v>4.6619999999999999</v>
      </c>
      <c r="E8143" s="33">
        <f t="shared" si="261"/>
        <v>3.3011176072862587E-3</v>
      </c>
    </row>
    <row r="8144" spans="1:5" x14ac:dyDescent="0.25">
      <c r="A8144" s="41">
        <v>43805</v>
      </c>
      <c r="B8144" s="29">
        <v>253.06</v>
      </c>
      <c r="C8144" s="37">
        <f t="shared" si="260"/>
        <v>42.176666666666669</v>
      </c>
      <c r="D8144" s="37">
        <v>4.6619999999999999</v>
      </c>
      <c r="E8144" s="33">
        <f t="shared" si="261"/>
        <v>3.1713311662570818E-3</v>
      </c>
    </row>
    <row r="8145" spans="1:5" x14ac:dyDescent="0.25">
      <c r="A8145" s="41">
        <v>43805</v>
      </c>
      <c r="B8145" s="29">
        <v>254.42</v>
      </c>
      <c r="C8145" s="37">
        <f t="shared" si="260"/>
        <v>42.403333333333336</v>
      </c>
      <c r="D8145" s="37">
        <v>4.6619999999999999</v>
      </c>
      <c r="E8145" s="33">
        <f t="shared" si="261"/>
        <v>5.3742195526751968E-3</v>
      </c>
    </row>
    <row r="8146" spans="1:5" x14ac:dyDescent="0.25">
      <c r="A8146" s="41">
        <v>43805</v>
      </c>
      <c r="B8146" s="29">
        <v>260.67</v>
      </c>
      <c r="C8146" s="37">
        <f t="shared" si="260"/>
        <v>43.445</v>
      </c>
      <c r="D8146" s="37">
        <v>4.6619999999999999</v>
      </c>
      <c r="E8146" s="33">
        <f t="shared" si="261"/>
        <v>2.4565678798836681E-2</v>
      </c>
    </row>
    <row r="8147" spans="1:5" x14ac:dyDescent="0.25">
      <c r="A8147" s="41">
        <v>43805</v>
      </c>
      <c r="B8147" s="29">
        <v>266.06</v>
      </c>
      <c r="C8147" s="37">
        <f t="shared" si="260"/>
        <v>44.343333333333334</v>
      </c>
      <c r="D8147" s="37">
        <v>4.6619999999999999</v>
      </c>
      <c r="E8147" s="33">
        <f t="shared" si="261"/>
        <v>2.0677484942647737E-2</v>
      </c>
    </row>
    <row r="8148" spans="1:5" x14ac:dyDescent="0.25">
      <c r="A8148" s="41">
        <v>43805</v>
      </c>
      <c r="B8148" s="29">
        <v>268.11</v>
      </c>
      <c r="C8148" s="37">
        <f t="shared" si="260"/>
        <v>44.685000000000002</v>
      </c>
      <c r="D8148" s="37">
        <v>4.6619999999999999</v>
      </c>
      <c r="E8148" s="33">
        <f t="shared" si="261"/>
        <v>7.7050289408404542E-3</v>
      </c>
    </row>
    <row r="8149" spans="1:5" x14ac:dyDescent="0.25">
      <c r="A8149" s="41">
        <v>43805</v>
      </c>
      <c r="B8149" s="29">
        <v>267.98</v>
      </c>
      <c r="C8149" s="37">
        <f t="shared" si="260"/>
        <v>44.663333333333334</v>
      </c>
      <c r="D8149" s="37">
        <v>4.6619999999999999</v>
      </c>
      <c r="E8149" s="33">
        <f t="shared" si="261"/>
        <v>-4.8487561075676196E-4</v>
      </c>
    </row>
    <row r="8150" spans="1:5" x14ac:dyDescent="0.25">
      <c r="A8150" s="41">
        <v>43805</v>
      </c>
      <c r="B8150" s="29">
        <v>267.55</v>
      </c>
      <c r="C8150" s="37">
        <f t="shared" si="260"/>
        <v>44.591666666666669</v>
      </c>
      <c r="D8150" s="37">
        <v>4.6619999999999999</v>
      </c>
      <c r="E8150" s="33">
        <f t="shared" si="261"/>
        <v>-1.6045973580118172E-3</v>
      </c>
    </row>
    <row r="8151" spans="1:5" x14ac:dyDescent="0.25">
      <c r="A8151" s="41">
        <v>43805</v>
      </c>
      <c r="B8151" s="29">
        <v>267.72000000000003</v>
      </c>
      <c r="C8151" s="37">
        <f t="shared" si="260"/>
        <v>44.620000000000005</v>
      </c>
      <c r="D8151" s="37">
        <v>4.6619999999999999</v>
      </c>
      <c r="E8151" s="33">
        <f t="shared" si="261"/>
        <v>6.3539525322375595E-4</v>
      </c>
    </row>
    <row r="8152" spans="1:5" x14ac:dyDescent="0.25">
      <c r="A8152" s="41">
        <v>43805</v>
      </c>
      <c r="B8152" s="29">
        <v>267.83</v>
      </c>
      <c r="C8152" s="37">
        <f t="shared" si="260"/>
        <v>44.638333333333335</v>
      </c>
      <c r="D8152" s="37">
        <v>4.6619999999999999</v>
      </c>
      <c r="E8152" s="33">
        <f t="shared" si="261"/>
        <v>4.1087703570878822E-4</v>
      </c>
    </row>
    <row r="8153" spans="1:5" x14ac:dyDescent="0.25">
      <c r="A8153" s="41">
        <v>43805</v>
      </c>
      <c r="B8153" s="29">
        <v>267.85000000000002</v>
      </c>
      <c r="C8153" s="37">
        <f t="shared" si="260"/>
        <v>44.641666666666673</v>
      </c>
      <c r="D8153" s="37">
        <v>4.6619999999999999</v>
      </c>
      <c r="E8153" s="33">
        <f t="shared" si="261"/>
        <v>7.467423365582144E-5</v>
      </c>
    </row>
    <row r="8154" spans="1:5" x14ac:dyDescent="0.25">
      <c r="A8154" s="41">
        <v>43805</v>
      </c>
      <c r="B8154" s="29">
        <v>267.33</v>
      </c>
      <c r="C8154" s="37">
        <f t="shared" si="260"/>
        <v>44.555</v>
      </c>
      <c r="D8154" s="37">
        <v>4.6619999999999999</v>
      </c>
      <c r="E8154" s="33">
        <f t="shared" si="261"/>
        <v>-1.941385103602907E-3</v>
      </c>
    </row>
    <row r="8155" spans="1:5" x14ac:dyDescent="0.25">
      <c r="A8155" s="41">
        <v>43805</v>
      </c>
      <c r="B8155" s="29">
        <v>264.93</v>
      </c>
      <c r="C8155" s="37">
        <f t="shared" si="260"/>
        <v>44.155000000000001</v>
      </c>
      <c r="D8155" s="37">
        <v>4.6619999999999999</v>
      </c>
      <c r="E8155" s="33">
        <f t="shared" si="261"/>
        <v>-8.9776680507237406E-3</v>
      </c>
    </row>
    <row r="8156" spans="1:5" x14ac:dyDescent="0.25">
      <c r="A8156" s="41">
        <v>43805</v>
      </c>
      <c r="B8156" s="29">
        <v>263.45</v>
      </c>
      <c r="C8156" s="37">
        <f t="shared" si="260"/>
        <v>43.908333333333331</v>
      </c>
      <c r="D8156" s="37">
        <v>4.6619999999999999</v>
      </c>
      <c r="E8156" s="33">
        <f t="shared" si="261"/>
        <v>-5.5863813082701773E-3</v>
      </c>
    </row>
    <row r="8157" spans="1:5" x14ac:dyDescent="0.25">
      <c r="A8157" s="41">
        <v>43805</v>
      </c>
      <c r="B8157" s="29">
        <v>266.72000000000003</v>
      </c>
      <c r="C8157" s="37">
        <f t="shared" si="260"/>
        <v>44.45333333333334</v>
      </c>
      <c r="D8157" s="37">
        <v>4.6619999999999999</v>
      </c>
      <c r="E8157" s="33">
        <f t="shared" si="261"/>
        <v>1.2412222433099408E-2</v>
      </c>
    </row>
    <row r="8158" spans="1:5" x14ac:dyDescent="0.25">
      <c r="A8158" s="41">
        <v>43805</v>
      </c>
      <c r="B8158" s="29">
        <v>265.97000000000003</v>
      </c>
      <c r="C8158" s="37">
        <f t="shared" si="260"/>
        <v>44.32833333333334</v>
      </c>
      <c r="D8158" s="37">
        <v>4.6619999999999999</v>
      </c>
      <c r="E8158" s="33">
        <f t="shared" si="261"/>
        <v>-2.8119376124775041E-3</v>
      </c>
    </row>
    <row r="8159" spans="1:5" x14ac:dyDescent="0.25">
      <c r="A8159" s="41">
        <v>43805</v>
      </c>
      <c r="B8159" s="29">
        <v>264.82</v>
      </c>
      <c r="C8159" s="37">
        <f t="shared" si="260"/>
        <v>44.136666666666663</v>
      </c>
      <c r="D8159" s="37">
        <v>4.6619999999999999</v>
      </c>
      <c r="E8159" s="33">
        <f t="shared" si="261"/>
        <v>-4.3237959168328536E-3</v>
      </c>
    </row>
    <row r="8160" spans="1:5" x14ac:dyDescent="0.25">
      <c r="A8160" s="41">
        <v>43805</v>
      </c>
      <c r="B8160" s="29">
        <v>259.83</v>
      </c>
      <c r="C8160" s="37">
        <f t="shared" si="260"/>
        <v>43.305</v>
      </c>
      <c r="D8160" s="37">
        <v>4.6619999999999999</v>
      </c>
      <c r="E8160" s="33">
        <f t="shared" si="261"/>
        <v>-1.8842987689751563E-2</v>
      </c>
    </row>
    <row r="8161" spans="1:5" x14ac:dyDescent="0.25">
      <c r="A8161" s="41">
        <v>43805</v>
      </c>
      <c r="B8161" s="29">
        <v>255.71</v>
      </c>
      <c r="C8161" s="37">
        <f t="shared" si="260"/>
        <v>42.618333333333332</v>
      </c>
      <c r="D8161" s="37">
        <v>4.6619999999999999</v>
      </c>
      <c r="E8161" s="33">
        <f t="shared" si="261"/>
        <v>-1.5856521571796855E-2</v>
      </c>
    </row>
    <row r="8162" spans="1:5" x14ac:dyDescent="0.25">
      <c r="A8162" s="41">
        <v>43806</v>
      </c>
      <c r="B8162" s="29">
        <v>229.92</v>
      </c>
      <c r="C8162" s="37">
        <f t="shared" si="260"/>
        <v>38.32</v>
      </c>
      <c r="D8162" s="37">
        <v>4.5199999999999996</v>
      </c>
      <c r="E8162" s="33">
        <f t="shared" si="261"/>
        <v>-0.10085643893473083</v>
      </c>
    </row>
    <row r="8163" spans="1:5" x14ac:dyDescent="0.25">
      <c r="A8163" s="41">
        <v>43806</v>
      </c>
      <c r="B8163" s="29">
        <v>229.47</v>
      </c>
      <c r="C8163" s="37">
        <f t="shared" si="260"/>
        <v>38.244999999999997</v>
      </c>
      <c r="D8163" s="37">
        <v>4.5199999999999996</v>
      </c>
      <c r="E8163" s="33">
        <f t="shared" si="261"/>
        <v>-1.9572025052191572E-3</v>
      </c>
    </row>
    <row r="8164" spans="1:5" x14ac:dyDescent="0.25">
      <c r="A8164" s="41">
        <v>43806</v>
      </c>
      <c r="B8164" s="29">
        <v>229.36</v>
      </c>
      <c r="C8164" s="37">
        <f t="shared" si="260"/>
        <v>38.226666666666667</v>
      </c>
      <c r="D8164" s="37">
        <v>4.5199999999999996</v>
      </c>
      <c r="E8164" s="33">
        <f t="shared" si="261"/>
        <v>-4.7936549440007507E-4</v>
      </c>
    </row>
    <row r="8165" spans="1:5" x14ac:dyDescent="0.25">
      <c r="A8165" s="41">
        <v>43806</v>
      </c>
      <c r="B8165" s="29">
        <v>229.25</v>
      </c>
      <c r="C8165" s="37">
        <f t="shared" si="260"/>
        <v>38.208333333333336</v>
      </c>
      <c r="D8165" s="37">
        <v>4.5199999999999996</v>
      </c>
      <c r="E8165" s="33">
        <f t="shared" si="261"/>
        <v>-4.7959539588425895E-4</v>
      </c>
    </row>
    <row r="8166" spans="1:5" x14ac:dyDescent="0.25">
      <c r="A8166" s="41">
        <v>43806</v>
      </c>
      <c r="B8166" s="29">
        <v>229.14</v>
      </c>
      <c r="C8166" s="37">
        <f t="shared" si="260"/>
        <v>38.19</v>
      </c>
      <c r="D8166" s="37">
        <v>4.5199999999999996</v>
      </c>
      <c r="E8166" s="33">
        <f t="shared" si="261"/>
        <v>-4.7982551799351643E-4</v>
      </c>
    </row>
    <row r="8167" spans="1:5" x14ac:dyDescent="0.25">
      <c r="A8167" s="41">
        <v>43806</v>
      </c>
      <c r="B8167" s="29">
        <v>228.33</v>
      </c>
      <c r="C8167" s="37">
        <f t="shared" si="260"/>
        <v>38.055</v>
      </c>
      <c r="D8167" s="37">
        <v>4.5199999999999996</v>
      </c>
      <c r="E8167" s="33">
        <f t="shared" si="261"/>
        <v>-3.5349567949723919E-3</v>
      </c>
    </row>
    <row r="8168" spans="1:5" x14ac:dyDescent="0.25">
      <c r="A8168" s="41">
        <v>43806</v>
      </c>
      <c r="B8168" s="29">
        <v>228.66</v>
      </c>
      <c r="C8168" s="37">
        <f t="shared" si="260"/>
        <v>38.11</v>
      </c>
      <c r="D8168" s="37">
        <v>4.5199999999999996</v>
      </c>
      <c r="E8168" s="33">
        <f t="shared" si="261"/>
        <v>1.4452765733805634E-3</v>
      </c>
    </row>
    <row r="8169" spans="1:5" x14ac:dyDescent="0.25">
      <c r="A8169" s="41">
        <v>43806</v>
      </c>
      <c r="B8169" s="29">
        <v>229.09</v>
      </c>
      <c r="C8169" s="37">
        <f t="shared" si="260"/>
        <v>38.181666666666665</v>
      </c>
      <c r="D8169" s="37">
        <v>4.5199999999999996</v>
      </c>
      <c r="E8169" s="33">
        <f t="shared" si="261"/>
        <v>1.8805212979970561E-3</v>
      </c>
    </row>
    <row r="8170" spans="1:5" x14ac:dyDescent="0.25">
      <c r="A8170" s="41">
        <v>43806</v>
      </c>
      <c r="B8170" s="29">
        <v>229.44</v>
      </c>
      <c r="C8170" s="37">
        <f t="shared" si="260"/>
        <v>38.24</v>
      </c>
      <c r="D8170" s="37">
        <v>4.5199999999999996</v>
      </c>
      <c r="E8170" s="33">
        <f t="shared" si="261"/>
        <v>1.5277838404120403E-3</v>
      </c>
    </row>
    <row r="8171" spans="1:5" x14ac:dyDescent="0.25">
      <c r="A8171" s="41">
        <v>43806</v>
      </c>
      <c r="B8171" s="29">
        <v>230.28</v>
      </c>
      <c r="C8171" s="37">
        <f t="shared" si="260"/>
        <v>38.380000000000003</v>
      </c>
      <c r="D8171" s="37">
        <v>4.5199999999999996</v>
      </c>
      <c r="E8171" s="33">
        <f t="shared" si="261"/>
        <v>3.6610878661088014E-3</v>
      </c>
    </row>
    <row r="8172" spans="1:5" x14ac:dyDescent="0.25">
      <c r="A8172" s="41">
        <v>43806</v>
      </c>
      <c r="B8172" s="29">
        <v>230.3</v>
      </c>
      <c r="C8172" s="37">
        <f t="shared" si="260"/>
        <v>38.383333333333333</v>
      </c>
      <c r="D8172" s="37">
        <v>4.5199999999999996</v>
      </c>
      <c r="E8172" s="33">
        <f t="shared" si="261"/>
        <v>8.6850790342236545E-5</v>
      </c>
    </row>
    <row r="8173" spans="1:5" x14ac:dyDescent="0.25">
      <c r="A8173" s="41">
        <v>43806</v>
      </c>
      <c r="B8173" s="29">
        <v>230.31</v>
      </c>
      <c r="C8173" s="37">
        <f t="shared" si="260"/>
        <v>38.384999999999998</v>
      </c>
      <c r="D8173" s="37">
        <v>4.5199999999999996</v>
      </c>
      <c r="E8173" s="33">
        <f t="shared" si="261"/>
        <v>4.3421623968696939E-5</v>
      </c>
    </row>
    <row r="8174" spans="1:5" x14ac:dyDescent="0.25">
      <c r="A8174" s="41">
        <v>43806</v>
      </c>
      <c r="B8174" s="29">
        <v>230.27</v>
      </c>
      <c r="C8174" s="37">
        <f t="shared" si="260"/>
        <v>38.37833333333333</v>
      </c>
      <c r="D8174" s="37">
        <v>4.5199999999999996</v>
      </c>
      <c r="E8174" s="33">
        <f t="shared" si="261"/>
        <v>-1.7367895445265965E-4</v>
      </c>
    </row>
    <row r="8175" spans="1:5" x14ac:dyDescent="0.25">
      <c r="A8175" s="41">
        <v>43806</v>
      </c>
      <c r="B8175" s="29">
        <v>230.27</v>
      </c>
      <c r="C8175" s="37">
        <f t="shared" si="260"/>
        <v>38.37833333333333</v>
      </c>
      <c r="D8175" s="37">
        <v>4.5199999999999996</v>
      </c>
      <c r="E8175" s="33">
        <f t="shared" si="261"/>
        <v>0</v>
      </c>
    </row>
    <row r="8176" spans="1:5" x14ac:dyDescent="0.25">
      <c r="A8176" s="41">
        <v>43806</v>
      </c>
      <c r="B8176" s="29">
        <v>230.27</v>
      </c>
      <c r="C8176" s="37">
        <f t="shared" si="260"/>
        <v>38.37833333333333</v>
      </c>
      <c r="D8176" s="37">
        <v>4.5199999999999996</v>
      </c>
      <c r="E8176" s="33">
        <f t="shared" si="261"/>
        <v>0</v>
      </c>
    </row>
    <row r="8177" spans="1:5" x14ac:dyDescent="0.25">
      <c r="A8177" s="41">
        <v>43806</v>
      </c>
      <c r="B8177" s="29">
        <v>230.27</v>
      </c>
      <c r="C8177" s="37">
        <f t="shared" si="260"/>
        <v>38.37833333333333</v>
      </c>
      <c r="D8177" s="37">
        <v>4.5199999999999996</v>
      </c>
      <c r="E8177" s="33">
        <f t="shared" si="261"/>
        <v>0</v>
      </c>
    </row>
    <row r="8178" spans="1:5" x14ac:dyDescent="0.25">
      <c r="A8178" s="41">
        <v>43806</v>
      </c>
      <c r="B8178" s="29">
        <v>230.27</v>
      </c>
      <c r="C8178" s="37">
        <f t="shared" si="260"/>
        <v>38.37833333333333</v>
      </c>
      <c r="D8178" s="37">
        <v>4.5199999999999996</v>
      </c>
      <c r="E8178" s="33">
        <f t="shared" si="261"/>
        <v>0</v>
      </c>
    </row>
    <row r="8179" spans="1:5" x14ac:dyDescent="0.25">
      <c r="A8179" s="41">
        <v>43806</v>
      </c>
      <c r="B8179" s="29">
        <v>230.29</v>
      </c>
      <c r="C8179" s="37">
        <f t="shared" si="260"/>
        <v>38.381666666666668</v>
      </c>
      <c r="D8179" s="37">
        <v>4.5199999999999996</v>
      </c>
      <c r="E8179" s="33">
        <f t="shared" si="261"/>
        <v>8.6854562035791936E-5</v>
      </c>
    </row>
    <row r="8180" spans="1:5" x14ac:dyDescent="0.25">
      <c r="A8180" s="41">
        <v>43806</v>
      </c>
      <c r="B8180" s="29">
        <v>233.18</v>
      </c>
      <c r="C8180" s="37">
        <f t="shared" si="260"/>
        <v>38.863333333333337</v>
      </c>
      <c r="D8180" s="37">
        <v>4.5199999999999996</v>
      </c>
      <c r="E8180" s="33">
        <f t="shared" si="261"/>
        <v>1.2549394242042707E-2</v>
      </c>
    </row>
    <row r="8181" spans="1:5" x14ac:dyDescent="0.25">
      <c r="A8181" s="41">
        <v>43806</v>
      </c>
      <c r="B8181" s="29">
        <v>237.4</v>
      </c>
      <c r="C8181" s="37">
        <f t="shared" si="260"/>
        <v>39.56666666666667</v>
      </c>
      <c r="D8181" s="37">
        <v>4.5199999999999996</v>
      </c>
      <c r="E8181" s="33">
        <f t="shared" si="261"/>
        <v>1.8097606998884977E-2</v>
      </c>
    </row>
    <row r="8182" spans="1:5" x14ac:dyDescent="0.25">
      <c r="A8182" s="41">
        <v>43806</v>
      </c>
      <c r="B8182" s="29">
        <v>235.62</v>
      </c>
      <c r="C8182" s="37">
        <f t="shared" si="260"/>
        <v>39.270000000000003</v>
      </c>
      <c r="D8182" s="37">
        <v>4.5199999999999996</v>
      </c>
      <c r="E8182" s="33">
        <f t="shared" si="261"/>
        <v>-7.4978938500421272E-3</v>
      </c>
    </row>
    <row r="8183" spans="1:5" x14ac:dyDescent="0.25">
      <c r="A8183" s="41">
        <v>43806</v>
      </c>
      <c r="B8183" s="29">
        <v>232.99</v>
      </c>
      <c r="C8183" s="37">
        <f t="shared" si="260"/>
        <v>38.831666666666663</v>
      </c>
      <c r="D8183" s="37">
        <v>4.5199999999999996</v>
      </c>
      <c r="E8183" s="33">
        <f t="shared" si="261"/>
        <v>-1.116204057380526E-2</v>
      </c>
    </row>
    <row r="8184" spans="1:5" x14ac:dyDescent="0.25">
      <c r="A8184" s="41">
        <v>43806</v>
      </c>
      <c r="B8184" s="29">
        <v>230.14</v>
      </c>
      <c r="C8184" s="37">
        <f t="shared" si="260"/>
        <v>38.356666666666669</v>
      </c>
      <c r="D8184" s="37">
        <v>4.5199999999999996</v>
      </c>
      <c r="E8184" s="33">
        <f t="shared" si="261"/>
        <v>-1.2232284647409858E-2</v>
      </c>
    </row>
    <row r="8185" spans="1:5" x14ac:dyDescent="0.25">
      <c r="A8185" s="41">
        <v>43806</v>
      </c>
      <c r="B8185" s="29">
        <v>229.02</v>
      </c>
      <c r="C8185" s="37">
        <f t="shared" si="260"/>
        <v>38.17</v>
      </c>
      <c r="D8185" s="37">
        <v>4.5199999999999996</v>
      </c>
      <c r="E8185" s="33">
        <f t="shared" si="261"/>
        <v>-4.8666029373423837E-3</v>
      </c>
    </row>
    <row r="8186" spans="1:5" x14ac:dyDescent="0.25">
      <c r="A8186" s="41">
        <v>43807</v>
      </c>
      <c r="B8186" s="29">
        <v>227.88</v>
      </c>
      <c r="C8186" s="37">
        <f t="shared" si="260"/>
        <v>37.979999999999997</v>
      </c>
      <c r="D8186" s="37">
        <v>4.282</v>
      </c>
      <c r="E8186" s="33">
        <f t="shared" si="261"/>
        <v>-4.9777312025151288E-3</v>
      </c>
    </row>
    <row r="8187" spans="1:5" x14ac:dyDescent="0.25">
      <c r="A8187" s="41">
        <v>43807</v>
      </c>
      <c r="B8187" s="29">
        <v>224.18</v>
      </c>
      <c r="C8187" s="37">
        <f t="shared" si="260"/>
        <v>37.363333333333337</v>
      </c>
      <c r="D8187" s="37">
        <v>4.282</v>
      </c>
      <c r="E8187" s="33">
        <f t="shared" si="261"/>
        <v>-1.6236615762682063E-2</v>
      </c>
    </row>
    <row r="8188" spans="1:5" x14ac:dyDescent="0.25">
      <c r="A8188" s="41">
        <v>43807</v>
      </c>
      <c r="B8188" s="29">
        <v>223.64</v>
      </c>
      <c r="C8188" s="37">
        <f t="shared" si="260"/>
        <v>37.273333333333333</v>
      </c>
      <c r="D8188" s="37">
        <v>4.282</v>
      </c>
      <c r="E8188" s="33">
        <f t="shared" si="261"/>
        <v>-2.4087786600054438E-3</v>
      </c>
    </row>
    <row r="8189" spans="1:5" x14ac:dyDescent="0.25">
      <c r="A8189" s="41">
        <v>43807</v>
      </c>
      <c r="B8189" s="29">
        <v>223.54</v>
      </c>
      <c r="C8189" s="37">
        <f t="shared" si="260"/>
        <v>37.256666666666668</v>
      </c>
      <c r="D8189" s="37">
        <v>4.282</v>
      </c>
      <c r="E8189" s="33">
        <f t="shared" si="261"/>
        <v>-4.4714720085849721E-4</v>
      </c>
    </row>
    <row r="8190" spans="1:5" x14ac:dyDescent="0.25">
      <c r="A8190" s="41">
        <v>43807</v>
      </c>
      <c r="B8190" s="29">
        <v>223.4</v>
      </c>
      <c r="C8190" s="37">
        <f t="shared" si="260"/>
        <v>37.233333333333334</v>
      </c>
      <c r="D8190" s="37">
        <v>4.282</v>
      </c>
      <c r="E8190" s="33">
        <f t="shared" si="261"/>
        <v>-6.2628612328883583E-4</v>
      </c>
    </row>
    <row r="8191" spans="1:5" x14ac:dyDescent="0.25">
      <c r="A8191" s="41">
        <v>43807</v>
      </c>
      <c r="B8191" s="29">
        <v>219.56</v>
      </c>
      <c r="C8191" s="37">
        <f t="shared" si="260"/>
        <v>36.593333333333334</v>
      </c>
      <c r="D8191" s="37">
        <v>4.282</v>
      </c>
      <c r="E8191" s="33">
        <f t="shared" si="261"/>
        <v>-1.7188898836168323E-2</v>
      </c>
    </row>
    <row r="8192" spans="1:5" x14ac:dyDescent="0.25">
      <c r="A8192" s="41">
        <v>43807</v>
      </c>
      <c r="B8192" s="29">
        <v>215.85</v>
      </c>
      <c r="C8192" s="37">
        <f t="shared" si="260"/>
        <v>35.975000000000001</v>
      </c>
      <c r="D8192" s="37">
        <v>4.282</v>
      </c>
      <c r="E8192" s="33">
        <f t="shared" si="261"/>
        <v>-1.6897431226088576E-2</v>
      </c>
    </row>
    <row r="8193" spans="1:5" x14ac:dyDescent="0.25">
      <c r="A8193" s="41">
        <v>43807</v>
      </c>
      <c r="B8193" s="29">
        <v>217.48</v>
      </c>
      <c r="C8193" s="37">
        <f t="shared" si="260"/>
        <v>36.24666666666667</v>
      </c>
      <c r="D8193" s="37">
        <v>4.282</v>
      </c>
      <c r="E8193" s="33">
        <f t="shared" si="261"/>
        <v>7.5515404215890456E-3</v>
      </c>
    </row>
    <row r="8194" spans="1:5" x14ac:dyDescent="0.25">
      <c r="A8194" s="41">
        <v>43807</v>
      </c>
      <c r="B8194" s="29">
        <v>222.98</v>
      </c>
      <c r="C8194" s="37">
        <f t="shared" si="260"/>
        <v>37.163333333333334</v>
      </c>
      <c r="D8194" s="37">
        <v>4.282</v>
      </c>
      <c r="E8194" s="33">
        <f t="shared" si="261"/>
        <v>2.5289681809821593E-2</v>
      </c>
    </row>
    <row r="8195" spans="1:5" x14ac:dyDescent="0.25">
      <c r="A8195" s="41">
        <v>43807</v>
      </c>
      <c r="B8195" s="29">
        <v>223.19</v>
      </c>
      <c r="C8195" s="37">
        <f t="shared" ref="C8195:C8258" si="262">(B8195*100/600)</f>
        <v>37.198333333333331</v>
      </c>
      <c r="D8195" s="37">
        <v>4.282</v>
      </c>
      <c r="E8195" s="33">
        <f t="shared" si="261"/>
        <v>9.417885012109067E-4</v>
      </c>
    </row>
    <row r="8196" spans="1:5" x14ac:dyDescent="0.25">
      <c r="A8196" s="41">
        <v>43807</v>
      </c>
      <c r="B8196" s="29">
        <v>223.31</v>
      </c>
      <c r="C8196" s="37">
        <f t="shared" si="262"/>
        <v>37.218333333333334</v>
      </c>
      <c r="D8196" s="37">
        <v>4.282</v>
      </c>
      <c r="E8196" s="33">
        <f t="shared" ref="E8196:E8259" si="263">(B8196-B8195)/B8195</f>
        <v>5.3765849724452062E-4</v>
      </c>
    </row>
    <row r="8197" spans="1:5" x14ac:dyDescent="0.25">
      <c r="A8197" s="41">
        <v>43807</v>
      </c>
      <c r="B8197" s="29">
        <v>223.28</v>
      </c>
      <c r="C8197" s="37">
        <f t="shared" si="262"/>
        <v>37.213333333333331</v>
      </c>
      <c r="D8197" s="37">
        <v>4.282</v>
      </c>
      <c r="E8197" s="33">
        <f t="shared" si="263"/>
        <v>-1.3434239398146583E-4</v>
      </c>
    </row>
    <row r="8198" spans="1:5" x14ac:dyDescent="0.25">
      <c r="A8198" s="41">
        <v>43807</v>
      </c>
      <c r="B8198" s="29">
        <v>223.24</v>
      </c>
      <c r="C8198" s="37">
        <f t="shared" si="262"/>
        <v>37.206666666666663</v>
      </c>
      <c r="D8198" s="37">
        <v>4.282</v>
      </c>
      <c r="E8198" s="33">
        <f t="shared" si="263"/>
        <v>-1.7914725904690095E-4</v>
      </c>
    </row>
    <row r="8199" spans="1:5" x14ac:dyDescent="0.25">
      <c r="A8199" s="41">
        <v>43807</v>
      </c>
      <c r="B8199" s="29">
        <v>223.2</v>
      </c>
      <c r="C8199" s="37">
        <f t="shared" si="262"/>
        <v>37.200000000000003</v>
      </c>
      <c r="D8199" s="37">
        <v>4.282</v>
      </c>
      <c r="E8199" s="33">
        <f t="shared" si="263"/>
        <v>-1.791793585379881E-4</v>
      </c>
    </row>
    <row r="8200" spans="1:5" x14ac:dyDescent="0.25">
      <c r="A8200" s="41">
        <v>43807</v>
      </c>
      <c r="B8200" s="29">
        <v>223.16</v>
      </c>
      <c r="C8200" s="37">
        <f t="shared" si="262"/>
        <v>37.193333333333335</v>
      </c>
      <c r="D8200" s="37">
        <v>4.282</v>
      </c>
      <c r="E8200" s="33">
        <f t="shared" si="263"/>
        <v>-1.7921146953401454E-4</v>
      </c>
    </row>
    <row r="8201" spans="1:5" x14ac:dyDescent="0.25">
      <c r="A8201" s="41">
        <v>43807</v>
      </c>
      <c r="B8201" s="29">
        <v>223.13</v>
      </c>
      <c r="C8201" s="37">
        <f t="shared" si="262"/>
        <v>37.188333333333333</v>
      </c>
      <c r="D8201" s="37">
        <v>4.282</v>
      </c>
      <c r="E8201" s="33">
        <f t="shared" si="263"/>
        <v>-1.3443269403119349E-4</v>
      </c>
    </row>
    <row r="8202" spans="1:5" x14ac:dyDescent="0.25">
      <c r="A8202" s="41">
        <v>43807</v>
      </c>
      <c r="B8202" s="29">
        <v>223.38</v>
      </c>
      <c r="C8202" s="37">
        <f t="shared" si="262"/>
        <v>37.229999999999997</v>
      </c>
      <c r="D8202" s="37">
        <v>4.282</v>
      </c>
      <c r="E8202" s="33">
        <f t="shared" si="263"/>
        <v>1.1204230717518934E-3</v>
      </c>
    </row>
    <row r="8203" spans="1:5" x14ac:dyDescent="0.25">
      <c r="A8203" s="41">
        <v>43807</v>
      </c>
      <c r="B8203" s="29">
        <v>224.4</v>
      </c>
      <c r="C8203" s="37">
        <f t="shared" si="262"/>
        <v>37.4</v>
      </c>
      <c r="D8203" s="37">
        <v>4.282</v>
      </c>
      <c r="E8203" s="33">
        <f t="shared" si="263"/>
        <v>4.5662100456621462E-3</v>
      </c>
    </row>
    <row r="8204" spans="1:5" x14ac:dyDescent="0.25">
      <c r="A8204" s="41">
        <v>43807</v>
      </c>
      <c r="B8204" s="29">
        <v>229.68</v>
      </c>
      <c r="C8204" s="37">
        <f t="shared" si="262"/>
        <v>38.28</v>
      </c>
      <c r="D8204" s="37">
        <v>4.282</v>
      </c>
      <c r="E8204" s="33">
        <f t="shared" si="263"/>
        <v>2.3529411764705885E-2</v>
      </c>
    </row>
    <row r="8205" spans="1:5" x14ac:dyDescent="0.25">
      <c r="A8205" s="41">
        <v>43807</v>
      </c>
      <c r="B8205" s="29">
        <v>230.52</v>
      </c>
      <c r="C8205" s="37">
        <f t="shared" si="262"/>
        <v>38.42</v>
      </c>
      <c r="D8205" s="37">
        <v>4.282</v>
      </c>
      <c r="E8205" s="33">
        <f t="shared" si="263"/>
        <v>3.657262277951948E-3</v>
      </c>
    </row>
    <row r="8206" spans="1:5" x14ac:dyDescent="0.25">
      <c r="A8206" s="41">
        <v>43807</v>
      </c>
      <c r="B8206" s="29">
        <v>230.48</v>
      </c>
      <c r="C8206" s="37">
        <f t="shared" si="262"/>
        <v>38.413333333333334</v>
      </c>
      <c r="D8206" s="37">
        <v>4.282</v>
      </c>
      <c r="E8206" s="33">
        <f t="shared" si="263"/>
        <v>-1.7352073572800825E-4</v>
      </c>
    </row>
    <row r="8207" spans="1:5" x14ac:dyDescent="0.25">
      <c r="A8207" s="41">
        <v>43807</v>
      </c>
      <c r="B8207" s="29">
        <v>230.38</v>
      </c>
      <c r="C8207" s="37">
        <f t="shared" si="262"/>
        <v>38.396666666666668</v>
      </c>
      <c r="D8207" s="37">
        <v>4.282</v>
      </c>
      <c r="E8207" s="33">
        <f t="shared" si="263"/>
        <v>-4.3387712599789272E-4</v>
      </c>
    </row>
    <row r="8208" spans="1:5" x14ac:dyDescent="0.25">
      <c r="A8208" s="41">
        <v>43807</v>
      </c>
      <c r="B8208" s="29">
        <v>229.88</v>
      </c>
      <c r="C8208" s="37">
        <f t="shared" si="262"/>
        <v>38.313333333333333</v>
      </c>
      <c r="D8208" s="37">
        <v>4.282</v>
      </c>
      <c r="E8208" s="33">
        <f t="shared" si="263"/>
        <v>-2.1703272853546315E-3</v>
      </c>
    </row>
    <row r="8209" spans="1:5" x14ac:dyDescent="0.25">
      <c r="A8209" s="41">
        <v>43807</v>
      </c>
      <c r="B8209" s="29">
        <v>226.37</v>
      </c>
      <c r="C8209" s="37">
        <f t="shared" si="262"/>
        <v>37.728333333333332</v>
      </c>
      <c r="D8209" s="37">
        <v>4.282</v>
      </c>
      <c r="E8209" s="33">
        <f t="shared" si="263"/>
        <v>-1.5268835914390077E-2</v>
      </c>
    </row>
    <row r="8210" spans="1:5" x14ac:dyDescent="0.25">
      <c r="A8210" s="41">
        <v>43808</v>
      </c>
      <c r="B8210" s="29">
        <v>229.14</v>
      </c>
      <c r="C8210" s="37">
        <f t="shared" si="262"/>
        <v>38.19</v>
      </c>
      <c r="D8210" s="37">
        <v>4.0860000000000003</v>
      </c>
      <c r="E8210" s="33">
        <f t="shared" si="263"/>
        <v>1.2236603790254812E-2</v>
      </c>
    </row>
    <row r="8211" spans="1:5" x14ac:dyDescent="0.25">
      <c r="A8211" s="41">
        <v>43808</v>
      </c>
      <c r="B8211" s="29">
        <v>228.27</v>
      </c>
      <c r="C8211" s="37">
        <f t="shared" si="262"/>
        <v>38.045000000000002</v>
      </c>
      <c r="D8211" s="37">
        <v>4.0860000000000003</v>
      </c>
      <c r="E8211" s="33">
        <f t="shared" si="263"/>
        <v>-3.7968054464518467E-3</v>
      </c>
    </row>
    <row r="8212" spans="1:5" x14ac:dyDescent="0.25">
      <c r="A8212" s="41">
        <v>43808</v>
      </c>
      <c r="B8212" s="29">
        <v>227.2</v>
      </c>
      <c r="C8212" s="37">
        <f t="shared" si="262"/>
        <v>37.866666666666667</v>
      </c>
      <c r="D8212" s="37">
        <v>4.0860000000000003</v>
      </c>
      <c r="E8212" s="33">
        <f t="shared" si="263"/>
        <v>-4.6874315503571276E-3</v>
      </c>
    </row>
    <row r="8213" spans="1:5" x14ac:dyDescent="0.25">
      <c r="A8213" s="41">
        <v>43808</v>
      </c>
      <c r="B8213" s="29">
        <v>225.75</v>
      </c>
      <c r="C8213" s="37">
        <f t="shared" si="262"/>
        <v>37.625</v>
      </c>
      <c r="D8213" s="37">
        <v>4.0860000000000003</v>
      </c>
      <c r="E8213" s="33">
        <f t="shared" si="263"/>
        <v>-6.3820422535210766E-3</v>
      </c>
    </row>
    <row r="8214" spans="1:5" x14ac:dyDescent="0.25">
      <c r="A8214" s="41">
        <v>43808</v>
      </c>
      <c r="B8214" s="29">
        <v>225.2</v>
      </c>
      <c r="C8214" s="37">
        <f t="shared" si="262"/>
        <v>37.533333333333331</v>
      </c>
      <c r="D8214" s="37">
        <v>4.0860000000000003</v>
      </c>
      <c r="E8214" s="33">
        <f t="shared" si="263"/>
        <v>-2.436323366555975E-3</v>
      </c>
    </row>
    <row r="8215" spans="1:5" x14ac:dyDescent="0.25">
      <c r="A8215" s="41">
        <v>43808</v>
      </c>
      <c r="B8215" s="29">
        <v>224.8</v>
      </c>
      <c r="C8215" s="37">
        <f t="shared" si="262"/>
        <v>37.466666666666669</v>
      </c>
      <c r="D8215" s="37">
        <v>4.0860000000000003</v>
      </c>
      <c r="E8215" s="33">
        <f t="shared" si="263"/>
        <v>-1.7761989342805385E-3</v>
      </c>
    </row>
    <row r="8216" spans="1:5" x14ac:dyDescent="0.25">
      <c r="A8216" s="41">
        <v>43808</v>
      </c>
      <c r="B8216" s="29">
        <v>228.32</v>
      </c>
      <c r="C8216" s="37">
        <f t="shared" si="262"/>
        <v>38.053333333333335</v>
      </c>
      <c r="D8216" s="37">
        <v>4.0860000000000003</v>
      </c>
      <c r="E8216" s="33">
        <f t="shared" si="263"/>
        <v>1.565836298932376E-2</v>
      </c>
    </row>
    <row r="8217" spans="1:5" x14ac:dyDescent="0.25">
      <c r="A8217" s="41">
        <v>43808</v>
      </c>
      <c r="B8217" s="29">
        <v>230.08</v>
      </c>
      <c r="C8217" s="37">
        <f t="shared" si="262"/>
        <v>38.346666666666664</v>
      </c>
      <c r="D8217" s="37">
        <v>4.0860000000000003</v>
      </c>
      <c r="E8217" s="33">
        <f t="shared" si="263"/>
        <v>7.7084793272600705E-3</v>
      </c>
    </row>
    <row r="8218" spans="1:5" x14ac:dyDescent="0.25">
      <c r="A8218" s="41">
        <v>43808</v>
      </c>
      <c r="B8218" s="29">
        <v>232.84</v>
      </c>
      <c r="C8218" s="37">
        <f t="shared" si="262"/>
        <v>38.806666666666665</v>
      </c>
      <c r="D8218" s="37">
        <v>4.0860000000000003</v>
      </c>
      <c r="E8218" s="33">
        <f t="shared" si="263"/>
        <v>1.1995827538247525E-2</v>
      </c>
    </row>
    <row r="8219" spans="1:5" x14ac:dyDescent="0.25">
      <c r="A8219" s="41">
        <v>43808</v>
      </c>
      <c r="B8219" s="29">
        <v>236.94</v>
      </c>
      <c r="C8219" s="37">
        <f t="shared" si="262"/>
        <v>39.49</v>
      </c>
      <c r="D8219" s="37">
        <v>4.0860000000000003</v>
      </c>
      <c r="E8219" s="33">
        <f t="shared" si="263"/>
        <v>1.7608658306132941E-2</v>
      </c>
    </row>
    <row r="8220" spans="1:5" x14ac:dyDescent="0.25">
      <c r="A8220" s="41">
        <v>43808</v>
      </c>
      <c r="B8220" s="29">
        <v>241.63</v>
      </c>
      <c r="C8220" s="37">
        <f t="shared" si="262"/>
        <v>40.271666666666668</v>
      </c>
      <c r="D8220" s="37">
        <v>4.0860000000000003</v>
      </c>
      <c r="E8220" s="33">
        <f t="shared" si="263"/>
        <v>1.9794040685405578E-2</v>
      </c>
    </row>
    <row r="8221" spans="1:5" x14ac:dyDescent="0.25">
      <c r="A8221" s="41">
        <v>43808</v>
      </c>
      <c r="B8221" s="29">
        <v>243.59</v>
      </c>
      <c r="C8221" s="37">
        <f t="shared" si="262"/>
        <v>40.598333333333336</v>
      </c>
      <c r="D8221" s="37">
        <v>4.0860000000000003</v>
      </c>
      <c r="E8221" s="33">
        <f t="shared" si="263"/>
        <v>8.1115755493937347E-3</v>
      </c>
    </row>
    <row r="8222" spans="1:5" x14ac:dyDescent="0.25">
      <c r="A8222" s="41">
        <v>43808</v>
      </c>
      <c r="B8222" s="29">
        <v>240.76</v>
      </c>
      <c r="C8222" s="37">
        <f t="shared" si="262"/>
        <v>40.126666666666665</v>
      </c>
      <c r="D8222" s="37">
        <v>4.0860000000000003</v>
      </c>
      <c r="E8222" s="33">
        <f t="shared" si="263"/>
        <v>-1.1617882507492149E-2</v>
      </c>
    </row>
    <row r="8223" spans="1:5" x14ac:dyDescent="0.25">
      <c r="A8223" s="41">
        <v>43808</v>
      </c>
      <c r="B8223" s="29">
        <v>243.66</v>
      </c>
      <c r="C8223" s="37">
        <f t="shared" si="262"/>
        <v>40.61</v>
      </c>
      <c r="D8223" s="37">
        <v>4.0860000000000003</v>
      </c>
      <c r="E8223" s="33">
        <f t="shared" si="263"/>
        <v>1.2045190230935395E-2</v>
      </c>
    </row>
    <row r="8224" spans="1:5" x14ac:dyDescent="0.25">
      <c r="A8224" s="41">
        <v>43808</v>
      </c>
      <c r="B8224" s="29">
        <v>244.06</v>
      </c>
      <c r="C8224" s="37">
        <f t="shared" si="262"/>
        <v>40.676666666666669</v>
      </c>
      <c r="D8224" s="37">
        <v>4.0860000000000003</v>
      </c>
      <c r="E8224" s="33">
        <f t="shared" si="263"/>
        <v>1.6416317819913228E-3</v>
      </c>
    </row>
    <row r="8225" spans="1:5" x14ac:dyDescent="0.25">
      <c r="A8225" s="41">
        <v>43808</v>
      </c>
      <c r="B8225" s="29">
        <v>243.99</v>
      </c>
      <c r="C8225" s="37">
        <f t="shared" si="262"/>
        <v>40.664999999999999</v>
      </c>
      <c r="D8225" s="37">
        <v>4.0860000000000003</v>
      </c>
      <c r="E8225" s="33">
        <f t="shared" si="263"/>
        <v>-2.8681471769234277E-4</v>
      </c>
    </row>
    <row r="8226" spans="1:5" x14ac:dyDescent="0.25">
      <c r="A8226" s="41">
        <v>43808</v>
      </c>
      <c r="B8226" s="29">
        <v>243.92</v>
      </c>
      <c r="C8226" s="37">
        <f t="shared" si="262"/>
        <v>40.653333333333336</v>
      </c>
      <c r="D8226" s="37">
        <v>4.0860000000000003</v>
      </c>
      <c r="E8226" s="33">
        <f t="shared" si="263"/>
        <v>-2.8689700397566131E-4</v>
      </c>
    </row>
    <row r="8227" spans="1:5" x14ac:dyDescent="0.25">
      <c r="A8227" s="41">
        <v>43808</v>
      </c>
      <c r="B8227" s="29">
        <v>239.66</v>
      </c>
      <c r="C8227" s="37">
        <f t="shared" si="262"/>
        <v>39.943333333333335</v>
      </c>
      <c r="D8227" s="37">
        <v>4.0860000000000003</v>
      </c>
      <c r="E8227" s="33">
        <f t="shared" si="263"/>
        <v>-1.7464742538537189E-2</v>
      </c>
    </row>
    <row r="8228" spans="1:5" x14ac:dyDescent="0.25">
      <c r="A8228" s="41">
        <v>43808</v>
      </c>
      <c r="B8228" s="29">
        <v>236.96</v>
      </c>
      <c r="C8228" s="37">
        <f t="shared" si="262"/>
        <v>39.493333333333332</v>
      </c>
      <c r="D8228" s="37">
        <v>4.0860000000000003</v>
      </c>
      <c r="E8228" s="33">
        <f t="shared" si="263"/>
        <v>-1.1265960110156008E-2</v>
      </c>
    </row>
    <row r="8229" spans="1:5" x14ac:dyDescent="0.25">
      <c r="A8229" s="41">
        <v>43808</v>
      </c>
      <c r="B8229" s="29">
        <v>239.34</v>
      </c>
      <c r="C8229" s="37">
        <f t="shared" si="262"/>
        <v>39.89</v>
      </c>
      <c r="D8229" s="37">
        <v>4.0860000000000003</v>
      </c>
      <c r="E8229" s="33">
        <f t="shared" si="263"/>
        <v>1.0043889264010784E-2</v>
      </c>
    </row>
    <row r="8230" spans="1:5" x14ac:dyDescent="0.25">
      <c r="A8230" s="41">
        <v>43808</v>
      </c>
      <c r="B8230" s="29">
        <v>238.9</v>
      </c>
      <c r="C8230" s="37">
        <f t="shared" si="262"/>
        <v>39.81666666666667</v>
      </c>
      <c r="D8230" s="37">
        <v>4.0860000000000003</v>
      </c>
      <c r="E8230" s="33">
        <f t="shared" si="263"/>
        <v>-1.838388902816068E-3</v>
      </c>
    </row>
    <row r="8231" spans="1:5" x14ac:dyDescent="0.25">
      <c r="A8231" s="41">
        <v>43808</v>
      </c>
      <c r="B8231" s="29">
        <v>238.68</v>
      </c>
      <c r="C8231" s="37">
        <f t="shared" si="262"/>
        <v>39.78</v>
      </c>
      <c r="D8231" s="37">
        <v>4.0860000000000003</v>
      </c>
      <c r="E8231" s="33">
        <f t="shared" si="263"/>
        <v>-9.2088740058601445E-4</v>
      </c>
    </row>
    <row r="8232" spans="1:5" x14ac:dyDescent="0.25">
      <c r="A8232" s="41">
        <v>43808</v>
      </c>
      <c r="B8232" s="29">
        <v>235.57</v>
      </c>
      <c r="C8232" s="37">
        <f t="shared" si="262"/>
        <v>39.261666666666663</v>
      </c>
      <c r="D8232" s="37">
        <v>4.0860000000000003</v>
      </c>
      <c r="E8232" s="33">
        <f t="shared" si="263"/>
        <v>-1.3029998324116028E-2</v>
      </c>
    </row>
    <row r="8233" spans="1:5" x14ac:dyDescent="0.25">
      <c r="A8233" s="41">
        <v>43808</v>
      </c>
      <c r="B8233" s="29">
        <v>232.47</v>
      </c>
      <c r="C8233" s="37">
        <f t="shared" si="262"/>
        <v>38.744999999999997</v>
      </c>
      <c r="D8233" s="37">
        <v>4.0860000000000003</v>
      </c>
      <c r="E8233" s="33">
        <f t="shared" si="263"/>
        <v>-1.3159570403701635E-2</v>
      </c>
    </row>
    <row r="8234" spans="1:5" x14ac:dyDescent="0.25">
      <c r="A8234" s="41">
        <v>43809</v>
      </c>
      <c r="B8234" s="29">
        <v>229.72</v>
      </c>
      <c r="C8234" s="37">
        <f t="shared" si="262"/>
        <v>38.286666666666669</v>
      </c>
      <c r="D8234" s="37">
        <v>3.988</v>
      </c>
      <c r="E8234" s="33">
        <f t="shared" si="263"/>
        <v>-1.1829483374198821E-2</v>
      </c>
    </row>
    <row r="8235" spans="1:5" x14ac:dyDescent="0.25">
      <c r="A8235" s="41">
        <v>43809</v>
      </c>
      <c r="B8235" s="29">
        <v>229.62</v>
      </c>
      <c r="C8235" s="37">
        <f t="shared" si="262"/>
        <v>38.270000000000003</v>
      </c>
      <c r="D8235" s="37">
        <v>3.988</v>
      </c>
      <c r="E8235" s="33">
        <f t="shared" si="263"/>
        <v>-4.3531255441404455E-4</v>
      </c>
    </row>
    <row r="8236" spans="1:5" x14ac:dyDescent="0.25">
      <c r="A8236" s="41">
        <v>43809</v>
      </c>
      <c r="B8236" s="29">
        <v>229.5</v>
      </c>
      <c r="C8236" s="37">
        <f t="shared" si="262"/>
        <v>38.25</v>
      </c>
      <c r="D8236" s="37">
        <v>3.988</v>
      </c>
      <c r="E8236" s="33">
        <f t="shared" si="263"/>
        <v>-5.2260256075256748E-4</v>
      </c>
    </row>
    <row r="8237" spans="1:5" x14ac:dyDescent="0.25">
      <c r="A8237" s="41">
        <v>43809</v>
      </c>
      <c r="B8237" s="29">
        <v>229.39</v>
      </c>
      <c r="C8237" s="37">
        <f t="shared" si="262"/>
        <v>38.231666666666669</v>
      </c>
      <c r="D8237" s="37">
        <v>3.988</v>
      </c>
      <c r="E8237" s="33">
        <f t="shared" si="263"/>
        <v>-4.7930283224406818E-4</v>
      </c>
    </row>
    <row r="8238" spans="1:5" x14ac:dyDescent="0.25">
      <c r="A8238" s="41">
        <v>43809</v>
      </c>
      <c r="B8238" s="29">
        <v>229.28</v>
      </c>
      <c r="C8238" s="37">
        <f t="shared" si="262"/>
        <v>38.213333333333331</v>
      </c>
      <c r="D8238" s="37">
        <v>3.988</v>
      </c>
      <c r="E8238" s="33">
        <f t="shared" si="263"/>
        <v>-4.7953267361256039E-4</v>
      </c>
    </row>
    <row r="8239" spans="1:5" x14ac:dyDescent="0.25">
      <c r="A8239" s="41">
        <v>43809</v>
      </c>
      <c r="B8239" s="29">
        <v>229.17</v>
      </c>
      <c r="C8239" s="37">
        <f t="shared" si="262"/>
        <v>38.195</v>
      </c>
      <c r="D8239" s="37">
        <v>3.988</v>
      </c>
      <c r="E8239" s="33">
        <f t="shared" si="263"/>
        <v>-4.7976273551994785E-4</v>
      </c>
    </row>
    <row r="8240" spans="1:5" x14ac:dyDescent="0.25">
      <c r="A8240" s="41">
        <v>43809</v>
      </c>
      <c r="B8240" s="29">
        <v>229.41</v>
      </c>
      <c r="C8240" s="37">
        <f t="shared" si="262"/>
        <v>38.234999999999999</v>
      </c>
      <c r="D8240" s="37">
        <v>3.988</v>
      </c>
      <c r="E8240" s="33">
        <f t="shared" si="263"/>
        <v>1.0472574944364844E-3</v>
      </c>
    </row>
    <row r="8241" spans="1:5" x14ac:dyDescent="0.25">
      <c r="A8241" s="41">
        <v>43809</v>
      </c>
      <c r="B8241" s="29">
        <v>231.42</v>
      </c>
      <c r="C8241" s="37">
        <f t="shared" si="262"/>
        <v>38.57</v>
      </c>
      <c r="D8241" s="37">
        <v>3.988</v>
      </c>
      <c r="E8241" s="33">
        <f t="shared" si="263"/>
        <v>8.7616058585065649E-3</v>
      </c>
    </row>
    <row r="8242" spans="1:5" x14ac:dyDescent="0.25">
      <c r="A8242" s="41">
        <v>43809</v>
      </c>
      <c r="B8242" s="29">
        <v>237.62</v>
      </c>
      <c r="C8242" s="37">
        <f t="shared" si="262"/>
        <v>39.603333333333332</v>
      </c>
      <c r="D8242" s="37">
        <v>3.988</v>
      </c>
      <c r="E8242" s="33">
        <f t="shared" si="263"/>
        <v>2.6791115720335396E-2</v>
      </c>
    </row>
    <row r="8243" spans="1:5" x14ac:dyDescent="0.25">
      <c r="A8243" s="41">
        <v>43809</v>
      </c>
      <c r="B8243" s="29">
        <v>242.29</v>
      </c>
      <c r="C8243" s="37">
        <f t="shared" si="262"/>
        <v>40.381666666666668</v>
      </c>
      <c r="D8243" s="37">
        <v>3.988</v>
      </c>
      <c r="E8243" s="33">
        <f t="shared" si="263"/>
        <v>1.9653227842774124E-2</v>
      </c>
    </row>
    <row r="8244" spans="1:5" x14ac:dyDescent="0.25">
      <c r="A8244" s="41">
        <v>43809</v>
      </c>
      <c r="B8244" s="29">
        <v>243.09</v>
      </c>
      <c r="C8244" s="37">
        <f t="shared" si="262"/>
        <v>40.515000000000001</v>
      </c>
      <c r="D8244" s="37">
        <v>3.988</v>
      </c>
      <c r="E8244" s="33">
        <f t="shared" si="263"/>
        <v>3.3018283874696082E-3</v>
      </c>
    </row>
    <row r="8245" spans="1:5" x14ac:dyDescent="0.25">
      <c r="A8245" s="41">
        <v>43809</v>
      </c>
      <c r="B8245" s="29">
        <v>243.18</v>
      </c>
      <c r="C8245" s="37">
        <f t="shared" si="262"/>
        <v>40.53</v>
      </c>
      <c r="D8245" s="37">
        <v>3.988</v>
      </c>
      <c r="E8245" s="33">
        <f t="shared" si="263"/>
        <v>3.7023324694558971E-4</v>
      </c>
    </row>
    <row r="8246" spans="1:5" x14ac:dyDescent="0.25">
      <c r="A8246" s="41">
        <v>43809</v>
      </c>
      <c r="B8246" s="29">
        <v>242.76</v>
      </c>
      <c r="C8246" s="37">
        <f t="shared" si="262"/>
        <v>40.46</v>
      </c>
      <c r="D8246" s="37">
        <v>3.988</v>
      </c>
      <c r="E8246" s="33">
        <f t="shared" si="263"/>
        <v>-1.7271157167530879E-3</v>
      </c>
    </row>
    <row r="8247" spans="1:5" x14ac:dyDescent="0.25">
      <c r="A8247" s="41">
        <v>43809</v>
      </c>
      <c r="B8247" s="29">
        <v>243.74</v>
      </c>
      <c r="C8247" s="37">
        <f t="shared" si="262"/>
        <v>40.623333333333335</v>
      </c>
      <c r="D8247" s="37">
        <v>3.988</v>
      </c>
      <c r="E8247" s="33">
        <f t="shared" si="263"/>
        <v>4.0369088811996138E-3</v>
      </c>
    </row>
    <row r="8248" spans="1:5" x14ac:dyDescent="0.25">
      <c r="A8248" s="41">
        <v>43809</v>
      </c>
      <c r="B8248" s="29">
        <v>248.36</v>
      </c>
      <c r="C8248" s="37">
        <f t="shared" si="262"/>
        <v>41.393333333333331</v>
      </c>
      <c r="D8248" s="37">
        <v>3.988</v>
      </c>
      <c r="E8248" s="33">
        <f t="shared" si="263"/>
        <v>1.8954623779437123E-2</v>
      </c>
    </row>
    <row r="8249" spans="1:5" x14ac:dyDescent="0.25">
      <c r="A8249" s="41">
        <v>43809</v>
      </c>
      <c r="B8249" s="29">
        <v>246.44</v>
      </c>
      <c r="C8249" s="37">
        <f t="shared" si="262"/>
        <v>41.073333333333331</v>
      </c>
      <c r="D8249" s="37">
        <v>3.988</v>
      </c>
      <c r="E8249" s="33">
        <f t="shared" si="263"/>
        <v>-7.7307134804316955E-3</v>
      </c>
    </row>
    <row r="8250" spans="1:5" x14ac:dyDescent="0.25">
      <c r="A8250" s="41">
        <v>43809</v>
      </c>
      <c r="B8250" s="29">
        <v>242.77</v>
      </c>
      <c r="C8250" s="37">
        <f t="shared" si="262"/>
        <v>40.461666666666666</v>
      </c>
      <c r="D8250" s="37">
        <v>3.988</v>
      </c>
      <c r="E8250" s="33">
        <f t="shared" si="263"/>
        <v>-1.4892062976789432E-2</v>
      </c>
    </row>
    <row r="8251" spans="1:5" x14ac:dyDescent="0.25">
      <c r="A8251" s="41">
        <v>43809</v>
      </c>
      <c r="B8251" s="29">
        <v>240.08</v>
      </c>
      <c r="C8251" s="37">
        <f t="shared" si="262"/>
        <v>40.013333333333335</v>
      </c>
      <c r="D8251" s="37">
        <v>3.988</v>
      </c>
      <c r="E8251" s="33">
        <f t="shared" si="263"/>
        <v>-1.1080446513160595E-2</v>
      </c>
    </row>
    <row r="8252" spans="1:5" x14ac:dyDescent="0.25">
      <c r="A8252" s="41">
        <v>43809</v>
      </c>
      <c r="B8252" s="29">
        <v>238.72</v>
      </c>
      <c r="C8252" s="37">
        <f t="shared" si="262"/>
        <v>39.786666666666669</v>
      </c>
      <c r="D8252" s="37">
        <v>3.988</v>
      </c>
      <c r="E8252" s="33">
        <f t="shared" si="263"/>
        <v>-5.6647784071976572E-3</v>
      </c>
    </row>
    <row r="8253" spans="1:5" x14ac:dyDescent="0.25">
      <c r="A8253" s="41">
        <v>43809</v>
      </c>
      <c r="B8253" s="29">
        <v>241.9</v>
      </c>
      <c r="C8253" s="37">
        <f t="shared" si="262"/>
        <v>40.31666666666667</v>
      </c>
      <c r="D8253" s="37">
        <v>3.988</v>
      </c>
      <c r="E8253" s="33">
        <f t="shared" si="263"/>
        <v>1.3321045576407535E-2</v>
      </c>
    </row>
    <row r="8254" spans="1:5" x14ac:dyDescent="0.25">
      <c r="A8254" s="41">
        <v>43809</v>
      </c>
      <c r="B8254" s="29">
        <v>240.64</v>
      </c>
      <c r="C8254" s="37">
        <f t="shared" si="262"/>
        <v>40.106666666666669</v>
      </c>
      <c r="D8254" s="37">
        <v>3.988</v>
      </c>
      <c r="E8254" s="33">
        <f t="shared" si="263"/>
        <v>-5.20876395204638E-3</v>
      </c>
    </row>
    <row r="8255" spans="1:5" x14ac:dyDescent="0.25">
      <c r="A8255" s="41">
        <v>43809</v>
      </c>
      <c r="B8255" s="29">
        <v>240.02</v>
      </c>
      <c r="C8255" s="37">
        <f t="shared" si="262"/>
        <v>40.00333333333333</v>
      </c>
      <c r="D8255" s="37">
        <v>3.988</v>
      </c>
      <c r="E8255" s="33">
        <f t="shared" si="263"/>
        <v>-2.5764627659573477E-3</v>
      </c>
    </row>
    <row r="8256" spans="1:5" x14ac:dyDescent="0.25">
      <c r="A8256" s="41">
        <v>43809</v>
      </c>
      <c r="B8256" s="29">
        <v>236.58</v>
      </c>
      <c r="C8256" s="37">
        <f t="shared" si="262"/>
        <v>39.43</v>
      </c>
      <c r="D8256" s="37">
        <v>3.988</v>
      </c>
      <c r="E8256" s="33">
        <f t="shared" si="263"/>
        <v>-1.4332138988417622E-2</v>
      </c>
    </row>
    <row r="8257" spans="1:5" x14ac:dyDescent="0.25">
      <c r="A8257" s="41">
        <v>43809</v>
      </c>
      <c r="B8257" s="29">
        <v>231.66</v>
      </c>
      <c r="C8257" s="37">
        <f t="shared" si="262"/>
        <v>38.61</v>
      </c>
      <c r="D8257" s="37">
        <v>3.988</v>
      </c>
      <c r="E8257" s="33">
        <f t="shared" si="263"/>
        <v>-2.0796347958407371E-2</v>
      </c>
    </row>
    <row r="8258" spans="1:5" x14ac:dyDescent="0.25">
      <c r="A8258" s="41">
        <v>43810</v>
      </c>
      <c r="B8258" s="29">
        <v>228.24</v>
      </c>
      <c r="C8258" s="37">
        <f t="shared" si="262"/>
        <v>38.04</v>
      </c>
      <c r="D8258" s="37">
        <v>3.9319999999999999</v>
      </c>
      <c r="E8258" s="33">
        <f t="shared" si="263"/>
        <v>-1.476301476301471E-2</v>
      </c>
    </row>
    <row r="8259" spans="1:5" x14ac:dyDescent="0.25">
      <c r="A8259" s="41">
        <v>43810</v>
      </c>
      <c r="B8259" s="29">
        <v>227.86</v>
      </c>
      <c r="C8259" s="37">
        <f t="shared" ref="C8259:C8322" si="264">(B8259*100/600)</f>
        <v>37.976666666666667</v>
      </c>
      <c r="D8259" s="37">
        <v>3.9319999999999999</v>
      </c>
      <c r="E8259" s="33">
        <f t="shared" si="263"/>
        <v>-1.6649141254819289E-3</v>
      </c>
    </row>
    <row r="8260" spans="1:5" x14ac:dyDescent="0.25">
      <c r="A8260" s="41">
        <v>43810</v>
      </c>
      <c r="B8260" s="29">
        <v>226.92</v>
      </c>
      <c r="C8260" s="37">
        <f t="shared" si="264"/>
        <v>37.82</v>
      </c>
      <c r="D8260" s="37">
        <v>3.9319999999999999</v>
      </c>
      <c r="E8260" s="33">
        <f t="shared" ref="E8260:E8323" si="265">(B8260-B8259)/B8259</f>
        <v>-4.1253401211271221E-3</v>
      </c>
    </row>
    <row r="8261" spans="1:5" x14ac:dyDescent="0.25">
      <c r="A8261" s="41">
        <v>43810</v>
      </c>
      <c r="B8261" s="29">
        <v>226.74</v>
      </c>
      <c r="C8261" s="37">
        <f t="shared" si="264"/>
        <v>37.79</v>
      </c>
      <c r="D8261" s="37">
        <v>3.9319999999999999</v>
      </c>
      <c r="E8261" s="33">
        <f t="shared" si="265"/>
        <v>-7.9323109465881544E-4</v>
      </c>
    </row>
    <row r="8262" spans="1:5" x14ac:dyDescent="0.25">
      <c r="A8262" s="41">
        <v>43810</v>
      </c>
      <c r="B8262" s="29">
        <v>227.04</v>
      </c>
      <c r="C8262" s="37">
        <f t="shared" si="264"/>
        <v>37.840000000000003</v>
      </c>
      <c r="D8262" s="37">
        <v>3.9319999999999999</v>
      </c>
      <c r="E8262" s="33">
        <f t="shared" si="265"/>
        <v>1.3231013495633012E-3</v>
      </c>
    </row>
    <row r="8263" spans="1:5" x14ac:dyDescent="0.25">
      <c r="A8263" s="41">
        <v>43810</v>
      </c>
      <c r="B8263" s="29">
        <v>227.41</v>
      </c>
      <c r="C8263" s="37">
        <f t="shared" si="264"/>
        <v>37.901666666666664</v>
      </c>
      <c r="D8263" s="37">
        <v>3.9319999999999999</v>
      </c>
      <c r="E8263" s="33">
        <f t="shared" si="265"/>
        <v>1.6296687808315916E-3</v>
      </c>
    </row>
    <row r="8264" spans="1:5" x14ac:dyDescent="0.25">
      <c r="A8264" s="41">
        <v>43810</v>
      </c>
      <c r="B8264" s="29">
        <v>227.67</v>
      </c>
      <c r="C8264" s="37">
        <f t="shared" si="264"/>
        <v>37.945</v>
      </c>
      <c r="D8264" s="37">
        <v>3.9319999999999999</v>
      </c>
      <c r="E8264" s="33">
        <f t="shared" si="265"/>
        <v>1.1433094410975371E-3</v>
      </c>
    </row>
    <row r="8265" spans="1:5" x14ac:dyDescent="0.25">
      <c r="A8265" s="41">
        <v>43810</v>
      </c>
      <c r="B8265" s="29">
        <v>230.2</v>
      </c>
      <c r="C8265" s="37">
        <f t="shared" si="264"/>
        <v>38.366666666666667</v>
      </c>
      <c r="D8265" s="37">
        <v>3.9319999999999999</v>
      </c>
      <c r="E8265" s="33">
        <f t="shared" si="265"/>
        <v>1.1112575218518037E-2</v>
      </c>
    </row>
    <row r="8266" spans="1:5" x14ac:dyDescent="0.25">
      <c r="A8266" s="41">
        <v>43810</v>
      </c>
      <c r="B8266" s="29">
        <v>233.1</v>
      </c>
      <c r="C8266" s="37">
        <f t="shared" si="264"/>
        <v>38.85</v>
      </c>
      <c r="D8266" s="37">
        <v>3.9319999999999999</v>
      </c>
      <c r="E8266" s="33">
        <f t="shared" si="265"/>
        <v>1.2597741094700287E-2</v>
      </c>
    </row>
    <row r="8267" spans="1:5" x14ac:dyDescent="0.25">
      <c r="A8267" s="41">
        <v>43810</v>
      </c>
      <c r="B8267" s="29">
        <v>237.83</v>
      </c>
      <c r="C8267" s="37">
        <f t="shared" si="264"/>
        <v>39.638333333333335</v>
      </c>
      <c r="D8267" s="37">
        <v>3.9319999999999999</v>
      </c>
      <c r="E8267" s="33">
        <f t="shared" si="265"/>
        <v>2.0291720291720369E-2</v>
      </c>
    </row>
    <row r="8268" spans="1:5" x14ac:dyDescent="0.25">
      <c r="A8268" s="41">
        <v>43810</v>
      </c>
      <c r="B8268" s="29">
        <v>240.62</v>
      </c>
      <c r="C8268" s="37">
        <f t="shared" si="264"/>
        <v>40.103333333333332</v>
      </c>
      <c r="D8268" s="37">
        <v>3.9319999999999999</v>
      </c>
      <c r="E8268" s="33">
        <f t="shared" si="265"/>
        <v>1.1731068410208939E-2</v>
      </c>
    </row>
    <row r="8269" spans="1:5" x14ac:dyDescent="0.25">
      <c r="A8269" s="41">
        <v>43810</v>
      </c>
      <c r="B8269" s="29">
        <v>240.56</v>
      </c>
      <c r="C8269" s="37">
        <f t="shared" si="264"/>
        <v>40.093333333333334</v>
      </c>
      <c r="D8269" s="37">
        <v>3.9319999999999999</v>
      </c>
      <c r="E8269" s="33">
        <f t="shared" si="265"/>
        <v>-2.4935583077051899E-4</v>
      </c>
    </row>
    <row r="8270" spans="1:5" x14ac:dyDescent="0.25">
      <c r="A8270" s="41">
        <v>43810</v>
      </c>
      <c r="B8270" s="29">
        <v>237.78</v>
      </c>
      <c r="C8270" s="37">
        <f t="shared" si="264"/>
        <v>39.630000000000003</v>
      </c>
      <c r="D8270" s="37">
        <v>3.9319999999999999</v>
      </c>
      <c r="E8270" s="33">
        <f t="shared" si="265"/>
        <v>-1.1556368473561694E-2</v>
      </c>
    </row>
    <row r="8271" spans="1:5" x14ac:dyDescent="0.25">
      <c r="A8271" s="41">
        <v>43810</v>
      </c>
      <c r="B8271" s="29">
        <v>240.06</v>
      </c>
      <c r="C8271" s="37">
        <f t="shared" si="264"/>
        <v>40.01</v>
      </c>
      <c r="D8271" s="37">
        <v>3.9319999999999999</v>
      </c>
      <c r="E8271" s="33">
        <f t="shared" si="265"/>
        <v>9.5886954327529701E-3</v>
      </c>
    </row>
    <row r="8272" spans="1:5" x14ac:dyDescent="0.25">
      <c r="A8272" s="41">
        <v>43810</v>
      </c>
      <c r="B8272" s="29">
        <v>241.35</v>
      </c>
      <c r="C8272" s="37">
        <f t="shared" si="264"/>
        <v>40.225000000000001</v>
      </c>
      <c r="D8272" s="37">
        <v>3.9319999999999999</v>
      </c>
      <c r="E8272" s="33">
        <f t="shared" si="265"/>
        <v>5.3736565858535038E-3</v>
      </c>
    </row>
    <row r="8273" spans="1:5" x14ac:dyDescent="0.25">
      <c r="A8273" s="41">
        <v>43810</v>
      </c>
      <c r="B8273" s="29">
        <v>240.89</v>
      </c>
      <c r="C8273" s="37">
        <f t="shared" si="264"/>
        <v>40.148333333333333</v>
      </c>
      <c r="D8273" s="37">
        <v>3.9319999999999999</v>
      </c>
      <c r="E8273" s="33">
        <f t="shared" si="265"/>
        <v>-1.9059457219805591E-3</v>
      </c>
    </row>
    <row r="8274" spans="1:5" x14ac:dyDescent="0.25">
      <c r="A8274" s="41">
        <v>43810</v>
      </c>
      <c r="B8274" s="29">
        <v>239.31</v>
      </c>
      <c r="C8274" s="37">
        <f t="shared" si="264"/>
        <v>39.884999999999998</v>
      </c>
      <c r="D8274" s="37">
        <v>3.9319999999999999</v>
      </c>
      <c r="E8274" s="33">
        <f t="shared" si="265"/>
        <v>-6.5590103366681227E-3</v>
      </c>
    </row>
    <row r="8275" spans="1:5" x14ac:dyDescent="0.25">
      <c r="A8275" s="41">
        <v>43810</v>
      </c>
      <c r="B8275" s="29">
        <v>233.84</v>
      </c>
      <c r="C8275" s="37">
        <f t="shared" si="264"/>
        <v>38.973333333333336</v>
      </c>
      <c r="D8275" s="37">
        <v>3.9319999999999999</v>
      </c>
      <c r="E8275" s="33">
        <f t="shared" si="265"/>
        <v>-2.2857381638878436E-2</v>
      </c>
    </row>
    <row r="8276" spans="1:5" x14ac:dyDescent="0.25">
      <c r="A8276" s="41">
        <v>43810</v>
      </c>
      <c r="B8276" s="29">
        <v>231.3</v>
      </c>
      <c r="C8276" s="37">
        <f t="shared" si="264"/>
        <v>38.549999999999997</v>
      </c>
      <c r="D8276" s="37">
        <v>3.9319999999999999</v>
      </c>
      <c r="E8276" s="33">
        <f t="shared" si="265"/>
        <v>-1.0862127950735512E-2</v>
      </c>
    </row>
    <row r="8277" spans="1:5" x14ac:dyDescent="0.25">
      <c r="A8277" s="41">
        <v>43810</v>
      </c>
      <c r="B8277" s="29">
        <v>232.92</v>
      </c>
      <c r="C8277" s="37">
        <f t="shared" si="264"/>
        <v>38.82</v>
      </c>
      <c r="D8277" s="37">
        <v>3.9319999999999999</v>
      </c>
      <c r="E8277" s="33">
        <f t="shared" si="265"/>
        <v>7.0038910505835538E-3</v>
      </c>
    </row>
    <row r="8278" spans="1:5" x14ac:dyDescent="0.25">
      <c r="A8278" s="41">
        <v>43810</v>
      </c>
      <c r="B8278" s="29">
        <v>232.81</v>
      </c>
      <c r="C8278" s="37">
        <f t="shared" si="264"/>
        <v>38.801666666666669</v>
      </c>
      <c r="D8278" s="37">
        <v>3.9319999999999999</v>
      </c>
      <c r="E8278" s="33">
        <f t="shared" si="265"/>
        <v>-4.7226515541810588E-4</v>
      </c>
    </row>
    <row r="8279" spans="1:5" x14ac:dyDescent="0.25">
      <c r="A8279" s="41">
        <v>43810</v>
      </c>
      <c r="B8279" s="29">
        <v>232.44</v>
      </c>
      <c r="C8279" s="37">
        <f t="shared" si="264"/>
        <v>38.74</v>
      </c>
      <c r="D8279" s="37">
        <v>3.9319999999999999</v>
      </c>
      <c r="E8279" s="33">
        <f t="shared" si="265"/>
        <v>-1.589278811047655E-3</v>
      </c>
    </row>
    <row r="8280" spans="1:5" x14ac:dyDescent="0.25">
      <c r="A8280" s="41">
        <v>43810</v>
      </c>
      <c r="B8280" s="29">
        <v>230.62</v>
      </c>
      <c r="C8280" s="37">
        <f t="shared" si="264"/>
        <v>38.436666666666667</v>
      </c>
      <c r="D8280" s="37">
        <v>3.9319999999999999</v>
      </c>
      <c r="E8280" s="33">
        <f t="shared" si="265"/>
        <v>-7.8299776286353175E-3</v>
      </c>
    </row>
    <row r="8281" spans="1:5" x14ac:dyDescent="0.25">
      <c r="A8281" s="41">
        <v>43810</v>
      </c>
      <c r="B8281" s="29">
        <v>229.24</v>
      </c>
      <c r="C8281" s="37">
        <f t="shared" si="264"/>
        <v>38.206666666666663</v>
      </c>
      <c r="D8281" s="37">
        <v>3.9319999999999999</v>
      </c>
      <c r="E8281" s="33">
        <f t="shared" si="265"/>
        <v>-5.9838695689879255E-3</v>
      </c>
    </row>
    <row r="8282" spans="1:5" x14ac:dyDescent="0.25">
      <c r="A8282" s="41">
        <v>43811</v>
      </c>
      <c r="B8282" s="29">
        <v>228.32</v>
      </c>
      <c r="C8282" s="37">
        <f t="shared" si="264"/>
        <v>38.053333333333335</v>
      </c>
      <c r="D8282" s="37">
        <v>3.8330000000000002</v>
      </c>
      <c r="E8282" s="33">
        <f t="shared" si="265"/>
        <v>-4.0132612109580173E-3</v>
      </c>
    </row>
    <row r="8283" spans="1:5" x14ac:dyDescent="0.25">
      <c r="A8283" s="41">
        <v>43811</v>
      </c>
      <c r="B8283" s="29">
        <v>227.41</v>
      </c>
      <c r="C8283" s="37">
        <f t="shared" si="264"/>
        <v>37.901666666666664</v>
      </c>
      <c r="D8283" s="37">
        <v>3.8330000000000002</v>
      </c>
      <c r="E8283" s="33">
        <f t="shared" si="265"/>
        <v>-3.9856341976173644E-3</v>
      </c>
    </row>
    <row r="8284" spans="1:5" x14ac:dyDescent="0.25">
      <c r="A8284" s="41">
        <v>43811</v>
      </c>
      <c r="B8284" s="29">
        <v>227.18</v>
      </c>
      <c r="C8284" s="37">
        <f t="shared" si="264"/>
        <v>37.863333333333337</v>
      </c>
      <c r="D8284" s="37">
        <v>3.8330000000000002</v>
      </c>
      <c r="E8284" s="33">
        <f t="shared" si="265"/>
        <v>-1.0113891209708886E-3</v>
      </c>
    </row>
    <row r="8285" spans="1:5" x14ac:dyDescent="0.25">
      <c r="A8285" s="41">
        <v>43811</v>
      </c>
      <c r="B8285" s="29">
        <v>227.15</v>
      </c>
      <c r="C8285" s="37">
        <f t="shared" si="264"/>
        <v>37.858333333333334</v>
      </c>
      <c r="D8285" s="37">
        <v>3.8330000000000002</v>
      </c>
      <c r="E8285" s="33">
        <f t="shared" si="265"/>
        <v>-1.3205387798222173E-4</v>
      </c>
    </row>
    <row r="8286" spans="1:5" x14ac:dyDescent="0.25">
      <c r="A8286" s="41">
        <v>43811</v>
      </c>
      <c r="B8286" s="29">
        <v>227.11</v>
      </c>
      <c r="C8286" s="37">
        <f t="shared" si="264"/>
        <v>37.851666666666667</v>
      </c>
      <c r="D8286" s="37">
        <v>3.8330000000000002</v>
      </c>
      <c r="E8286" s="33">
        <f t="shared" si="265"/>
        <v>-1.7609509134929361E-4</v>
      </c>
    </row>
    <row r="8287" spans="1:5" x14ac:dyDescent="0.25">
      <c r="A8287" s="41">
        <v>43811</v>
      </c>
      <c r="B8287" s="29">
        <v>227.07</v>
      </c>
      <c r="C8287" s="37">
        <f t="shared" si="264"/>
        <v>37.844999999999999</v>
      </c>
      <c r="D8287" s="37">
        <v>3.8330000000000002</v>
      </c>
      <c r="E8287" s="33">
        <f t="shared" si="265"/>
        <v>-1.7612610629219523E-4</v>
      </c>
    </row>
    <row r="8288" spans="1:5" x14ac:dyDescent="0.25">
      <c r="A8288" s="41">
        <v>43811</v>
      </c>
      <c r="B8288" s="29">
        <v>227.38</v>
      </c>
      <c r="C8288" s="37">
        <f t="shared" si="264"/>
        <v>37.896666666666668</v>
      </c>
      <c r="D8288" s="37">
        <v>3.8330000000000002</v>
      </c>
      <c r="E8288" s="33">
        <f t="shared" si="265"/>
        <v>1.3652177742546452E-3</v>
      </c>
    </row>
    <row r="8289" spans="1:5" x14ac:dyDescent="0.25">
      <c r="A8289" s="41">
        <v>43811</v>
      </c>
      <c r="B8289" s="29">
        <v>231</v>
      </c>
      <c r="C8289" s="37">
        <f t="shared" si="264"/>
        <v>38.5</v>
      </c>
      <c r="D8289" s="37">
        <v>3.8330000000000002</v>
      </c>
      <c r="E8289" s="33">
        <f t="shared" si="265"/>
        <v>1.5920485530829469E-2</v>
      </c>
    </row>
    <row r="8290" spans="1:5" x14ac:dyDescent="0.25">
      <c r="A8290" s="41">
        <v>43811</v>
      </c>
      <c r="B8290" s="29">
        <v>236.2</v>
      </c>
      <c r="C8290" s="37">
        <f t="shared" si="264"/>
        <v>39.366666666666667</v>
      </c>
      <c r="D8290" s="37">
        <v>3.8330000000000002</v>
      </c>
      <c r="E8290" s="33">
        <f t="shared" si="265"/>
        <v>2.251082251082246E-2</v>
      </c>
    </row>
    <row r="8291" spans="1:5" x14ac:dyDescent="0.25">
      <c r="A8291" s="41">
        <v>43811</v>
      </c>
      <c r="B8291" s="29">
        <v>240.44</v>
      </c>
      <c r="C8291" s="37">
        <f t="shared" si="264"/>
        <v>40.073333333333331</v>
      </c>
      <c r="D8291" s="37">
        <v>3.8330000000000002</v>
      </c>
      <c r="E8291" s="33">
        <f t="shared" si="265"/>
        <v>1.7950889077053386E-2</v>
      </c>
    </row>
    <row r="8292" spans="1:5" x14ac:dyDescent="0.25">
      <c r="A8292" s="41">
        <v>43811</v>
      </c>
      <c r="B8292" s="29">
        <v>240.68</v>
      </c>
      <c r="C8292" s="37">
        <f t="shared" si="264"/>
        <v>40.113333333333337</v>
      </c>
      <c r="D8292" s="37">
        <v>3.8330000000000002</v>
      </c>
      <c r="E8292" s="33">
        <f t="shared" si="265"/>
        <v>9.9817002162705501E-4</v>
      </c>
    </row>
    <row r="8293" spans="1:5" x14ac:dyDescent="0.25">
      <c r="A8293" s="41">
        <v>43811</v>
      </c>
      <c r="B8293" s="29">
        <v>240.79</v>
      </c>
      <c r="C8293" s="37">
        <f t="shared" si="264"/>
        <v>40.131666666666668</v>
      </c>
      <c r="D8293" s="37">
        <v>3.8330000000000002</v>
      </c>
      <c r="E8293" s="33">
        <f t="shared" si="265"/>
        <v>4.5703839122480147E-4</v>
      </c>
    </row>
    <row r="8294" spans="1:5" x14ac:dyDescent="0.25">
      <c r="A8294" s="41">
        <v>43811</v>
      </c>
      <c r="B8294" s="29">
        <v>240.24</v>
      </c>
      <c r="C8294" s="37">
        <f t="shared" si="264"/>
        <v>40.04</v>
      </c>
      <c r="D8294" s="37">
        <v>3.8330000000000002</v>
      </c>
      <c r="E8294" s="33">
        <f t="shared" si="265"/>
        <v>-2.2841480127911581E-3</v>
      </c>
    </row>
    <row r="8295" spans="1:5" x14ac:dyDescent="0.25">
      <c r="A8295" s="41">
        <v>43811</v>
      </c>
      <c r="B8295" s="29">
        <v>240.68</v>
      </c>
      <c r="C8295" s="37">
        <f t="shared" si="264"/>
        <v>40.113333333333337</v>
      </c>
      <c r="D8295" s="37">
        <v>3.8330000000000002</v>
      </c>
      <c r="E8295" s="33">
        <f t="shared" si="265"/>
        <v>1.831501831501822E-3</v>
      </c>
    </row>
    <row r="8296" spans="1:5" x14ac:dyDescent="0.25">
      <c r="A8296" s="41">
        <v>43811</v>
      </c>
      <c r="B8296" s="29">
        <v>244.02</v>
      </c>
      <c r="C8296" s="37">
        <f t="shared" si="264"/>
        <v>40.67</v>
      </c>
      <c r="D8296" s="37">
        <v>3.8330000000000002</v>
      </c>
      <c r="E8296" s="33">
        <f t="shared" si="265"/>
        <v>1.3877347515373123E-2</v>
      </c>
    </row>
    <row r="8297" spans="1:5" x14ac:dyDescent="0.25">
      <c r="A8297" s="41">
        <v>43811</v>
      </c>
      <c r="B8297" s="29">
        <v>241.79</v>
      </c>
      <c r="C8297" s="37">
        <f t="shared" si="264"/>
        <v>40.298333333333332</v>
      </c>
      <c r="D8297" s="37">
        <v>3.8330000000000002</v>
      </c>
      <c r="E8297" s="33">
        <f t="shared" si="265"/>
        <v>-9.1385951971150649E-3</v>
      </c>
    </row>
    <row r="8298" spans="1:5" x14ac:dyDescent="0.25">
      <c r="A8298" s="41">
        <v>43811</v>
      </c>
      <c r="B8298" s="29">
        <v>240.36</v>
      </c>
      <c r="C8298" s="37">
        <f t="shared" si="264"/>
        <v>40.06</v>
      </c>
      <c r="D8298" s="37">
        <v>3.8330000000000002</v>
      </c>
      <c r="E8298" s="33">
        <f t="shared" si="265"/>
        <v>-5.9142230861490485E-3</v>
      </c>
    </row>
    <row r="8299" spans="1:5" x14ac:dyDescent="0.25">
      <c r="A8299" s="41">
        <v>43811</v>
      </c>
      <c r="B8299" s="29">
        <v>238.36</v>
      </c>
      <c r="C8299" s="37">
        <f t="shared" si="264"/>
        <v>39.726666666666667</v>
      </c>
      <c r="D8299" s="37">
        <v>3.8330000000000002</v>
      </c>
      <c r="E8299" s="33">
        <f t="shared" si="265"/>
        <v>-8.3208520552504571E-3</v>
      </c>
    </row>
    <row r="8300" spans="1:5" x14ac:dyDescent="0.25">
      <c r="A8300" s="41">
        <v>43811</v>
      </c>
      <c r="B8300" s="29">
        <v>234.24</v>
      </c>
      <c r="C8300" s="37">
        <f t="shared" si="264"/>
        <v>39.04</v>
      </c>
      <c r="D8300" s="37">
        <v>3.8330000000000002</v>
      </c>
      <c r="E8300" s="33">
        <f t="shared" si="265"/>
        <v>-1.7284779325390184E-2</v>
      </c>
    </row>
    <row r="8301" spans="1:5" x14ac:dyDescent="0.25">
      <c r="A8301" s="41">
        <v>43811</v>
      </c>
      <c r="B8301" s="29">
        <v>237.1</v>
      </c>
      <c r="C8301" s="37">
        <f t="shared" si="264"/>
        <v>39.516666666666666</v>
      </c>
      <c r="D8301" s="37">
        <v>3.8330000000000002</v>
      </c>
      <c r="E8301" s="33">
        <f t="shared" si="265"/>
        <v>1.220969945355185E-2</v>
      </c>
    </row>
    <row r="8302" spans="1:5" x14ac:dyDescent="0.25">
      <c r="A8302" s="41">
        <v>43811</v>
      </c>
      <c r="B8302" s="29">
        <v>236.01</v>
      </c>
      <c r="C8302" s="37">
        <f t="shared" si="264"/>
        <v>39.335000000000001</v>
      </c>
      <c r="D8302" s="37">
        <v>3.8330000000000002</v>
      </c>
      <c r="E8302" s="33">
        <f t="shared" si="265"/>
        <v>-4.5972163644032197E-3</v>
      </c>
    </row>
    <row r="8303" spans="1:5" x14ac:dyDescent="0.25">
      <c r="A8303" s="41">
        <v>43811</v>
      </c>
      <c r="B8303" s="29">
        <v>235.56</v>
      </c>
      <c r="C8303" s="37">
        <f t="shared" si="264"/>
        <v>39.26</v>
      </c>
      <c r="D8303" s="37">
        <v>3.8330000000000002</v>
      </c>
      <c r="E8303" s="33">
        <f t="shared" si="265"/>
        <v>-1.9066988686919565E-3</v>
      </c>
    </row>
    <row r="8304" spans="1:5" x14ac:dyDescent="0.25">
      <c r="A8304" s="41">
        <v>43811</v>
      </c>
      <c r="B8304" s="29">
        <v>233.46</v>
      </c>
      <c r="C8304" s="37">
        <f t="shared" si="264"/>
        <v>38.909999999999997</v>
      </c>
      <c r="D8304" s="37">
        <v>3.8330000000000002</v>
      </c>
      <c r="E8304" s="33">
        <f t="shared" si="265"/>
        <v>-8.914926133469156E-3</v>
      </c>
    </row>
    <row r="8305" spans="1:5" x14ac:dyDescent="0.25">
      <c r="A8305" s="41">
        <v>43811</v>
      </c>
      <c r="B8305" s="29">
        <v>230.43</v>
      </c>
      <c r="C8305" s="37">
        <f t="shared" si="264"/>
        <v>38.405000000000001</v>
      </c>
      <c r="D8305" s="37">
        <v>3.8330000000000002</v>
      </c>
      <c r="E8305" s="33">
        <f t="shared" si="265"/>
        <v>-1.2978668722693399E-2</v>
      </c>
    </row>
    <row r="8306" spans="1:5" x14ac:dyDescent="0.25">
      <c r="A8306" s="41">
        <v>43812</v>
      </c>
      <c r="B8306" s="29">
        <v>226.17</v>
      </c>
      <c r="C8306" s="37">
        <f t="shared" si="264"/>
        <v>37.695</v>
      </c>
      <c r="D8306" s="37">
        <v>3.714</v>
      </c>
      <c r="E8306" s="33">
        <f t="shared" si="265"/>
        <v>-1.8487176148939022E-2</v>
      </c>
    </row>
    <row r="8307" spans="1:5" x14ac:dyDescent="0.25">
      <c r="A8307" s="41">
        <v>43812</v>
      </c>
      <c r="B8307" s="29">
        <v>226.07</v>
      </c>
      <c r="C8307" s="37">
        <f t="shared" si="264"/>
        <v>37.678333333333335</v>
      </c>
      <c r="D8307" s="37">
        <v>3.714</v>
      </c>
      <c r="E8307" s="33">
        <f t="shared" si="265"/>
        <v>-4.4214528894192124E-4</v>
      </c>
    </row>
    <row r="8308" spans="1:5" x14ac:dyDescent="0.25">
      <c r="A8308" s="41">
        <v>43812</v>
      </c>
      <c r="B8308" s="29">
        <v>225.33</v>
      </c>
      <c r="C8308" s="37">
        <f t="shared" si="264"/>
        <v>37.555</v>
      </c>
      <c r="D8308" s="37">
        <v>3.714</v>
      </c>
      <c r="E8308" s="33">
        <f t="shared" si="265"/>
        <v>-3.2733224222585072E-3</v>
      </c>
    </row>
    <row r="8309" spans="1:5" x14ac:dyDescent="0.25">
      <c r="A8309" s="41">
        <v>43812</v>
      </c>
      <c r="B8309" s="29">
        <v>224.94</v>
      </c>
      <c r="C8309" s="37">
        <f t="shared" si="264"/>
        <v>37.49</v>
      </c>
      <c r="D8309" s="37">
        <v>3.714</v>
      </c>
      <c r="E8309" s="33">
        <f t="shared" si="265"/>
        <v>-1.7307948342431755E-3</v>
      </c>
    </row>
    <row r="8310" spans="1:5" x14ac:dyDescent="0.25">
      <c r="A8310" s="41">
        <v>43812</v>
      </c>
      <c r="B8310" s="29">
        <v>224.92</v>
      </c>
      <c r="C8310" s="37">
        <f t="shared" si="264"/>
        <v>37.486666666666665</v>
      </c>
      <c r="D8310" s="37">
        <v>3.714</v>
      </c>
      <c r="E8310" s="33">
        <f t="shared" si="265"/>
        <v>-8.8912598915311786E-5</v>
      </c>
    </row>
    <row r="8311" spans="1:5" x14ac:dyDescent="0.25">
      <c r="A8311" s="41">
        <v>43812</v>
      </c>
      <c r="B8311" s="29">
        <v>224.93</v>
      </c>
      <c r="C8311" s="37">
        <f t="shared" si="264"/>
        <v>37.488333333333337</v>
      </c>
      <c r="D8311" s="37">
        <v>3.714</v>
      </c>
      <c r="E8311" s="33">
        <f t="shared" si="265"/>
        <v>4.4460252534320323E-5</v>
      </c>
    </row>
    <row r="8312" spans="1:5" x14ac:dyDescent="0.25">
      <c r="A8312" s="41">
        <v>43812</v>
      </c>
      <c r="B8312" s="29">
        <v>225.76</v>
      </c>
      <c r="C8312" s="37">
        <f t="shared" si="264"/>
        <v>37.626666666666665</v>
      </c>
      <c r="D8312" s="37">
        <v>3.714</v>
      </c>
      <c r="E8312" s="33">
        <f t="shared" si="265"/>
        <v>3.6900369003689329E-3</v>
      </c>
    </row>
    <row r="8313" spans="1:5" x14ac:dyDescent="0.25">
      <c r="A8313" s="41">
        <v>43812</v>
      </c>
      <c r="B8313" s="29">
        <v>227.3</v>
      </c>
      <c r="C8313" s="37">
        <f t="shared" si="264"/>
        <v>37.883333333333333</v>
      </c>
      <c r="D8313" s="37">
        <v>3.714</v>
      </c>
      <c r="E8313" s="33">
        <f t="shared" si="265"/>
        <v>6.8214032600993112E-3</v>
      </c>
    </row>
    <row r="8314" spans="1:5" x14ac:dyDescent="0.25">
      <c r="A8314" s="41">
        <v>43812</v>
      </c>
      <c r="B8314" s="29">
        <v>233.12</v>
      </c>
      <c r="C8314" s="37">
        <f t="shared" si="264"/>
        <v>38.853333333333332</v>
      </c>
      <c r="D8314" s="37">
        <v>3.714</v>
      </c>
      <c r="E8314" s="33">
        <f t="shared" si="265"/>
        <v>2.5604927408710922E-2</v>
      </c>
    </row>
    <row r="8315" spans="1:5" x14ac:dyDescent="0.25">
      <c r="A8315" s="41">
        <v>43812</v>
      </c>
      <c r="B8315" s="29">
        <v>237.46</v>
      </c>
      <c r="C8315" s="37">
        <f t="shared" si="264"/>
        <v>39.576666666666668</v>
      </c>
      <c r="D8315" s="37">
        <v>3.714</v>
      </c>
      <c r="E8315" s="33">
        <f t="shared" si="265"/>
        <v>1.8617021276595758E-2</v>
      </c>
    </row>
    <row r="8316" spans="1:5" x14ac:dyDescent="0.25">
      <c r="A8316" s="41">
        <v>43812</v>
      </c>
      <c r="B8316" s="29">
        <v>239.18</v>
      </c>
      <c r="C8316" s="37">
        <f t="shared" si="264"/>
        <v>39.863333333333337</v>
      </c>
      <c r="D8316" s="37">
        <v>3.714</v>
      </c>
      <c r="E8316" s="33">
        <f t="shared" si="265"/>
        <v>7.243325191611214E-3</v>
      </c>
    </row>
    <row r="8317" spans="1:5" x14ac:dyDescent="0.25">
      <c r="A8317" s="41">
        <v>43812</v>
      </c>
      <c r="B8317" s="29">
        <v>239.12</v>
      </c>
      <c r="C8317" s="37">
        <f t="shared" si="264"/>
        <v>39.853333333333332</v>
      </c>
      <c r="D8317" s="37">
        <v>3.714</v>
      </c>
      <c r="E8317" s="33">
        <f t="shared" si="265"/>
        <v>-2.5085709507484855E-4</v>
      </c>
    </row>
    <row r="8318" spans="1:5" x14ac:dyDescent="0.25">
      <c r="A8318" s="41">
        <v>43812</v>
      </c>
      <c r="B8318" s="29">
        <v>239.06</v>
      </c>
      <c r="C8318" s="37">
        <f t="shared" si="264"/>
        <v>39.843333333333334</v>
      </c>
      <c r="D8318" s="37">
        <v>3.714</v>
      </c>
      <c r="E8318" s="33">
        <f t="shared" si="265"/>
        <v>-2.5092004014721592E-4</v>
      </c>
    </row>
    <row r="8319" spans="1:5" x14ac:dyDescent="0.25">
      <c r="A8319" s="41">
        <v>43812</v>
      </c>
      <c r="B8319" s="29">
        <v>239.35</v>
      </c>
      <c r="C8319" s="37">
        <f t="shared" si="264"/>
        <v>39.891666666666666</v>
      </c>
      <c r="D8319" s="37">
        <v>3.714</v>
      </c>
      <c r="E8319" s="33">
        <f t="shared" si="265"/>
        <v>1.2130845812766337E-3</v>
      </c>
    </row>
    <row r="8320" spans="1:5" x14ac:dyDescent="0.25">
      <c r="A8320" s="41">
        <v>43812</v>
      </c>
      <c r="B8320" s="29">
        <v>240.32</v>
      </c>
      <c r="C8320" s="37">
        <f t="shared" si="264"/>
        <v>40.053333333333335</v>
      </c>
      <c r="D8320" s="37">
        <v>3.714</v>
      </c>
      <c r="E8320" s="33">
        <f t="shared" si="265"/>
        <v>4.0526425736369283E-3</v>
      </c>
    </row>
    <row r="8321" spans="1:5" x14ac:dyDescent="0.25">
      <c r="A8321" s="41">
        <v>43812</v>
      </c>
      <c r="B8321" s="29">
        <v>239.26</v>
      </c>
      <c r="C8321" s="37">
        <f t="shared" si="264"/>
        <v>39.876666666666665</v>
      </c>
      <c r="D8321" s="37">
        <v>3.714</v>
      </c>
      <c r="E8321" s="33">
        <f t="shared" si="265"/>
        <v>-4.4107856191744439E-3</v>
      </c>
    </row>
    <row r="8322" spans="1:5" x14ac:dyDescent="0.25">
      <c r="A8322" s="41">
        <v>43812</v>
      </c>
      <c r="B8322" s="29">
        <v>238.8</v>
      </c>
      <c r="C8322" s="37">
        <f t="shared" si="264"/>
        <v>39.799999999999997</v>
      </c>
      <c r="D8322" s="37">
        <v>3.714</v>
      </c>
      <c r="E8322" s="33">
        <f t="shared" si="265"/>
        <v>-1.9225946668894908E-3</v>
      </c>
    </row>
    <row r="8323" spans="1:5" x14ac:dyDescent="0.25">
      <c r="A8323" s="41">
        <v>43812</v>
      </c>
      <c r="B8323" s="29">
        <v>235.96</v>
      </c>
      <c r="C8323" s="37">
        <f t="shared" ref="C8323:C8386" si="266">(B8323*100/600)</f>
        <v>39.326666666666668</v>
      </c>
      <c r="D8323" s="37">
        <v>3.714</v>
      </c>
      <c r="E8323" s="33">
        <f t="shared" si="265"/>
        <v>-1.1892797319933012E-2</v>
      </c>
    </row>
    <row r="8324" spans="1:5" x14ac:dyDescent="0.25">
      <c r="A8324" s="41">
        <v>43812</v>
      </c>
      <c r="B8324" s="29">
        <v>235.65</v>
      </c>
      <c r="C8324" s="37">
        <f t="shared" si="266"/>
        <v>39.274999999999999</v>
      </c>
      <c r="D8324" s="37">
        <v>3.714</v>
      </c>
      <c r="E8324" s="33">
        <f t="shared" ref="E8324:E8387" si="267">(B8324-B8323)/B8323</f>
        <v>-1.3137819969486449E-3</v>
      </c>
    </row>
    <row r="8325" spans="1:5" x14ac:dyDescent="0.25">
      <c r="A8325" s="41">
        <v>43812</v>
      </c>
      <c r="B8325" s="29">
        <v>235.73</v>
      </c>
      <c r="C8325" s="37">
        <f t="shared" si="266"/>
        <v>39.288333333333334</v>
      </c>
      <c r="D8325" s="37">
        <v>3.714</v>
      </c>
      <c r="E8325" s="33">
        <f t="shared" si="267"/>
        <v>3.3948652662840691E-4</v>
      </c>
    </row>
    <row r="8326" spans="1:5" x14ac:dyDescent="0.25">
      <c r="A8326" s="41">
        <v>43812</v>
      </c>
      <c r="B8326" s="29">
        <v>235.62</v>
      </c>
      <c r="C8326" s="37">
        <f t="shared" si="266"/>
        <v>39.270000000000003</v>
      </c>
      <c r="D8326" s="37">
        <v>3.714</v>
      </c>
      <c r="E8326" s="33">
        <f t="shared" si="267"/>
        <v>-4.6663555762942871E-4</v>
      </c>
    </row>
    <row r="8327" spans="1:5" x14ac:dyDescent="0.25">
      <c r="A8327" s="41">
        <v>43812</v>
      </c>
      <c r="B8327" s="29">
        <v>235.5</v>
      </c>
      <c r="C8327" s="37">
        <f t="shared" si="266"/>
        <v>39.25</v>
      </c>
      <c r="D8327" s="37">
        <v>3.714</v>
      </c>
      <c r="E8327" s="33">
        <f t="shared" si="267"/>
        <v>-5.0929462694170502E-4</v>
      </c>
    </row>
    <row r="8328" spans="1:5" x14ac:dyDescent="0.25">
      <c r="A8328" s="41">
        <v>43812</v>
      </c>
      <c r="B8328" s="29">
        <v>234.07</v>
      </c>
      <c r="C8328" s="37">
        <f t="shared" si="266"/>
        <v>39.011666666666663</v>
      </c>
      <c r="D8328" s="37">
        <v>3.714</v>
      </c>
      <c r="E8328" s="33">
        <f t="shared" si="267"/>
        <v>-6.0721868365180755E-3</v>
      </c>
    </row>
    <row r="8329" spans="1:5" x14ac:dyDescent="0.25">
      <c r="A8329" s="41">
        <v>43812</v>
      </c>
      <c r="B8329" s="29">
        <v>231.03</v>
      </c>
      <c r="C8329" s="37">
        <f t="shared" si="266"/>
        <v>38.505000000000003</v>
      </c>
      <c r="D8329" s="37">
        <v>3.714</v>
      </c>
      <c r="E8329" s="33">
        <f t="shared" si="267"/>
        <v>-1.2987567821591798E-2</v>
      </c>
    </row>
    <row r="8330" spans="1:5" x14ac:dyDescent="0.25">
      <c r="A8330" s="41">
        <v>43813</v>
      </c>
      <c r="B8330" s="29">
        <v>243.3</v>
      </c>
      <c r="C8330" s="37">
        <f t="shared" si="266"/>
        <v>40.549999999999997</v>
      </c>
      <c r="D8330" s="37">
        <v>3.7109999999999999</v>
      </c>
      <c r="E8330" s="33">
        <f t="shared" si="267"/>
        <v>5.3109985716140805E-2</v>
      </c>
    </row>
    <row r="8331" spans="1:5" x14ac:dyDescent="0.25">
      <c r="A8331" s="41">
        <v>43813</v>
      </c>
      <c r="B8331" s="29">
        <v>242.01</v>
      </c>
      <c r="C8331" s="37">
        <f t="shared" si="266"/>
        <v>40.335000000000001</v>
      </c>
      <c r="D8331" s="37">
        <v>3.7109999999999999</v>
      </c>
      <c r="E8331" s="33">
        <f t="shared" si="267"/>
        <v>-5.3020961775586536E-3</v>
      </c>
    </row>
    <row r="8332" spans="1:5" x14ac:dyDescent="0.25">
      <c r="A8332" s="41">
        <v>43813</v>
      </c>
      <c r="B8332" s="29">
        <v>241.85</v>
      </c>
      <c r="C8332" s="37">
        <f t="shared" si="266"/>
        <v>40.30833333333333</v>
      </c>
      <c r="D8332" s="37">
        <v>3.7109999999999999</v>
      </c>
      <c r="E8332" s="33">
        <f t="shared" si="267"/>
        <v>-6.6112970538406094E-4</v>
      </c>
    </row>
    <row r="8333" spans="1:5" x14ac:dyDescent="0.25">
      <c r="A8333" s="41">
        <v>43813</v>
      </c>
      <c r="B8333" s="29">
        <v>240.61</v>
      </c>
      <c r="C8333" s="37">
        <f t="shared" si="266"/>
        <v>40.101666666666667</v>
      </c>
      <c r="D8333" s="37">
        <v>3.7109999999999999</v>
      </c>
      <c r="E8333" s="33">
        <f t="shared" si="267"/>
        <v>-5.1271449245399239E-3</v>
      </c>
    </row>
    <row r="8334" spans="1:5" x14ac:dyDescent="0.25">
      <c r="A8334" s="41">
        <v>43813</v>
      </c>
      <c r="B8334" s="29">
        <v>240.52</v>
      </c>
      <c r="C8334" s="37">
        <f t="shared" si="266"/>
        <v>40.086666666666666</v>
      </c>
      <c r="D8334" s="37">
        <v>3.7109999999999999</v>
      </c>
      <c r="E8334" s="33">
        <f t="shared" si="267"/>
        <v>-3.7404929138441215E-4</v>
      </c>
    </row>
    <row r="8335" spans="1:5" x14ac:dyDescent="0.25">
      <c r="A8335" s="41">
        <v>43813</v>
      </c>
      <c r="B8335" s="29">
        <v>238.44</v>
      </c>
      <c r="C8335" s="37">
        <f t="shared" si="266"/>
        <v>39.74</v>
      </c>
      <c r="D8335" s="37">
        <v>3.7109999999999999</v>
      </c>
      <c r="E8335" s="33">
        <f t="shared" si="267"/>
        <v>-8.6479294861134728E-3</v>
      </c>
    </row>
    <row r="8336" spans="1:5" x14ac:dyDescent="0.25">
      <c r="A8336" s="41">
        <v>43813</v>
      </c>
      <c r="B8336" s="29">
        <v>239.14</v>
      </c>
      <c r="C8336" s="37">
        <f t="shared" si="266"/>
        <v>39.856666666666669</v>
      </c>
      <c r="D8336" s="37">
        <v>3.7109999999999999</v>
      </c>
      <c r="E8336" s="33">
        <f t="shared" si="267"/>
        <v>2.9357490353966978E-3</v>
      </c>
    </row>
    <row r="8337" spans="1:5" x14ac:dyDescent="0.25">
      <c r="A8337" s="41">
        <v>43813</v>
      </c>
      <c r="B8337" s="29">
        <v>240.85</v>
      </c>
      <c r="C8337" s="37">
        <f t="shared" si="266"/>
        <v>40.141666666666666</v>
      </c>
      <c r="D8337" s="37">
        <v>3.7109999999999999</v>
      </c>
      <c r="E8337" s="33">
        <f t="shared" si="267"/>
        <v>7.1506230659864854E-3</v>
      </c>
    </row>
    <row r="8338" spans="1:5" x14ac:dyDescent="0.25">
      <c r="A8338" s="41">
        <v>43813</v>
      </c>
      <c r="B8338" s="29">
        <v>242.21</v>
      </c>
      <c r="C8338" s="37">
        <f t="shared" si="266"/>
        <v>40.368333333333332</v>
      </c>
      <c r="D8338" s="37">
        <v>3.7109999999999999</v>
      </c>
      <c r="E8338" s="33">
        <f t="shared" si="267"/>
        <v>5.6466680506539911E-3</v>
      </c>
    </row>
    <row r="8339" spans="1:5" x14ac:dyDescent="0.25">
      <c r="A8339" s="41">
        <v>43813</v>
      </c>
      <c r="B8339" s="29">
        <v>244.34</v>
      </c>
      <c r="C8339" s="37">
        <f t="shared" si="266"/>
        <v>40.723333333333336</v>
      </c>
      <c r="D8339" s="37">
        <v>3.7109999999999999</v>
      </c>
      <c r="E8339" s="33">
        <f t="shared" si="267"/>
        <v>8.7940217166921075E-3</v>
      </c>
    </row>
    <row r="8340" spans="1:5" x14ac:dyDescent="0.25">
      <c r="A8340" s="41">
        <v>43813</v>
      </c>
      <c r="B8340" s="29">
        <v>244.96</v>
      </c>
      <c r="C8340" s="37">
        <f t="shared" si="266"/>
        <v>40.826666666666668</v>
      </c>
      <c r="D8340" s="37">
        <v>3.7109999999999999</v>
      </c>
      <c r="E8340" s="33">
        <f t="shared" si="267"/>
        <v>2.5374478186134261E-3</v>
      </c>
    </row>
    <row r="8341" spans="1:5" x14ac:dyDescent="0.25">
      <c r="A8341" s="41">
        <v>43813</v>
      </c>
      <c r="B8341" s="29">
        <v>244.99</v>
      </c>
      <c r="C8341" s="37">
        <f t="shared" si="266"/>
        <v>40.831666666666663</v>
      </c>
      <c r="D8341" s="37">
        <v>3.7109999999999999</v>
      </c>
      <c r="E8341" s="33">
        <f t="shared" si="267"/>
        <v>1.2246897452645794E-4</v>
      </c>
    </row>
    <row r="8342" spans="1:5" x14ac:dyDescent="0.25">
      <c r="A8342" s="41">
        <v>43813</v>
      </c>
      <c r="B8342" s="29">
        <v>244.99</v>
      </c>
      <c r="C8342" s="37">
        <f t="shared" si="266"/>
        <v>40.831666666666663</v>
      </c>
      <c r="D8342" s="37">
        <v>3.7109999999999999</v>
      </c>
      <c r="E8342" s="33">
        <f t="shared" si="267"/>
        <v>0</v>
      </c>
    </row>
    <row r="8343" spans="1:5" x14ac:dyDescent="0.25">
      <c r="A8343" s="41">
        <v>43813</v>
      </c>
      <c r="B8343" s="29">
        <v>244.99</v>
      </c>
      <c r="C8343" s="37">
        <f t="shared" si="266"/>
        <v>40.831666666666663</v>
      </c>
      <c r="D8343" s="37">
        <v>3.7109999999999999</v>
      </c>
      <c r="E8343" s="33">
        <f t="shared" si="267"/>
        <v>0</v>
      </c>
    </row>
    <row r="8344" spans="1:5" x14ac:dyDescent="0.25">
      <c r="A8344" s="41">
        <v>43813</v>
      </c>
      <c r="B8344" s="29">
        <v>244.79</v>
      </c>
      <c r="C8344" s="37">
        <f t="shared" si="266"/>
        <v>40.798333333333332</v>
      </c>
      <c r="D8344" s="37">
        <v>3.7109999999999999</v>
      </c>
      <c r="E8344" s="33">
        <f t="shared" si="267"/>
        <v>-8.1635985142257666E-4</v>
      </c>
    </row>
    <row r="8345" spans="1:5" x14ac:dyDescent="0.25">
      <c r="A8345" s="41">
        <v>43813</v>
      </c>
      <c r="B8345" s="29">
        <v>244.57</v>
      </c>
      <c r="C8345" s="37">
        <f t="shared" si="266"/>
        <v>40.761666666666663</v>
      </c>
      <c r="D8345" s="37">
        <v>3.7109999999999999</v>
      </c>
      <c r="E8345" s="33">
        <f t="shared" si="267"/>
        <v>-8.9872952326483459E-4</v>
      </c>
    </row>
    <row r="8346" spans="1:5" x14ac:dyDescent="0.25">
      <c r="A8346" s="41">
        <v>43813</v>
      </c>
      <c r="B8346" s="29">
        <v>244.48</v>
      </c>
      <c r="C8346" s="37">
        <f t="shared" si="266"/>
        <v>40.74666666666667</v>
      </c>
      <c r="D8346" s="37">
        <v>3.7109999999999999</v>
      </c>
      <c r="E8346" s="33">
        <f t="shared" si="267"/>
        <v>-3.6799280369629721E-4</v>
      </c>
    </row>
    <row r="8347" spans="1:5" x14ac:dyDescent="0.25">
      <c r="A8347" s="41">
        <v>43813</v>
      </c>
      <c r="B8347" s="29">
        <v>244.45</v>
      </c>
      <c r="C8347" s="37">
        <f t="shared" si="266"/>
        <v>40.741666666666667</v>
      </c>
      <c r="D8347" s="37">
        <v>3.7109999999999999</v>
      </c>
      <c r="E8347" s="33">
        <f t="shared" si="267"/>
        <v>-1.2270942408377429E-4</v>
      </c>
    </row>
    <row r="8348" spans="1:5" x14ac:dyDescent="0.25">
      <c r="A8348" s="41">
        <v>43813</v>
      </c>
      <c r="B8348" s="29">
        <v>245.65</v>
      </c>
      <c r="C8348" s="37">
        <f t="shared" si="266"/>
        <v>40.94166666666667</v>
      </c>
      <c r="D8348" s="37">
        <v>3.7109999999999999</v>
      </c>
      <c r="E8348" s="33">
        <f t="shared" si="267"/>
        <v>4.9089793413786753E-3</v>
      </c>
    </row>
    <row r="8349" spans="1:5" x14ac:dyDescent="0.25">
      <c r="A8349" s="41">
        <v>43813</v>
      </c>
      <c r="B8349" s="29">
        <v>250.2</v>
      </c>
      <c r="C8349" s="37">
        <f t="shared" si="266"/>
        <v>41.7</v>
      </c>
      <c r="D8349" s="37">
        <v>3.7109999999999999</v>
      </c>
      <c r="E8349" s="33">
        <f t="shared" si="267"/>
        <v>1.8522287807856638E-2</v>
      </c>
    </row>
    <row r="8350" spans="1:5" x14ac:dyDescent="0.25">
      <c r="A8350" s="41">
        <v>43813</v>
      </c>
      <c r="B8350" s="29">
        <v>246.55</v>
      </c>
      <c r="C8350" s="37">
        <f t="shared" si="266"/>
        <v>41.091666666666669</v>
      </c>
      <c r="D8350" s="37">
        <v>3.7109999999999999</v>
      </c>
      <c r="E8350" s="33">
        <f t="shared" si="267"/>
        <v>-1.4588329336530686E-2</v>
      </c>
    </row>
    <row r="8351" spans="1:5" x14ac:dyDescent="0.25">
      <c r="A8351" s="41">
        <v>43813</v>
      </c>
      <c r="B8351" s="29">
        <v>245.08</v>
      </c>
      <c r="C8351" s="37">
        <f t="shared" si="266"/>
        <v>40.846666666666664</v>
      </c>
      <c r="D8351" s="37">
        <v>3.7109999999999999</v>
      </c>
      <c r="E8351" s="33">
        <f t="shared" si="267"/>
        <v>-5.9622794564996905E-3</v>
      </c>
    </row>
    <row r="8352" spans="1:5" x14ac:dyDescent="0.25">
      <c r="A8352" s="41">
        <v>43813</v>
      </c>
      <c r="B8352" s="29">
        <v>244.3</v>
      </c>
      <c r="C8352" s="37">
        <f t="shared" si="266"/>
        <v>40.716666666666669</v>
      </c>
      <c r="D8352" s="37">
        <v>3.7109999999999999</v>
      </c>
      <c r="E8352" s="33">
        <f t="shared" si="267"/>
        <v>-3.182634241880207E-3</v>
      </c>
    </row>
    <row r="8353" spans="1:5" x14ac:dyDescent="0.25">
      <c r="A8353" s="41">
        <v>43813</v>
      </c>
      <c r="B8353" s="29">
        <v>240.61</v>
      </c>
      <c r="C8353" s="37">
        <f t="shared" si="266"/>
        <v>40.101666666666667</v>
      </c>
      <c r="D8353" s="37">
        <v>3.7109999999999999</v>
      </c>
      <c r="E8353" s="33">
        <f t="shared" si="267"/>
        <v>-1.5104379860826841E-2</v>
      </c>
    </row>
    <row r="8354" spans="1:5" x14ac:dyDescent="0.25">
      <c r="A8354" s="41">
        <v>43814</v>
      </c>
      <c r="B8354" s="29">
        <v>236.3</v>
      </c>
      <c r="C8354" s="37">
        <f t="shared" si="266"/>
        <v>39.383333333333333</v>
      </c>
      <c r="D8354" s="37">
        <v>3.9209999999999998</v>
      </c>
      <c r="E8354" s="33">
        <f t="shared" si="267"/>
        <v>-1.7912804954075066E-2</v>
      </c>
    </row>
    <row r="8355" spans="1:5" x14ac:dyDescent="0.25">
      <c r="A8355" s="41">
        <v>43814</v>
      </c>
      <c r="B8355" s="29">
        <v>225.04</v>
      </c>
      <c r="C8355" s="37">
        <f t="shared" si="266"/>
        <v>37.506666666666668</v>
      </c>
      <c r="D8355" s="37">
        <v>3.9209999999999998</v>
      </c>
      <c r="E8355" s="33">
        <f t="shared" si="267"/>
        <v>-4.7651290732120266E-2</v>
      </c>
    </row>
    <row r="8356" spans="1:5" x14ac:dyDescent="0.25">
      <c r="A8356" s="41">
        <v>43814</v>
      </c>
      <c r="B8356" s="29">
        <v>224.93</v>
      </c>
      <c r="C8356" s="37">
        <f t="shared" si="266"/>
        <v>37.488333333333337</v>
      </c>
      <c r="D8356" s="37">
        <v>3.9209999999999998</v>
      </c>
      <c r="E8356" s="33">
        <f t="shared" si="267"/>
        <v>-4.888019907571331E-4</v>
      </c>
    </row>
    <row r="8357" spans="1:5" x14ac:dyDescent="0.25">
      <c r="A8357" s="41">
        <v>43814</v>
      </c>
      <c r="B8357" s="29">
        <v>224.18</v>
      </c>
      <c r="C8357" s="37">
        <f t="shared" si="266"/>
        <v>37.363333333333337</v>
      </c>
      <c r="D8357" s="37">
        <v>3.9209999999999998</v>
      </c>
      <c r="E8357" s="33">
        <f t="shared" si="267"/>
        <v>-3.3343706931045214E-3</v>
      </c>
    </row>
    <row r="8358" spans="1:5" x14ac:dyDescent="0.25">
      <c r="A8358" s="41">
        <v>43814</v>
      </c>
      <c r="B8358" s="29">
        <v>221.71</v>
      </c>
      <c r="C8358" s="37">
        <f t="shared" si="266"/>
        <v>36.951666666666668</v>
      </c>
      <c r="D8358" s="37">
        <v>3.9209999999999998</v>
      </c>
      <c r="E8358" s="33">
        <f t="shared" si="267"/>
        <v>-1.1017932018913369E-2</v>
      </c>
    </row>
    <row r="8359" spans="1:5" x14ac:dyDescent="0.25">
      <c r="A8359" s="41">
        <v>43814</v>
      </c>
      <c r="B8359" s="29">
        <v>156.32</v>
      </c>
      <c r="C8359" s="37">
        <f t="shared" si="266"/>
        <v>26.053333333333335</v>
      </c>
      <c r="D8359" s="37">
        <v>3.9209999999999998</v>
      </c>
      <c r="E8359" s="33">
        <f t="shared" si="267"/>
        <v>-0.29493482477109745</v>
      </c>
    </row>
    <row r="8360" spans="1:5" x14ac:dyDescent="0.25">
      <c r="A8360" s="41">
        <v>43814</v>
      </c>
      <c r="B8360" s="29">
        <v>124.19</v>
      </c>
      <c r="C8360" s="37">
        <f t="shared" si="266"/>
        <v>20.698333333333334</v>
      </c>
      <c r="D8360" s="37">
        <v>3.9209999999999998</v>
      </c>
      <c r="E8360" s="33">
        <f t="shared" si="267"/>
        <v>-0.20553991811668371</v>
      </c>
    </row>
    <row r="8361" spans="1:5" x14ac:dyDescent="0.25">
      <c r="A8361" s="41">
        <v>43814</v>
      </c>
      <c r="B8361" s="29">
        <v>159.82</v>
      </c>
      <c r="C8361" s="37">
        <f t="shared" si="266"/>
        <v>26.636666666666667</v>
      </c>
      <c r="D8361" s="37">
        <v>3.9209999999999998</v>
      </c>
      <c r="E8361" s="33">
        <f t="shared" si="267"/>
        <v>0.28689910620822928</v>
      </c>
    </row>
    <row r="8362" spans="1:5" x14ac:dyDescent="0.25">
      <c r="A8362" s="41">
        <v>43814</v>
      </c>
      <c r="B8362" s="29">
        <v>222.36</v>
      </c>
      <c r="C8362" s="37">
        <f t="shared" si="266"/>
        <v>37.06</v>
      </c>
      <c r="D8362" s="37">
        <v>3.9209999999999998</v>
      </c>
      <c r="E8362" s="33">
        <f t="shared" si="267"/>
        <v>0.39131522963333765</v>
      </c>
    </row>
    <row r="8363" spans="1:5" x14ac:dyDescent="0.25">
      <c r="A8363" s="41">
        <v>43814</v>
      </c>
      <c r="B8363" s="29">
        <v>229.04</v>
      </c>
      <c r="C8363" s="37">
        <f t="shared" si="266"/>
        <v>38.173333333333332</v>
      </c>
      <c r="D8363" s="37">
        <v>3.9209999999999998</v>
      </c>
      <c r="E8363" s="33">
        <f t="shared" si="267"/>
        <v>3.0041374347904201E-2</v>
      </c>
    </row>
    <row r="8364" spans="1:5" x14ac:dyDescent="0.25">
      <c r="A8364" s="41">
        <v>43814</v>
      </c>
      <c r="B8364" s="29">
        <v>237.46</v>
      </c>
      <c r="C8364" s="37">
        <f t="shared" si="266"/>
        <v>39.576666666666668</v>
      </c>
      <c r="D8364" s="37">
        <v>3.9209999999999998</v>
      </c>
      <c r="E8364" s="33">
        <f t="shared" si="267"/>
        <v>3.6762137617883411E-2</v>
      </c>
    </row>
    <row r="8365" spans="1:5" x14ac:dyDescent="0.25">
      <c r="A8365" s="41">
        <v>43814</v>
      </c>
      <c r="B8365" s="29">
        <v>238.45</v>
      </c>
      <c r="C8365" s="37">
        <f t="shared" si="266"/>
        <v>39.741666666666667</v>
      </c>
      <c r="D8365" s="37">
        <v>3.9209999999999998</v>
      </c>
      <c r="E8365" s="33">
        <f t="shared" si="267"/>
        <v>4.1691232207528876E-3</v>
      </c>
    </row>
    <row r="8366" spans="1:5" x14ac:dyDescent="0.25">
      <c r="A8366" s="41">
        <v>43814</v>
      </c>
      <c r="B8366" s="29">
        <v>238.51</v>
      </c>
      <c r="C8366" s="37">
        <f t="shared" si="266"/>
        <v>39.751666666666665</v>
      </c>
      <c r="D8366" s="37">
        <v>3.9209999999999998</v>
      </c>
      <c r="E8366" s="33">
        <f t="shared" si="267"/>
        <v>2.516250786328466E-4</v>
      </c>
    </row>
    <row r="8367" spans="1:5" x14ac:dyDescent="0.25">
      <c r="A8367" s="41">
        <v>43814</v>
      </c>
      <c r="B8367" s="29">
        <v>239.61</v>
      </c>
      <c r="C8367" s="37">
        <f t="shared" si="266"/>
        <v>39.935000000000002</v>
      </c>
      <c r="D8367" s="37">
        <v>3.9209999999999998</v>
      </c>
      <c r="E8367" s="33">
        <f t="shared" si="267"/>
        <v>4.6119659553059524E-3</v>
      </c>
    </row>
    <row r="8368" spans="1:5" x14ac:dyDescent="0.25">
      <c r="A8368" s="41">
        <v>43814</v>
      </c>
      <c r="B8368" s="29">
        <v>239.78</v>
      </c>
      <c r="C8368" s="37">
        <f t="shared" si="266"/>
        <v>39.963333333333331</v>
      </c>
      <c r="D8368" s="37">
        <v>3.9209999999999998</v>
      </c>
      <c r="E8368" s="33">
        <f t="shared" si="267"/>
        <v>7.0948624848707266E-4</v>
      </c>
    </row>
    <row r="8369" spans="1:5" x14ac:dyDescent="0.25">
      <c r="A8369" s="41">
        <v>43814</v>
      </c>
      <c r="B8369" s="29">
        <v>240.86</v>
      </c>
      <c r="C8369" s="37">
        <f t="shared" si="266"/>
        <v>40.143333333333331</v>
      </c>
      <c r="D8369" s="37">
        <v>3.9209999999999998</v>
      </c>
      <c r="E8369" s="33">
        <f t="shared" si="267"/>
        <v>4.5041287847193785E-3</v>
      </c>
    </row>
    <row r="8370" spans="1:5" x14ac:dyDescent="0.25">
      <c r="A8370" s="41">
        <v>43814</v>
      </c>
      <c r="B8370" s="29">
        <v>242.04</v>
      </c>
      <c r="C8370" s="37">
        <f t="shared" si="266"/>
        <v>40.340000000000003</v>
      </c>
      <c r="D8370" s="37">
        <v>3.9209999999999998</v>
      </c>
      <c r="E8370" s="33">
        <f t="shared" si="267"/>
        <v>4.8991115170637645E-3</v>
      </c>
    </row>
    <row r="8371" spans="1:5" x14ac:dyDescent="0.25">
      <c r="A8371" s="41">
        <v>43814</v>
      </c>
      <c r="B8371" s="29">
        <v>243.14</v>
      </c>
      <c r="C8371" s="37">
        <f t="shared" si="266"/>
        <v>40.523333333333333</v>
      </c>
      <c r="D8371" s="37">
        <v>3.9209999999999998</v>
      </c>
      <c r="E8371" s="33">
        <f t="shared" si="267"/>
        <v>4.5447033548173619E-3</v>
      </c>
    </row>
    <row r="8372" spans="1:5" x14ac:dyDescent="0.25">
      <c r="A8372" s="41">
        <v>43814</v>
      </c>
      <c r="B8372" s="29">
        <v>245.29</v>
      </c>
      <c r="C8372" s="37">
        <f t="shared" si="266"/>
        <v>40.881666666666668</v>
      </c>
      <c r="D8372" s="37">
        <v>3.9209999999999998</v>
      </c>
      <c r="E8372" s="33">
        <f t="shared" si="267"/>
        <v>8.8426420992021304E-3</v>
      </c>
    </row>
    <row r="8373" spans="1:5" x14ac:dyDescent="0.25">
      <c r="A8373" s="41">
        <v>43814</v>
      </c>
      <c r="B8373" s="29">
        <v>246.33</v>
      </c>
      <c r="C8373" s="37">
        <f t="shared" si="266"/>
        <v>41.055</v>
      </c>
      <c r="D8373" s="37">
        <v>3.9209999999999998</v>
      </c>
      <c r="E8373" s="33">
        <f t="shared" si="267"/>
        <v>4.2398793265115602E-3</v>
      </c>
    </row>
    <row r="8374" spans="1:5" x14ac:dyDescent="0.25">
      <c r="A8374" s="41">
        <v>43814</v>
      </c>
      <c r="B8374" s="29">
        <v>246.29</v>
      </c>
      <c r="C8374" s="37">
        <f t="shared" si="266"/>
        <v>41.048333333333332</v>
      </c>
      <c r="D8374" s="37">
        <v>3.9209999999999998</v>
      </c>
      <c r="E8374" s="33">
        <f t="shared" si="267"/>
        <v>-1.6238379409743215E-4</v>
      </c>
    </row>
    <row r="8375" spans="1:5" x14ac:dyDescent="0.25">
      <c r="A8375" s="41">
        <v>43814</v>
      </c>
      <c r="B8375" s="29">
        <v>246.25</v>
      </c>
      <c r="C8375" s="37">
        <f t="shared" si="266"/>
        <v>41.041666666666664</v>
      </c>
      <c r="D8375" s="37">
        <v>3.9209999999999998</v>
      </c>
      <c r="E8375" s="33">
        <f t="shared" si="267"/>
        <v>-1.6241016687641415E-4</v>
      </c>
    </row>
    <row r="8376" spans="1:5" x14ac:dyDescent="0.25">
      <c r="A8376" s="41">
        <v>43814</v>
      </c>
      <c r="B8376" s="29">
        <v>245.94</v>
      </c>
      <c r="C8376" s="37">
        <f t="shared" si="266"/>
        <v>40.99</v>
      </c>
      <c r="D8376" s="37">
        <v>3.9209999999999998</v>
      </c>
      <c r="E8376" s="33">
        <f t="shared" si="267"/>
        <v>-1.2588832487309737E-3</v>
      </c>
    </row>
    <row r="8377" spans="1:5" x14ac:dyDescent="0.25">
      <c r="A8377" s="41">
        <v>43814</v>
      </c>
      <c r="B8377" s="29">
        <v>244.32</v>
      </c>
      <c r="C8377" s="37">
        <f t="shared" si="266"/>
        <v>40.72</v>
      </c>
      <c r="D8377" s="37">
        <v>3.9209999999999998</v>
      </c>
      <c r="E8377" s="33">
        <f t="shared" si="267"/>
        <v>-6.5869724323005798E-3</v>
      </c>
    </row>
    <row r="8378" spans="1:5" x14ac:dyDescent="0.25">
      <c r="A8378" s="41">
        <v>43815</v>
      </c>
      <c r="B8378" s="29">
        <v>242.72</v>
      </c>
      <c r="C8378" s="37">
        <f t="shared" si="266"/>
        <v>40.453333333333333</v>
      </c>
      <c r="D8378" s="37">
        <v>4.3789999999999996</v>
      </c>
      <c r="E8378" s="33">
        <f t="shared" si="267"/>
        <v>-6.5487884741322628E-3</v>
      </c>
    </row>
    <row r="8379" spans="1:5" x14ac:dyDescent="0.25">
      <c r="A8379" s="41">
        <v>43815</v>
      </c>
      <c r="B8379" s="29">
        <v>240.78</v>
      </c>
      <c r="C8379" s="37">
        <f t="shared" si="266"/>
        <v>40.130000000000003</v>
      </c>
      <c r="D8379" s="37">
        <v>4.3789999999999996</v>
      </c>
      <c r="E8379" s="33">
        <f t="shared" si="267"/>
        <v>-7.9927488464073739E-3</v>
      </c>
    </row>
    <row r="8380" spans="1:5" x14ac:dyDescent="0.25">
      <c r="A8380" s="41">
        <v>43815</v>
      </c>
      <c r="B8380" s="29">
        <v>239.37</v>
      </c>
      <c r="C8380" s="37">
        <f t="shared" si="266"/>
        <v>39.895000000000003</v>
      </c>
      <c r="D8380" s="37">
        <v>4.3789999999999996</v>
      </c>
      <c r="E8380" s="33">
        <f t="shared" si="267"/>
        <v>-5.8559681036630812E-3</v>
      </c>
    </row>
    <row r="8381" spans="1:5" x14ac:dyDescent="0.25">
      <c r="A8381" s="41">
        <v>43815</v>
      </c>
      <c r="B8381" s="29">
        <v>238.56</v>
      </c>
      <c r="C8381" s="37">
        <f t="shared" si="266"/>
        <v>39.76</v>
      </c>
      <c r="D8381" s="37">
        <v>4.3789999999999996</v>
      </c>
      <c r="E8381" s="33">
        <f t="shared" si="267"/>
        <v>-3.3838826920666843E-3</v>
      </c>
    </row>
    <row r="8382" spans="1:5" x14ac:dyDescent="0.25">
      <c r="A8382" s="41">
        <v>43815</v>
      </c>
      <c r="B8382" s="29">
        <v>238.43</v>
      </c>
      <c r="C8382" s="37">
        <f t="shared" si="266"/>
        <v>39.738333333333337</v>
      </c>
      <c r="D8382" s="37">
        <v>4.3789999999999996</v>
      </c>
      <c r="E8382" s="33">
        <f t="shared" si="267"/>
        <v>-5.4493628437288504E-4</v>
      </c>
    </row>
    <row r="8383" spans="1:5" x14ac:dyDescent="0.25">
      <c r="A8383" s="41">
        <v>43815</v>
      </c>
      <c r="B8383" s="29">
        <v>237.91</v>
      </c>
      <c r="C8383" s="37">
        <f t="shared" si="266"/>
        <v>39.651666666666664</v>
      </c>
      <c r="D8383" s="37">
        <v>4.3789999999999996</v>
      </c>
      <c r="E8383" s="33">
        <f t="shared" si="267"/>
        <v>-2.1809336073481114E-3</v>
      </c>
    </row>
    <row r="8384" spans="1:5" x14ac:dyDescent="0.25">
      <c r="A8384" s="41">
        <v>43815</v>
      </c>
      <c r="B8384" s="29">
        <v>241.31</v>
      </c>
      <c r="C8384" s="37">
        <f t="shared" si="266"/>
        <v>40.218333333333334</v>
      </c>
      <c r="D8384" s="37">
        <v>4.3789999999999996</v>
      </c>
      <c r="E8384" s="33">
        <f t="shared" si="267"/>
        <v>1.4291118490185389E-2</v>
      </c>
    </row>
    <row r="8385" spans="1:5" x14ac:dyDescent="0.25">
      <c r="A8385" s="41">
        <v>43815</v>
      </c>
      <c r="B8385" s="29">
        <v>245.23</v>
      </c>
      <c r="C8385" s="37">
        <f t="shared" si="266"/>
        <v>40.87166666666667</v>
      </c>
      <c r="D8385" s="37">
        <v>4.3789999999999996</v>
      </c>
      <c r="E8385" s="33">
        <f t="shared" si="267"/>
        <v>1.6244664539389116E-2</v>
      </c>
    </row>
    <row r="8386" spans="1:5" x14ac:dyDescent="0.25">
      <c r="A8386" s="41">
        <v>43815</v>
      </c>
      <c r="B8386" s="29">
        <v>249.44</v>
      </c>
      <c r="C8386" s="37">
        <f t="shared" si="266"/>
        <v>41.573333333333331</v>
      </c>
      <c r="D8386" s="37">
        <v>4.3789999999999996</v>
      </c>
      <c r="E8386" s="33">
        <f t="shared" si="267"/>
        <v>1.7167556987318061E-2</v>
      </c>
    </row>
    <row r="8387" spans="1:5" x14ac:dyDescent="0.25">
      <c r="A8387" s="41">
        <v>43815</v>
      </c>
      <c r="B8387" s="29">
        <v>254.99</v>
      </c>
      <c r="C8387" s="37">
        <f t="shared" ref="C8387:C8450" si="268">(B8387*100/600)</f>
        <v>42.498333333333335</v>
      </c>
      <c r="D8387" s="37">
        <v>4.3789999999999996</v>
      </c>
      <c r="E8387" s="33">
        <f t="shared" si="267"/>
        <v>2.2249839640795428E-2</v>
      </c>
    </row>
    <row r="8388" spans="1:5" x14ac:dyDescent="0.25">
      <c r="A8388" s="41">
        <v>43815</v>
      </c>
      <c r="B8388" s="29">
        <v>259.74</v>
      </c>
      <c r="C8388" s="37">
        <f t="shared" si="268"/>
        <v>43.29</v>
      </c>
      <c r="D8388" s="37">
        <v>4.3789999999999996</v>
      </c>
      <c r="E8388" s="33">
        <f t="shared" ref="E8388:E8451" si="269">(B8388-B8387)/B8387</f>
        <v>1.8628181497313618E-2</v>
      </c>
    </row>
    <row r="8389" spans="1:5" x14ac:dyDescent="0.25">
      <c r="A8389" s="41">
        <v>43815</v>
      </c>
      <c r="B8389" s="29">
        <v>259.67</v>
      </c>
      <c r="C8389" s="37">
        <f t="shared" si="268"/>
        <v>43.278333333333336</v>
      </c>
      <c r="D8389" s="37">
        <v>4.3789999999999996</v>
      </c>
      <c r="E8389" s="33">
        <f t="shared" si="269"/>
        <v>-2.6950026950024324E-4</v>
      </c>
    </row>
    <row r="8390" spans="1:5" x14ac:dyDescent="0.25">
      <c r="A8390" s="41">
        <v>43815</v>
      </c>
      <c r="B8390" s="29">
        <v>259.49</v>
      </c>
      <c r="C8390" s="37">
        <f t="shared" si="268"/>
        <v>43.248333333333335</v>
      </c>
      <c r="D8390" s="37">
        <v>4.3789999999999996</v>
      </c>
      <c r="E8390" s="33">
        <f t="shared" si="269"/>
        <v>-6.9318750722072945E-4</v>
      </c>
    </row>
    <row r="8391" spans="1:5" x14ac:dyDescent="0.25">
      <c r="A8391" s="41">
        <v>43815</v>
      </c>
      <c r="B8391" s="29">
        <v>259.81</v>
      </c>
      <c r="C8391" s="37">
        <f t="shared" si="268"/>
        <v>43.301666666666669</v>
      </c>
      <c r="D8391" s="37">
        <v>4.3789999999999996</v>
      </c>
      <c r="E8391" s="33">
        <f t="shared" si="269"/>
        <v>1.2331881768083285E-3</v>
      </c>
    </row>
    <row r="8392" spans="1:5" x14ac:dyDescent="0.25">
      <c r="A8392" s="41">
        <v>43815</v>
      </c>
      <c r="B8392" s="29">
        <v>260.79000000000002</v>
      </c>
      <c r="C8392" s="37">
        <f t="shared" si="268"/>
        <v>43.465000000000003</v>
      </c>
      <c r="D8392" s="37">
        <v>4.3789999999999996</v>
      </c>
      <c r="E8392" s="33">
        <f t="shared" si="269"/>
        <v>3.7719872214311157E-3</v>
      </c>
    </row>
    <row r="8393" spans="1:5" x14ac:dyDescent="0.25">
      <c r="A8393" s="41">
        <v>43815</v>
      </c>
      <c r="B8393" s="29">
        <v>260.35000000000002</v>
      </c>
      <c r="C8393" s="37">
        <f t="shared" si="268"/>
        <v>43.391666666666673</v>
      </c>
      <c r="D8393" s="37">
        <v>4.3789999999999996</v>
      </c>
      <c r="E8393" s="33">
        <f t="shared" si="269"/>
        <v>-1.6871812569500275E-3</v>
      </c>
    </row>
    <row r="8394" spans="1:5" x14ac:dyDescent="0.25">
      <c r="A8394" s="41">
        <v>43815</v>
      </c>
      <c r="B8394" s="29">
        <v>259.32</v>
      </c>
      <c r="C8394" s="37">
        <f t="shared" si="268"/>
        <v>43.22</v>
      </c>
      <c r="D8394" s="37">
        <v>4.3789999999999996</v>
      </c>
      <c r="E8394" s="33">
        <f t="shared" si="269"/>
        <v>-3.9562127904744747E-3</v>
      </c>
    </row>
    <row r="8395" spans="1:5" x14ac:dyDescent="0.25">
      <c r="A8395" s="41">
        <v>43815</v>
      </c>
      <c r="B8395" s="29">
        <v>255.06</v>
      </c>
      <c r="C8395" s="37">
        <f t="shared" si="268"/>
        <v>42.51</v>
      </c>
      <c r="D8395" s="37">
        <v>4.3789999999999996</v>
      </c>
      <c r="E8395" s="33">
        <f t="shared" si="269"/>
        <v>-1.642757982415545E-2</v>
      </c>
    </row>
    <row r="8396" spans="1:5" x14ac:dyDescent="0.25">
      <c r="A8396" s="41">
        <v>43815</v>
      </c>
      <c r="B8396" s="29">
        <v>252.88</v>
      </c>
      <c r="C8396" s="37">
        <f t="shared" si="268"/>
        <v>42.146666666666668</v>
      </c>
      <c r="D8396" s="37">
        <v>4.3789999999999996</v>
      </c>
      <c r="E8396" s="33">
        <f t="shared" si="269"/>
        <v>-8.5470085470085739E-3</v>
      </c>
    </row>
    <row r="8397" spans="1:5" x14ac:dyDescent="0.25">
      <c r="A8397" s="41">
        <v>43815</v>
      </c>
      <c r="B8397" s="29">
        <v>255.71</v>
      </c>
      <c r="C8397" s="37">
        <f t="shared" si="268"/>
        <v>42.618333333333332</v>
      </c>
      <c r="D8397" s="37">
        <v>4.3789999999999996</v>
      </c>
      <c r="E8397" s="33">
        <f t="shared" si="269"/>
        <v>1.1191078772540384E-2</v>
      </c>
    </row>
    <row r="8398" spans="1:5" x14ac:dyDescent="0.25">
      <c r="A8398" s="41">
        <v>43815</v>
      </c>
      <c r="B8398" s="29">
        <v>255.31</v>
      </c>
      <c r="C8398" s="37">
        <f t="shared" si="268"/>
        <v>42.551666666666669</v>
      </c>
      <c r="D8398" s="37">
        <v>4.3789999999999996</v>
      </c>
      <c r="E8398" s="33">
        <f t="shared" si="269"/>
        <v>-1.5642720269055011E-3</v>
      </c>
    </row>
    <row r="8399" spans="1:5" x14ac:dyDescent="0.25">
      <c r="A8399" s="41">
        <v>43815</v>
      </c>
      <c r="B8399" s="29">
        <v>255.74</v>
      </c>
      <c r="C8399" s="37">
        <f t="shared" si="268"/>
        <v>42.623333333333335</v>
      </c>
      <c r="D8399" s="37">
        <v>4.3789999999999996</v>
      </c>
      <c r="E8399" s="33">
        <f t="shared" si="269"/>
        <v>1.6842270181348432E-3</v>
      </c>
    </row>
    <row r="8400" spans="1:5" x14ac:dyDescent="0.25">
      <c r="A8400" s="41">
        <v>43815</v>
      </c>
      <c r="B8400" s="29">
        <v>253.51</v>
      </c>
      <c r="C8400" s="37">
        <f t="shared" si="268"/>
        <v>42.251666666666665</v>
      </c>
      <c r="D8400" s="37">
        <v>4.3789999999999996</v>
      </c>
      <c r="E8400" s="33">
        <f t="shared" si="269"/>
        <v>-8.7197935403144529E-3</v>
      </c>
    </row>
    <row r="8401" spans="1:5" x14ac:dyDescent="0.25">
      <c r="A8401" s="41">
        <v>43815</v>
      </c>
      <c r="B8401" s="29">
        <v>249.17</v>
      </c>
      <c r="C8401" s="37">
        <f t="shared" si="268"/>
        <v>41.528333333333336</v>
      </c>
      <c r="D8401" s="37">
        <v>4.3789999999999996</v>
      </c>
      <c r="E8401" s="33">
        <f t="shared" si="269"/>
        <v>-1.7119640250877692E-2</v>
      </c>
    </row>
    <row r="8402" spans="1:5" x14ac:dyDescent="0.25">
      <c r="A8402" s="41">
        <v>43816</v>
      </c>
      <c r="B8402" s="29">
        <v>246.16</v>
      </c>
      <c r="C8402" s="37">
        <f t="shared" si="268"/>
        <v>41.026666666666664</v>
      </c>
      <c r="D8402" s="37">
        <v>5.19</v>
      </c>
      <c r="E8402" s="33">
        <f t="shared" si="269"/>
        <v>-1.2080105951759807E-2</v>
      </c>
    </row>
    <row r="8403" spans="1:5" x14ac:dyDescent="0.25">
      <c r="A8403" s="41">
        <v>43816</v>
      </c>
      <c r="B8403" s="29">
        <v>244.93</v>
      </c>
      <c r="C8403" s="37">
        <f t="shared" si="268"/>
        <v>40.821666666666665</v>
      </c>
      <c r="D8403" s="37">
        <v>5.19</v>
      </c>
      <c r="E8403" s="33">
        <f t="shared" si="269"/>
        <v>-4.9967500812479271E-3</v>
      </c>
    </row>
    <row r="8404" spans="1:5" x14ac:dyDescent="0.25">
      <c r="A8404" s="41">
        <v>43816</v>
      </c>
      <c r="B8404" s="29">
        <v>244.89</v>
      </c>
      <c r="C8404" s="37">
        <f t="shared" si="268"/>
        <v>40.814999999999998</v>
      </c>
      <c r="D8404" s="37">
        <v>5.19</v>
      </c>
      <c r="E8404" s="33">
        <f t="shared" si="269"/>
        <v>-1.6331196668444234E-4</v>
      </c>
    </row>
    <row r="8405" spans="1:5" x14ac:dyDescent="0.25">
      <c r="A8405" s="41">
        <v>43816</v>
      </c>
      <c r="B8405" s="29">
        <v>244.64</v>
      </c>
      <c r="C8405" s="37">
        <f t="shared" si="268"/>
        <v>40.773333333333333</v>
      </c>
      <c r="D8405" s="37">
        <v>5.19</v>
      </c>
      <c r="E8405" s="33">
        <f t="shared" si="269"/>
        <v>-1.0208665114949569E-3</v>
      </c>
    </row>
    <row r="8406" spans="1:5" x14ac:dyDescent="0.25">
      <c r="A8406" s="41">
        <v>43816</v>
      </c>
      <c r="B8406" s="29">
        <v>244.37</v>
      </c>
      <c r="C8406" s="37">
        <f t="shared" si="268"/>
        <v>40.728333333333332</v>
      </c>
      <c r="D8406" s="37">
        <v>5.19</v>
      </c>
      <c r="E8406" s="33">
        <f t="shared" si="269"/>
        <v>-1.1036625245257597E-3</v>
      </c>
    </row>
    <row r="8407" spans="1:5" x14ac:dyDescent="0.25">
      <c r="A8407" s="41">
        <v>43816</v>
      </c>
      <c r="B8407" s="29">
        <v>244.12</v>
      </c>
      <c r="C8407" s="37">
        <f t="shared" si="268"/>
        <v>40.686666666666667</v>
      </c>
      <c r="D8407" s="37">
        <v>5.19</v>
      </c>
      <c r="E8407" s="33">
        <f t="shared" si="269"/>
        <v>-1.0230388345541597E-3</v>
      </c>
    </row>
    <row r="8408" spans="1:5" x14ac:dyDescent="0.25">
      <c r="A8408" s="41">
        <v>43816</v>
      </c>
      <c r="B8408" s="29">
        <v>244.65</v>
      </c>
      <c r="C8408" s="37">
        <f t="shared" si="268"/>
        <v>40.774999999999999</v>
      </c>
      <c r="D8408" s="37">
        <v>5.19</v>
      </c>
      <c r="E8408" s="33">
        <f t="shared" si="269"/>
        <v>2.1710634114370029E-3</v>
      </c>
    </row>
    <row r="8409" spans="1:5" x14ac:dyDescent="0.25">
      <c r="A8409" s="41">
        <v>43816</v>
      </c>
      <c r="B8409" s="29">
        <v>246.91</v>
      </c>
      <c r="C8409" s="37">
        <f t="shared" si="268"/>
        <v>41.151666666666664</v>
      </c>
      <c r="D8409" s="37">
        <v>5.19</v>
      </c>
      <c r="E8409" s="33">
        <f t="shared" si="269"/>
        <v>9.2376864909053374E-3</v>
      </c>
    </row>
    <row r="8410" spans="1:5" x14ac:dyDescent="0.25">
      <c r="A8410" s="41">
        <v>43816</v>
      </c>
      <c r="B8410" s="29">
        <v>255.83</v>
      </c>
      <c r="C8410" s="37">
        <f t="shared" si="268"/>
        <v>42.638333333333335</v>
      </c>
      <c r="D8410" s="37">
        <v>5.19</v>
      </c>
      <c r="E8410" s="33">
        <f t="shared" si="269"/>
        <v>3.6126523834595664E-2</v>
      </c>
    </row>
    <row r="8411" spans="1:5" x14ac:dyDescent="0.25">
      <c r="A8411" s="41">
        <v>43816</v>
      </c>
      <c r="B8411" s="29">
        <v>259.02</v>
      </c>
      <c r="C8411" s="37">
        <f t="shared" si="268"/>
        <v>43.17</v>
      </c>
      <c r="D8411" s="37">
        <v>5.19</v>
      </c>
      <c r="E8411" s="33">
        <f t="shared" si="269"/>
        <v>1.2469217839971736E-2</v>
      </c>
    </row>
    <row r="8412" spans="1:5" x14ac:dyDescent="0.25">
      <c r="A8412" s="41">
        <v>43816</v>
      </c>
      <c r="B8412" s="29">
        <v>259.93</v>
      </c>
      <c r="C8412" s="37">
        <f t="shared" si="268"/>
        <v>43.321666666666665</v>
      </c>
      <c r="D8412" s="37">
        <v>5.19</v>
      </c>
      <c r="E8412" s="33">
        <f t="shared" si="269"/>
        <v>3.5132422206780368E-3</v>
      </c>
    </row>
    <row r="8413" spans="1:5" x14ac:dyDescent="0.25">
      <c r="A8413" s="41">
        <v>43816</v>
      </c>
      <c r="B8413" s="29">
        <v>260.13</v>
      </c>
      <c r="C8413" s="37">
        <f t="shared" si="268"/>
        <v>43.354999999999997</v>
      </c>
      <c r="D8413" s="37">
        <v>5.19</v>
      </c>
      <c r="E8413" s="33">
        <f t="shared" si="269"/>
        <v>7.6943792559530883E-4</v>
      </c>
    </row>
    <row r="8414" spans="1:5" x14ac:dyDescent="0.25">
      <c r="A8414" s="41">
        <v>43816</v>
      </c>
      <c r="B8414" s="29">
        <v>258.81</v>
      </c>
      <c r="C8414" s="37">
        <f t="shared" si="268"/>
        <v>43.134999999999998</v>
      </c>
      <c r="D8414" s="37">
        <v>5.19</v>
      </c>
      <c r="E8414" s="33">
        <f t="shared" si="269"/>
        <v>-5.0743858839810601E-3</v>
      </c>
    </row>
    <row r="8415" spans="1:5" x14ac:dyDescent="0.25">
      <c r="A8415" s="41">
        <v>43816</v>
      </c>
      <c r="B8415" s="29">
        <v>262.43</v>
      </c>
      <c r="C8415" s="37">
        <f t="shared" si="268"/>
        <v>43.738333333333337</v>
      </c>
      <c r="D8415" s="37">
        <v>5.19</v>
      </c>
      <c r="E8415" s="33">
        <f t="shared" si="269"/>
        <v>1.3987094779954424E-2</v>
      </c>
    </row>
    <row r="8416" spans="1:5" x14ac:dyDescent="0.25">
      <c r="A8416" s="41">
        <v>43816</v>
      </c>
      <c r="B8416" s="29">
        <v>266.22000000000003</v>
      </c>
      <c r="C8416" s="37">
        <f t="shared" si="268"/>
        <v>44.370000000000005</v>
      </c>
      <c r="D8416" s="37">
        <v>5.19</v>
      </c>
      <c r="E8416" s="33">
        <f t="shared" si="269"/>
        <v>1.4441946423808331E-2</v>
      </c>
    </row>
    <row r="8417" spans="1:5" x14ac:dyDescent="0.25">
      <c r="A8417" s="41">
        <v>43816</v>
      </c>
      <c r="B8417" s="29">
        <v>264.89999999999998</v>
      </c>
      <c r="C8417" s="37">
        <f t="shared" si="268"/>
        <v>44.149999999999991</v>
      </c>
      <c r="D8417" s="37">
        <v>5.19</v>
      </c>
      <c r="E8417" s="33">
        <f t="shared" si="269"/>
        <v>-4.9583051611451047E-3</v>
      </c>
    </row>
    <row r="8418" spans="1:5" x14ac:dyDescent="0.25">
      <c r="A8418" s="41">
        <v>43816</v>
      </c>
      <c r="B8418" s="29">
        <v>260.22000000000003</v>
      </c>
      <c r="C8418" s="37">
        <f t="shared" si="268"/>
        <v>43.370000000000005</v>
      </c>
      <c r="D8418" s="37">
        <v>5.19</v>
      </c>
      <c r="E8418" s="33">
        <f t="shared" si="269"/>
        <v>-1.7667044167610231E-2</v>
      </c>
    </row>
    <row r="8419" spans="1:5" x14ac:dyDescent="0.25">
      <c r="A8419" s="41">
        <v>43816</v>
      </c>
      <c r="B8419" s="29">
        <v>257.36</v>
      </c>
      <c r="C8419" s="37">
        <f t="shared" si="268"/>
        <v>42.893333333333331</v>
      </c>
      <c r="D8419" s="37">
        <v>5.19</v>
      </c>
      <c r="E8419" s="33">
        <f t="shared" si="269"/>
        <v>-1.0990700176773551E-2</v>
      </c>
    </row>
    <row r="8420" spans="1:5" x14ac:dyDescent="0.25">
      <c r="A8420" s="41">
        <v>43816</v>
      </c>
      <c r="B8420" s="29">
        <v>255.54</v>
      </c>
      <c r="C8420" s="37">
        <f t="shared" si="268"/>
        <v>42.59</v>
      </c>
      <c r="D8420" s="37">
        <v>5.19</v>
      </c>
      <c r="E8420" s="33">
        <f t="shared" si="269"/>
        <v>-7.0718060304632482E-3</v>
      </c>
    </row>
    <row r="8421" spans="1:5" x14ac:dyDescent="0.25">
      <c r="A8421" s="41">
        <v>43816</v>
      </c>
      <c r="B8421" s="29">
        <v>256.77</v>
      </c>
      <c r="C8421" s="37">
        <f t="shared" si="268"/>
        <v>42.795000000000002</v>
      </c>
      <c r="D8421" s="37">
        <v>5.19</v>
      </c>
      <c r="E8421" s="33">
        <f t="shared" si="269"/>
        <v>4.8133364639586359E-3</v>
      </c>
    </row>
    <row r="8422" spans="1:5" x14ac:dyDescent="0.25">
      <c r="A8422" s="41">
        <v>43816</v>
      </c>
      <c r="B8422" s="29">
        <v>255.91</v>
      </c>
      <c r="C8422" s="37">
        <f t="shared" si="268"/>
        <v>42.651666666666664</v>
      </c>
      <c r="D8422" s="37">
        <v>5.19</v>
      </c>
      <c r="E8422" s="33">
        <f t="shared" si="269"/>
        <v>-3.3493009307940386E-3</v>
      </c>
    </row>
    <row r="8423" spans="1:5" x14ac:dyDescent="0.25">
      <c r="A8423" s="41">
        <v>43816</v>
      </c>
      <c r="B8423" s="29">
        <v>256.77</v>
      </c>
      <c r="C8423" s="37">
        <f t="shared" si="268"/>
        <v>42.795000000000002</v>
      </c>
      <c r="D8423" s="37">
        <v>5.19</v>
      </c>
      <c r="E8423" s="33">
        <f t="shared" si="269"/>
        <v>3.3605564456253576E-3</v>
      </c>
    </row>
    <row r="8424" spans="1:5" x14ac:dyDescent="0.25">
      <c r="A8424" s="41">
        <v>43816</v>
      </c>
      <c r="B8424" s="29">
        <v>253.81</v>
      </c>
      <c r="C8424" s="37">
        <f t="shared" si="268"/>
        <v>42.301666666666669</v>
      </c>
      <c r="D8424" s="37">
        <v>5.19</v>
      </c>
      <c r="E8424" s="33">
        <f t="shared" si="269"/>
        <v>-1.1527826459477274E-2</v>
      </c>
    </row>
    <row r="8425" spans="1:5" x14ac:dyDescent="0.25">
      <c r="A8425" s="41">
        <v>43816</v>
      </c>
      <c r="B8425" s="29">
        <v>249.68</v>
      </c>
      <c r="C8425" s="37">
        <f t="shared" si="268"/>
        <v>41.613333333333337</v>
      </c>
      <c r="D8425" s="37">
        <v>5.19</v>
      </c>
      <c r="E8425" s="33">
        <f t="shared" si="269"/>
        <v>-1.6272014499034693E-2</v>
      </c>
    </row>
    <row r="8426" spans="1:5" x14ac:dyDescent="0.25">
      <c r="A8426" s="41">
        <v>43817</v>
      </c>
      <c r="B8426" s="29">
        <v>244.71</v>
      </c>
      <c r="C8426" s="37">
        <f t="shared" si="268"/>
        <v>40.784999999999997</v>
      </c>
      <c r="D8426" s="37">
        <v>5.7190000000000003</v>
      </c>
      <c r="E8426" s="33">
        <f t="shared" si="269"/>
        <v>-1.9905479013136811E-2</v>
      </c>
    </row>
    <row r="8427" spans="1:5" x14ac:dyDescent="0.25">
      <c r="A8427" s="41">
        <v>43817</v>
      </c>
      <c r="B8427" s="29">
        <v>242.59</v>
      </c>
      <c r="C8427" s="37">
        <f t="shared" si="268"/>
        <v>40.431666666666665</v>
      </c>
      <c r="D8427" s="37">
        <v>5.7190000000000003</v>
      </c>
      <c r="E8427" s="33">
        <f t="shared" si="269"/>
        <v>-8.6633157615136468E-3</v>
      </c>
    </row>
    <row r="8428" spans="1:5" x14ac:dyDescent="0.25">
      <c r="A8428" s="41">
        <v>43817</v>
      </c>
      <c r="B8428" s="29">
        <v>241.04</v>
      </c>
      <c r="C8428" s="37">
        <f t="shared" si="268"/>
        <v>40.173333333333332</v>
      </c>
      <c r="D8428" s="37">
        <v>5.7190000000000003</v>
      </c>
      <c r="E8428" s="33">
        <f t="shared" si="269"/>
        <v>-6.3893812605631366E-3</v>
      </c>
    </row>
    <row r="8429" spans="1:5" x14ac:dyDescent="0.25">
      <c r="A8429" s="41">
        <v>43817</v>
      </c>
      <c r="B8429" s="29">
        <v>240.96</v>
      </c>
      <c r="C8429" s="37">
        <f t="shared" si="268"/>
        <v>40.159999999999997</v>
      </c>
      <c r="D8429" s="37">
        <v>5.7190000000000003</v>
      </c>
      <c r="E8429" s="33">
        <f t="shared" si="269"/>
        <v>-3.3189512114165321E-4</v>
      </c>
    </row>
    <row r="8430" spans="1:5" x14ac:dyDescent="0.25">
      <c r="A8430" s="41">
        <v>43817</v>
      </c>
      <c r="B8430" s="29">
        <v>240.88</v>
      </c>
      <c r="C8430" s="37">
        <f t="shared" si="268"/>
        <v>40.146666666666668</v>
      </c>
      <c r="D8430" s="37">
        <v>5.7190000000000003</v>
      </c>
      <c r="E8430" s="33">
        <f t="shared" si="269"/>
        <v>-3.3200531208504527E-4</v>
      </c>
    </row>
    <row r="8431" spans="1:5" x14ac:dyDescent="0.25">
      <c r="A8431" s="41">
        <v>43817</v>
      </c>
      <c r="B8431" s="29">
        <v>240.99</v>
      </c>
      <c r="C8431" s="37">
        <f t="shared" si="268"/>
        <v>40.164999999999999</v>
      </c>
      <c r="D8431" s="37">
        <v>5.7190000000000003</v>
      </c>
      <c r="E8431" s="33">
        <f t="shared" si="269"/>
        <v>4.5665891730327818E-4</v>
      </c>
    </row>
    <row r="8432" spans="1:5" x14ac:dyDescent="0.25">
      <c r="A8432" s="41">
        <v>43817</v>
      </c>
      <c r="B8432" s="29">
        <v>242.37</v>
      </c>
      <c r="C8432" s="37">
        <f t="shared" si="268"/>
        <v>40.395000000000003</v>
      </c>
      <c r="D8432" s="37">
        <v>5.7190000000000003</v>
      </c>
      <c r="E8432" s="33">
        <f t="shared" si="269"/>
        <v>5.7263786879123424E-3</v>
      </c>
    </row>
    <row r="8433" spans="1:5" x14ac:dyDescent="0.25">
      <c r="A8433" s="41">
        <v>43817</v>
      </c>
      <c r="B8433" s="29">
        <v>245.36</v>
      </c>
      <c r="C8433" s="37">
        <f t="shared" si="268"/>
        <v>40.893333333333331</v>
      </c>
      <c r="D8433" s="37">
        <v>5.7190000000000003</v>
      </c>
      <c r="E8433" s="33">
        <f t="shared" si="269"/>
        <v>1.2336510294178359E-2</v>
      </c>
    </row>
    <row r="8434" spans="1:5" x14ac:dyDescent="0.25">
      <c r="A8434" s="41">
        <v>43817</v>
      </c>
      <c r="B8434" s="29">
        <v>247.9</v>
      </c>
      <c r="C8434" s="37">
        <f t="shared" si="268"/>
        <v>41.31666666666667</v>
      </c>
      <c r="D8434" s="37">
        <v>5.7190000000000003</v>
      </c>
      <c r="E8434" s="33">
        <f t="shared" si="269"/>
        <v>1.0352135637430681E-2</v>
      </c>
    </row>
    <row r="8435" spans="1:5" x14ac:dyDescent="0.25">
      <c r="A8435" s="41">
        <v>43817</v>
      </c>
      <c r="B8435" s="29">
        <v>252.29</v>
      </c>
      <c r="C8435" s="37">
        <f t="shared" si="268"/>
        <v>42.048333333333332</v>
      </c>
      <c r="D8435" s="37">
        <v>5.7190000000000003</v>
      </c>
      <c r="E8435" s="33">
        <f t="shared" si="269"/>
        <v>1.7708753529648995E-2</v>
      </c>
    </row>
    <row r="8436" spans="1:5" x14ac:dyDescent="0.25">
      <c r="A8436" s="41">
        <v>43817</v>
      </c>
      <c r="B8436" s="29">
        <v>254.54</v>
      </c>
      <c r="C8436" s="37">
        <f t="shared" si="268"/>
        <v>42.423333333333332</v>
      </c>
      <c r="D8436" s="37">
        <v>5.7190000000000003</v>
      </c>
      <c r="E8436" s="33">
        <f t="shared" si="269"/>
        <v>8.9183082960085612E-3</v>
      </c>
    </row>
    <row r="8437" spans="1:5" x14ac:dyDescent="0.25">
      <c r="A8437" s="41">
        <v>43817</v>
      </c>
      <c r="B8437" s="29">
        <v>254.19</v>
      </c>
      <c r="C8437" s="37">
        <f t="shared" si="268"/>
        <v>42.365000000000002</v>
      </c>
      <c r="D8437" s="37">
        <v>5.7190000000000003</v>
      </c>
      <c r="E8437" s="33">
        <f t="shared" si="269"/>
        <v>-1.3750294649170832E-3</v>
      </c>
    </row>
    <row r="8438" spans="1:5" x14ac:dyDescent="0.25">
      <c r="A8438" s="41">
        <v>43817</v>
      </c>
      <c r="B8438" s="29">
        <v>252.55</v>
      </c>
      <c r="C8438" s="37">
        <f t="shared" si="268"/>
        <v>42.091666666666669</v>
      </c>
      <c r="D8438" s="37">
        <v>5.7190000000000003</v>
      </c>
      <c r="E8438" s="33">
        <f t="shared" si="269"/>
        <v>-6.4518667138753942E-3</v>
      </c>
    </row>
    <row r="8439" spans="1:5" x14ac:dyDescent="0.25">
      <c r="A8439" s="41">
        <v>43817</v>
      </c>
      <c r="B8439" s="29">
        <v>253.89</v>
      </c>
      <c r="C8439" s="37">
        <f t="shared" si="268"/>
        <v>42.314999999999998</v>
      </c>
      <c r="D8439" s="37">
        <v>5.7190000000000003</v>
      </c>
      <c r="E8439" s="33">
        <f t="shared" si="269"/>
        <v>5.3058800237575721E-3</v>
      </c>
    </row>
    <row r="8440" spans="1:5" x14ac:dyDescent="0.25">
      <c r="A8440" s="41">
        <v>43817</v>
      </c>
      <c r="B8440" s="29">
        <v>255.06</v>
      </c>
      <c r="C8440" s="37">
        <f t="shared" si="268"/>
        <v>42.51</v>
      </c>
      <c r="D8440" s="37">
        <v>5.7190000000000003</v>
      </c>
      <c r="E8440" s="33">
        <f t="shared" si="269"/>
        <v>4.6082949308756394E-3</v>
      </c>
    </row>
    <row r="8441" spans="1:5" x14ac:dyDescent="0.25">
      <c r="A8441" s="41">
        <v>43817</v>
      </c>
      <c r="B8441" s="29">
        <v>254.43</v>
      </c>
      <c r="C8441" s="37">
        <f t="shared" si="268"/>
        <v>42.405000000000001</v>
      </c>
      <c r="D8441" s="37">
        <v>5.7190000000000003</v>
      </c>
      <c r="E8441" s="33">
        <f t="shared" si="269"/>
        <v>-2.4700070571630028E-3</v>
      </c>
    </row>
    <row r="8442" spans="1:5" x14ac:dyDescent="0.25">
      <c r="A8442" s="41">
        <v>43817</v>
      </c>
      <c r="B8442" s="29">
        <v>253.04</v>
      </c>
      <c r="C8442" s="37">
        <f t="shared" si="268"/>
        <v>42.173333333333332</v>
      </c>
      <c r="D8442" s="37">
        <v>5.7190000000000003</v>
      </c>
      <c r="E8442" s="33">
        <f t="shared" si="269"/>
        <v>-5.4631922336203075E-3</v>
      </c>
    </row>
    <row r="8443" spans="1:5" x14ac:dyDescent="0.25">
      <c r="A8443" s="41">
        <v>43817</v>
      </c>
      <c r="B8443" s="29">
        <v>248.8</v>
      </c>
      <c r="C8443" s="37">
        <f t="shared" si="268"/>
        <v>41.466666666666669</v>
      </c>
      <c r="D8443" s="37">
        <v>5.7190000000000003</v>
      </c>
      <c r="E8443" s="33">
        <f t="shared" si="269"/>
        <v>-1.6756244072083388E-2</v>
      </c>
    </row>
    <row r="8444" spans="1:5" x14ac:dyDescent="0.25">
      <c r="A8444" s="41">
        <v>43817</v>
      </c>
      <c r="B8444" s="29">
        <v>247.3</v>
      </c>
      <c r="C8444" s="37">
        <f t="shared" si="268"/>
        <v>41.216666666666669</v>
      </c>
      <c r="D8444" s="37">
        <v>5.7190000000000003</v>
      </c>
      <c r="E8444" s="33">
        <f t="shared" si="269"/>
        <v>-6.0289389067524112E-3</v>
      </c>
    </row>
    <row r="8445" spans="1:5" x14ac:dyDescent="0.25">
      <c r="A8445" s="41">
        <v>43817</v>
      </c>
      <c r="B8445" s="29">
        <v>248.65</v>
      </c>
      <c r="C8445" s="37">
        <f t="shared" si="268"/>
        <v>41.44166666666667</v>
      </c>
      <c r="D8445" s="37">
        <v>5.7190000000000003</v>
      </c>
      <c r="E8445" s="33">
        <f t="shared" si="269"/>
        <v>5.4589567327132807E-3</v>
      </c>
    </row>
    <row r="8446" spans="1:5" x14ac:dyDescent="0.25">
      <c r="A8446" s="41">
        <v>43817</v>
      </c>
      <c r="B8446" s="29">
        <v>248.18</v>
      </c>
      <c r="C8446" s="37">
        <f t="shared" si="268"/>
        <v>41.363333333333337</v>
      </c>
      <c r="D8446" s="37">
        <v>5.7190000000000003</v>
      </c>
      <c r="E8446" s="33">
        <f t="shared" si="269"/>
        <v>-1.890207118439569E-3</v>
      </c>
    </row>
    <row r="8447" spans="1:5" x14ac:dyDescent="0.25">
      <c r="A8447" s="41">
        <v>43817</v>
      </c>
      <c r="B8447" s="29">
        <v>248.25</v>
      </c>
      <c r="C8447" s="37">
        <f t="shared" si="268"/>
        <v>41.375</v>
      </c>
      <c r="D8447" s="37">
        <v>5.7190000000000003</v>
      </c>
      <c r="E8447" s="33">
        <f t="shared" si="269"/>
        <v>2.8205334837615111E-4</v>
      </c>
    </row>
    <row r="8448" spans="1:5" x14ac:dyDescent="0.25">
      <c r="A8448" s="41">
        <v>43817</v>
      </c>
      <c r="B8448" s="29">
        <v>246.21</v>
      </c>
      <c r="C8448" s="37">
        <f t="shared" si="268"/>
        <v>41.034999999999997</v>
      </c>
      <c r="D8448" s="37">
        <v>5.7190000000000003</v>
      </c>
      <c r="E8448" s="33">
        <f t="shared" si="269"/>
        <v>-8.2175226586102407E-3</v>
      </c>
    </row>
    <row r="8449" spans="1:5" x14ac:dyDescent="0.25">
      <c r="A8449" s="41">
        <v>43817</v>
      </c>
      <c r="B8449" s="29">
        <v>244.54</v>
      </c>
      <c r="C8449" s="37">
        <f t="shared" si="268"/>
        <v>40.756666666666668</v>
      </c>
      <c r="D8449" s="37">
        <v>5.7190000000000003</v>
      </c>
      <c r="E8449" s="33">
        <f t="shared" si="269"/>
        <v>-6.78282766743843E-3</v>
      </c>
    </row>
    <row r="8450" spans="1:5" x14ac:dyDescent="0.25">
      <c r="A8450" s="41">
        <v>43818</v>
      </c>
      <c r="B8450" s="29">
        <v>240.61</v>
      </c>
      <c r="C8450" s="37">
        <f t="shared" si="268"/>
        <v>40.101666666666667</v>
      </c>
      <c r="D8450" s="37">
        <v>6.03</v>
      </c>
      <c r="E8450" s="33">
        <f t="shared" si="269"/>
        <v>-1.6070990431013243E-2</v>
      </c>
    </row>
    <row r="8451" spans="1:5" x14ac:dyDescent="0.25">
      <c r="A8451" s="41">
        <v>43818</v>
      </c>
      <c r="B8451" s="29">
        <v>238.79</v>
      </c>
      <c r="C8451" s="37">
        <f t="shared" ref="C8451:C8514" si="270">(B8451*100/600)</f>
        <v>39.798333333333332</v>
      </c>
      <c r="D8451" s="37">
        <v>6.03</v>
      </c>
      <c r="E8451" s="33">
        <f t="shared" si="269"/>
        <v>-7.5641078924401379E-3</v>
      </c>
    </row>
    <row r="8452" spans="1:5" x14ac:dyDescent="0.25">
      <c r="A8452" s="41">
        <v>43818</v>
      </c>
      <c r="B8452" s="29">
        <v>237.88</v>
      </c>
      <c r="C8452" s="37">
        <f t="shared" si="270"/>
        <v>39.646666666666668</v>
      </c>
      <c r="D8452" s="37">
        <v>6.03</v>
      </c>
      <c r="E8452" s="33">
        <f t="shared" ref="E8452:E8515" si="271">(B8452-B8451)/B8451</f>
        <v>-3.8108798525901279E-3</v>
      </c>
    </row>
    <row r="8453" spans="1:5" x14ac:dyDescent="0.25">
      <c r="A8453" s="41">
        <v>43818</v>
      </c>
      <c r="B8453" s="29">
        <v>237.4</v>
      </c>
      <c r="C8453" s="37">
        <f t="shared" si="270"/>
        <v>39.56666666666667</v>
      </c>
      <c r="D8453" s="37">
        <v>6.03</v>
      </c>
      <c r="E8453" s="33">
        <f t="shared" si="271"/>
        <v>-2.0178241129981075E-3</v>
      </c>
    </row>
    <row r="8454" spans="1:5" x14ac:dyDescent="0.25">
      <c r="A8454" s="41">
        <v>43818</v>
      </c>
      <c r="B8454" s="29">
        <v>237.42</v>
      </c>
      <c r="C8454" s="37">
        <f t="shared" si="270"/>
        <v>39.57</v>
      </c>
      <c r="D8454" s="37">
        <v>6.03</v>
      </c>
      <c r="E8454" s="33">
        <f t="shared" si="271"/>
        <v>8.4245998315003409E-5</v>
      </c>
    </row>
    <row r="8455" spans="1:5" x14ac:dyDescent="0.25">
      <c r="A8455" s="41">
        <v>43818</v>
      </c>
      <c r="B8455" s="29">
        <v>237.42</v>
      </c>
      <c r="C8455" s="37">
        <f t="shared" si="270"/>
        <v>39.57</v>
      </c>
      <c r="D8455" s="37">
        <v>6.03</v>
      </c>
      <c r="E8455" s="33">
        <f t="shared" si="271"/>
        <v>0</v>
      </c>
    </row>
    <row r="8456" spans="1:5" x14ac:dyDescent="0.25">
      <c r="A8456" s="41">
        <v>43818</v>
      </c>
      <c r="B8456" s="29">
        <v>238.95</v>
      </c>
      <c r="C8456" s="37">
        <f t="shared" si="270"/>
        <v>39.825000000000003</v>
      </c>
      <c r="D8456" s="37">
        <v>6.03</v>
      </c>
      <c r="E8456" s="33">
        <f t="shared" si="271"/>
        <v>6.4442759666413999E-3</v>
      </c>
    </row>
    <row r="8457" spans="1:5" x14ac:dyDescent="0.25">
      <c r="A8457" s="41">
        <v>43818</v>
      </c>
      <c r="B8457" s="29">
        <v>241.09</v>
      </c>
      <c r="C8457" s="37">
        <f t="shared" si="270"/>
        <v>40.181666666666665</v>
      </c>
      <c r="D8457" s="37">
        <v>6.03</v>
      </c>
      <c r="E8457" s="33">
        <f t="shared" si="271"/>
        <v>8.9558485038711642E-3</v>
      </c>
    </row>
    <row r="8458" spans="1:5" x14ac:dyDescent="0.25">
      <c r="A8458" s="41">
        <v>43818</v>
      </c>
      <c r="B8458" s="29">
        <v>245.01</v>
      </c>
      <c r="C8458" s="37">
        <f t="shared" si="270"/>
        <v>40.835000000000001</v>
      </c>
      <c r="D8458" s="37">
        <v>6.03</v>
      </c>
      <c r="E8458" s="33">
        <f t="shared" si="271"/>
        <v>1.625948815794926E-2</v>
      </c>
    </row>
    <row r="8459" spans="1:5" x14ac:dyDescent="0.25">
      <c r="A8459" s="41">
        <v>43818</v>
      </c>
      <c r="B8459" s="29">
        <v>247.56</v>
      </c>
      <c r="C8459" s="37">
        <f t="shared" si="270"/>
        <v>41.26</v>
      </c>
      <c r="D8459" s="37">
        <v>6.03</v>
      </c>
      <c r="E8459" s="33">
        <f t="shared" si="271"/>
        <v>1.0407738459654755E-2</v>
      </c>
    </row>
    <row r="8460" spans="1:5" x14ac:dyDescent="0.25">
      <c r="A8460" s="41">
        <v>43818</v>
      </c>
      <c r="B8460" s="29">
        <v>250.34</v>
      </c>
      <c r="C8460" s="37">
        <f t="shared" si="270"/>
        <v>41.723333333333336</v>
      </c>
      <c r="D8460" s="37">
        <v>6.03</v>
      </c>
      <c r="E8460" s="33">
        <f t="shared" si="271"/>
        <v>1.1229600904831157E-2</v>
      </c>
    </row>
    <row r="8461" spans="1:5" x14ac:dyDescent="0.25">
      <c r="A8461" s="41">
        <v>43818</v>
      </c>
      <c r="B8461" s="29">
        <v>250.44</v>
      </c>
      <c r="C8461" s="37">
        <f t="shared" si="270"/>
        <v>41.74</v>
      </c>
      <c r="D8461" s="37">
        <v>6.03</v>
      </c>
      <c r="E8461" s="33">
        <f t="shared" si="271"/>
        <v>3.9945673883516142E-4</v>
      </c>
    </row>
    <row r="8462" spans="1:5" x14ac:dyDescent="0.25">
      <c r="A8462" s="41">
        <v>43818</v>
      </c>
      <c r="B8462" s="29">
        <v>248.89</v>
      </c>
      <c r="C8462" s="37">
        <f t="shared" si="270"/>
        <v>41.481666666666669</v>
      </c>
      <c r="D8462" s="37">
        <v>6.03</v>
      </c>
      <c r="E8462" s="33">
        <f t="shared" si="271"/>
        <v>-6.1891071713784194E-3</v>
      </c>
    </row>
    <row r="8463" spans="1:5" x14ac:dyDescent="0.25">
      <c r="A8463" s="41">
        <v>43818</v>
      </c>
      <c r="B8463" s="29">
        <v>251.54</v>
      </c>
      <c r="C8463" s="37">
        <f t="shared" si="270"/>
        <v>41.923333333333332</v>
      </c>
      <c r="D8463" s="37">
        <v>6.03</v>
      </c>
      <c r="E8463" s="33">
        <f t="shared" si="271"/>
        <v>1.0647273896098701E-2</v>
      </c>
    </row>
    <row r="8464" spans="1:5" x14ac:dyDescent="0.25">
      <c r="A8464" s="41">
        <v>43818</v>
      </c>
      <c r="B8464" s="29">
        <v>253.43</v>
      </c>
      <c r="C8464" s="37">
        <f t="shared" si="270"/>
        <v>42.238333333333337</v>
      </c>
      <c r="D8464" s="37">
        <v>6.03</v>
      </c>
      <c r="E8464" s="33">
        <f t="shared" si="271"/>
        <v>7.5137155124434078E-3</v>
      </c>
    </row>
    <row r="8465" spans="1:5" x14ac:dyDescent="0.25">
      <c r="A8465" s="41">
        <v>43818</v>
      </c>
      <c r="B8465" s="29">
        <v>253.1</v>
      </c>
      <c r="C8465" s="37">
        <f t="shared" si="270"/>
        <v>42.18333333333333</v>
      </c>
      <c r="D8465" s="37">
        <v>6.03</v>
      </c>
      <c r="E8465" s="33">
        <f t="shared" si="271"/>
        <v>-1.3021347117547744E-3</v>
      </c>
    </row>
    <row r="8466" spans="1:5" x14ac:dyDescent="0.25">
      <c r="A8466" s="41">
        <v>43818</v>
      </c>
      <c r="B8466" s="29">
        <v>251.45</v>
      </c>
      <c r="C8466" s="37">
        <f t="shared" si="270"/>
        <v>41.908333333333331</v>
      </c>
      <c r="D8466" s="37">
        <v>6.03</v>
      </c>
      <c r="E8466" s="33">
        <f t="shared" si="271"/>
        <v>-6.5191623864085564E-3</v>
      </c>
    </row>
    <row r="8467" spans="1:5" x14ac:dyDescent="0.25">
      <c r="A8467" s="41">
        <v>43818</v>
      </c>
      <c r="B8467" s="29">
        <v>246.9</v>
      </c>
      <c r="C8467" s="37">
        <f t="shared" si="270"/>
        <v>41.15</v>
      </c>
      <c r="D8467" s="37">
        <v>6.03</v>
      </c>
      <c r="E8467" s="33">
        <f t="shared" si="271"/>
        <v>-1.8095048717438788E-2</v>
      </c>
    </row>
    <row r="8468" spans="1:5" x14ac:dyDescent="0.25">
      <c r="A8468" s="41">
        <v>43818</v>
      </c>
      <c r="B8468" s="29">
        <v>245.86</v>
      </c>
      <c r="C8468" s="37">
        <f t="shared" si="270"/>
        <v>40.976666666666667</v>
      </c>
      <c r="D8468" s="37">
        <v>6.03</v>
      </c>
      <c r="E8468" s="33">
        <f t="shared" si="271"/>
        <v>-4.2122316727419683E-3</v>
      </c>
    </row>
    <row r="8469" spans="1:5" x14ac:dyDescent="0.25">
      <c r="A8469" s="41">
        <v>43818</v>
      </c>
      <c r="B8469" s="29">
        <v>246.93</v>
      </c>
      <c r="C8469" s="37">
        <f t="shared" si="270"/>
        <v>41.155000000000001</v>
      </c>
      <c r="D8469" s="37">
        <v>6.03</v>
      </c>
      <c r="E8469" s="33">
        <f t="shared" si="271"/>
        <v>4.3520702839013794E-3</v>
      </c>
    </row>
    <row r="8470" spans="1:5" x14ac:dyDescent="0.25">
      <c r="A8470" s="41">
        <v>43818</v>
      </c>
      <c r="B8470" s="29">
        <v>246.34</v>
      </c>
      <c r="C8470" s="37">
        <f t="shared" si="270"/>
        <v>41.056666666666665</v>
      </c>
      <c r="D8470" s="37">
        <v>6.03</v>
      </c>
      <c r="E8470" s="33">
        <f t="shared" si="271"/>
        <v>-2.3893411088162773E-3</v>
      </c>
    </row>
    <row r="8471" spans="1:5" x14ac:dyDescent="0.25">
      <c r="A8471" s="41">
        <v>43818</v>
      </c>
      <c r="B8471" s="29">
        <v>246.19</v>
      </c>
      <c r="C8471" s="37">
        <f t="shared" si="270"/>
        <v>41.031666666666666</v>
      </c>
      <c r="D8471" s="37">
        <v>6.03</v>
      </c>
      <c r="E8471" s="33">
        <f t="shared" si="271"/>
        <v>-6.089145084030433E-4</v>
      </c>
    </row>
    <row r="8472" spans="1:5" x14ac:dyDescent="0.25">
      <c r="A8472" s="41">
        <v>43818</v>
      </c>
      <c r="B8472" s="29">
        <v>244.61</v>
      </c>
      <c r="C8472" s="37">
        <f t="shared" si="270"/>
        <v>40.768333333333331</v>
      </c>
      <c r="D8472" s="37">
        <v>6.03</v>
      </c>
      <c r="E8472" s="33">
        <f t="shared" si="271"/>
        <v>-6.4178073845403312E-3</v>
      </c>
    </row>
    <row r="8473" spans="1:5" x14ac:dyDescent="0.25">
      <c r="A8473" s="41">
        <v>43818</v>
      </c>
      <c r="B8473" s="29">
        <v>241.24</v>
      </c>
      <c r="C8473" s="37">
        <f t="shared" si="270"/>
        <v>40.206666666666663</v>
      </c>
      <c r="D8473" s="37">
        <v>6.03</v>
      </c>
      <c r="E8473" s="33">
        <f t="shared" si="271"/>
        <v>-1.3777032827766668E-2</v>
      </c>
    </row>
    <row r="8474" spans="1:5" x14ac:dyDescent="0.25">
      <c r="A8474" s="41">
        <v>43819</v>
      </c>
      <c r="B8474" s="29">
        <v>239.96</v>
      </c>
      <c r="C8474" s="37">
        <f t="shared" si="270"/>
        <v>39.993333333333332</v>
      </c>
      <c r="D8474" s="37">
        <v>6.0940000000000003</v>
      </c>
      <c r="E8474" s="33">
        <f t="shared" si="271"/>
        <v>-5.3059194163488687E-3</v>
      </c>
    </row>
    <row r="8475" spans="1:5" x14ac:dyDescent="0.25">
      <c r="A8475" s="41">
        <v>43819</v>
      </c>
      <c r="B8475" s="29">
        <v>236.55</v>
      </c>
      <c r="C8475" s="37">
        <f t="shared" si="270"/>
        <v>39.424999999999997</v>
      </c>
      <c r="D8475" s="37">
        <v>6.0940000000000003</v>
      </c>
      <c r="E8475" s="33">
        <f t="shared" si="271"/>
        <v>-1.421070178363059E-2</v>
      </c>
    </row>
    <row r="8476" spans="1:5" x14ac:dyDescent="0.25">
      <c r="A8476" s="41">
        <v>43819</v>
      </c>
      <c r="B8476" s="29">
        <v>235.05</v>
      </c>
      <c r="C8476" s="37">
        <f t="shared" si="270"/>
        <v>39.174999999999997</v>
      </c>
      <c r="D8476" s="37">
        <v>6.0940000000000003</v>
      </c>
      <c r="E8476" s="33">
        <f t="shared" si="271"/>
        <v>-6.3411540900443876E-3</v>
      </c>
    </row>
    <row r="8477" spans="1:5" x14ac:dyDescent="0.25">
      <c r="A8477" s="41">
        <v>43819</v>
      </c>
      <c r="B8477" s="29">
        <v>234.55</v>
      </c>
      <c r="C8477" s="37">
        <f t="shared" si="270"/>
        <v>39.091666666666669</v>
      </c>
      <c r="D8477" s="37">
        <v>6.0940000000000003</v>
      </c>
      <c r="E8477" s="33">
        <f t="shared" si="271"/>
        <v>-2.1272069772388853E-3</v>
      </c>
    </row>
    <row r="8478" spans="1:5" x14ac:dyDescent="0.25">
      <c r="A8478" s="41">
        <v>43819</v>
      </c>
      <c r="B8478" s="29">
        <v>234.81</v>
      </c>
      <c r="C8478" s="37">
        <f t="shared" si="270"/>
        <v>39.134999999999998</v>
      </c>
      <c r="D8478" s="37">
        <v>6.0940000000000003</v>
      </c>
      <c r="E8478" s="33">
        <f t="shared" si="271"/>
        <v>1.1085056491152883E-3</v>
      </c>
    </row>
    <row r="8479" spans="1:5" x14ac:dyDescent="0.25">
      <c r="A8479" s="41">
        <v>43819</v>
      </c>
      <c r="B8479" s="29">
        <v>235.04</v>
      </c>
      <c r="C8479" s="37">
        <f t="shared" si="270"/>
        <v>39.173333333333332</v>
      </c>
      <c r="D8479" s="37">
        <v>6.0940000000000003</v>
      </c>
      <c r="E8479" s="33">
        <f t="shared" si="271"/>
        <v>9.7951535283842149E-4</v>
      </c>
    </row>
    <row r="8480" spans="1:5" x14ac:dyDescent="0.25">
      <c r="A8480" s="41">
        <v>43819</v>
      </c>
      <c r="B8480" s="29">
        <v>238.18</v>
      </c>
      <c r="C8480" s="37">
        <f t="shared" si="270"/>
        <v>39.696666666666665</v>
      </c>
      <c r="D8480" s="37">
        <v>6.0940000000000003</v>
      </c>
      <c r="E8480" s="33">
        <f t="shared" si="271"/>
        <v>1.3359428182437095E-2</v>
      </c>
    </row>
    <row r="8481" spans="1:5" x14ac:dyDescent="0.25">
      <c r="A8481" s="41">
        <v>43819</v>
      </c>
      <c r="B8481" s="29">
        <v>240.08</v>
      </c>
      <c r="C8481" s="37">
        <f t="shared" si="270"/>
        <v>40.013333333333335</v>
      </c>
      <c r="D8481" s="37">
        <v>6.0940000000000003</v>
      </c>
      <c r="E8481" s="33">
        <f t="shared" si="271"/>
        <v>7.9771601309933902E-3</v>
      </c>
    </row>
    <row r="8482" spans="1:5" x14ac:dyDescent="0.25">
      <c r="A8482" s="41">
        <v>43819</v>
      </c>
      <c r="B8482" s="29">
        <v>243.92</v>
      </c>
      <c r="C8482" s="37">
        <f t="shared" si="270"/>
        <v>40.653333333333336</v>
      </c>
      <c r="D8482" s="37">
        <v>6.0940000000000003</v>
      </c>
      <c r="E8482" s="33">
        <f t="shared" si="271"/>
        <v>1.5994668443851945E-2</v>
      </c>
    </row>
    <row r="8483" spans="1:5" x14ac:dyDescent="0.25">
      <c r="A8483" s="41">
        <v>43819</v>
      </c>
      <c r="B8483" s="29">
        <v>246.84</v>
      </c>
      <c r="C8483" s="37">
        <f t="shared" si="270"/>
        <v>41.14</v>
      </c>
      <c r="D8483" s="37">
        <v>6.0940000000000003</v>
      </c>
      <c r="E8483" s="33">
        <f t="shared" si="271"/>
        <v>1.1971138078058446E-2</v>
      </c>
    </row>
    <row r="8484" spans="1:5" x14ac:dyDescent="0.25">
      <c r="A8484" s="41">
        <v>43819</v>
      </c>
      <c r="B8484" s="29">
        <v>250.06</v>
      </c>
      <c r="C8484" s="37">
        <f t="shared" si="270"/>
        <v>41.676666666666669</v>
      </c>
      <c r="D8484" s="37">
        <v>6.0940000000000003</v>
      </c>
      <c r="E8484" s="33">
        <f t="shared" si="271"/>
        <v>1.3044887376438174E-2</v>
      </c>
    </row>
    <row r="8485" spans="1:5" x14ac:dyDescent="0.25">
      <c r="A8485" s="41">
        <v>43819</v>
      </c>
      <c r="B8485" s="29">
        <v>250.09</v>
      </c>
      <c r="C8485" s="37">
        <f t="shared" si="270"/>
        <v>41.681666666666665</v>
      </c>
      <c r="D8485" s="37">
        <v>6.0940000000000003</v>
      </c>
      <c r="E8485" s="33">
        <f t="shared" si="271"/>
        <v>1.1997120691034607E-4</v>
      </c>
    </row>
    <row r="8486" spans="1:5" x14ac:dyDescent="0.25">
      <c r="A8486" s="41">
        <v>43819</v>
      </c>
      <c r="B8486" s="29">
        <v>249.45</v>
      </c>
      <c r="C8486" s="37">
        <f t="shared" si="270"/>
        <v>41.575000000000003</v>
      </c>
      <c r="D8486" s="37">
        <v>6.0940000000000003</v>
      </c>
      <c r="E8486" s="33">
        <f t="shared" si="271"/>
        <v>-2.5590787316566626E-3</v>
      </c>
    </row>
    <row r="8487" spans="1:5" x14ac:dyDescent="0.25">
      <c r="A8487" s="41">
        <v>43819</v>
      </c>
      <c r="B8487" s="29">
        <v>251.18</v>
      </c>
      <c r="C8487" s="37">
        <f t="shared" si="270"/>
        <v>41.863333333333337</v>
      </c>
      <c r="D8487" s="37">
        <v>6.0940000000000003</v>
      </c>
      <c r="E8487" s="33">
        <f t="shared" si="271"/>
        <v>6.9352575666466959E-3</v>
      </c>
    </row>
    <row r="8488" spans="1:5" x14ac:dyDescent="0.25">
      <c r="A8488" s="41">
        <v>43819</v>
      </c>
      <c r="B8488" s="29">
        <v>253.5</v>
      </c>
      <c r="C8488" s="37">
        <f t="shared" si="270"/>
        <v>42.25</v>
      </c>
      <c r="D8488" s="37">
        <v>6.0940000000000003</v>
      </c>
      <c r="E8488" s="33">
        <f t="shared" si="271"/>
        <v>9.2364041723066847E-3</v>
      </c>
    </row>
    <row r="8489" spans="1:5" x14ac:dyDescent="0.25">
      <c r="A8489" s="41">
        <v>43819</v>
      </c>
      <c r="B8489" s="29">
        <v>251.43</v>
      </c>
      <c r="C8489" s="37">
        <f t="shared" si="270"/>
        <v>41.905000000000001</v>
      </c>
      <c r="D8489" s="37">
        <v>6.0940000000000003</v>
      </c>
      <c r="E8489" s="33">
        <f t="shared" si="271"/>
        <v>-8.165680473372754E-3</v>
      </c>
    </row>
    <row r="8490" spans="1:5" x14ac:dyDescent="0.25">
      <c r="A8490" s="41">
        <v>43819</v>
      </c>
      <c r="B8490" s="29">
        <v>249.76</v>
      </c>
      <c r="C8490" s="37">
        <f t="shared" si="270"/>
        <v>41.626666666666665</v>
      </c>
      <c r="D8490" s="37">
        <v>6.0940000000000003</v>
      </c>
      <c r="E8490" s="33">
        <f t="shared" si="271"/>
        <v>-6.6420077158653142E-3</v>
      </c>
    </row>
    <row r="8491" spans="1:5" x14ac:dyDescent="0.25">
      <c r="A8491" s="41">
        <v>43819</v>
      </c>
      <c r="B8491" s="29">
        <v>245.48</v>
      </c>
      <c r="C8491" s="37">
        <f t="shared" si="270"/>
        <v>40.913333333333334</v>
      </c>
      <c r="D8491" s="37">
        <v>6.0940000000000003</v>
      </c>
      <c r="E8491" s="33">
        <f t="shared" si="271"/>
        <v>-1.7136450992953241E-2</v>
      </c>
    </row>
    <row r="8492" spans="1:5" x14ac:dyDescent="0.25">
      <c r="A8492" s="41">
        <v>43819</v>
      </c>
      <c r="B8492" s="29">
        <v>244.67</v>
      </c>
      <c r="C8492" s="37">
        <f t="shared" si="270"/>
        <v>40.778333333333336</v>
      </c>
      <c r="D8492" s="37">
        <v>6.0940000000000003</v>
      </c>
      <c r="E8492" s="33">
        <f t="shared" si="271"/>
        <v>-3.2996578132638192E-3</v>
      </c>
    </row>
    <row r="8493" spans="1:5" x14ac:dyDescent="0.25">
      <c r="A8493" s="41">
        <v>43819</v>
      </c>
      <c r="B8493" s="29">
        <v>245.49</v>
      </c>
      <c r="C8493" s="37">
        <f t="shared" si="270"/>
        <v>40.914999999999999</v>
      </c>
      <c r="D8493" s="37">
        <v>6.0940000000000003</v>
      </c>
      <c r="E8493" s="33">
        <f t="shared" si="271"/>
        <v>3.3514529774799594E-3</v>
      </c>
    </row>
    <row r="8494" spans="1:5" x14ac:dyDescent="0.25">
      <c r="A8494" s="41">
        <v>43819</v>
      </c>
      <c r="B8494" s="29">
        <v>245.13</v>
      </c>
      <c r="C8494" s="37">
        <f t="shared" si="270"/>
        <v>40.854999999999997</v>
      </c>
      <c r="D8494" s="37">
        <v>6.0940000000000003</v>
      </c>
      <c r="E8494" s="33">
        <f t="shared" si="271"/>
        <v>-1.4664548454112738E-3</v>
      </c>
    </row>
    <row r="8495" spans="1:5" x14ac:dyDescent="0.25">
      <c r="A8495" s="41">
        <v>43819</v>
      </c>
      <c r="B8495" s="29">
        <v>244.84</v>
      </c>
      <c r="C8495" s="37">
        <f t="shared" si="270"/>
        <v>40.806666666666665</v>
      </c>
      <c r="D8495" s="37">
        <v>6.0940000000000003</v>
      </c>
      <c r="E8495" s="33">
        <f t="shared" si="271"/>
        <v>-1.1830457308366665E-3</v>
      </c>
    </row>
    <row r="8496" spans="1:5" x14ac:dyDescent="0.25">
      <c r="A8496" s="41">
        <v>43819</v>
      </c>
      <c r="B8496" s="29">
        <v>242.6</v>
      </c>
      <c r="C8496" s="37">
        <f t="shared" si="270"/>
        <v>40.43333333333333</v>
      </c>
      <c r="D8496" s="37">
        <v>6.0940000000000003</v>
      </c>
      <c r="E8496" s="33">
        <f t="shared" si="271"/>
        <v>-9.1488318902140549E-3</v>
      </c>
    </row>
    <row r="8497" spans="1:5" x14ac:dyDescent="0.25">
      <c r="A8497" s="41">
        <v>43819</v>
      </c>
      <c r="B8497" s="29">
        <v>240.48</v>
      </c>
      <c r="C8497" s="37">
        <f t="shared" si="270"/>
        <v>40.08</v>
      </c>
      <c r="D8497" s="37">
        <v>6.0940000000000003</v>
      </c>
      <c r="E8497" s="33">
        <f t="shared" si="271"/>
        <v>-8.7386644682605295E-3</v>
      </c>
    </row>
    <row r="8498" spans="1:5" x14ac:dyDescent="0.25">
      <c r="A8498" s="41">
        <v>43820</v>
      </c>
      <c r="B8498" s="29">
        <v>209.27</v>
      </c>
      <c r="C8498" s="37">
        <f t="shared" si="270"/>
        <v>34.87833333333333</v>
      </c>
      <c r="D8498" s="37">
        <v>6.0570000000000004</v>
      </c>
      <c r="E8498" s="33">
        <f t="shared" si="271"/>
        <v>-0.1297821024617431</v>
      </c>
    </row>
    <row r="8499" spans="1:5" x14ac:dyDescent="0.25">
      <c r="A8499" s="41">
        <v>43820</v>
      </c>
      <c r="B8499" s="29">
        <v>205.2</v>
      </c>
      <c r="C8499" s="37">
        <f t="shared" si="270"/>
        <v>34.200000000000003</v>
      </c>
      <c r="D8499" s="37">
        <v>6.0570000000000004</v>
      </c>
      <c r="E8499" s="33">
        <f t="shared" si="271"/>
        <v>-1.9448559277488515E-2</v>
      </c>
    </row>
    <row r="8500" spans="1:5" x14ac:dyDescent="0.25">
      <c r="A8500" s="41">
        <v>43820</v>
      </c>
      <c r="B8500" s="29">
        <v>202.6</v>
      </c>
      <c r="C8500" s="37">
        <f t="shared" si="270"/>
        <v>33.766666666666666</v>
      </c>
      <c r="D8500" s="37">
        <v>6.0570000000000004</v>
      </c>
      <c r="E8500" s="33">
        <f t="shared" si="271"/>
        <v>-1.2670565302144223E-2</v>
      </c>
    </row>
    <row r="8501" spans="1:5" x14ac:dyDescent="0.25">
      <c r="A8501" s="41">
        <v>43820</v>
      </c>
      <c r="B8501" s="29">
        <v>202.57</v>
      </c>
      <c r="C8501" s="37">
        <f t="shared" si="270"/>
        <v>33.761666666666663</v>
      </c>
      <c r="D8501" s="37">
        <v>6.0570000000000004</v>
      </c>
      <c r="E8501" s="33">
        <f t="shared" si="271"/>
        <v>-1.4807502467917641E-4</v>
      </c>
    </row>
    <row r="8502" spans="1:5" x14ac:dyDescent="0.25">
      <c r="A8502" s="41">
        <v>43820</v>
      </c>
      <c r="B8502" s="29">
        <v>202.43</v>
      </c>
      <c r="C8502" s="37">
        <f t="shared" si="270"/>
        <v>33.738333333333337</v>
      </c>
      <c r="D8502" s="37">
        <v>6.0570000000000004</v>
      </c>
      <c r="E8502" s="33">
        <f t="shared" si="271"/>
        <v>-6.9111911931671202E-4</v>
      </c>
    </row>
    <row r="8503" spans="1:5" x14ac:dyDescent="0.25">
      <c r="A8503" s="41">
        <v>43820</v>
      </c>
      <c r="B8503" s="29">
        <v>200.1</v>
      </c>
      <c r="C8503" s="37">
        <f t="shared" si="270"/>
        <v>33.35</v>
      </c>
      <c r="D8503" s="37">
        <v>6.0570000000000004</v>
      </c>
      <c r="E8503" s="33">
        <f t="shared" si="271"/>
        <v>-1.1510151657363101E-2</v>
      </c>
    </row>
    <row r="8504" spans="1:5" x14ac:dyDescent="0.25">
      <c r="A8504" s="41">
        <v>43820</v>
      </c>
      <c r="B8504" s="29">
        <v>201.03</v>
      </c>
      <c r="C8504" s="37">
        <f t="shared" si="270"/>
        <v>33.505000000000003</v>
      </c>
      <c r="D8504" s="37">
        <v>6.0570000000000004</v>
      </c>
      <c r="E8504" s="33">
        <f t="shared" si="271"/>
        <v>4.6476761619190744E-3</v>
      </c>
    </row>
    <row r="8505" spans="1:5" x14ac:dyDescent="0.25">
      <c r="A8505" s="41">
        <v>43820</v>
      </c>
      <c r="B8505" s="29">
        <v>202.43</v>
      </c>
      <c r="C8505" s="37">
        <f t="shared" si="270"/>
        <v>33.738333333333337</v>
      </c>
      <c r="D8505" s="37">
        <v>6.0570000000000004</v>
      </c>
      <c r="E8505" s="33">
        <f t="shared" si="271"/>
        <v>6.9641347062627751E-3</v>
      </c>
    </row>
    <row r="8506" spans="1:5" x14ac:dyDescent="0.25">
      <c r="A8506" s="41">
        <v>43820</v>
      </c>
      <c r="B8506" s="29">
        <v>205.65</v>
      </c>
      <c r="C8506" s="37">
        <f t="shared" si="270"/>
        <v>34.274999999999999</v>
      </c>
      <c r="D8506" s="37">
        <v>6.0570000000000004</v>
      </c>
      <c r="E8506" s="33">
        <f t="shared" si="271"/>
        <v>1.590673319172059E-2</v>
      </c>
    </row>
    <row r="8507" spans="1:5" x14ac:dyDescent="0.25">
      <c r="A8507" s="41">
        <v>43820</v>
      </c>
      <c r="B8507" s="29">
        <v>209.39</v>
      </c>
      <c r="C8507" s="37">
        <f t="shared" si="270"/>
        <v>34.898333333333333</v>
      </c>
      <c r="D8507" s="37">
        <v>6.0570000000000004</v>
      </c>
      <c r="E8507" s="33">
        <f t="shared" si="271"/>
        <v>1.8186238755166451E-2</v>
      </c>
    </row>
    <row r="8508" spans="1:5" x14ac:dyDescent="0.25">
      <c r="A8508" s="41">
        <v>43820</v>
      </c>
      <c r="B8508" s="29">
        <v>213.05</v>
      </c>
      <c r="C8508" s="37">
        <f t="shared" si="270"/>
        <v>35.508333333333333</v>
      </c>
      <c r="D8508" s="37">
        <v>6.0570000000000004</v>
      </c>
      <c r="E8508" s="33">
        <f t="shared" si="271"/>
        <v>1.7479344763360358E-2</v>
      </c>
    </row>
    <row r="8509" spans="1:5" x14ac:dyDescent="0.25">
      <c r="A8509" s="41">
        <v>43820</v>
      </c>
      <c r="B8509" s="29">
        <v>213.77</v>
      </c>
      <c r="C8509" s="37">
        <f t="shared" si="270"/>
        <v>35.62833333333333</v>
      </c>
      <c r="D8509" s="37">
        <v>6.0570000000000004</v>
      </c>
      <c r="E8509" s="33">
        <f t="shared" si="271"/>
        <v>3.3794883830086781E-3</v>
      </c>
    </row>
    <row r="8510" spans="1:5" x14ac:dyDescent="0.25">
      <c r="A8510" s="41">
        <v>43820</v>
      </c>
      <c r="B8510" s="29">
        <v>213.84</v>
      </c>
      <c r="C8510" s="37">
        <f t="shared" si="270"/>
        <v>35.64</v>
      </c>
      <c r="D8510" s="37">
        <v>6.0570000000000004</v>
      </c>
      <c r="E8510" s="33">
        <f t="shared" si="271"/>
        <v>3.274547410768264E-4</v>
      </c>
    </row>
    <row r="8511" spans="1:5" x14ac:dyDescent="0.25">
      <c r="A8511" s="41">
        <v>43820</v>
      </c>
      <c r="B8511" s="29">
        <v>214.03</v>
      </c>
      <c r="C8511" s="37">
        <f t="shared" si="270"/>
        <v>35.671666666666667</v>
      </c>
      <c r="D8511" s="37">
        <v>6.0570000000000004</v>
      </c>
      <c r="E8511" s="33">
        <f t="shared" si="271"/>
        <v>8.8851477740365563E-4</v>
      </c>
    </row>
    <row r="8512" spans="1:5" x14ac:dyDescent="0.25">
      <c r="A8512" s="41">
        <v>43820</v>
      </c>
      <c r="B8512" s="29">
        <v>214.14</v>
      </c>
      <c r="C8512" s="37">
        <f t="shared" si="270"/>
        <v>35.69</v>
      </c>
      <c r="D8512" s="37">
        <v>6.0570000000000004</v>
      </c>
      <c r="E8512" s="33">
        <f t="shared" si="271"/>
        <v>5.1394664299390371E-4</v>
      </c>
    </row>
    <row r="8513" spans="1:5" x14ac:dyDescent="0.25">
      <c r="A8513" s="41">
        <v>43820</v>
      </c>
      <c r="B8513" s="29">
        <v>214.13</v>
      </c>
      <c r="C8513" s="37">
        <f t="shared" si="270"/>
        <v>35.688333333333333</v>
      </c>
      <c r="D8513" s="37">
        <v>6.0570000000000004</v>
      </c>
      <c r="E8513" s="33">
        <f t="shared" si="271"/>
        <v>-4.6698421593307674E-5</v>
      </c>
    </row>
    <row r="8514" spans="1:5" x14ac:dyDescent="0.25">
      <c r="A8514" s="41">
        <v>43820</v>
      </c>
      <c r="B8514" s="29">
        <v>214.07</v>
      </c>
      <c r="C8514" s="37">
        <f t="shared" si="270"/>
        <v>35.678333333333335</v>
      </c>
      <c r="D8514" s="37">
        <v>6.0570000000000004</v>
      </c>
      <c r="E8514" s="33">
        <f t="shared" si="271"/>
        <v>-2.8020361462663932E-4</v>
      </c>
    </row>
    <row r="8515" spans="1:5" x14ac:dyDescent="0.25">
      <c r="A8515" s="41">
        <v>43820</v>
      </c>
      <c r="B8515" s="29">
        <v>214.04</v>
      </c>
      <c r="C8515" s="37">
        <f t="shared" ref="C8515:C8578" si="272">(B8515*100/600)</f>
        <v>35.673333333333332</v>
      </c>
      <c r="D8515" s="37">
        <v>6.0570000000000004</v>
      </c>
      <c r="E8515" s="33">
        <f t="shared" si="271"/>
        <v>-1.4014107534919017E-4</v>
      </c>
    </row>
    <row r="8516" spans="1:5" x14ac:dyDescent="0.25">
      <c r="A8516" s="41">
        <v>43820</v>
      </c>
      <c r="B8516" s="29">
        <v>216.35</v>
      </c>
      <c r="C8516" s="37">
        <f t="shared" si="272"/>
        <v>36.05833333333333</v>
      </c>
      <c r="D8516" s="37">
        <v>6.0570000000000004</v>
      </c>
      <c r="E8516" s="33">
        <f t="shared" ref="E8516:E8579" si="273">(B8516-B8515)/B8515</f>
        <v>1.0792375256961327E-2</v>
      </c>
    </row>
    <row r="8517" spans="1:5" x14ac:dyDescent="0.25">
      <c r="A8517" s="41">
        <v>43820</v>
      </c>
      <c r="B8517" s="29">
        <v>217.85</v>
      </c>
      <c r="C8517" s="37">
        <f t="shared" si="272"/>
        <v>36.30833333333333</v>
      </c>
      <c r="D8517" s="37">
        <v>6.0570000000000004</v>
      </c>
      <c r="E8517" s="33">
        <f t="shared" si="273"/>
        <v>6.9332100762653113E-3</v>
      </c>
    </row>
    <row r="8518" spans="1:5" x14ac:dyDescent="0.25">
      <c r="A8518" s="41">
        <v>43820</v>
      </c>
      <c r="B8518" s="29">
        <v>217.43</v>
      </c>
      <c r="C8518" s="37">
        <f t="shared" si="272"/>
        <v>36.238333333333337</v>
      </c>
      <c r="D8518" s="37">
        <v>6.0570000000000004</v>
      </c>
      <c r="E8518" s="33">
        <f t="shared" si="273"/>
        <v>-1.9279320633462818E-3</v>
      </c>
    </row>
    <row r="8519" spans="1:5" x14ac:dyDescent="0.25">
      <c r="A8519" s="41">
        <v>43820</v>
      </c>
      <c r="B8519" s="29">
        <v>216.25</v>
      </c>
      <c r="C8519" s="37">
        <f t="shared" si="272"/>
        <v>36.041666666666664</v>
      </c>
      <c r="D8519" s="37">
        <v>6.0570000000000004</v>
      </c>
      <c r="E8519" s="33">
        <f t="shared" si="273"/>
        <v>-5.427033987950176E-3</v>
      </c>
    </row>
    <row r="8520" spans="1:5" x14ac:dyDescent="0.25">
      <c r="A8520" s="41">
        <v>43820</v>
      </c>
      <c r="B8520" s="29">
        <v>213.88</v>
      </c>
      <c r="C8520" s="37">
        <f t="shared" si="272"/>
        <v>35.646666666666668</v>
      </c>
      <c r="D8520" s="37">
        <v>6.0570000000000004</v>
      </c>
      <c r="E8520" s="33">
        <f t="shared" si="273"/>
        <v>-1.0959537572254357E-2</v>
      </c>
    </row>
    <row r="8521" spans="1:5" x14ac:dyDescent="0.25">
      <c r="A8521" s="41">
        <v>43820</v>
      </c>
      <c r="B8521" s="29">
        <v>210.64</v>
      </c>
      <c r="C8521" s="37">
        <f t="shared" si="272"/>
        <v>35.106666666666669</v>
      </c>
      <c r="D8521" s="37">
        <v>6.0570000000000004</v>
      </c>
      <c r="E8521" s="33">
        <f t="shared" si="273"/>
        <v>-1.5148681503646948E-2</v>
      </c>
    </row>
    <row r="8522" spans="1:5" x14ac:dyDescent="0.25">
      <c r="A8522" s="41">
        <v>43821</v>
      </c>
      <c r="B8522" s="29">
        <v>203.2</v>
      </c>
      <c r="C8522" s="37">
        <f t="shared" si="272"/>
        <v>33.866666666666667</v>
      </c>
      <c r="D8522" s="37">
        <v>5.9119999999999999</v>
      </c>
      <c r="E8522" s="33">
        <f t="shared" si="273"/>
        <v>-3.5320926699582214E-2</v>
      </c>
    </row>
    <row r="8523" spans="1:5" x14ac:dyDescent="0.25">
      <c r="A8523" s="41">
        <v>43821</v>
      </c>
      <c r="B8523" s="29">
        <v>198.7</v>
      </c>
      <c r="C8523" s="37">
        <f t="shared" si="272"/>
        <v>33.116666666666667</v>
      </c>
      <c r="D8523" s="37">
        <v>5.9119999999999999</v>
      </c>
      <c r="E8523" s="33">
        <f t="shared" si="273"/>
        <v>-2.2145669291338585E-2</v>
      </c>
    </row>
    <row r="8524" spans="1:5" x14ac:dyDescent="0.25">
      <c r="A8524" s="41">
        <v>43821</v>
      </c>
      <c r="B8524" s="29">
        <v>195.14</v>
      </c>
      <c r="C8524" s="37">
        <f t="shared" si="272"/>
        <v>32.523333333333333</v>
      </c>
      <c r="D8524" s="37">
        <v>5.9119999999999999</v>
      </c>
      <c r="E8524" s="33">
        <f t="shared" si="273"/>
        <v>-1.7916456970307009E-2</v>
      </c>
    </row>
    <row r="8525" spans="1:5" x14ac:dyDescent="0.25">
      <c r="A8525" s="41">
        <v>43821</v>
      </c>
      <c r="B8525" s="29">
        <v>195.1</v>
      </c>
      <c r="C8525" s="37">
        <f t="shared" si="272"/>
        <v>32.516666666666666</v>
      </c>
      <c r="D8525" s="37">
        <v>5.9119999999999999</v>
      </c>
      <c r="E8525" s="33">
        <f t="shared" si="273"/>
        <v>-2.0498103925382824E-4</v>
      </c>
    </row>
    <row r="8526" spans="1:5" x14ac:dyDescent="0.25">
      <c r="A8526" s="41">
        <v>43821</v>
      </c>
      <c r="B8526" s="29">
        <v>195.07</v>
      </c>
      <c r="C8526" s="37">
        <f t="shared" si="272"/>
        <v>32.511666666666663</v>
      </c>
      <c r="D8526" s="37">
        <v>5.9119999999999999</v>
      </c>
      <c r="E8526" s="33">
        <f t="shared" si="273"/>
        <v>-1.5376729882112319E-4</v>
      </c>
    </row>
    <row r="8527" spans="1:5" x14ac:dyDescent="0.25">
      <c r="A8527" s="41">
        <v>43821</v>
      </c>
      <c r="B8527" s="29">
        <v>167.43</v>
      </c>
      <c r="C8527" s="37">
        <f t="shared" si="272"/>
        <v>27.905000000000001</v>
      </c>
      <c r="D8527" s="37">
        <v>5.9119999999999999</v>
      </c>
      <c r="E8527" s="33">
        <f t="shared" si="273"/>
        <v>-0.14169272568821442</v>
      </c>
    </row>
    <row r="8528" spans="1:5" x14ac:dyDescent="0.25">
      <c r="A8528" s="41">
        <v>43821</v>
      </c>
      <c r="B8528" s="29">
        <v>143.03</v>
      </c>
      <c r="C8528" s="37">
        <f t="shared" si="272"/>
        <v>23.838333333333335</v>
      </c>
      <c r="D8528" s="37">
        <v>5.9119999999999999</v>
      </c>
      <c r="E8528" s="33">
        <f t="shared" si="273"/>
        <v>-0.1457325449441558</v>
      </c>
    </row>
    <row r="8529" spans="1:5" x14ac:dyDescent="0.25">
      <c r="A8529" s="41">
        <v>43821</v>
      </c>
      <c r="B8529" s="29">
        <v>159.16999999999999</v>
      </c>
      <c r="C8529" s="37">
        <f t="shared" si="272"/>
        <v>26.528333333333329</v>
      </c>
      <c r="D8529" s="37">
        <v>5.9119999999999999</v>
      </c>
      <c r="E8529" s="33">
        <f t="shared" si="273"/>
        <v>0.11284345941410884</v>
      </c>
    </row>
    <row r="8530" spans="1:5" x14ac:dyDescent="0.25">
      <c r="A8530" s="41">
        <v>43821</v>
      </c>
      <c r="B8530" s="29">
        <v>194.34</v>
      </c>
      <c r="C8530" s="37">
        <f t="shared" si="272"/>
        <v>32.39</v>
      </c>
      <c r="D8530" s="37">
        <v>5.9119999999999999</v>
      </c>
      <c r="E8530" s="33">
        <f t="shared" si="273"/>
        <v>0.22095872337752101</v>
      </c>
    </row>
    <row r="8531" spans="1:5" x14ac:dyDescent="0.25">
      <c r="A8531" s="41">
        <v>43821</v>
      </c>
      <c r="B8531" s="29">
        <v>196.68</v>
      </c>
      <c r="C8531" s="37">
        <f t="shared" si="272"/>
        <v>32.78</v>
      </c>
      <c r="D8531" s="37">
        <v>5.9119999999999999</v>
      </c>
      <c r="E8531" s="33">
        <f t="shared" si="273"/>
        <v>1.2040753318925611E-2</v>
      </c>
    </row>
    <row r="8532" spans="1:5" x14ac:dyDescent="0.25">
      <c r="A8532" s="41">
        <v>43821</v>
      </c>
      <c r="B8532" s="29">
        <v>201.55</v>
      </c>
      <c r="C8532" s="37">
        <f t="shared" si="272"/>
        <v>33.591666666666669</v>
      </c>
      <c r="D8532" s="37">
        <v>5.9119999999999999</v>
      </c>
      <c r="E8532" s="33">
        <f t="shared" si="273"/>
        <v>2.4761033150294917E-2</v>
      </c>
    </row>
    <row r="8533" spans="1:5" x14ac:dyDescent="0.25">
      <c r="A8533" s="41">
        <v>43821</v>
      </c>
      <c r="B8533" s="29">
        <v>203.71</v>
      </c>
      <c r="C8533" s="37">
        <f t="shared" si="272"/>
        <v>33.951666666666668</v>
      </c>
      <c r="D8533" s="37">
        <v>5.9119999999999999</v>
      </c>
      <c r="E8533" s="33">
        <f t="shared" si="273"/>
        <v>1.0716943686430148E-2</v>
      </c>
    </row>
    <row r="8534" spans="1:5" x14ac:dyDescent="0.25">
      <c r="A8534" s="41">
        <v>43821</v>
      </c>
      <c r="B8534" s="29">
        <v>203.65</v>
      </c>
      <c r="C8534" s="37">
        <f t="shared" si="272"/>
        <v>33.94166666666667</v>
      </c>
      <c r="D8534" s="37">
        <v>5.9119999999999999</v>
      </c>
      <c r="E8534" s="33">
        <f t="shared" si="273"/>
        <v>-2.9453635069462604E-4</v>
      </c>
    </row>
    <row r="8535" spans="1:5" x14ac:dyDescent="0.25">
      <c r="A8535" s="41">
        <v>43821</v>
      </c>
      <c r="B8535" s="29">
        <v>203.57</v>
      </c>
      <c r="C8535" s="37">
        <f t="shared" si="272"/>
        <v>33.928333333333335</v>
      </c>
      <c r="D8535" s="37">
        <v>5.9119999999999999</v>
      </c>
      <c r="E8535" s="33">
        <f t="shared" si="273"/>
        <v>-3.928308372207832E-4</v>
      </c>
    </row>
    <row r="8536" spans="1:5" x14ac:dyDescent="0.25">
      <c r="A8536" s="41">
        <v>43821</v>
      </c>
      <c r="B8536" s="29">
        <v>203.54</v>
      </c>
      <c r="C8536" s="37">
        <f t="shared" si="272"/>
        <v>33.923333333333332</v>
      </c>
      <c r="D8536" s="37">
        <v>5.9119999999999999</v>
      </c>
      <c r="E8536" s="33">
        <f t="shared" si="273"/>
        <v>-1.4736945522425278E-4</v>
      </c>
    </row>
    <row r="8537" spans="1:5" x14ac:dyDescent="0.25">
      <c r="A8537" s="41">
        <v>43821</v>
      </c>
      <c r="B8537" s="29">
        <v>203.53</v>
      </c>
      <c r="C8537" s="37">
        <f t="shared" si="272"/>
        <v>33.921666666666667</v>
      </c>
      <c r="D8537" s="37">
        <v>5.9119999999999999</v>
      </c>
      <c r="E8537" s="33">
        <f t="shared" si="273"/>
        <v>-4.9130392060483964E-5</v>
      </c>
    </row>
    <row r="8538" spans="1:5" x14ac:dyDescent="0.25">
      <c r="A8538" s="41">
        <v>43821</v>
      </c>
      <c r="B8538" s="29">
        <v>204.57</v>
      </c>
      <c r="C8538" s="37">
        <f t="shared" si="272"/>
        <v>34.094999999999999</v>
      </c>
      <c r="D8538" s="37">
        <v>5.9119999999999999</v>
      </c>
      <c r="E8538" s="33">
        <f t="shared" si="273"/>
        <v>5.1098118213530781E-3</v>
      </c>
    </row>
    <row r="8539" spans="1:5" x14ac:dyDescent="0.25">
      <c r="A8539" s="41">
        <v>43821</v>
      </c>
      <c r="B8539" s="29">
        <v>206.71</v>
      </c>
      <c r="C8539" s="37">
        <f t="shared" si="272"/>
        <v>34.451666666666668</v>
      </c>
      <c r="D8539" s="37">
        <v>5.9119999999999999</v>
      </c>
      <c r="E8539" s="33">
        <f t="shared" si="273"/>
        <v>1.0460966906193551E-2</v>
      </c>
    </row>
    <row r="8540" spans="1:5" x14ac:dyDescent="0.25">
      <c r="A8540" s="41">
        <v>43821</v>
      </c>
      <c r="B8540" s="29">
        <v>212.06</v>
      </c>
      <c r="C8540" s="37">
        <f t="shared" si="272"/>
        <v>35.343333333333334</v>
      </c>
      <c r="D8540" s="37">
        <v>5.9119999999999999</v>
      </c>
      <c r="E8540" s="33">
        <f t="shared" si="273"/>
        <v>2.5881669972425109E-2</v>
      </c>
    </row>
    <row r="8541" spans="1:5" x14ac:dyDescent="0.25">
      <c r="A8541" s="41">
        <v>43821</v>
      </c>
      <c r="B8541" s="29">
        <v>215.47</v>
      </c>
      <c r="C8541" s="37">
        <f t="shared" si="272"/>
        <v>35.911666666666669</v>
      </c>
      <c r="D8541" s="37">
        <v>5.9119999999999999</v>
      </c>
      <c r="E8541" s="33">
        <f t="shared" si="273"/>
        <v>1.6080354616617921E-2</v>
      </c>
    </row>
    <row r="8542" spans="1:5" x14ac:dyDescent="0.25">
      <c r="A8542" s="41">
        <v>43821</v>
      </c>
      <c r="B8542" s="29">
        <v>215.35</v>
      </c>
      <c r="C8542" s="37">
        <f t="shared" si="272"/>
        <v>35.891666666666666</v>
      </c>
      <c r="D8542" s="37">
        <v>5.9119999999999999</v>
      </c>
      <c r="E8542" s="33">
        <f t="shared" si="273"/>
        <v>-5.569220773193695E-4</v>
      </c>
    </row>
    <row r="8543" spans="1:5" x14ac:dyDescent="0.25">
      <c r="A8543" s="41">
        <v>43821</v>
      </c>
      <c r="B8543" s="29">
        <v>214.75</v>
      </c>
      <c r="C8543" s="37">
        <f t="shared" si="272"/>
        <v>35.791666666666664</v>
      </c>
      <c r="D8543" s="37">
        <v>5.9119999999999999</v>
      </c>
      <c r="E8543" s="33">
        <f t="shared" si="273"/>
        <v>-2.7861620617598993E-3</v>
      </c>
    </row>
    <row r="8544" spans="1:5" x14ac:dyDescent="0.25">
      <c r="A8544" s="41">
        <v>43821</v>
      </c>
      <c r="B8544" s="29">
        <v>212.27</v>
      </c>
      <c r="C8544" s="37">
        <f t="shared" si="272"/>
        <v>35.37833333333333</v>
      </c>
      <c r="D8544" s="37">
        <v>5.9119999999999999</v>
      </c>
      <c r="E8544" s="33">
        <f t="shared" si="273"/>
        <v>-1.1548311990686797E-2</v>
      </c>
    </row>
    <row r="8545" spans="1:5" x14ac:dyDescent="0.25">
      <c r="A8545" s="41">
        <v>43821</v>
      </c>
      <c r="B8545" s="29">
        <v>207.14</v>
      </c>
      <c r="C8545" s="37">
        <f t="shared" si="272"/>
        <v>34.523333333333333</v>
      </c>
      <c r="D8545" s="37">
        <v>5.9119999999999999</v>
      </c>
      <c r="E8545" s="33">
        <f t="shared" si="273"/>
        <v>-2.4167334055683911E-2</v>
      </c>
    </row>
    <row r="8546" spans="1:5" x14ac:dyDescent="0.25">
      <c r="A8546" s="41">
        <v>43822</v>
      </c>
      <c r="B8546" s="29">
        <v>203.97</v>
      </c>
      <c r="C8546" s="37">
        <f t="shared" si="272"/>
        <v>33.994999999999997</v>
      </c>
      <c r="D8546" s="37">
        <v>5.4939999999999998</v>
      </c>
      <c r="E8546" s="33">
        <f t="shared" si="273"/>
        <v>-1.5303659360818711E-2</v>
      </c>
    </row>
    <row r="8547" spans="1:5" x14ac:dyDescent="0.25">
      <c r="A8547" s="41">
        <v>43822</v>
      </c>
      <c r="B8547" s="29">
        <v>201.69</v>
      </c>
      <c r="C8547" s="37">
        <f t="shared" si="272"/>
        <v>33.615000000000002</v>
      </c>
      <c r="D8547" s="37">
        <v>5.4939999999999998</v>
      </c>
      <c r="E8547" s="33">
        <f t="shared" si="273"/>
        <v>-1.1178114428592446E-2</v>
      </c>
    </row>
    <row r="8548" spans="1:5" x14ac:dyDescent="0.25">
      <c r="A8548" s="41">
        <v>43822</v>
      </c>
      <c r="B8548" s="29">
        <v>199.79</v>
      </c>
      <c r="C8548" s="37">
        <f t="shared" si="272"/>
        <v>33.298333333333332</v>
      </c>
      <c r="D8548" s="37">
        <v>5.4939999999999998</v>
      </c>
      <c r="E8548" s="33">
        <f t="shared" si="273"/>
        <v>-9.4203976399425144E-3</v>
      </c>
    </row>
    <row r="8549" spans="1:5" x14ac:dyDescent="0.25">
      <c r="A8549" s="41">
        <v>43822</v>
      </c>
      <c r="B8549" s="29">
        <v>199.05</v>
      </c>
      <c r="C8549" s="37">
        <f t="shared" si="272"/>
        <v>33.174999999999997</v>
      </c>
      <c r="D8549" s="37">
        <v>5.4939999999999998</v>
      </c>
      <c r="E8549" s="33">
        <f t="shared" si="273"/>
        <v>-3.7038890835376179E-3</v>
      </c>
    </row>
    <row r="8550" spans="1:5" x14ac:dyDescent="0.25">
      <c r="A8550" s="41">
        <v>43822</v>
      </c>
      <c r="B8550" s="29">
        <v>199.59</v>
      </c>
      <c r="C8550" s="37">
        <f t="shared" si="272"/>
        <v>33.265000000000001</v>
      </c>
      <c r="D8550" s="37">
        <v>5.4939999999999998</v>
      </c>
      <c r="E8550" s="33">
        <f t="shared" si="273"/>
        <v>2.7128862094950618E-3</v>
      </c>
    </row>
    <row r="8551" spans="1:5" x14ac:dyDescent="0.25">
      <c r="A8551" s="41">
        <v>43822</v>
      </c>
      <c r="B8551" s="29">
        <v>199.91</v>
      </c>
      <c r="C8551" s="37">
        <f t="shared" si="272"/>
        <v>33.318333333333335</v>
      </c>
      <c r="D8551" s="37">
        <v>5.4939999999999998</v>
      </c>
      <c r="E8551" s="33">
        <f t="shared" si="273"/>
        <v>1.6032867378124815E-3</v>
      </c>
    </row>
    <row r="8552" spans="1:5" x14ac:dyDescent="0.25">
      <c r="A8552" s="41">
        <v>43822</v>
      </c>
      <c r="B8552" s="29">
        <v>203.67</v>
      </c>
      <c r="C8552" s="37">
        <f t="shared" si="272"/>
        <v>33.945</v>
      </c>
      <c r="D8552" s="37">
        <v>5.4939999999999998</v>
      </c>
      <c r="E8552" s="33">
        <f t="shared" si="273"/>
        <v>1.8808463808713875E-2</v>
      </c>
    </row>
    <row r="8553" spans="1:5" x14ac:dyDescent="0.25">
      <c r="A8553" s="41">
        <v>43822</v>
      </c>
      <c r="B8553" s="29">
        <v>210.41</v>
      </c>
      <c r="C8553" s="37">
        <f t="shared" si="272"/>
        <v>35.068333333333335</v>
      </c>
      <c r="D8553" s="37">
        <v>5.4939999999999998</v>
      </c>
      <c r="E8553" s="33">
        <f t="shared" si="273"/>
        <v>3.3092748072863012E-2</v>
      </c>
    </row>
    <row r="8554" spans="1:5" x14ac:dyDescent="0.25">
      <c r="A8554" s="41">
        <v>43822</v>
      </c>
      <c r="B8554" s="29">
        <v>216.71</v>
      </c>
      <c r="C8554" s="37">
        <f t="shared" si="272"/>
        <v>36.118333333333332</v>
      </c>
      <c r="D8554" s="37">
        <v>5.4939999999999998</v>
      </c>
      <c r="E8554" s="33">
        <f t="shared" si="273"/>
        <v>2.9941542702343098E-2</v>
      </c>
    </row>
    <row r="8555" spans="1:5" x14ac:dyDescent="0.25">
      <c r="A8555" s="41">
        <v>43822</v>
      </c>
      <c r="B8555" s="29">
        <v>218.43</v>
      </c>
      <c r="C8555" s="37">
        <f t="shared" si="272"/>
        <v>36.405000000000001</v>
      </c>
      <c r="D8555" s="37">
        <v>5.4939999999999998</v>
      </c>
      <c r="E8555" s="33">
        <f t="shared" si="273"/>
        <v>7.9368741636288067E-3</v>
      </c>
    </row>
    <row r="8556" spans="1:5" x14ac:dyDescent="0.25">
      <c r="A8556" s="41">
        <v>43822</v>
      </c>
      <c r="B8556" s="29">
        <v>220.13</v>
      </c>
      <c r="C8556" s="37">
        <f t="shared" si="272"/>
        <v>36.688333333333333</v>
      </c>
      <c r="D8556" s="37">
        <v>5.4939999999999998</v>
      </c>
      <c r="E8556" s="33">
        <f t="shared" si="273"/>
        <v>7.7828137160645908E-3</v>
      </c>
    </row>
    <row r="8557" spans="1:5" x14ac:dyDescent="0.25">
      <c r="A8557" s="41">
        <v>43822</v>
      </c>
      <c r="B8557" s="29">
        <v>220.08</v>
      </c>
      <c r="C8557" s="37">
        <f t="shared" si="272"/>
        <v>36.68</v>
      </c>
      <c r="D8557" s="37">
        <v>5.4939999999999998</v>
      </c>
      <c r="E8557" s="33">
        <f t="shared" si="273"/>
        <v>-2.2713850906274906E-4</v>
      </c>
    </row>
    <row r="8558" spans="1:5" x14ac:dyDescent="0.25">
      <c r="A8558" s="41">
        <v>43822</v>
      </c>
      <c r="B8558" s="29">
        <v>219.26</v>
      </c>
      <c r="C8558" s="37">
        <f t="shared" si="272"/>
        <v>36.543333333333337</v>
      </c>
      <c r="D8558" s="37">
        <v>5.4939999999999998</v>
      </c>
      <c r="E8558" s="33">
        <f t="shared" si="273"/>
        <v>-3.7259178480553504E-3</v>
      </c>
    </row>
    <row r="8559" spans="1:5" x14ac:dyDescent="0.25">
      <c r="A8559" s="41">
        <v>43822</v>
      </c>
      <c r="B8559" s="29">
        <v>220.3</v>
      </c>
      <c r="C8559" s="37">
        <f t="shared" si="272"/>
        <v>36.716666666666669</v>
      </c>
      <c r="D8559" s="37">
        <v>5.4939999999999998</v>
      </c>
      <c r="E8559" s="33">
        <f t="shared" si="273"/>
        <v>4.7432272188270572E-3</v>
      </c>
    </row>
    <row r="8560" spans="1:5" x14ac:dyDescent="0.25">
      <c r="A8560" s="41">
        <v>43822</v>
      </c>
      <c r="B8560" s="29">
        <v>220.43</v>
      </c>
      <c r="C8560" s="37">
        <f t="shared" si="272"/>
        <v>36.738333333333337</v>
      </c>
      <c r="D8560" s="37">
        <v>5.4939999999999998</v>
      </c>
      <c r="E8560" s="33">
        <f t="shared" si="273"/>
        <v>5.9010440308667931E-4</v>
      </c>
    </row>
    <row r="8561" spans="1:5" x14ac:dyDescent="0.25">
      <c r="A8561" s="41">
        <v>43822</v>
      </c>
      <c r="B8561" s="29">
        <v>220.14</v>
      </c>
      <c r="C8561" s="37">
        <f t="shared" si="272"/>
        <v>36.69</v>
      </c>
      <c r="D8561" s="37">
        <v>5.4939999999999998</v>
      </c>
      <c r="E8561" s="33">
        <f t="shared" si="273"/>
        <v>-1.3156103978588234E-3</v>
      </c>
    </row>
    <row r="8562" spans="1:5" x14ac:dyDescent="0.25">
      <c r="A8562" s="41">
        <v>43822</v>
      </c>
      <c r="B8562" s="29">
        <v>219</v>
      </c>
      <c r="C8562" s="37">
        <f t="shared" si="272"/>
        <v>36.5</v>
      </c>
      <c r="D8562" s="37">
        <v>5.4939999999999998</v>
      </c>
      <c r="E8562" s="33">
        <f t="shared" si="273"/>
        <v>-5.1785227582446915E-3</v>
      </c>
    </row>
    <row r="8563" spans="1:5" x14ac:dyDescent="0.25">
      <c r="A8563" s="41">
        <v>43822</v>
      </c>
      <c r="B8563" s="29">
        <v>218.11</v>
      </c>
      <c r="C8563" s="37">
        <f t="shared" si="272"/>
        <v>36.351666666666667</v>
      </c>
      <c r="D8563" s="37">
        <v>5.4939999999999998</v>
      </c>
      <c r="E8563" s="33">
        <f t="shared" si="273"/>
        <v>-4.063926940639207E-3</v>
      </c>
    </row>
    <row r="8564" spans="1:5" x14ac:dyDescent="0.25">
      <c r="A8564" s="41">
        <v>43822</v>
      </c>
      <c r="B8564" s="29">
        <v>217.72</v>
      </c>
      <c r="C8564" s="37">
        <f t="shared" si="272"/>
        <v>36.286666666666669</v>
      </c>
      <c r="D8564" s="37">
        <v>5.4939999999999998</v>
      </c>
      <c r="E8564" s="33">
        <f t="shared" si="273"/>
        <v>-1.7880885791573735E-3</v>
      </c>
    </row>
    <row r="8565" spans="1:5" x14ac:dyDescent="0.25">
      <c r="A8565" s="41">
        <v>43822</v>
      </c>
      <c r="B8565" s="29">
        <v>218.59</v>
      </c>
      <c r="C8565" s="37">
        <f t="shared" si="272"/>
        <v>36.431666666666665</v>
      </c>
      <c r="D8565" s="37">
        <v>5.4939999999999998</v>
      </c>
      <c r="E8565" s="33">
        <f t="shared" si="273"/>
        <v>3.9959581113356811E-3</v>
      </c>
    </row>
    <row r="8566" spans="1:5" x14ac:dyDescent="0.25">
      <c r="A8566" s="41">
        <v>43822</v>
      </c>
      <c r="B8566" s="29">
        <v>218.26</v>
      </c>
      <c r="C8566" s="37">
        <f t="shared" si="272"/>
        <v>36.376666666666665</v>
      </c>
      <c r="D8566" s="37">
        <v>5.4939999999999998</v>
      </c>
      <c r="E8566" s="33">
        <f t="shared" si="273"/>
        <v>-1.5096756484743697E-3</v>
      </c>
    </row>
    <row r="8567" spans="1:5" x14ac:dyDescent="0.25">
      <c r="A8567" s="41">
        <v>43822</v>
      </c>
      <c r="B8567" s="29">
        <v>217.89</v>
      </c>
      <c r="C8567" s="37">
        <f t="shared" si="272"/>
        <v>36.314999999999998</v>
      </c>
      <c r="D8567" s="37">
        <v>5.4939999999999998</v>
      </c>
      <c r="E8567" s="33">
        <f t="shared" si="273"/>
        <v>-1.6952258773939547E-3</v>
      </c>
    </row>
    <row r="8568" spans="1:5" x14ac:dyDescent="0.25">
      <c r="A8568" s="41">
        <v>43822</v>
      </c>
      <c r="B8568" s="29">
        <v>216.91</v>
      </c>
      <c r="C8568" s="37">
        <f t="shared" si="272"/>
        <v>36.151666666666664</v>
      </c>
      <c r="D8568" s="37">
        <v>5.4939999999999998</v>
      </c>
      <c r="E8568" s="33">
        <f t="shared" si="273"/>
        <v>-4.4976823167652939E-3</v>
      </c>
    </row>
    <row r="8569" spans="1:5" x14ac:dyDescent="0.25">
      <c r="A8569" s="41">
        <v>43822</v>
      </c>
      <c r="B8569" s="29">
        <v>213.96</v>
      </c>
      <c r="C8569" s="37">
        <f t="shared" si="272"/>
        <v>35.659999999999997</v>
      </c>
      <c r="D8569" s="37">
        <v>5.4939999999999998</v>
      </c>
      <c r="E8569" s="33">
        <f t="shared" si="273"/>
        <v>-1.3600110644967908E-2</v>
      </c>
    </row>
    <row r="8570" spans="1:5" x14ac:dyDescent="0.25">
      <c r="A8570" s="41">
        <v>43823</v>
      </c>
      <c r="B8570" s="29">
        <v>204.75</v>
      </c>
      <c r="C8570" s="37">
        <f t="shared" si="272"/>
        <v>34.125</v>
      </c>
      <c r="D8570" s="37">
        <v>4.9820000000000002</v>
      </c>
      <c r="E8570" s="33">
        <f t="shared" si="273"/>
        <v>-4.3045429052159315E-2</v>
      </c>
    </row>
    <row r="8571" spans="1:5" x14ac:dyDescent="0.25">
      <c r="A8571" s="41">
        <v>43823</v>
      </c>
      <c r="B8571" s="29">
        <v>201.04</v>
      </c>
      <c r="C8571" s="37">
        <f t="shared" si="272"/>
        <v>33.506666666666668</v>
      </c>
      <c r="D8571" s="37">
        <v>4.9820000000000002</v>
      </c>
      <c r="E8571" s="33">
        <f t="shared" si="273"/>
        <v>-1.8119658119658159E-2</v>
      </c>
    </row>
    <row r="8572" spans="1:5" x14ac:dyDescent="0.25">
      <c r="A8572" s="41">
        <v>43823</v>
      </c>
      <c r="B8572" s="29">
        <v>199.48</v>
      </c>
      <c r="C8572" s="37">
        <f t="shared" si="272"/>
        <v>33.24666666666667</v>
      </c>
      <c r="D8572" s="37">
        <v>4.9820000000000002</v>
      </c>
      <c r="E8572" s="33">
        <f t="shared" si="273"/>
        <v>-7.7596498209311698E-3</v>
      </c>
    </row>
    <row r="8573" spans="1:5" x14ac:dyDescent="0.25">
      <c r="A8573" s="41">
        <v>43823</v>
      </c>
      <c r="B8573" s="29">
        <v>199.15</v>
      </c>
      <c r="C8573" s="37">
        <f t="shared" si="272"/>
        <v>33.19166666666667</v>
      </c>
      <c r="D8573" s="37">
        <v>4.9820000000000002</v>
      </c>
      <c r="E8573" s="33">
        <f t="shared" si="273"/>
        <v>-1.6543011830759179E-3</v>
      </c>
    </row>
    <row r="8574" spans="1:5" x14ac:dyDescent="0.25">
      <c r="A8574" s="41">
        <v>43823</v>
      </c>
      <c r="B8574" s="29">
        <v>199.2</v>
      </c>
      <c r="C8574" s="37">
        <f t="shared" si="272"/>
        <v>33.200000000000003</v>
      </c>
      <c r="D8574" s="37">
        <v>4.9820000000000002</v>
      </c>
      <c r="E8574" s="33">
        <f t="shared" si="273"/>
        <v>2.510670348982322E-4</v>
      </c>
    </row>
    <row r="8575" spans="1:5" x14ac:dyDescent="0.25">
      <c r="A8575" s="41">
        <v>43823</v>
      </c>
      <c r="B8575" s="29">
        <v>198.27</v>
      </c>
      <c r="C8575" s="37">
        <f t="shared" si="272"/>
        <v>33.045000000000002</v>
      </c>
      <c r="D8575" s="37">
        <v>4.9820000000000002</v>
      </c>
      <c r="E8575" s="33">
        <f t="shared" si="273"/>
        <v>-4.6686746987950724E-3</v>
      </c>
    </row>
    <row r="8576" spans="1:5" x14ac:dyDescent="0.25">
      <c r="A8576" s="41">
        <v>43823</v>
      </c>
      <c r="B8576" s="29">
        <v>196.68</v>
      </c>
      <c r="C8576" s="37">
        <f t="shared" si="272"/>
        <v>32.78</v>
      </c>
      <c r="D8576" s="37">
        <v>4.9820000000000002</v>
      </c>
      <c r="E8576" s="33">
        <f t="shared" si="273"/>
        <v>-8.0193675291269657E-3</v>
      </c>
    </row>
    <row r="8577" spans="1:5" x14ac:dyDescent="0.25">
      <c r="A8577" s="41">
        <v>43823</v>
      </c>
      <c r="B8577" s="29">
        <v>198.85</v>
      </c>
      <c r="C8577" s="37">
        <f t="shared" si="272"/>
        <v>33.141666666666666</v>
      </c>
      <c r="D8577" s="37">
        <v>4.9820000000000002</v>
      </c>
      <c r="E8577" s="33">
        <f t="shared" si="273"/>
        <v>1.1033150294895197E-2</v>
      </c>
    </row>
    <row r="8578" spans="1:5" x14ac:dyDescent="0.25">
      <c r="A8578" s="41">
        <v>43823</v>
      </c>
      <c r="B8578" s="29">
        <v>205.55</v>
      </c>
      <c r="C8578" s="37">
        <f t="shared" si="272"/>
        <v>34.258333333333333</v>
      </c>
      <c r="D8578" s="37">
        <v>4.9820000000000002</v>
      </c>
      <c r="E8578" s="33">
        <f t="shared" si="273"/>
        <v>3.3693738999245749E-2</v>
      </c>
    </row>
    <row r="8579" spans="1:5" x14ac:dyDescent="0.25">
      <c r="A8579" s="41">
        <v>43823</v>
      </c>
      <c r="B8579" s="29">
        <v>210.14</v>
      </c>
      <c r="C8579" s="37">
        <f t="shared" ref="C8579:C8642" si="274">(B8579*100/600)</f>
        <v>35.023333333333333</v>
      </c>
      <c r="D8579" s="37">
        <v>4.9820000000000002</v>
      </c>
      <c r="E8579" s="33">
        <f t="shared" si="273"/>
        <v>2.2330333252249937E-2</v>
      </c>
    </row>
    <row r="8580" spans="1:5" x14ac:dyDescent="0.25">
      <c r="A8580" s="41">
        <v>43823</v>
      </c>
      <c r="B8580" s="29">
        <v>212.23</v>
      </c>
      <c r="C8580" s="37">
        <f t="shared" si="274"/>
        <v>35.37166666666667</v>
      </c>
      <c r="D8580" s="37">
        <v>4.9820000000000002</v>
      </c>
      <c r="E8580" s="33">
        <f t="shared" ref="E8580:E8643" si="275">(B8580-B8579)/B8579</f>
        <v>9.9457504520795836E-3</v>
      </c>
    </row>
    <row r="8581" spans="1:5" x14ac:dyDescent="0.25">
      <c r="A8581" s="41">
        <v>43823</v>
      </c>
      <c r="B8581" s="29">
        <v>212.37</v>
      </c>
      <c r="C8581" s="37">
        <f t="shared" si="274"/>
        <v>35.395000000000003</v>
      </c>
      <c r="D8581" s="37">
        <v>4.9820000000000002</v>
      </c>
      <c r="E8581" s="33">
        <f t="shared" si="275"/>
        <v>6.596616877916166E-4</v>
      </c>
    </row>
    <row r="8582" spans="1:5" x14ac:dyDescent="0.25">
      <c r="A8582" s="41">
        <v>43823</v>
      </c>
      <c r="B8582" s="29">
        <v>212.37</v>
      </c>
      <c r="C8582" s="37">
        <f t="shared" si="274"/>
        <v>35.395000000000003</v>
      </c>
      <c r="D8582" s="37">
        <v>4.9820000000000002</v>
      </c>
      <c r="E8582" s="33">
        <f t="shared" si="275"/>
        <v>0</v>
      </c>
    </row>
    <row r="8583" spans="1:5" x14ac:dyDescent="0.25">
      <c r="A8583" s="41">
        <v>43823</v>
      </c>
      <c r="B8583" s="29">
        <v>212.37</v>
      </c>
      <c r="C8583" s="37">
        <f t="shared" si="274"/>
        <v>35.395000000000003</v>
      </c>
      <c r="D8583" s="37">
        <v>4.9820000000000002</v>
      </c>
      <c r="E8583" s="33">
        <f t="shared" si="275"/>
        <v>0</v>
      </c>
    </row>
    <row r="8584" spans="1:5" x14ac:dyDescent="0.25">
      <c r="A8584" s="41">
        <v>43823</v>
      </c>
      <c r="B8584" s="29">
        <v>212.37</v>
      </c>
      <c r="C8584" s="37">
        <f t="shared" si="274"/>
        <v>35.395000000000003</v>
      </c>
      <c r="D8584" s="37">
        <v>4.9820000000000002</v>
      </c>
      <c r="E8584" s="33">
        <f t="shared" si="275"/>
        <v>0</v>
      </c>
    </row>
    <row r="8585" spans="1:5" x14ac:dyDescent="0.25">
      <c r="A8585" s="41">
        <v>43823</v>
      </c>
      <c r="B8585" s="29">
        <v>212.37</v>
      </c>
      <c r="C8585" s="37">
        <f t="shared" si="274"/>
        <v>35.395000000000003</v>
      </c>
      <c r="D8585" s="37">
        <v>4.9820000000000002</v>
      </c>
      <c r="E8585" s="33">
        <f t="shared" si="275"/>
        <v>0</v>
      </c>
    </row>
    <row r="8586" spans="1:5" x14ac:dyDescent="0.25">
      <c r="A8586" s="41">
        <v>43823</v>
      </c>
      <c r="B8586" s="29">
        <v>212.33</v>
      </c>
      <c r="C8586" s="37">
        <f t="shared" si="274"/>
        <v>35.388333333333335</v>
      </c>
      <c r="D8586" s="37">
        <v>4.9820000000000002</v>
      </c>
      <c r="E8586" s="33">
        <f t="shared" si="275"/>
        <v>-1.883505203182749E-4</v>
      </c>
    </row>
    <row r="8587" spans="1:5" x14ac:dyDescent="0.25">
      <c r="A8587" s="41">
        <v>43823</v>
      </c>
      <c r="B8587" s="29">
        <v>212.2</v>
      </c>
      <c r="C8587" s="37">
        <f t="shared" si="274"/>
        <v>35.366666666666667</v>
      </c>
      <c r="D8587" s="37">
        <v>4.9820000000000002</v>
      </c>
      <c r="E8587" s="33">
        <f t="shared" si="275"/>
        <v>-6.1225450949005725E-4</v>
      </c>
    </row>
    <row r="8588" spans="1:5" x14ac:dyDescent="0.25">
      <c r="A8588" s="41">
        <v>43823</v>
      </c>
      <c r="B8588" s="29">
        <v>213.1</v>
      </c>
      <c r="C8588" s="37">
        <f t="shared" si="274"/>
        <v>35.516666666666666</v>
      </c>
      <c r="D8588" s="37">
        <v>4.9820000000000002</v>
      </c>
      <c r="E8588" s="33">
        <f t="shared" si="275"/>
        <v>4.2412818096135988E-3</v>
      </c>
    </row>
    <row r="8589" spans="1:5" x14ac:dyDescent="0.25">
      <c r="A8589" s="41">
        <v>43823</v>
      </c>
      <c r="B8589" s="29">
        <v>215.67</v>
      </c>
      <c r="C8589" s="37">
        <f t="shared" si="274"/>
        <v>35.945</v>
      </c>
      <c r="D8589" s="37">
        <v>4.9820000000000002</v>
      </c>
      <c r="E8589" s="33">
        <f t="shared" si="275"/>
        <v>1.2060065696855905E-2</v>
      </c>
    </row>
    <row r="8590" spans="1:5" x14ac:dyDescent="0.25">
      <c r="A8590" s="41">
        <v>43823</v>
      </c>
      <c r="B8590" s="29">
        <v>213.6</v>
      </c>
      <c r="C8590" s="37">
        <f t="shared" si="274"/>
        <v>35.6</v>
      </c>
      <c r="D8590" s="37">
        <v>4.9820000000000002</v>
      </c>
      <c r="E8590" s="33">
        <f t="shared" si="275"/>
        <v>-9.5979969397690604E-3</v>
      </c>
    </row>
    <row r="8591" spans="1:5" x14ac:dyDescent="0.25">
      <c r="A8591" s="41">
        <v>43823</v>
      </c>
      <c r="B8591" s="29">
        <v>211.59</v>
      </c>
      <c r="C8591" s="37">
        <f t="shared" si="274"/>
        <v>35.265000000000001</v>
      </c>
      <c r="D8591" s="37">
        <v>4.9820000000000002</v>
      </c>
      <c r="E8591" s="33">
        <f t="shared" si="275"/>
        <v>-9.4101123595505196E-3</v>
      </c>
    </row>
    <row r="8592" spans="1:5" x14ac:dyDescent="0.25">
      <c r="A8592" s="41">
        <v>43823</v>
      </c>
      <c r="B8592" s="29">
        <v>208.1</v>
      </c>
      <c r="C8592" s="37">
        <f t="shared" si="274"/>
        <v>34.68333333333333</v>
      </c>
      <c r="D8592" s="37">
        <v>4.9820000000000002</v>
      </c>
      <c r="E8592" s="33">
        <f t="shared" si="275"/>
        <v>-1.6494163240228787E-2</v>
      </c>
    </row>
    <row r="8593" spans="1:5" x14ac:dyDescent="0.25">
      <c r="A8593" s="41">
        <v>43823</v>
      </c>
      <c r="B8593" s="29">
        <v>204.13</v>
      </c>
      <c r="C8593" s="37">
        <f t="shared" si="274"/>
        <v>34.021666666666668</v>
      </c>
      <c r="D8593" s="37">
        <v>4.9820000000000002</v>
      </c>
      <c r="E8593" s="33">
        <f t="shared" si="275"/>
        <v>-1.9077366650648721E-2</v>
      </c>
    </row>
    <row r="8594" spans="1:5" x14ac:dyDescent="0.25">
      <c r="A8594" s="41">
        <v>43824</v>
      </c>
      <c r="B8594" s="29">
        <v>128.32</v>
      </c>
      <c r="C8594" s="37">
        <f t="shared" si="274"/>
        <v>21.386666666666667</v>
      </c>
      <c r="D8594" s="37">
        <v>4.5330000000000004</v>
      </c>
      <c r="E8594" s="33">
        <f t="shared" si="275"/>
        <v>-0.37138098270709846</v>
      </c>
    </row>
    <row r="8595" spans="1:5" x14ac:dyDescent="0.25">
      <c r="A8595" s="41">
        <v>43824</v>
      </c>
      <c r="B8595" s="29">
        <v>126.21</v>
      </c>
      <c r="C8595" s="37">
        <f t="shared" si="274"/>
        <v>21.035</v>
      </c>
      <c r="D8595" s="37">
        <v>4.5330000000000004</v>
      </c>
      <c r="E8595" s="33">
        <f t="shared" si="275"/>
        <v>-1.6443266832917702E-2</v>
      </c>
    </row>
    <row r="8596" spans="1:5" x14ac:dyDescent="0.25">
      <c r="A8596" s="41">
        <v>43824</v>
      </c>
      <c r="B8596" s="29">
        <v>123.38</v>
      </c>
      <c r="C8596" s="37">
        <f t="shared" si="274"/>
        <v>20.563333333333333</v>
      </c>
      <c r="D8596" s="37">
        <v>4.5330000000000004</v>
      </c>
      <c r="E8596" s="33">
        <f t="shared" si="275"/>
        <v>-2.2422945883844372E-2</v>
      </c>
    </row>
    <row r="8597" spans="1:5" x14ac:dyDescent="0.25">
      <c r="A8597" s="41">
        <v>43824</v>
      </c>
      <c r="B8597" s="29">
        <v>79.16</v>
      </c>
      <c r="C8597" s="37">
        <f t="shared" si="274"/>
        <v>13.193333333333333</v>
      </c>
      <c r="D8597" s="37">
        <v>4.5330000000000004</v>
      </c>
      <c r="E8597" s="33">
        <f t="shared" si="275"/>
        <v>-0.35840492786513212</v>
      </c>
    </row>
    <row r="8598" spans="1:5" x14ac:dyDescent="0.25">
      <c r="A8598" s="41">
        <v>43824</v>
      </c>
      <c r="B8598" s="29">
        <v>71.459999999999994</v>
      </c>
      <c r="C8598" s="37">
        <f t="shared" si="274"/>
        <v>11.909999999999998</v>
      </c>
      <c r="D8598" s="37">
        <v>4.5330000000000004</v>
      </c>
      <c r="E8598" s="33">
        <f t="shared" si="275"/>
        <v>-9.7271349166245621E-2</v>
      </c>
    </row>
    <row r="8599" spans="1:5" x14ac:dyDescent="0.25">
      <c r="A8599" s="41">
        <v>43824</v>
      </c>
      <c r="B8599" s="29">
        <v>42.35</v>
      </c>
      <c r="C8599" s="37">
        <f t="shared" si="274"/>
        <v>7.0583333333333336</v>
      </c>
      <c r="D8599" s="37">
        <v>4.5330000000000004</v>
      </c>
      <c r="E8599" s="33">
        <f t="shared" si="275"/>
        <v>-0.40736076126504334</v>
      </c>
    </row>
    <row r="8600" spans="1:5" x14ac:dyDescent="0.25">
      <c r="A8600" s="41">
        <v>43824</v>
      </c>
      <c r="B8600" s="29">
        <v>42.35</v>
      </c>
      <c r="C8600" s="37">
        <f t="shared" si="274"/>
        <v>7.0583333333333336</v>
      </c>
      <c r="D8600" s="37">
        <v>4.5330000000000004</v>
      </c>
      <c r="E8600" s="33">
        <f t="shared" si="275"/>
        <v>0</v>
      </c>
    </row>
    <row r="8601" spans="1:5" x14ac:dyDescent="0.25">
      <c r="A8601" s="41">
        <v>43824</v>
      </c>
      <c r="B8601" s="29">
        <v>42.35</v>
      </c>
      <c r="C8601" s="37">
        <f t="shared" si="274"/>
        <v>7.0583333333333336</v>
      </c>
      <c r="D8601" s="37">
        <v>4.5330000000000004</v>
      </c>
      <c r="E8601" s="33">
        <f t="shared" si="275"/>
        <v>0</v>
      </c>
    </row>
    <row r="8602" spans="1:5" x14ac:dyDescent="0.25">
      <c r="A8602" s="41">
        <v>43824</v>
      </c>
      <c r="B8602" s="29">
        <v>42.35</v>
      </c>
      <c r="C8602" s="37">
        <f t="shared" si="274"/>
        <v>7.0583333333333336</v>
      </c>
      <c r="D8602" s="37">
        <v>4.5330000000000004</v>
      </c>
      <c r="E8602" s="33">
        <f t="shared" si="275"/>
        <v>0</v>
      </c>
    </row>
    <row r="8603" spans="1:5" x14ac:dyDescent="0.25">
      <c r="A8603" s="41">
        <v>43824</v>
      </c>
      <c r="B8603" s="29">
        <v>79.17</v>
      </c>
      <c r="C8603" s="37">
        <f t="shared" si="274"/>
        <v>13.195</v>
      </c>
      <c r="D8603" s="37">
        <v>4.5330000000000004</v>
      </c>
      <c r="E8603" s="33">
        <f t="shared" si="275"/>
        <v>0.86942148760330573</v>
      </c>
    </row>
    <row r="8604" spans="1:5" x14ac:dyDescent="0.25">
      <c r="A8604" s="41">
        <v>43824</v>
      </c>
      <c r="B8604" s="29">
        <v>122.45</v>
      </c>
      <c r="C8604" s="37">
        <f t="shared" si="274"/>
        <v>20.408333333333335</v>
      </c>
      <c r="D8604" s="37">
        <v>4.5330000000000004</v>
      </c>
      <c r="E8604" s="33">
        <f t="shared" si="275"/>
        <v>0.54667171908551215</v>
      </c>
    </row>
    <row r="8605" spans="1:5" x14ac:dyDescent="0.25">
      <c r="A8605" s="41">
        <v>43824</v>
      </c>
      <c r="B8605" s="29">
        <v>122.37</v>
      </c>
      <c r="C8605" s="37">
        <f t="shared" si="274"/>
        <v>20.395</v>
      </c>
      <c r="D8605" s="37">
        <v>4.5330000000000004</v>
      </c>
      <c r="E8605" s="33">
        <f t="shared" si="275"/>
        <v>-6.5332788893424489E-4</v>
      </c>
    </row>
    <row r="8606" spans="1:5" x14ac:dyDescent="0.25">
      <c r="A8606" s="41">
        <v>43824</v>
      </c>
      <c r="B8606" s="29">
        <v>116.9</v>
      </c>
      <c r="C8606" s="37">
        <f t="shared" si="274"/>
        <v>19.483333333333334</v>
      </c>
      <c r="D8606" s="37">
        <v>4.5330000000000004</v>
      </c>
      <c r="E8606" s="33">
        <f t="shared" si="275"/>
        <v>-4.4700498488191541E-2</v>
      </c>
    </row>
    <row r="8607" spans="1:5" x14ac:dyDescent="0.25">
      <c r="A8607" s="41">
        <v>43824</v>
      </c>
      <c r="B8607" s="29">
        <v>82.3</v>
      </c>
      <c r="C8607" s="37">
        <f t="shared" si="274"/>
        <v>13.716666666666667</v>
      </c>
      <c r="D8607" s="37">
        <v>4.5330000000000004</v>
      </c>
      <c r="E8607" s="33">
        <f t="shared" si="275"/>
        <v>-0.29597946963216432</v>
      </c>
    </row>
    <row r="8608" spans="1:5" x14ac:dyDescent="0.25">
      <c r="A8608" s="41">
        <v>43824</v>
      </c>
      <c r="B8608" s="29">
        <v>82.48</v>
      </c>
      <c r="C8608" s="37">
        <f t="shared" si="274"/>
        <v>13.746666666666666</v>
      </c>
      <c r="D8608" s="37">
        <v>4.5330000000000004</v>
      </c>
      <c r="E8608" s="33">
        <f t="shared" si="275"/>
        <v>2.1871202916161217E-3</v>
      </c>
    </row>
    <row r="8609" spans="1:5" x14ac:dyDescent="0.25">
      <c r="A8609" s="41">
        <v>43824</v>
      </c>
      <c r="B8609" s="29">
        <v>112.91</v>
      </c>
      <c r="C8609" s="37">
        <f t="shared" si="274"/>
        <v>18.818333333333332</v>
      </c>
      <c r="D8609" s="37">
        <v>4.5330000000000004</v>
      </c>
      <c r="E8609" s="33">
        <f t="shared" si="275"/>
        <v>0.36893792434529571</v>
      </c>
    </row>
    <row r="8610" spans="1:5" x14ac:dyDescent="0.25">
      <c r="A8610" s="41">
        <v>43824</v>
      </c>
      <c r="B8610" s="29">
        <v>124.08</v>
      </c>
      <c r="C8610" s="37">
        <f t="shared" si="274"/>
        <v>20.68</v>
      </c>
      <c r="D8610" s="37">
        <v>4.5330000000000004</v>
      </c>
      <c r="E8610" s="33">
        <f t="shared" si="275"/>
        <v>9.8928350013284941E-2</v>
      </c>
    </row>
    <row r="8611" spans="1:5" x14ac:dyDescent="0.25">
      <c r="A8611" s="41">
        <v>43824</v>
      </c>
      <c r="B8611" s="29">
        <v>172.75</v>
      </c>
      <c r="C8611" s="37">
        <f t="shared" si="274"/>
        <v>28.791666666666668</v>
      </c>
      <c r="D8611" s="37">
        <v>4.5330000000000004</v>
      </c>
      <c r="E8611" s="33">
        <f t="shared" si="275"/>
        <v>0.39224693745970346</v>
      </c>
    </row>
    <row r="8612" spans="1:5" x14ac:dyDescent="0.25">
      <c r="A8612" s="41">
        <v>43824</v>
      </c>
      <c r="B8612" s="29">
        <v>200.71</v>
      </c>
      <c r="C8612" s="37">
        <f t="shared" si="274"/>
        <v>33.451666666666668</v>
      </c>
      <c r="D8612" s="37">
        <v>4.5330000000000004</v>
      </c>
      <c r="E8612" s="33">
        <f t="shared" si="275"/>
        <v>0.16185238784370481</v>
      </c>
    </row>
    <row r="8613" spans="1:5" x14ac:dyDescent="0.25">
      <c r="A8613" s="41">
        <v>43824</v>
      </c>
      <c r="B8613" s="29">
        <v>210.06</v>
      </c>
      <c r="C8613" s="37">
        <f t="shared" si="274"/>
        <v>35.01</v>
      </c>
      <c r="D8613" s="37">
        <v>4.5330000000000004</v>
      </c>
      <c r="E8613" s="33">
        <f t="shared" si="275"/>
        <v>4.6584624582731271E-2</v>
      </c>
    </row>
    <row r="8614" spans="1:5" x14ac:dyDescent="0.25">
      <c r="A8614" s="41">
        <v>43824</v>
      </c>
      <c r="B8614" s="29">
        <v>212.22</v>
      </c>
      <c r="C8614" s="37">
        <f t="shared" si="274"/>
        <v>35.369999999999997</v>
      </c>
      <c r="D8614" s="37">
        <v>4.5330000000000004</v>
      </c>
      <c r="E8614" s="33">
        <f t="shared" si="275"/>
        <v>1.028277634961438E-2</v>
      </c>
    </row>
    <row r="8615" spans="1:5" x14ac:dyDescent="0.25">
      <c r="A8615" s="41">
        <v>43824</v>
      </c>
      <c r="B8615" s="29">
        <v>212.18</v>
      </c>
      <c r="C8615" s="37">
        <f t="shared" si="274"/>
        <v>35.363333333333337</v>
      </c>
      <c r="D8615" s="37">
        <v>4.5330000000000004</v>
      </c>
      <c r="E8615" s="33">
        <f t="shared" si="275"/>
        <v>-1.8848364904340797E-4</v>
      </c>
    </row>
    <row r="8616" spans="1:5" x14ac:dyDescent="0.25">
      <c r="A8616" s="41">
        <v>43824</v>
      </c>
      <c r="B8616" s="29">
        <v>210.95</v>
      </c>
      <c r="C8616" s="37">
        <f t="shared" si="274"/>
        <v>35.158333333333331</v>
      </c>
      <c r="D8616" s="37">
        <v>4.5330000000000004</v>
      </c>
      <c r="E8616" s="33">
        <f t="shared" si="275"/>
        <v>-5.7969648411726749E-3</v>
      </c>
    </row>
    <row r="8617" spans="1:5" x14ac:dyDescent="0.25">
      <c r="A8617" s="41">
        <v>43824</v>
      </c>
      <c r="B8617" s="29">
        <v>207.22</v>
      </c>
      <c r="C8617" s="37">
        <f t="shared" si="274"/>
        <v>34.536666666666669</v>
      </c>
      <c r="D8617" s="37">
        <v>4.5330000000000004</v>
      </c>
      <c r="E8617" s="33">
        <f t="shared" si="275"/>
        <v>-1.7681915145769091E-2</v>
      </c>
    </row>
    <row r="8618" spans="1:5" x14ac:dyDescent="0.25">
      <c r="A8618" s="41">
        <v>43825</v>
      </c>
      <c r="B8618" s="29">
        <v>56.82</v>
      </c>
      <c r="C8618" s="37">
        <f t="shared" si="274"/>
        <v>9.4700000000000006</v>
      </c>
      <c r="D8618" s="37">
        <v>4.1059999999999999</v>
      </c>
      <c r="E8618" s="33">
        <f t="shared" si="275"/>
        <v>-0.72579866808223148</v>
      </c>
    </row>
    <row r="8619" spans="1:5" x14ac:dyDescent="0.25">
      <c r="A8619" s="41">
        <v>43825</v>
      </c>
      <c r="B8619" s="29">
        <v>42.35</v>
      </c>
      <c r="C8619" s="37">
        <f t="shared" si="274"/>
        <v>7.0583333333333336</v>
      </c>
      <c r="D8619" s="37">
        <v>4.1059999999999999</v>
      </c>
      <c r="E8619" s="33">
        <f t="shared" si="275"/>
        <v>-0.25466385075677578</v>
      </c>
    </row>
    <row r="8620" spans="1:5" x14ac:dyDescent="0.25">
      <c r="A8620" s="41">
        <v>43825</v>
      </c>
      <c r="B8620" s="29">
        <v>42.35</v>
      </c>
      <c r="C8620" s="37">
        <f t="shared" si="274"/>
        <v>7.0583333333333336</v>
      </c>
      <c r="D8620" s="37">
        <v>4.1059999999999999</v>
      </c>
      <c r="E8620" s="33">
        <f t="shared" si="275"/>
        <v>0</v>
      </c>
    </row>
    <row r="8621" spans="1:5" x14ac:dyDescent="0.25">
      <c r="A8621" s="41">
        <v>43825</v>
      </c>
      <c r="B8621" s="29">
        <v>42.35</v>
      </c>
      <c r="C8621" s="37">
        <f t="shared" si="274"/>
        <v>7.0583333333333336</v>
      </c>
      <c r="D8621" s="37">
        <v>4.1059999999999999</v>
      </c>
      <c r="E8621" s="33">
        <f t="shared" si="275"/>
        <v>0</v>
      </c>
    </row>
    <row r="8622" spans="1:5" x14ac:dyDescent="0.25">
      <c r="A8622" s="41">
        <v>43825</v>
      </c>
      <c r="B8622" s="29">
        <v>42.35</v>
      </c>
      <c r="C8622" s="37">
        <f t="shared" si="274"/>
        <v>7.0583333333333336</v>
      </c>
      <c r="D8622" s="37">
        <v>4.1059999999999999</v>
      </c>
      <c r="E8622" s="33">
        <f t="shared" si="275"/>
        <v>0</v>
      </c>
    </row>
    <row r="8623" spans="1:5" x14ac:dyDescent="0.25">
      <c r="A8623" s="41">
        <v>43825</v>
      </c>
      <c r="B8623" s="29">
        <v>42.35</v>
      </c>
      <c r="C8623" s="37">
        <f t="shared" si="274"/>
        <v>7.0583333333333336</v>
      </c>
      <c r="D8623" s="37">
        <v>4.1059999999999999</v>
      </c>
      <c r="E8623" s="33">
        <f t="shared" si="275"/>
        <v>0</v>
      </c>
    </row>
    <row r="8624" spans="1:5" x14ac:dyDescent="0.25">
      <c r="A8624" s="41">
        <v>43825</v>
      </c>
      <c r="B8624" s="29">
        <v>147.30000000000001</v>
      </c>
      <c r="C8624" s="37">
        <f t="shared" si="274"/>
        <v>24.550000000000004</v>
      </c>
      <c r="D8624" s="37">
        <v>4.1059999999999999</v>
      </c>
      <c r="E8624" s="33">
        <f t="shared" si="275"/>
        <v>2.4781582054309332</v>
      </c>
    </row>
    <row r="8625" spans="1:5" x14ac:dyDescent="0.25">
      <c r="A8625" s="41">
        <v>43825</v>
      </c>
      <c r="B8625" s="29">
        <v>201.28</v>
      </c>
      <c r="C8625" s="37">
        <f t="shared" si="274"/>
        <v>33.546666666666667</v>
      </c>
      <c r="D8625" s="37">
        <v>4.1059999999999999</v>
      </c>
      <c r="E8625" s="33">
        <f t="shared" si="275"/>
        <v>0.36646300067888654</v>
      </c>
    </row>
    <row r="8626" spans="1:5" x14ac:dyDescent="0.25">
      <c r="A8626" s="41">
        <v>43825</v>
      </c>
      <c r="B8626" s="29">
        <v>212.94</v>
      </c>
      <c r="C8626" s="37">
        <f t="shared" si="274"/>
        <v>35.49</v>
      </c>
      <c r="D8626" s="37">
        <v>4.1059999999999999</v>
      </c>
      <c r="E8626" s="33">
        <f t="shared" si="275"/>
        <v>5.7929252782193942E-2</v>
      </c>
    </row>
    <row r="8627" spans="1:5" x14ac:dyDescent="0.25">
      <c r="A8627" s="41">
        <v>43825</v>
      </c>
      <c r="B8627" s="29">
        <v>216.83</v>
      </c>
      <c r="C8627" s="37">
        <f t="shared" si="274"/>
        <v>36.138333333333335</v>
      </c>
      <c r="D8627" s="37">
        <v>4.1059999999999999</v>
      </c>
      <c r="E8627" s="33">
        <f t="shared" si="275"/>
        <v>1.826805672959526E-2</v>
      </c>
    </row>
    <row r="8628" spans="1:5" x14ac:dyDescent="0.25">
      <c r="A8628" s="41">
        <v>43825</v>
      </c>
      <c r="B8628" s="29">
        <v>218.13</v>
      </c>
      <c r="C8628" s="37">
        <f t="shared" si="274"/>
        <v>36.354999999999997</v>
      </c>
      <c r="D8628" s="37">
        <v>4.1059999999999999</v>
      </c>
      <c r="E8628" s="33">
        <f t="shared" si="275"/>
        <v>5.9954803302125301E-3</v>
      </c>
    </row>
    <row r="8629" spans="1:5" x14ac:dyDescent="0.25">
      <c r="A8629" s="41">
        <v>43825</v>
      </c>
      <c r="B8629" s="29">
        <v>218.3</v>
      </c>
      <c r="C8629" s="37">
        <f t="shared" si="274"/>
        <v>36.383333333333333</v>
      </c>
      <c r="D8629" s="37">
        <v>4.1059999999999999</v>
      </c>
      <c r="E8629" s="33">
        <f t="shared" si="275"/>
        <v>7.7935176271038331E-4</v>
      </c>
    </row>
    <row r="8630" spans="1:5" x14ac:dyDescent="0.25">
      <c r="A8630" s="41">
        <v>43825</v>
      </c>
      <c r="B8630" s="29">
        <v>218.25</v>
      </c>
      <c r="C8630" s="37">
        <f t="shared" si="274"/>
        <v>36.375</v>
      </c>
      <c r="D8630" s="37">
        <v>4.1059999999999999</v>
      </c>
      <c r="E8630" s="33">
        <f t="shared" si="275"/>
        <v>-2.2904260192400992E-4</v>
      </c>
    </row>
    <row r="8631" spans="1:5" x14ac:dyDescent="0.25">
      <c r="A8631" s="41">
        <v>43825</v>
      </c>
      <c r="B8631" s="29">
        <v>219.07</v>
      </c>
      <c r="C8631" s="37">
        <f t="shared" si="274"/>
        <v>36.511666666666663</v>
      </c>
      <c r="D8631" s="37">
        <v>4.1059999999999999</v>
      </c>
      <c r="E8631" s="33">
        <f t="shared" si="275"/>
        <v>3.7571592210767155E-3</v>
      </c>
    </row>
    <row r="8632" spans="1:5" x14ac:dyDescent="0.25">
      <c r="A8632" s="41">
        <v>43825</v>
      </c>
      <c r="B8632" s="29">
        <v>220.35</v>
      </c>
      <c r="C8632" s="37">
        <f t="shared" si="274"/>
        <v>36.725000000000001</v>
      </c>
      <c r="D8632" s="37">
        <v>4.1059999999999999</v>
      </c>
      <c r="E8632" s="33">
        <f t="shared" si="275"/>
        <v>5.8428812708266817E-3</v>
      </c>
    </row>
    <row r="8633" spans="1:5" x14ac:dyDescent="0.25">
      <c r="A8633" s="41">
        <v>43825</v>
      </c>
      <c r="B8633" s="29">
        <v>220.09</v>
      </c>
      <c r="C8633" s="37">
        <f t="shared" si="274"/>
        <v>36.681666666666665</v>
      </c>
      <c r="D8633" s="37">
        <v>4.1059999999999999</v>
      </c>
      <c r="E8633" s="33">
        <f t="shared" si="275"/>
        <v>-1.1799410029498113E-3</v>
      </c>
    </row>
    <row r="8634" spans="1:5" x14ac:dyDescent="0.25">
      <c r="A8634" s="41">
        <v>43825</v>
      </c>
      <c r="B8634" s="29">
        <v>218.43</v>
      </c>
      <c r="C8634" s="37">
        <f t="shared" si="274"/>
        <v>36.405000000000001</v>
      </c>
      <c r="D8634" s="37">
        <v>4.1059999999999999</v>
      </c>
      <c r="E8634" s="33">
        <f t="shared" si="275"/>
        <v>-7.5423690308509999E-3</v>
      </c>
    </row>
    <row r="8635" spans="1:5" x14ac:dyDescent="0.25">
      <c r="A8635" s="41">
        <v>43825</v>
      </c>
      <c r="B8635" s="29">
        <v>217.18</v>
      </c>
      <c r="C8635" s="37">
        <f t="shared" si="274"/>
        <v>36.196666666666665</v>
      </c>
      <c r="D8635" s="37">
        <v>4.1059999999999999</v>
      </c>
      <c r="E8635" s="33">
        <f t="shared" si="275"/>
        <v>-5.7226571441651788E-3</v>
      </c>
    </row>
    <row r="8636" spans="1:5" x14ac:dyDescent="0.25">
      <c r="A8636" s="41">
        <v>43825</v>
      </c>
      <c r="B8636" s="29">
        <v>216.17</v>
      </c>
      <c r="C8636" s="37">
        <f t="shared" si="274"/>
        <v>36.028333333333336</v>
      </c>
      <c r="D8636" s="37">
        <v>4.1059999999999999</v>
      </c>
      <c r="E8636" s="33">
        <f t="shared" si="275"/>
        <v>-4.6505203057372654E-3</v>
      </c>
    </row>
    <row r="8637" spans="1:5" x14ac:dyDescent="0.25">
      <c r="A8637" s="41">
        <v>43825</v>
      </c>
      <c r="B8637" s="29">
        <v>217.19</v>
      </c>
      <c r="C8637" s="37">
        <f t="shared" si="274"/>
        <v>36.198333333333331</v>
      </c>
      <c r="D8637" s="37">
        <v>4.1059999999999999</v>
      </c>
      <c r="E8637" s="33">
        <f t="shared" si="275"/>
        <v>4.718508581209281E-3</v>
      </c>
    </row>
    <row r="8638" spans="1:5" x14ac:dyDescent="0.25">
      <c r="A8638" s="41">
        <v>43825</v>
      </c>
      <c r="B8638" s="29">
        <v>217.25</v>
      </c>
      <c r="C8638" s="37">
        <f t="shared" si="274"/>
        <v>36.208333333333336</v>
      </c>
      <c r="D8638" s="37">
        <v>4.1059999999999999</v>
      </c>
      <c r="E8638" s="33">
        <f t="shared" si="275"/>
        <v>2.762558128827399E-4</v>
      </c>
    </row>
    <row r="8639" spans="1:5" x14ac:dyDescent="0.25">
      <c r="A8639" s="41">
        <v>43825</v>
      </c>
      <c r="B8639" s="29">
        <v>217.32</v>
      </c>
      <c r="C8639" s="37">
        <f t="shared" si="274"/>
        <v>36.22</v>
      </c>
      <c r="D8639" s="37">
        <v>4.1059999999999999</v>
      </c>
      <c r="E8639" s="33">
        <f t="shared" si="275"/>
        <v>3.2220943613345536E-4</v>
      </c>
    </row>
    <row r="8640" spans="1:5" x14ac:dyDescent="0.25">
      <c r="A8640" s="41">
        <v>43825</v>
      </c>
      <c r="B8640" s="29">
        <v>216.18</v>
      </c>
      <c r="C8640" s="37">
        <f t="shared" si="274"/>
        <v>36.03</v>
      </c>
      <c r="D8640" s="37">
        <v>4.1059999999999999</v>
      </c>
      <c r="E8640" s="33">
        <f t="shared" si="275"/>
        <v>-5.2457205963555419E-3</v>
      </c>
    </row>
    <row r="8641" spans="1:5" x14ac:dyDescent="0.25">
      <c r="A8641" s="41">
        <v>43825</v>
      </c>
      <c r="B8641" s="29">
        <v>211.44</v>
      </c>
      <c r="C8641" s="37">
        <f t="shared" si="274"/>
        <v>35.24</v>
      </c>
      <c r="D8641" s="37">
        <v>4.1059999999999999</v>
      </c>
      <c r="E8641" s="33">
        <f t="shared" si="275"/>
        <v>-2.1926172633916222E-2</v>
      </c>
    </row>
    <row r="8642" spans="1:5" x14ac:dyDescent="0.25">
      <c r="A8642" s="41">
        <v>43826</v>
      </c>
      <c r="B8642" s="29">
        <v>203.31</v>
      </c>
      <c r="C8642" s="37">
        <f t="shared" si="274"/>
        <v>33.884999999999998</v>
      </c>
      <c r="D8642" s="37">
        <v>3.72</v>
      </c>
      <c r="E8642" s="33">
        <f t="shared" si="275"/>
        <v>-3.8450624290578869E-2</v>
      </c>
    </row>
    <row r="8643" spans="1:5" x14ac:dyDescent="0.25">
      <c r="A8643" s="41">
        <v>43826</v>
      </c>
      <c r="B8643" s="29">
        <v>199.4</v>
      </c>
      <c r="C8643" s="37">
        <f t="shared" ref="C8643:C8706" si="276">(B8643*100/600)</f>
        <v>33.233333333333334</v>
      </c>
      <c r="D8643" s="37">
        <v>3.72</v>
      </c>
      <c r="E8643" s="33">
        <f t="shared" si="275"/>
        <v>-1.9231715114849227E-2</v>
      </c>
    </row>
    <row r="8644" spans="1:5" x14ac:dyDescent="0.25">
      <c r="A8644" s="41">
        <v>43826</v>
      </c>
      <c r="B8644" s="29">
        <v>199.32</v>
      </c>
      <c r="C8644" s="37">
        <f t="shared" si="276"/>
        <v>33.22</v>
      </c>
      <c r="D8644" s="37">
        <v>3.72</v>
      </c>
      <c r="E8644" s="33">
        <f t="shared" ref="E8644:E8707" si="277">(B8644-B8643)/B8643</f>
        <v>-4.0120361083256019E-4</v>
      </c>
    </row>
    <row r="8645" spans="1:5" x14ac:dyDescent="0.25">
      <c r="A8645" s="41">
        <v>43826</v>
      </c>
      <c r="B8645" s="29">
        <v>198.63</v>
      </c>
      <c r="C8645" s="37">
        <f t="shared" si="276"/>
        <v>33.104999999999997</v>
      </c>
      <c r="D8645" s="37">
        <v>3.72</v>
      </c>
      <c r="E8645" s="33">
        <f t="shared" si="277"/>
        <v>-3.4617700180613973E-3</v>
      </c>
    </row>
    <row r="8646" spans="1:5" x14ac:dyDescent="0.25">
      <c r="A8646" s="41">
        <v>43826</v>
      </c>
      <c r="B8646" s="29">
        <v>198.63</v>
      </c>
      <c r="C8646" s="37">
        <f t="shared" si="276"/>
        <v>33.104999999999997</v>
      </c>
      <c r="D8646" s="37">
        <v>3.72</v>
      </c>
      <c r="E8646" s="33">
        <f t="shared" si="277"/>
        <v>0</v>
      </c>
    </row>
    <row r="8647" spans="1:5" x14ac:dyDescent="0.25">
      <c r="A8647" s="41">
        <v>43826</v>
      </c>
      <c r="B8647" s="29">
        <v>197.77</v>
      </c>
      <c r="C8647" s="37">
        <f t="shared" si="276"/>
        <v>32.961666666666666</v>
      </c>
      <c r="D8647" s="37">
        <v>3.72</v>
      </c>
      <c r="E8647" s="33">
        <f t="shared" si="277"/>
        <v>-4.3296581583848626E-3</v>
      </c>
    </row>
    <row r="8648" spans="1:5" x14ac:dyDescent="0.25">
      <c r="A8648" s="41">
        <v>43826</v>
      </c>
      <c r="B8648" s="29">
        <v>199.23</v>
      </c>
      <c r="C8648" s="37">
        <f t="shared" si="276"/>
        <v>33.204999999999998</v>
      </c>
      <c r="D8648" s="37">
        <v>3.72</v>
      </c>
      <c r="E8648" s="33">
        <f t="shared" si="277"/>
        <v>7.38231278758143E-3</v>
      </c>
    </row>
    <row r="8649" spans="1:5" x14ac:dyDescent="0.25">
      <c r="A8649" s="41">
        <v>43826</v>
      </c>
      <c r="B8649" s="29">
        <v>201.64</v>
      </c>
      <c r="C8649" s="37">
        <f t="shared" si="276"/>
        <v>33.606666666666669</v>
      </c>
      <c r="D8649" s="37">
        <v>3.72</v>
      </c>
      <c r="E8649" s="33">
        <f t="shared" si="277"/>
        <v>1.209657180143551E-2</v>
      </c>
    </row>
    <row r="8650" spans="1:5" x14ac:dyDescent="0.25">
      <c r="A8650" s="41">
        <v>43826</v>
      </c>
      <c r="B8650" s="29">
        <v>211.72</v>
      </c>
      <c r="C8650" s="37">
        <f t="shared" si="276"/>
        <v>35.286666666666669</v>
      </c>
      <c r="D8650" s="37">
        <v>3.72</v>
      </c>
      <c r="E8650" s="33">
        <f t="shared" si="277"/>
        <v>4.9990081333068898E-2</v>
      </c>
    </row>
    <row r="8651" spans="1:5" x14ac:dyDescent="0.25">
      <c r="A8651" s="41">
        <v>43826</v>
      </c>
      <c r="B8651" s="29">
        <v>214.69</v>
      </c>
      <c r="C8651" s="37">
        <f t="shared" si="276"/>
        <v>35.781666666666666</v>
      </c>
      <c r="D8651" s="37">
        <v>3.72</v>
      </c>
      <c r="E8651" s="33">
        <f t="shared" si="277"/>
        <v>1.4027961458530129E-2</v>
      </c>
    </row>
    <row r="8652" spans="1:5" x14ac:dyDescent="0.25">
      <c r="A8652" s="41">
        <v>43826</v>
      </c>
      <c r="B8652" s="29">
        <v>217.49</v>
      </c>
      <c r="C8652" s="37">
        <f t="shared" si="276"/>
        <v>36.248333333333335</v>
      </c>
      <c r="D8652" s="37">
        <v>3.72</v>
      </c>
      <c r="E8652" s="33">
        <f t="shared" si="277"/>
        <v>1.3042060645582054E-2</v>
      </c>
    </row>
    <row r="8653" spans="1:5" x14ac:dyDescent="0.25">
      <c r="A8653" s="41">
        <v>43826</v>
      </c>
      <c r="B8653" s="29">
        <v>218.47</v>
      </c>
      <c r="C8653" s="37">
        <f t="shared" si="276"/>
        <v>36.411666666666669</v>
      </c>
      <c r="D8653" s="37">
        <v>3.72</v>
      </c>
      <c r="E8653" s="33">
        <f t="shared" si="277"/>
        <v>4.5059542967492289E-3</v>
      </c>
    </row>
    <row r="8654" spans="1:5" x14ac:dyDescent="0.25">
      <c r="A8654" s="41">
        <v>43826</v>
      </c>
      <c r="B8654" s="29">
        <v>217.6</v>
      </c>
      <c r="C8654" s="37">
        <f t="shared" si="276"/>
        <v>36.266666666666666</v>
      </c>
      <c r="D8654" s="37">
        <v>3.72</v>
      </c>
      <c r="E8654" s="33">
        <f t="shared" si="277"/>
        <v>-3.9822401245022407E-3</v>
      </c>
    </row>
    <row r="8655" spans="1:5" x14ac:dyDescent="0.25">
      <c r="A8655" s="41">
        <v>43826</v>
      </c>
      <c r="B8655" s="29">
        <v>218.5</v>
      </c>
      <c r="C8655" s="37">
        <f t="shared" si="276"/>
        <v>36.416666666666664</v>
      </c>
      <c r="D8655" s="37">
        <v>3.72</v>
      </c>
      <c r="E8655" s="33">
        <f t="shared" si="277"/>
        <v>4.136029411764732E-3</v>
      </c>
    </row>
    <row r="8656" spans="1:5" x14ac:dyDescent="0.25">
      <c r="A8656" s="41">
        <v>43826</v>
      </c>
      <c r="B8656" s="29">
        <v>218.59</v>
      </c>
      <c r="C8656" s="37">
        <f t="shared" si="276"/>
        <v>36.431666666666665</v>
      </c>
      <c r="D8656" s="37">
        <v>3.72</v>
      </c>
      <c r="E8656" s="33">
        <f t="shared" si="277"/>
        <v>4.1189931350115979E-4</v>
      </c>
    </row>
    <row r="8657" spans="1:5" x14ac:dyDescent="0.25">
      <c r="A8657" s="41">
        <v>43826</v>
      </c>
      <c r="B8657" s="29">
        <v>218.03</v>
      </c>
      <c r="C8657" s="37">
        <f t="shared" si="276"/>
        <v>36.338333333333331</v>
      </c>
      <c r="D8657" s="37">
        <v>3.72</v>
      </c>
      <c r="E8657" s="33">
        <f t="shared" si="277"/>
        <v>-2.5618738277139955E-3</v>
      </c>
    </row>
    <row r="8658" spans="1:5" x14ac:dyDescent="0.25">
      <c r="A8658" s="41">
        <v>43826</v>
      </c>
      <c r="B8658" s="29">
        <v>216.23</v>
      </c>
      <c r="C8658" s="37">
        <f t="shared" si="276"/>
        <v>36.038333333333334</v>
      </c>
      <c r="D8658" s="37">
        <v>3.72</v>
      </c>
      <c r="E8658" s="33">
        <f t="shared" si="277"/>
        <v>-8.2557446222997349E-3</v>
      </c>
    </row>
    <row r="8659" spans="1:5" x14ac:dyDescent="0.25">
      <c r="A8659" s="41">
        <v>43826</v>
      </c>
      <c r="B8659" s="29">
        <v>213.83</v>
      </c>
      <c r="C8659" s="37">
        <f t="shared" si="276"/>
        <v>35.638333333333335</v>
      </c>
      <c r="D8659" s="37">
        <v>3.72</v>
      </c>
      <c r="E8659" s="33">
        <f t="shared" si="277"/>
        <v>-1.1099292420108113E-2</v>
      </c>
    </row>
    <row r="8660" spans="1:5" x14ac:dyDescent="0.25">
      <c r="A8660" s="41">
        <v>43826</v>
      </c>
      <c r="B8660" s="29">
        <v>213.34</v>
      </c>
      <c r="C8660" s="37">
        <f t="shared" si="276"/>
        <v>35.556666666666665</v>
      </c>
      <c r="D8660" s="37">
        <v>3.72</v>
      </c>
      <c r="E8660" s="33">
        <f t="shared" si="277"/>
        <v>-2.2915400084179446E-3</v>
      </c>
    </row>
    <row r="8661" spans="1:5" x14ac:dyDescent="0.25">
      <c r="A8661" s="41">
        <v>43826</v>
      </c>
      <c r="B8661" s="29">
        <v>215.13</v>
      </c>
      <c r="C8661" s="37">
        <f t="shared" si="276"/>
        <v>35.854999999999997</v>
      </c>
      <c r="D8661" s="37">
        <v>3.72</v>
      </c>
      <c r="E8661" s="33">
        <f t="shared" si="277"/>
        <v>8.3903628011624265E-3</v>
      </c>
    </row>
    <row r="8662" spans="1:5" x14ac:dyDescent="0.25">
      <c r="A8662" s="41">
        <v>43826</v>
      </c>
      <c r="B8662" s="29">
        <v>214.88</v>
      </c>
      <c r="C8662" s="37">
        <f t="shared" si="276"/>
        <v>35.813333333333333</v>
      </c>
      <c r="D8662" s="37">
        <v>3.72</v>
      </c>
      <c r="E8662" s="33">
        <f t="shared" si="277"/>
        <v>-1.1620880397898946E-3</v>
      </c>
    </row>
    <row r="8663" spans="1:5" x14ac:dyDescent="0.25">
      <c r="A8663" s="41">
        <v>43826</v>
      </c>
      <c r="B8663" s="29">
        <v>214.74</v>
      </c>
      <c r="C8663" s="37">
        <f t="shared" si="276"/>
        <v>35.79</v>
      </c>
      <c r="D8663" s="37">
        <v>3.72</v>
      </c>
      <c r="E8663" s="33">
        <f t="shared" si="277"/>
        <v>-6.515264333580899E-4</v>
      </c>
    </row>
    <row r="8664" spans="1:5" x14ac:dyDescent="0.25">
      <c r="A8664" s="41">
        <v>43826</v>
      </c>
      <c r="B8664" s="29">
        <v>213.96</v>
      </c>
      <c r="C8664" s="37">
        <f t="shared" si="276"/>
        <v>35.659999999999997</v>
      </c>
      <c r="D8664" s="37">
        <v>3.72</v>
      </c>
      <c r="E8664" s="33">
        <f t="shared" si="277"/>
        <v>-3.6322995250069904E-3</v>
      </c>
    </row>
    <row r="8665" spans="1:5" x14ac:dyDescent="0.25">
      <c r="A8665" s="41">
        <v>43826</v>
      </c>
      <c r="B8665" s="29">
        <v>211.19</v>
      </c>
      <c r="C8665" s="37">
        <f t="shared" si="276"/>
        <v>35.198333333333331</v>
      </c>
      <c r="D8665" s="37">
        <v>3.72</v>
      </c>
      <c r="E8665" s="33">
        <f t="shared" si="277"/>
        <v>-1.2946345111235793E-2</v>
      </c>
    </row>
    <row r="8666" spans="1:5" x14ac:dyDescent="0.25">
      <c r="A8666" s="41">
        <v>43827</v>
      </c>
      <c r="B8666" s="29">
        <v>289.45999999999998</v>
      </c>
      <c r="C8666" s="37">
        <f t="shared" si="276"/>
        <v>48.243333333333325</v>
      </c>
      <c r="D8666" s="37">
        <v>3.3809999999999998</v>
      </c>
      <c r="E8666" s="33">
        <f t="shared" si="277"/>
        <v>0.37061413892703243</v>
      </c>
    </row>
    <row r="8667" spans="1:5" x14ac:dyDescent="0.25">
      <c r="A8667" s="41">
        <v>43827</v>
      </c>
      <c r="B8667" s="29">
        <v>288.05</v>
      </c>
      <c r="C8667" s="37">
        <f t="shared" si="276"/>
        <v>48.008333333333333</v>
      </c>
      <c r="D8667" s="37">
        <v>3.3809999999999998</v>
      </c>
      <c r="E8667" s="33">
        <f t="shared" si="277"/>
        <v>-4.8711393629515933E-3</v>
      </c>
    </row>
    <row r="8668" spans="1:5" x14ac:dyDescent="0.25">
      <c r="A8668" s="41">
        <v>43827</v>
      </c>
      <c r="B8668" s="29">
        <v>285.14</v>
      </c>
      <c r="C8668" s="37">
        <f t="shared" si="276"/>
        <v>47.523333333333333</v>
      </c>
      <c r="D8668" s="37">
        <v>3.3809999999999998</v>
      </c>
      <c r="E8668" s="33">
        <f t="shared" si="277"/>
        <v>-1.0102412775559885E-2</v>
      </c>
    </row>
    <row r="8669" spans="1:5" x14ac:dyDescent="0.25">
      <c r="A8669" s="41">
        <v>43827</v>
      </c>
      <c r="B8669" s="29">
        <v>282.5</v>
      </c>
      <c r="C8669" s="37">
        <f t="shared" si="276"/>
        <v>47.083333333333336</v>
      </c>
      <c r="D8669" s="37">
        <v>3.3809999999999998</v>
      </c>
      <c r="E8669" s="33">
        <f t="shared" si="277"/>
        <v>-9.258609805709429E-3</v>
      </c>
    </row>
    <row r="8670" spans="1:5" x14ac:dyDescent="0.25">
      <c r="A8670" s="41">
        <v>43827</v>
      </c>
      <c r="B8670" s="29">
        <v>281.85000000000002</v>
      </c>
      <c r="C8670" s="37">
        <f t="shared" si="276"/>
        <v>46.975000000000009</v>
      </c>
      <c r="D8670" s="37">
        <v>3.3809999999999998</v>
      </c>
      <c r="E8670" s="33">
        <f t="shared" si="277"/>
        <v>-2.300884955752132E-3</v>
      </c>
    </row>
    <row r="8671" spans="1:5" x14ac:dyDescent="0.25">
      <c r="A8671" s="41">
        <v>43827</v>
      </c>
      <c r="B8671" s="29">
        <v>277.76</v>
      </c>
      <c r="C8671" s="37">
        <f t="shared" si="276"/>
        <v>46.293333333333337</v>
      </c>
      <c r="D8671" s="37">
        <v>3.3809999999999998</v>
      </c>
      <c r="E8671" s="33">
        <f t="shared" si="277"/>
        <v>-1.4511264857193654E-2</v>
      </c>
    </row>
    <row r="8672" spans="1:5" x14ac:dyDescent="0.25">
      <c r="A8672" s="41">
        <v>43827</v>
      </c>
      <c r="B8672" s="29">
        <v>277.62</v>
      </c>
      <c r="C8672" s="37">
        <f t="shared" si="276"/>
        <v>46.27</v>
      </c>
      <c r="D8672" s="37">
        <v>3.3809999999999998</v>
      </c>
      <c r="E8672" s="33">
        <f t="shared" si="277"/>
        <v>-5.04032258064467E-4</v>
      </c>
    </row>
    <row r="8673" spans="1:5" x14ac:dyDescent="0.25">
      <c r="A8673" s="41">
        <v>43827</v>
      </c>
      <c r="B8673" s="29">
        <v>283.52999999999997</v>
      </c>
      <c r="C8673" s="37">
        <f t="shared" si="276"/>
        <v>47.254999999999995</v>
      </c>
      <c r="D8673" s="37">
        <v>3.3809999999999998</v>
      </c>
      <c r="E8673" s="33">
        <f t="shared" si="277"/>
        <v>2.128809163604916E-2</v>
      </c>
    </row>
    <row r="8674" spans="1:5" x14ac:dyDescent="0.25">
      <c r="A8674" s="41">
        <v>43827</v>
      </c>
      <c r="B8674" s="29">
        <v>288.31</v>
      </c>
      <c r="C8674" s="37">
        <f t="shared" si="276"/>
        <v>48.051666666666669</v>
      </c>
      <c r="D8674" s="37">
        <v>3.3809999999999998</v>
      </c>
      <c r="E8674" s="33">
        <f t="shared" si="277"/>
        <v>1.6858886184883539E-2</v>
      </c>
    </row>
    <row r="8675" spans="1:5" x14ac:dyDescent="0.25">
      <c r="A8675" s="41">
        <v>43827</v>
      </c>
      <c r="B8675" s="29">
        <v>289.94</v>
      </c>
      <c r="C8675" s="37">
        <f t="shared" si="276"/>
        <v>48.323333333333331</v>
      </c>
      <c r="D8675" s="37">
        <v>3.3809999999999998</v>
      </c>
      <c r="E8675" s="33">
        <f t="shared" si="277"/>
        <v>5.6536367104852254E-3</v>
      </c>
    </row>
    <row r="8676" spans="1:5" x14ac:dyDescent="0.25">
      <c r="A8676" s="41">
        <v>43827</v>
      </c>
      <c r="B8676" s="29">
        <v>291.83</v>
      </c>
      <c r="C8676" s="37">
        <f t="shared" si="276"/>
        <v>48.638333333333335</v>
      </c>
      <c r="D8676" s="37">
        <v>3.3809999999999998</v>
      </c>
      <c r="E8676" s="33">
        <f t="shared" si="277"/>
        <v>6.5185900531143908E-3</v>
      </c>
    </row>
    <row r="8677" spans="1:5" x14ac:dyDescent="0.25">
      <c r="A8677" s="41">
        <v>43827</v>
      </c>
      <c r="B8677" s="29">
        <v>291.88</v>
      </c>
      <c r="C8677" s="37">
        <f t="shared" si="276"/>
        <v>48.646666666666668</v>
      </c>
      <c r="D8677" s="37">
        <v>3.3809999999999998</v>
      </c>
      <c r="E8677" s="33">
        <f t="shared" si="277"/>
        <v>1.7133262515852164E-4</v>
      </c>
    </row>
    <row r="8678" spans="1:5" x14ac:dyDescent="0.25">
      <c r="A8678" s="41">
        <v>43827</v>
      </c>
      <c r="B8678" s="29">
        <v>291.81</v>
      </c>
      <c r="C8678" s="37">
        <f t="shared" si="276"/>
        <v>48.634999999999998</v>
      </c>
      <c r="D8678" s="37">
        <v>3.3809999999999998</v>
      </c>
      <c r="E8678" s="33">
        <f t="shared" si="277"/>
        <v>-2.3982458544605036E-4</v>
      </c>
    </row>
    <row r="8679" spans="1:5" x14ac:dyDescent="0.25">
      <c r="A8679" s="41">
        <v>43827</v>
      </c>
      <c r="B8679" s="29">
        <v>291.74</v>
      </c>
      <c r="C8679" s="37">
        <f t="shared" si="276"/>
        <v>48.623333333333335</v>
      </c>
      <c r="D8679" s="37">
        <v>3.3809999999999998</v>
      </c>
      <c r="E8679" s="33">
        <f t="shared" si="277"/>
        <v>-2.3988211507485412E-4</v>
      </c>
    </row>
    <row r="8680" spans="1:5" x14ac:dyDescent="0.25">
      <c r="A8680" s="41">
        <v>43827</v>
      </c>
      <c r="B8680" s="29">
        <v>291.5</v>
      </c>
      <c r="C8680" s="37">
        <f t="shared" si="276"/>
        <v>48.583333333333336</v>
      </c>
      <c r="D8680" s="37">
        <v>3.3809999999999998</v>
      </c>
      <c r="E8680" s="33">
        <f t="shared" si="277"/>
        <v>-8.2265030506618593E-4</v>
      </c>
    </row>
    <row r="8681" spans="1:5" x14ac:dyDescent="0.25">
      <c r="A8681" s="41">
        <v>43827</v>
      </c>
      <c r="B8681" s="29">
        <v>291.01</v>
      </c>
      <c r="C8681" s="37">
        <f t="shared" si="276"/>
        <v>48.501666666666665</v>
      </c>
      <c r="D8681" s="37">
        <v>3.3809999999999998</v>
      </c>
      <c r="E8681" s="33">
        <f t="shared" si="277"/>
        <v>-1.6809605488851084E-3</v>
      </c>
    </row>
    <row r="8682" spans="1:5" x14ac:dyDescent="0.25">
      <c r="A8682" s="41">
        <v>43827</v>
      </c>
      <c r="B8682" s="29">
        <v>289.95</v>
      </c>
      <c r="C8682" s="37">
        <f t="shared" si="276"/>
        <v>48.325000000000003</v>
      </c>
      <c r="D8682" s="37">
        <v>3.3809999999999998</v>
      </c>
      <c r="E8682" s="33">
        <f t="shared" si="277"/>
        <v>-3.6424865124909875E-3</v>
      </c>
    </row>
    <row r="8683" spans="1:5" x14ac:dyDescent="0.25">
      <c r="A8683" s="41">
        <v>43827</v>
      </c>
      <c r="B8683" s="29">
        <v>290.58999999999997</v>
      </c>
      <c r="C8683" s="37">
        <f t="shared" si="276"/>
        <v>48.431666666666658</v>
      </c>
      <c r="D8683" s="37">
        <v>3.3809999999999998</v>
      </c>
      <c r="E8683" s="33">
        <f t="shared" si="277"/>
        <v>2.2072771167442194E-3</v>
      </c>
    </row>
    <row r="8684" spans="1:5" x14ac:dyDescent="0.25">
      <c r="A8684" s="41">
        <v>43827</v>
      </c>
      <c r="B8684" s="29">
        <v>292.27999999999997</v>
      </c>
      <c r="C8684" s="37">
        <f t="shared" si="276"/>
        <v>48.713333333333324</v>
      </c>
      <c r="D8684" s="37">
        <v>3.3809999999999998</v>
      </c>
      <c r="E8684" s="33">
        <f t="shared" si="277"/>
        <v>5.8157541553391307E-3</v>
      </c>
    </row>
    <row r="8685" spans="1:5" x14ac:dyDescent="0.25">
      <c r="A8685" s="41">
        <v>43827</v>
      </c>
      <c r="B8685" s="29">
        <v>293.55</v>
      </c>
      <c r="C8685" s="37">
        <f t="shared" si="276"/>
        <v>48.924999999999997</v>
      </c>
      <c r="D8685" s="37">
        <v>3.3809999999999998</v>
      </c>
      <c r="E8685" s="33">
        <f t="shared" si="277"/>
        <v>4.3451484877516039E-3</v>
      </c>
    </row>
    <row r="8686" spans="1:5" x14ac:dyDescent="0.25">
      <c r="A8686" s="41">
        <v>43827</v>
      </c>
      <c r="B8686" s="29">
        <v>293.52</v>
      </c>
      <c r="C8686" s="37">
        <f t="shared" si="276"/>
        <v>48.92</v>
      </c>
      <c r="D8686" s="37">
        <v>3.3809999999999998</v>
      </c>
      <c r="E8686" s="33">
        <f t="shared" si="277"/>
        <v>-1.0219724067460248E-4</v>
      </c>
    </row>
    <row r="8687" spans="1:5" x14ac:dyDescent="0.25">
      <c r="A8687" s="41">
        <v>43827</v>
      </c>
      <c r="B8687" s="29">
        <v>292.52</v>
      </c>
      <c r="C8687" s="37">
        <f t="shared" si="276"/>
        <v>48.75333333333333</v>
      </c>
      <c r="D8687" s="37">
        <v>3.3809999999999998</v>
      </c>
      <c r="E8687" s="33">
        <f t="shared" si="277"/>
        <v>-3.4069228672662854E-3</v>
      </c>
    </row>
    <row r="8688" spans="1:5" x14ac:dyDescent="0.25">
      <c r="A8688" s="41">
        <v>43827</v>
      </c>
      <c r="B8688" s="29">
        <v>292.16000000000003</v>
      </c>
      <c r="C8688" s="37">
        <f t="shared" si="276"/>
        <v>48.693333333333342</v>
      </c>
      <c r="D8688" s="37">
        <v>3.3809999999999998</v>
      </c>
      <c r="E8688" s="33">
        <f t="shared" si="277"/>
        <v>-1.2306850813618105E-3</v>
      </c>
    </row>
    <row r="8689" spans="1:5" x14ac:dyDescent="0.25">
      <c r="A8689" s="41">
        <v>43827</v>
      </c>
      <c r="B8689" s="29">
        <v>289.06</v>
      </c>
      <c r="C8689" s="37">
        <f t="shared" si="276"/>
        <v>48.176666666666669</v>
      </c>
      <c r="D8689" s="37">
        <v>3.3809999999999998</v>
      </c>
      <c r="E8689" s="33">
        <f t="shared" si="277"/>
        <v>-1.061062431544367E-2</v>
      </c>
    </row>
    <row r="8690" spans="1:5" x14ac:dyDescent="0.25">
      <c r="A8690" s="41">
        <v>43828</v>
      </c>
      <c r="B8690" s="29">
        <v>290.08</v>
      </c>
      <c r="C8690" s="37">
        <f t="shared" si="276"/>
        <v>48.346666666666664</v>
      </c>
      <c r="D8690" s="37">
        <v>3.12</v>
      </c>
      <c r="E8690" s="33">
        <f t="shared" si="277"/>
        <v>3.5286791669548946E-3</v>
      </c>
    </row>
    <row r="8691" spans="1:5" x14ac:dyDescent="0.25">
      <c r="A8691" s="41">
        <v>43828</v>
      </c>
      <c r="B8691" s="29">
        <v>288.01</v>
      </c>
      <c r="C8691" s="37">
        <f t="shared" si="276"/>
        <v>48.001666666666665</v>
      </c>
      <c r="D8691" s="37">
        <v>3.12</v>
      </c>
      <c r="E8691" s="33">
        <f t="shared" si="277"/>
        <v>-7.1359624931053274E-3</v>
      </c>
    </row>
    <row r="8692" spans="1:5" x14ac:dyDescent="0.25">
      <c r="A8692" s="41">
        <v>43828</v>
      </c>
      <c r="B8692" s="29">
        <v>286.62</v>
      </c>
      <c r="C8692" s="37">
        <f t="shared" si="276"/>
        <v>47.77</v>
      </c>
      <c r="D8692" s="37">
        <v>3.12</v>
      </c>
      <c r="E8692" s="33">
        <f t="shared" si="277"/>
        <v>-4.8262213117599611E-3</v>
      </c>
    </row>
    <row r="8693" spans="1:5" x14ac:dyDescent="0.25">
      <c r="A8693" s="41">
        <v>43828</v>
      </c>
      <c r="B8693" s="29">
        <v>284.89</v>
      </c>
      <c r="C8693" s="37">
        <f t="shared" si="276"/>
        <v>47.481666666666669</v>
      </c>
      <c r="D8693" s="37">
        <v>3.12</v>
      </c>
      <c r="E8693" s="33">
        <f t="shared" si="277"/>
        <v>-6.0358663038169637E-3</v>
      </c>
    </row>
    <row r="8694" spans="1:5" x14ac:dyDescent="0.25">
      <c r="A8694" s="41">
        <v>43828</v>
      </c>
      <c r="B8694" s="29">
        <v>284</v>
      </c>
      <c r="C8694" s="37">
        <f t="shared" si="276"/>
        <v>47.333333333333336</v>
      </c>
      <c r="D8694" s="37">
        <v>3.12</v>
      </c>
      <c r="E8694" s="33">
        <f t="shared" si="277"/>
        <v>-3.1240127768611971E-3</v>
      </c>
    </row>
    <row r="8695" spans="1:5" x14ac:dyDescent="0.25">
      <c r="A8695" s="41">
        <v>43828</v>
      </c>
      <c r="B8695" s="29">
        <v>274.47000000000003</v>
      </c>
      <c r="C8695" s="37">
        <f t="shared" si="276"/>
        <v>45.745000000000005</v>
      </c>
      <c r="D8695" s="37">
        <v>3.12</v>
      </c>
      <c r="E8695" s="33">
        <f t="shared" si="277"/>
        <v>-3.3556338028168917E-2</v>
      </c>
    </row>
    <row r="8696" spans="1:5" x14ac:dyDescent="0.25">
      <c r="A8696" s="41">
        <v>43828</v>
      </c>
      <c r="B8696" s="29">
        <v>263.95</v>
      </c>
      <c r="C8696" s="37">
        <f t="shared" si="276"/>
        <v>43.991666666666667</v>
      </c>
      <c r="D8696" s="37">
        <v>3.12</v>
      </c>
      <c r="E8696" s="33">
        <f t="shared" si="277"/>
        <v>-3.8328414762997913E-2</v>
      </c>
    </row>
    <row r="8697" spans="1:5" x14ac:dyDescent="0.25">
      <c r="A8697" s="41">
        <v>43828</v>
      </c>
      <c r="B8697" s="29">
        <v>266.85000000000002</v>
      </c>
      <c r="C8697" s="37">
        <f t="shared" si="276"/>
        <v>44.475000000000009</v>
      </c>
      <c r="D8697" s="37">
        <v>3.12</v>
      </c>
      <c r="E8697" s="33">
        <f t="shared" si="277"/>
        <v>1.0986929342678668E-2</v>
      </c>
    </row>
    <row r="8698" spans="1:5" x14ac:dyDescent="0.25">
      <c r="A8698" s="41">
        <v>43828</v>
      </c>
      <c r="B8698" s="29">
        <v>281.87</v>
      </c>
      <c r="C8698" s="37">
        <f t="shared" si="276"/>
        <v>46.978333333333332</v>
      </c>
      <c r="D8698" s="37">
        <v>3.12</v>
      </c>
      <c r="E8698" s="33">
        <f t="shared" si="277"/>
        <v>5.6286303166572911E-2</v>
      </c>
    </row>
    <row r="8699" spans="1:5" x14ac:dyDescent="0.25">
      <c r="A8699" s="41">
        <v>43828</v>
      </c>
      <c r="B8699" s="29">
        <v>286.91000000000003</v>
      </c>
      <c r="C8699" s="37">
        <f t="shared" si="276"/>
        <v>47.818333333333342</v>
      </c>
      <c r="D8699" s="37">
        <v>3.12</v>
      </c>
      <c r="E8699" s="33">
        <f t="shared" si="277"/>
        <v>1.7880583247596483E-2</v>
      </c>
    </row>
    <row r="8700" spans="1:5" x14ac:dyDescent="0.25">
      <c r="A8700" s="41">
        <v>43828</v>
      </c>
      <c r="B8700" s="29">
        <v>289.60000000000002</v>
      </c>
      <c r="C8700" s="37">
        <f t="shared" si="276"/>
        <v>48.266666666666673</v>
      </c>
      <c r="D8700" s="37">
        <v>3.12</v>
      </c>
      <c r="E8700" s="33">
        <f t="shared" si="277"/>
        <v>9.3757624342128108E-3</v>
      </c>
    </row>
    <row r="8701" spans="1:5" x14ac:dyDescent="0.25">
      <c r="A8701" s="41">
        <v>43828</v>
      </c>
      <c r="B8701" s="29">
        <v>289.81</v>
      </c>
      <c r="C8701" s="37">
        <f t="shared" si="276"/>
        <v>48.301666666666669</v>
      </c>
      <c r="D8701" s="37">
        <v>3.12</v>
      </c>
      <c r="E8701" s="33">
        <f t="shared" si="277"/>
        <v>7.2513812154689056E-4</v>
      </c>
    </row>
    <row r="8702" spans="1:5" x14ac:dyDescent="0.25">
      <c r="A8702" s="41">
        <v>43828</v>
      </c>
      <c r="B8702" s="29">
        <v>289.76</v>
      </c>
      <c r="C8702" s="37">
        <f t="shared" si="276"/>
        <v>48.293333333333337</v>
      </c>
      <c r="D8702" s="37">
        <v>3.12</v>
      </c>
      <c r="E8702" s="33">
        <f t="shared" si="277"/>
        <v>-1.7252682792178107E-4</v>
      </c>
    </row>
    <row r="8703" spans="1:5" x14ac:dyDescent="0.25">
      <c r="A8703" s="41">
        <v>43828</v>
      </c>
      <c r="B8703" s="29">
        <v>289.70999999999998</v>
      </c>
      <c r="C8703" s="37">
        <f t="shared" si="276"/>
        <v>48.284999999999997</v>
      </c>
      <c r="D8703" s="37">
        <v>3.12</v>
      </c>
      <c r="E8703" s="33">
        <f t="shared" si="277"/>
        <v>-1.7255659856436835E-4</v>
      </c>
    </row>
    <row r="8704" spans="1:5" x14ac:dyDescent="0.25">
      <c r="A8704" s="41">
        <v>43828</v>
      </c>
      <c r="B8704" s="29">
        <v>289.67</v>
      </c>
      <c r="C8704" s="37">
        <f t="shared" si="276"/>
        <v>48.278333333333336</v>
      </c>
      <c r="D8704" s="37">
        <v>3.12</v>
      </c>
      <c r="E8704" s="33">
        <f t="shared" si="277"/>
        <v>-1.380691035862194E-4</v>
      </c>
    </row>
    <row r="8705" spans="1:5" x14ac:dyDescent="0.25">
      <c r="A8705" s="41">
        <v>43828</v>
      </c>
      <c r="B8705" s="29">
        <v>289.57</v>
      </c>
      <c r="C8705" s="37">
        <f t="shared" si="276"/>
        <v>48.261666666666663</v>
      </c>
      <c r="D8705" s="37">
        <v>3.12</v>
      </c>
      <c r="E8705" s="33">
        <f t="shared" si="277"/>
        <v>-3.4522042324031739E-4</v>
      </c>
    </row>
    <row r="8706" spans="1:5" x14ac:dyDescent="0.25">
      <c r="A8706" s="41">
        <v>43828</v>
      </c>
      <c r="B8706" s="29">
        <v>289.42</v>
      </c>
      <c r="C8706" s="37">
        <f t="shared" si="276"/>
        <v>48.236666666666665</v>
      </c>
      <c r="D8706" s="37">
        <v>3.12</v>
      </c>
      <c r="E8706" s="33">
        <f t="shared" si="277"/>
        <v>-5.1800946230609959E-4</v>
      </c>
    </row>
    <row r="8707" spans="1:5" x14ac:dyDescent="0.25">
      <c r="A8707" s="41">
        <v>43828</v>
      </c>
      <c r="B8707" s="29">
        <v>289.52</v>
      </c>
      <c r="C8707" s="37">
        <f t="shared" ref="C8707:C8761" si="278">(B8707*100/600)</f>
        <v>48.25333333333333</v>
      </c>
      <c r="D8707" s="37">
        <v>3.12</v>
      </c>
      <c r="E8707" s="33">
        <f t="shared" si="277"/>
        <v>3.4551862345368631E-4</v>
      </c>
    </row>
    <row r="8708" spans="1:5" x14ac:dyDescent="0.25">
      <c r="A8708" s="41">
        <v>43828</v>
      </c>
      <c r="B8708" s="29">
        <v>291.67</v>
      </c>
      <c r="C8708" s="37">
        <f t="shared" si="278"/>
        <v>48.611666666666665</v>
      </c>
      <c r="D8708" s="37">
        <v>3.12</v>
      </c>
      <c r="E8708" s="33">
        <f t="shared" ref="E8708:E8761" si="279">(B8708-B8707)/B8707</f>
        <v>7.4260845537442461E-3</v>
      </c>
    </row>
    <row r="8709" spans="1:5" x14ac:dyDescent="0.25">
      <c r="A8709" s="41">
        <v>43828</v>
      </c>
      <c r="B8709" s="29">
        <v>294.76</v>
      </c>
      <c r="C8709" s="37">
        <f t="shared" si="278"/>
        <v>49.126666666666665</v>
      </c>
      <c r="D8709" s="37">
        <v>3.12</v>
      </c>
      <c r="E8709" s="33">
        <f t="shared" si="279"/>
        <v>1.0594164638118336E-2</v>
      </c>
    </row>
    <row r="8710" spans="1:5" x14ac:dyDescent="0.25">
      <c r="A8710" s="41">
        <v>43828</v>
      </c>
      <c r="B8710" s="29">
        <v>295.01</v>
      </c>
      <c r="C8710" s="37">
        <f t="shared" si="278"/>
        <v>49.168333333333337</v>
      </c>
      <c r="D8710" s="37">
        <v>3.12</v>
      </c>
      <c r="E8710" s="33">
        <f t="shared" si="279"/>
        <v>8.4814764554213596E-4</v>
      </c>
    </row>
    <row r="8711" spans="1:5" x14ac:dyDescent="0.25">
      <c r="A8711" s="41">
        <v>43828</v>
      </c>
      <c r="B8711" s="29">
        <v>294.99</v>
      </c>
      <c r="C8711" s="37">
        <f t="shared" si="278"/>
        <v>49.164999999999999</v>
      </c>
      <c r="D8711" s="37">
        <v>3.12</v>
      </c>
      <c r="E8711" s="33">
        <f t="shared" si="279"/>
        <v>-6.7794312057156748E-5</v>
      </c>
    </row>
    <row r="8712" spans="1:5" x14ac:dyDescent="0.25">
      <c r="A8712" s="41">
        <v>43828</v>
      </c>
      <c r="B8712" s="29">
        <v>294.02</v>
      </c>
      <c r="C8712" s="37">
        <f t="shared" si="278"/>
        <v>49.00333333333333</v>
      </c>
      <c r="D8712" s="37">
        <v>3.12</v>
      </c>
      <c r="E8712" s="33">
        <f t="shared" si="279"/>
        <v>-3.2882470592224388E-3</v>
      </c>
    </row>
    <row r="8713" spans="1:5" x14ac:dyDescent="0.25">
      <c r="A8713" s="41">
        <v>43828</v>
      </c>
      <c r="B8713" s="29">
        <v>291.32</v>
      </c>
      <c r="C8713" s="37">
        <f t="shared" si="278"/>
        <v>48.553333333333335</v>
      </c>
      <c r="D8713" s="37">
        <v>3.12</v>
      </c>
      <c r="E8713" s="33">
        <f t="shared" si="279"/>
        <v>-9.1830487721923301E-3</v>
      </c>
    </row>
    <row r="8714" spans="1:5" x14ac:dyDescent="0.25">
      <c r="A8714" s="41">
        <v>43829</v>
      </c>
      <c r="B8714" s="29">
        <v>289.56</v>
      </c>
      <c r="C8714" s="37">
        <f t="shared" si="278"/>
        <v>48.26</v>
      </c>
      <c r="D8714" s="37">
        <v>2.915</v>
      </c>
      <c r="E8714" s="33">
        <f t="shared" si="279"/>
        <v>-6.0414664286694729E-3</v>
      </c>
    </row>
    <row r="8715" spans="1:5" x14ac:dyDescent="0.25">
      <c r="A8715" s="41">
        <v>43829</v>
      </c>
      <c r="B8715" s="29">
        <v>287.24</v>
      </c>
      <c r="C8715" s="37">
        <f t="shared" si="278"/>
        <v>47.873333333333335</v>
      </c>
      <c r="D8715" s="37">
        <v>2.915</v>
      </c>
      <c r="E8715" s="33">
        <f t="shared" si="279"/>
        <v>-8.0121563751899202E-3</v>
      </c>
    </row>
    <row r="8716" spans="1:5" x14ac:dyDescent="0.25">
      <c r="A8716" s="41">
        <v>43829</v>
      </c>
      <c r="B8716" s="29">
        <v>285.57</v>
      </c>
      <c r="C8716" s="37">
        <f t="shared" si="278"/>
        <v>47.594999999999999</v>
      </c>
      <c r="D8716" s="37">
        <v>2.915</v>
      </c>
      <c r="E8716" s="33">
        <f t="shared" si="279"/>
        <v>-5.8139534883721485E-3</v>
      </c>
    </row>
    <row r="8717" spans="1:5" x14ac:dyDescent="0.25">
      <c r="A8717" s="41">
        <v>43829</v>
      </c>
      <c r="B8717" s="29">
        <v>284.8</v>
      </c>
      <c r="C8717" s="37">
        <f t="shared" si="278"/>
        <v>47.466666666666669</v>
      </c>
      <c r="D8717" s="37">
        <v>2.915</v>
      </c>
      <c r="E8717" s="33">
        <f t="shared" si="279"/>
        <v>-2.6963616626395695E-3</v>
      </c>
    </row>
    <row r="8718" spans="1:5" x14ac:dyDescent="0.25">
      <c r="A8718" s="41">
        <v>43829</v>
      </c>
      <c r="B8718" s="29">
        <v>284.61</v>
      </c>
      <c r="C8718" s="37">
        <f t="shared" si="278"/>
        <v>47.435000000000002</v>
      </c>
      <c r="D8718" s="37">
        <v>2.915</v>
      </c>
      <c r="E8718" s="33">
        <f t="shared" si="279"/>
        <v>-6.6713483146066616E-4</v>
      </c>
    </row>
    <row r="8719" spans="1:5" x14ac:dyDescent="0.25">
      <c r="A8719" s="41">
        <v>43829</v>
      </c>
      <c r="B8719" s="29">
        <v>283.94</v>
      </c>
      <c r="C8719" s="37">
        <f t="shared" si="278"/>
        <v>47.323333333333331</v>
      </c>
      <c r="D8719" s="37">
        <v>2.915</v>
      </c>
      <c r="E8719" s="33">
        <f t="shared" si="279"/>
        <v>-2.3540985910544812E-3</v>
      </c>
    </row>
    <row r="8720" spans="1:5" x14ac:dyDescent="0.25">
      <c r="A8720" s="41">
        <v>43829</v>
      </c>
      <c r="B8720" s="29">
        <v>285.17</v>
      </c>
      <c r="C8720" s="37">
        <f t="shared" si="278"/>
        <v>47.528333333333336</v>
      </c>
      <c r="D8720" s="37">
        <v>2.915</v>
      </c>
      <c r="E8720" s="33">
        <f t="shared" si="279"/>
        <v>4.3319011058675005E-3</v>
      </c>
    </row>
    <row r="8721" spans="1:5" x14ac:dyDescent="0.25">
      <c r="A8721" s="41">
        <v>43829</v>
      </c>
      <c r="B8721" s="29">
        <v>290.38</v>
      </c>
      <c r="C8721" s="37">
        <f t="shared" si="278"/>
        <v>48.396666666666668</v>
      </c>
      <c r="D8721" s="37">
        <v>2.915</v>
      </c>
      <c r="E8721" s="33">
        <f t="shared" si="279"/>
        <v>1.8269803976575304E-2</v>
      </c>
    </row>
    <row r="8722" spans="1:5" x14ac:dyDescent="0.25">
      <c r="A8722" s="41">
        <v>43829</v>
      </c>
      <c r="B8722" s="29">
        <v>294.63</v>
      </c>
      <c r="C8722" s="37">
        <f t="shared" si="278"/>
        <v>49.104999999999997</v>
      </c>
      <c r="D8722" s="37">
        <v>2.915</v>
      </c>
      <c r="E8722" s="33">
        <f t="shared" si="279"/>
        <v>1.4635994214477581E-2</v>
      </c>
    </row>
    <row r="8723" spans="1:5" x14ac:dyDescent="0.25">
      <c r="A8723" s="41">
        <v>43829</v>
      </c>
      <c r="B8723" s="29">
        <v>296.22000000000003</v>
      </c>
      <c r="C8723" s="37">
        <f t="shared" si="278"/>
        <v>49.370000000000005</v>
      </c>
      <c r="D8723" s="37">
        <v>2.915</v>
      </c>
      <c r="E8723" s="33">
        <f t="shared" si="279"/>
        <v>5.3965991243255336E-3</v>
      </c>
    </row>
    <row r="8724" spans="1:5" x14ac:dyDescent="0.25">
      <c r="A8724" s="41">
        <v>43829</v>
      </c>
      <c r="B8724" s="29">
        <v>297.49</v>
      </c>
      <c r="C8724" s="37">
        <f t="shared" si="278"/>
        <v>49.581666666666663</v>
      </c>
      <c r="D8724" s="37">
        <v>2.915</v>
      </c>
      <c r="E8724" s="33">
        <f t="shared" si="279"/>
        <v>4.2873539936533036E-3</v>
      </c>
    </row>
    <row r="8725" spans="1:5" x14ac:dyDescent="0.25">
      <c r="A8725" s="41">
        <v>43829</v>
      </c>
      <c r="B8725" s="29">
        <v>297.60000000000002</v>
      </c>
      <c r="C8725" s="37">
        <f t="shared" si="278"/>
        <v>49.600000000000009</v>
      </c>
      <c r="D8725" s="37">
        <v>2.915</v>
      </c>
      <c r="E8725" s="33">
        <f t="shared" si="279"/>
        <v>3.6976032807830059E-4</v>
      </c>
    </row>
    <row r="8726" spans="1:5" x14ac:dyDescent="0.25">
      <c r="A8726" s="41">
        <v>43829</v>
      </c>
      <c r="B8726" s="29">
        <v>297.60000000000002</v>
      </c>
      <c r="C8726" s="37">
        <f t="shared" si="278"/>
        <v>49.600000000000009</v>
      </c>
      <c r="D8726" s="37">
        <v>2.915</v>
      </c>
      <c r="E8726" s="33">
        <f t="shared" si="279"/>
        <v>0</v>
      </c>
    </row>
    <row r="8727" spans="1:5" x14ac:dyDescent="0.25">
      <c r="A8727" s="41">
        <v>43829</v>
      </c>
      <c r="B8727" s="29">
        <v>298.11</v>
      </c>
      <c r="C8727" s="37">
        <f t="shared" si="278"/>
        <v>49.685000000000002</v>
      </c>
      <c r="D8727" s="37">
        <v>2.915</v>
      </c>
      <c r="E8727" s="33">
        <f t="shared" si="279"/>
        <v>1.7137096774193241E-3</v>
      </c>
    </row>
    <row r="8728" spans="1:5" x14ac:dyDescent="0.25">
      <c r="A8728" s="41">
        <v>43829</v>
      </c>
      <c r="B8728" s="29">
        <v>299.76</v>
      </c>
      <c r="C8728" s="37">
        <f t="shared" si="278"/>
        <v>49.96</v>
      </c>
      <c r="D8728" s="37">
        <v>2.915</v>
      </c>
      <c r="E8728" s="33">
        <f t="shared" si="279"/>
        <v>5.5348696789774823E-3</v>
      </c>
    </row>
    <row r="8729" spans="1:5" x14ac:dyDescent="0.25">
      <c r="A8729" s="41">
        <v>43829</v>
      </c>
      <c r="B8729" s="29">
        <v>299.68</v>
      </c>
      <c r="C8729" s="37">
        <f t="shared" si="278"/>
        <v>49.946666666666665</v>
      </c>
      <c r="D8729" s="37">
        <v>2.915</v>
      </c>
      <c r="E8729" s="33">
        <f t="shared" si="279"/>
        <v>-2.6688017080325624E-4</v>
      </c>
    </row>
    <row r="8730" spans="1:5" x14ac:dyDescent="0.25">
      <c r="A8730" s="41">
        <v>43829</v>
      </c>
      <c r="B8730" s="29">
        <v>298.27</v>
      </c>
      <c r="C8730" s="37">
        <f t="shared" si="278"/>
        <v>49.711666666666666</v>
      </c>
      <c r="D8730" s="37">
        <v>2.915</v>
      </c>
      <c r="E8730" s="33">
        <f t="shared" si="279"/>
        <v>-4.7050186865991222E-3</v>
      </c>
    </row>
    <row r="8731" spans="1:5" x14ac:dyDescent="0.25">
      <c r="A8731" s="41">
        <v>43829</v>
      </c>
      <c r="B8731" s="29">
        <v>297.02</v>
      </c>
      <c r="C8731" s="37">
        <f t="shared" si="278"/>
        <v>49.50333333333333</v>
      </c>
      <c r="D8731" s="37">
        <v>2.915</v>
      </c>
      <c r="E8731" s="33">
        <f t="shared" si="279"/>
        <v>-4.1908338082944988E-3</v>
      </c>
    </row>
    <row r="8732" spans="1:5" x14ac:dyDescent="0.25">
      <c r="A8732" s="41">
        <v>43829</v>
      </c>
      <c r="B8732" s="29">
        <v>296.5</v>
      </c>
      <c r="C8732" s="37">
        <f t="shared" si="278"/>
        <v>49.416666666666664</v>
      </c>
      <c r="D8732" s="37">
        <v>2.915</v>
      </c>
      <c r="E8732" s="33">
        <f t="shared" si="279"/>
        <v>-1.7507238569792669E-3</v>
      </c>
    </row>
    <row r="8733" spans="1:5" x14ac:dyDescent="0.25">
      <c r="A8733" s="41">
        <v>43829</v>
      </c>
      <c r="B8733" s="29">
        <v>297.64</v>
      </c>
      <c r="C8733" s="37">
        <f t="shared" si="278"/>
        <v>49.606666666666669</v>
      </c>
      <c r="D8733" s="37">
        <v>2.915</v>
      </c>
      <c r="E8733" s="33">
        <f t="shared" si="279"/>
        <v>3.8448566610454851E-3</v>
      </c>
    </row>
    <row r="8734" spans="1:5" x14ac:dyDescent="0.25">
      <c r="A8734" s="41">
        <v>43829</v>
      </c>
      <c r="B8734" s="29">
        <v>297.76</v>
      </c>
      <c r="C8734" s="37">
        <f t="shared" si="278"/>
        <v>49.626666666666665</v>
      </c>
      <c r="D8734" s="37">
        <v>2.915</v>
      </c>
      <c r="E8734" s="33">
        <f t="shared" si="279"/>
        <v>4.0317161671819834E-4</v>
      </c>
    </row>
    <row r="8735" spans="1:5" x14ac:dyDescent="0.25">
      <c r="A8735" s="41">
        <v>43829</v>
      </c>
      <c r="B8735" s="29">
        <v>297.76</v>
      </c>
      <c r="C8735" s="37">
        <f t="shared" si="278"/>
        <v>49.626666666666665</v>
      </c>
      <c r="D8735" s="37">
        <v>2.915</v>
      </c>
      <c r="E8735" s="33">
        <f t="shared" si="279"/>
        <v>0</v>
      </c>
    </row>
    <row r="8736" spans="1:5" x14ac:dyDescent="0.25">
      <c r="A8736" s="41">
        <v>43829</v>
      </c>
      <c r="B8736" s="29">
        <v>296.98</v>
      </c>
      <c r="C8736" s="37">
        <f t="shared" si="278"/>
        <v>49.49666666666667</v>
      </c>
      <c r="D8736" s="37">
        <v>2.915</v>
      </c>
      <c r="E8736" s="33">
        <f t="shared" si="279"/>
        <v>-2.6195593766791133E-3</v>
      </c>
    </row>
    <row r="8737" spans="1:5" x14ac:dyDescent="0.25">
      <c r="A8737" s="41">
        <v>43829</v>
      </c>
      <c r="B8737" s="29">
        <v>295.54000000000002</v>
      </c>
      <c r="C8737" s="37">
        <f t="shared" si="278"/>
        <v>49.256666666666675</v>
      </c>
      <c r="D8737" s="37">
        <v>2.915</v>
      </c>
      <c r="E8737" s="33">
        <f t="shared" si="279"/>
        <v>-4.8488113677688655E-3</v>
      </c>
    </row>
    <row r="8738" spans="1:5" x14ac:dyDescent="0.25">
      <c r="A8738" s="41">
        <v>43830</v>
      </c>
      <c r="B8738" s="29">
        <v>293.97000000000003</v>
      </c>
      <c r="C8738" s="37">
        <f t="shared" si="278"/>
        <v>48.995000000000005</v>
      </c>
      <c r="D8738" s="37">
        <v>2.742</v>
      </c>
      <c r="E8738" s="33">
        <f t="shared" si="279"/>
        <v>-5.3123096704337592E-3</v>
      </c>
    </row>
    <row r="8739" spans="1:5" x14ac:dyDescent="0.25">
      <c r="A8739" s="41">
        <v>43830</v>
      </c>
      <c r="B8739" s="29">
        <v>291.52</v>
      </c>
      <c r="C8739" s="37">
        <f t="shared" si="278"/>
        <v>48.586666666666666</v>
      </c>
      <c r="D8739" s="37">
        <v>2.742</v>
      </c>
      <c r="E8739" s="33">
        <f t="shared" si="279"/>
        <v>-8.334183760247799E-3</v>
      </c>
    </row>
    <row r="8740" spans="1:5" x14ac:dyDescent="0.25">
      <c r="A8740" s="41">
        <v>43830</v>
      </c>
      <c r="B8740" s="29">
        <v>290.76</v>
      </c>
      <c r="C8740" s="37">
        <f t="shared" si="278"/>
        <v>48.46</v>
      </c>
      <c r="D8740" s="37">
        <v>2.742</v>
      </c>
      <c r="E8740" s="33">
        <f t="shared" si="279"/>
        <v>-2.607025246981308E-3</v>
      </c>
    </row>
    <row r="8741" spans="1:5" x14ac:dyDescent="0.25">
      <c r="A8741" s="41">
        <v>43830</v>
      </c>
      <c r="B8741" s="29">
        <v>290.25</v>
      </c>
      <c r="C8741" s="37">
        <f t="shared" si="278"/>
        <v>48.375</v>
      </c>
      <c r="D8741" s="37">
        <v>2.742</v>
      </c>
      <c r="E8741" s="33">
        <f t="shared" si="279"/>
        <v>-1.7540239372678186E-3</v>
      </c>
    </row>
    <row r="8742" spans="1:5" x14ac:dyDescent="0.25">
      <c r="A8742" s="41">
        <v>43830</v>
      </c>
      <c r="B8742" s="29">
        <v>290.43</v>
      </c>
      <c r="C8742" s="37">
        <f t="shared" si="278"/>
        <v>48.405000000000001</v>
      </c>
      <c r="D8742" s="37">
        <v>2.742</v>
      </c>
      <c r="E8742" s="33">
        <f t="shared" si="279"/>
        <v>6.2015503875971338E-4</v>
      </c>
    </row>
    <row r="8743" spans="1:5" x14ac:dyDescent="0.25">
      <c r="A8743" s="41">
        <v>43830</v>
      </c>
      <c r="B8743" s="29">
        <v>287.56</v>
      </c>
      <c r="C8743" s="37">
        <f t="shared" si="278"/>
        <v>47.926666666666669</v>
      </c>
      <c r="D8743" s="37">
        <v>2.742</v>
      </c>
      <c r="E8743" s="33">
        <f t="shared" si="279"/>
        <v>-9.881899252832024E-3</v>
      </c>
    </row>
    <row r="8744" spans="1:5" x14ac:dyDescent="0.25">
      <c r="A8744" s="41">
        <v>43830</v>
      </c>
      <c r="B8744" s="29">
        <v>287.3</v>
      </c>
      <c r="C8744" s="37">
        <f t="shared" si="278"/>
        <v>47.883333333333333</v>
      </c>
      <c r="D8744" s="37">
        <v>2.742</v>
      </c>
      <c r="E8744" s="33">
        <f t="shared" si="279"/>
        <v>-9.0415913200720158E-4</v>
      </c>
    </row>
    <row r="8745" spans="1:5" x14ac:dyDescent="0.25">
      <c r="A8745" s="41">
        <v>43830</v>
      </c>
      <c r="B8745" s="29">
        <v>289.98</v>
      </c>
      <c r="C8745" s="37">
        <f t="shared" si="278"/>
        <v>48.33</v>
      </c>
      <c r="D8745" s="37">
        <v>2.742</v>
      </c>
      <c r="E8745" s="33">
        <f t="shared" si="279"/>
        <v>9.3282283327532425E-3</v>
      </c>
    </row>
    <row r="8746" spans="1:5" x14ac:dyDescent="0.25">
      <c r="A8746" s="41">
        <v>43830</v>
      </c>
      <c r="B8746" s="29">
        <v>291.36</v>
      </c>
      <c r="C8746" s="37">
        <f t="shared" si="278"/>
        <v>48.56</v>
      </c>
      <c r="D8746" s="37">
        <v>2.742</v>
      </c>
      <c r="E8746" s="33">
        <f t="shared" si="279"/>
        <v>4.7589488930270896E-3</v>
      </c>
    </row>
    <row r="8747" spans="1:5" x14ac:dyDescent="0.25">
      <c r="A8747" s="41">
        <v>43830</v>
      </c>
      <c r="B8747" s="29">
        <v>292.88</v>
      </c>
      <c r="C8747" s="37">
        <f t="shared" si="278"/>
        <v>48.813333333333333</v>
      </c>
      <c r="D8747" s="37">
        <v>2.742</v>
      </c>
      <c r="E8747" s="33">
        <f t="shared" si="279"/>
        <v>5.2169137836353026E-3</v>
      </c>
    </row>
    <row r="8748" spans="1:5" x14ac:dyDescent="0.25">
      <c r="A8748" s="41">
        <v>43830</v>
      </c>
      <c r="B8748" s="29">
        <v>293.06</v>
      </c>
      <c r="C8748" s="37">
        <f t="shared" si="278"/>
        <v>48.843333333333334</v>
      </c>
      <c r="D8748" s="37">
        <v>2.742</v>
      </c>
      <c r="E8748" s="33">
        <f t="shared" si="279"/>
        <v>6.1458617863973926E-4</v>
      </c>
    </row>
    <row r="8749" spans="1:5" x14ac:dyDescent="0.25">
      <c r="A8749" s="41">
        <v>43830</v>
      </c>
      <c r="B8749" s="29">
        <v>293.06</v>
      </c>
      <c r="C8749" s="37">
        <f t="shared" si="278"/>
        <v>48.843333333333334</v>
      </c>
      <c r="D8749" s="37">
        <v>2.742</v>
      </c>
      <c r="E8749" s="33">
        <f t="shared" si="279"/>
        <v>0</v>
      </c>
    </row>
    <row r="8750" spans="1:5" x14ac:dyDescent="0.25">
      <c r="A8750" s="41">
        <v>43830</v>
      </c>
      <c r="B8750" s="29">
        <v>293</v>
      </c>
      <c r="C8750" s="37">
        <f t="shared" si="278"/>
        <v>48.833333333333336</v>
      </c>
      <c r="D8750" s="37">
        <v>2.742</v>
      </c>
      <c r="E8750" s="33">
        <f t="shared" si="279"/>
        <v>-2.0473623148844016E-4</v>
      </c>
    </row>
    <row r="8751" spans="1:5" x14ac:dyDescent="0.25">
      <c r="A8751" s="41">
        <v>43830</v>
      </c>
      <c r="B8751" s="29">
        <v>293.07</v>
      </c>
      <c r="C8751" s="37">
        <f t="shared" si="278"/>
        <v>48.844999999999999</v>
      </c>
      <c r="D8751" s="37">
        <v>2.742</v>
      </c>
      <c r="E8751" s="33">
        <f t="shared" si="279"/>
        <v>2.3890784982932825E-4</v>
      </c>
    </row>
    <row r="8752" spans="1:5" x14ac:dyDescent="0.25">
      <c r="A8752" s="41">
        <v>43830</v>
      </c>
      <c r="B8752" s="29">
        <v>293.22000000000003</v>
      </c>
      <c r="C8752" s="37">
        <f t="shared" si="278"/>
        <v>48.870000000000005</v>
      </c>
      <c r="D8752" s="37">
        <v>2.742</v>
      </c>
      <c r="E8752" s="33">
        <f t="shared" si="279"/>
        <v>5.1182311393194158E-4</v>
      </c>
    </row>
    <row r="8753" spans="1:5" x14ac:dyDescent="0.25">
      <c r="A8753" s="41">
        <v>43830</v>
      </c>
      <c r="B8753" s="29">
        <v>293.27</v>
      </c>
      <c r="C8753" s="37">
        <f t="shared" si="278"/>
        <v>48.87833333333333</v>
      </c>
      <c r="D8753" s="37">
        <v>2.742</v>
      </c>
      <c r="E8753" s="33">
        <f t="shared" si="279"/>
        <v>1.705204283471609E-4</v>
      </c>
    </row>
    <row r="8754" spans="1:5" x14ac:dyDescent="0.25">
      <c r="A8754" s="41">
        <v>43830</v>
      </c>
      <c r="B8754" s="29">
        <v>293.26</v>
      </c>
      <c r="C8754" s="37">
        <f t="shared" si="278"/>
        <v>48.876666666666665</v>
      </c>
      <c r="D8754" s="37">
        <v>2.742</v>
      </c>
      <c r="E8754" s="33">
        <f t="shared" si="279"/>
        <v>-3.4098271217618254E-5</v>
      </c>
    </row>
    <row r="8755" spans="1:5" x14ac:dyDescent="0.25">
      <c r="A8755" s="41">
        <v>43830</v>
      </c>
      <c r="B8755" s="29">
        <v>292.99</v>
      </c>
      <c r="C8755" s="37">
        <f t="shared" si="278"/>
        <v>48.831666666666663</v>
      </c>
      <c r="D8755" s="37">
        <v>2.742</v>
      </c>
      <c r="E8755" s="33">
        <f t="shared" si="279"/>
        <v>-9.2068471663364192E-4</v>
      </c>
    </row>
    <row r="8756" spans="1:5" x14ac:dyDescent="0.25">
      <c r="A8756" s="41">
        <v>43830</v>
      </c>
      <c r="B8756" s="29">
        <v>294.17</v>
      </c>
      <c r="C8756" s="37">
        <f t="shared" si="278"/>
        <v>49.028333333333336</v>
      </c>
      <c r="D8756" s="37">
        <v>2.742</v>
      </c>
      <c r="E8756" s="33">
        <f t="shared" si="279"/>
        <v>4.0274412095976202E-3</v>
      </c>
    </row>
    <row r="8757" spans="1:5" x14ac:dyDescent="0.25">
      <c r="A8757" s="41">
        <v>43830</v>
      </c>
      <c r="B8757" s="29">
        <v>297.33</v>
      </c>
      <c r="C8757" s="37">
        <f t="shared" si="278"/>
        <v>49.555</v>
      </c>
      <c r="D8757" s="37">
        <v>2.742</v>
      </c>
      <c r="E8757" s="33">
        <f t="shared" si="279"/>
        <v>1.0742087908352205E-2</v>
      </c>
    </row>
    <row r="8758" spans="1:5" x14ac:dyDescent="0.25">
      <c r="A8758" s="41">
        <v>43830</v>
      </c>
      <c r="B8758" s="29">
        <v>296.14999999999998</v>
      </c>
      <c r="C8758" s="37">
        <f t="shared" si="278"/>
        <v>49.358333333333327</v>
      </c>
      <c r="D8758" s="37">
        <v>2.742</v>
      </c>
      <c r="E8758" s="33">
        <f t="shared" si="279"/>
        <v>-3.9686543571116496E-3</v>
      </c>
    </row>
    <row r="8759" spans="1:5" x14ac:dyDescent="0.25">
      <c r="A8759" s="41">
        <v>43830</v>
      </c>
      <c r="B8759" s="29">
        <v>294.05</v>
      </c>
      <c r="C8759" s="37">
        <f t="shared" si="278"/>
        <v>49.008333333333333</v>
      </c>
      <c r="D8759" s="37">
        <v>2.742</v>
      </c>
      <c r="E8759" s="33">
        <f t="shared" si="279"/>
        <v>-7.0910011818334159E-3</v>
      </c>
    </row>
    <row r="8760" spans="1:5" x14ac:dyDescent="0.25">
      <c r="A8760" s="41">
        <v>43830</v>
      </c>
      <c r="B8760" s="29">
        <v>292.29000000000002</v>
      </c>
      <c r="C8760" s="37">
        <f t="shared" si="278"/>
        <v>48.715000000000003</v>
      </c>
      <c r="D8760" s="37">
        <v>2.742</v>
      </c>
      <c r="E8760" s="33">
        <f t="shared" si="279"/>
        <v>-5.9853766366263928E-3</v>
      </c>
    </row>
    <row r="8761" spans="1:5" x14ac:dyDescent="0.25">
      <c r="A8761" s="41">
        <v>43830</v>
      </c>
      <c r="B8761" s="29">
        <v>290.19</v>
      </c>
      <c r="C8761" s="37">
        <f t="shared" si="278"/>
        <v>48.365000000000002</v>
      </c>
      <c r="D8761" s="37">
        <v>2.742</v>
      </c>
      <c r="E8761" s="33">
        <f t="shared" si="279"/>
        <v>-7.1846453864313617E-3</v>
      </c>
    </row>
    <row r="8762" spans="1:5" x14ac:dyDescent="0.25">
      <c r="A8762" s="41"/>
      <c r="B8762" s="29"/>
      <c r="C8762" s="37"/>
      <c r="D8762" s="37"/>
      <c r="E8762" s="33"/>
    </row>
    <row r="8763" spans="1:5" x14ac:dyDescent="0.25">
      <c r="A8763" s="41"/>
      <c r="B8763" s="29"/>
      <c r="C8763" s="37"/>
      <c r="D8763" s="37"/>
      <c r="E8763" s="33"/>
    </row>
    <row r="8764" spans="1:5" x14ac:dyDescent="0.25">
      <c r="A8764" s="41"/>
      <c r="B8764" s="29"/>
      <c r="C8764" s="37"/>
      <c r="D8764" s="37"/>
      <c r="E8764" s="33"/>
    </row>
    <row r="8765" spans="1:5" x14ac:dyDescent="0.25">
      <c r="A8765" s="41"/>
      <c r="B8765" s="29"/>
      <c r="C8765" s="37"/>
      <c r="D8765" s="37"/>
      <c r="E8765" s="33"/>
    </row>
    <row r="8766" spans="1:5" x14ac:dyDescent="0.25">
      <c r="A8766" s="41"/>
      <c r="B8766" s="29"/>
      <c r="C8766" s="37"/>
      <c r="D8766" s="37"/>
      <c r="E8766" s="33"/>
    </row>
    <row r="8767" spans="1:5" x14ac:dyDescent="0.25">
      <c r="A8767" s="41"/>
      <c r="B8767" s="29"/>
      <c r="C8767" s="37"/>
      <c r="D8767" s="37"/>
      <c r="E8767" s="33"/>
    </row>
    <row r="8768" spans="1:5" x14ac:dyDescent="0.25">
      <c r="A8768" s="41"/>
      <c r="B8768" s="29"/>
      <c r="C8768" s="37"/>
      <c r="D8768" s="37"/>
      <c r="E8768" s="33"/>
    </row>
    <row r="8769" spans="1:5" x14ac:dyDescent="0.25">
      <c r="A8769" s="41"/>
      <c r="B8769" s="29"/>
      <c r="C8769" s="37"/>
      <c r="D8769" s="37"/>
      <c r="E8769" s="33"/>
    </row>
    <row r="8770" spans="1:5" x14ac:dyDescent="0.25">
      <c r="A8770" s="41"/>
      <c r="B8770" s="29"/>
      <c r="C8770" s="37"/>
      <c r="D8770" s="37"/>
      <c r="E8770" s="33"/>
    </row>
    <row r="8771" spans="1:5" x14ac:dyDescent="0.25">
      <c r="A8771" s="41"/>
      <c r="B8771" s="29"/>
      <c r="C8771" s="37"/>
      <c r="D8771" s="37"/>
      <c r="E8771" s="33"/>
    </row>
    <row r="8772" spans="1:5" x14ac:dyDescent="0.25">
      <c r="A8772" s="41"/>
      <c r="B8772" s="29"/>
      <c r="C8772" s="37"/>
      <c r="D8772" s="37"/>
      <c r="E8772" s="33"/>
    </row>
    <row r="8773" spans="1:5" x14ac:dyDescent="0.25">
      <c r="A8773" s="41"/>
      <c r="B8773" s="29"/>
      <c r="C8773" s="37"/>
      <c r="D8773" s="37"/>
      <c r="E8773" s="33"/>
    </row>
    <row r="8774" spans="1:5" x14ac:dyDescent="0.25">
      <c r="A8774" s="41"/>
      <c r="B8774" s="29"/>
      <c r="C8774" s="37"/>
      <c r="D8774" s="37"/>
      <c r="E8774" s="33"/>
    </row>
    <row r="8775" spans="1:5" x14ac:dyDescent="0.25">
      <c r="A8775" s="41"/>
      <c r="B8775" s="29"/>
      <c r="C8775" s="37"/>
      <c r="D8775" s="37"/>
      <c r="E8775" s="33"/>
    </row>
    <row r="8776" spans="1:5" x14ac:dyDescent="0.25">
      <c r="A8776" s="41"/>
      <c r="B8776" s="29"/>
      <c r="C8776" s="37"/>
      <c r="D8776" s="37"/>
      <c r="E8776" s="33"/>
    </row>
    <row r="8777" spans="1:5" x14ac:dyDescent="0.25">
      <c r="A8777" s="41"/>
      <c r="B8777" s="29"/>
      <c r="C8777" s="37"/>
      <c r="D8777" s="37"/>
      <c r="E8777" s="33"/>
    </row>
    <row r="8778" spans="1:5" x14ac:dyDescent="0.25">
      <c r="A8778" s="41"/>
      <c r="B8778" s="29"/>
      <c r="C8778" s="37"/>
      <c r="D8778" s="37"/>
      <c r="E8778" s="33"/>
    </row>
    <row r="8779" spans="1:5" x14ac:dyDescent="0.25">
      <c r="A8779" s="41"/>
      <c r="B8779" s="29"/>
      <c r="C8779" s="37"/>
      <c r="D8779" s="37"/>
      <c r="E8779" s="33"/>
    </row>
    <row r="8780" spans="1:5" x14ac:dyDescent="0.25">
      <c r="A8780" s="41"/>
      <c r="B8780" s="29"/>
      <c r="C8780" s="37"/>
      <c r="D8780" s="37"/>
      <c r="E8780" s="33"/>
    </row>
    <row r="8781" spans="1:5" x14ac:dyDescent="0.25">
      <c r="A8781" s="41"/>
      <c r="B8781" s="29"/>
      <c r="C8781" s="37"/>
      <c r="D8781" s="37"/>
      <c r="E8781" s="33"/>
    </row>
    <row r="8782" spans="1:5" x14ac:dyDescent="0.25">
      <c r="A8782" s="41"/>
      <c r="B8782" s="29"/>
      <c r="C8782" s="37"/>
      <c r="D8782" s="37"/>
      <c r="E8782" s="33"/>
    </row>
    <row r="8783" spans="1:5" x14ac:dyDescent="0.25">
      <c r="A8783" s="41"/>
      <c r="B8783" s="29"/>
      <c r="C8783" s="37"/>
      <c r="D8783" s="37"/>
      <c r="E8783" s="33"/>
    </row>
    <row r="8784" spans="1:5" x14ac:dyDescent="0.25">
      <c r="A8784" s="41"/>
      <c r="B8784" s="29"/>
      <c r="C8784" s="37"/>
      <c r="D8784" s="37"/>
      <c r="E8784" s="33"/>
    </row>
    <row r="8785" spans="1:5" x14ac:dyDescent="0.25">
      <c r="A8785" s="41"/>
      <c r="B8785" s="29"/>
      <c r="C8785" s="37"/>
      <c r="D8785" s="37"/>
      <c r="E8785" s="33"/>
    </row>
    <row r="8786" spans="1:5" x14ac:dyDescent="0.25">
      <c r="A8786" s="41"/>
      <c r="B8786" s="29"/>
      <c r="C8786" s="37"/>
      <c r="D8786" s="37"/>
      <c r="E8786" s="33"/>
    </row>
    <row r="8787" spans="1:5" x14ac:dyDescent="0.25">
      <c r="A8787" s="41"/>
      <c r="B8787" s="29"/>
      <c r="C8787" s="37"/>
      <c r="D8787" s="37"/>
      <c r="E8787" s="33"/>
    </row>
    <row r="8788" spans="1:5" x14ac:dyDescent="0.25">
      <c r="A8788" s="41"/>
      <c r="B8788" s="29"/>
      <c r="C8788" s="37"/>
      <c r="D8788" s="37"/>
      <c r="E8788" s="33"/>
    </row>
    <row r="8789" spans="1:5" x14ac:dyDescent="0.25">
      <c r="A8789" s="41"/>
      <c r="B8789" s="29"/>
      <c r="C8789" s="37"/>
      <c r="D8789" s="37"/>
      <c r="E8789" s="33"/>
    </row>
    <row r="8790" spans="1:5" x14ac:dyDescent="0.25">
      <c r="A8790" s="41"/>
      <c r="B8790" s="29"/>
      <c r="C8790" s="37"/>
      <c r="D8790" s="37"/>
      <c r="E8790" s="33"/>
    </row>
    <row r="8791" spans="1:5" x14ac:dyDescent="0.25">
      <c r="A8791" s="41"/>
      <c r="B8791" s="29"/>
      <c r="C8791" s="37"/>
      <c r="D8791" s="37"/>
      <c r="E8791" s="33"/>
    </row>
    <row r="8792" spans="1:5" x14ac:dyDescent="0.25">
      <c r="A8792" s="41"/>
      <c r="B8792" s="29"/>
      <c r="C8792" s="37"/>
      <c r="D8792" s="37"/>
      <c r="E8792" s="33"/>
    </row>
    <row r="8793" spans="1:5" x14ac:dyDescent="0.25">
      <c r="A8793" s="41"/>
      <c r="B8793" s="29"/>
      <c r="C8793" s="37"/>
      <c r="D8793" s="37"/>
      <c r="E8793" s="33"/>
    </row>
    <row r="8794" spans="1:5" x14ac:dyDescent="0.25">
      <c r="A8794" s="41"/>
      <c r="B8794" s="29"/>
      <c r="C8794" s="37"/>
      <c r="D8794" s="37"/>
      <c r="E8794" s="33"/>
    </row>
    <row r="8795" spans="1:5" x14ac:dyDescent="0.25">
      <c r="A8795" s="41"/>
      <c r="B8795" s="29"/>
      <c r="C8795" s="37"/>
      <c r="D8795" s="37"/>
      <c r="E8795" s="33"/>
    </row>
    <row r="8796" spans="1:5" x14ac:dyDescent="0.25">
      <c r="A8796" s="41"/>
      <c r="B8796" s="29"/>
      <c r="C8796" s="37"/>
      <c r="D8796" s="37"/>
      <c r="E8796" s="33"/>
    </row>
    <row r="8797" spans="1:5" x14ac:dyDescent="0.25">
      <c r="A8797" s="41"/>
      <c r="B8797" s="29"/>
      <c r="C8797" s="37"/>
      <c r="D8797" s="37"/>
      <c r="E8797" s="33"/>
    </row>
    <row r="8798" spans="1:5" x14ac:dyDescent="0.25">
      <c r="A8798" s="41"/>
      <c r="B8798" s="29"/>
      <c r="C8798" s="37"/>
      <c r="D8798" s="37"/>
      <c r="E8798" s="33"/>
    </row>
    <row r="8799" spans="1:5" x14ac:dyDescent="0.25">
      <c r="A8799" s="41"/>
      <c r="B8799" s="29"/>
      <c r="C8799" s="37"/>
      <c r="D8799" s="37"/>
      <c r="E8799" s="33"/>
    </row>
    <row r="8800" spans="1:5" x14ac:dyDescent="0.25">
      <c r="A8800" s="41"/>
      <c r="B8800" s="29"/>
      <c r="C8800" s="37"/>
      <c r="D8800" s="37"/>
      <c r="E8800" s="33"/>
    </row>
    <row r="8801" spans="1:5" x14ac:dyDescent="0.25">
      <c r="A8801" s="41"/>
      <c r="B8801" s="29"/>
      <c r="C8801" s="37"/>
      <c r="D8801" s="37"/>
      <c r="E8801" s="33"/>
    </row>
    <row r="8802" spans="1:5" x14ac:dyDescent="0.25">
      <c r="A8802" s="41"/>
      <c r="B8802" s="29"/>
      <c r="C8802" s="37"/>
      <c r="D8802" s="37"/>
      <c r="E8802" s="33"/>
    </row>
    <row r="8803" spans="1:5" x14ac:dyDescent="0.25">
      <c r="A8803" s="41"/>
      <c r="B8803" s="29"/>
      <c r="C8803" s="37"/>
      <c r="D8803" s="37"/>
      <c r="E8803" s="33"/>
    </row>
    <row r="8804" spans="1:5" x14ac:dyDescent="0.25">
      <c r="A8804" s="41"/>
      <c r="B8804" s="29"/>
      <c r="C8804" s="37"/>
      <c r="D8804" s="37"/>
      <c r="E8804" s="33"/>
    </row>
    <row r="8805" spans="1:5" x14ac:dyDescent="0.25">
      <c r="A8805" s="41"/>
      <c r="B8805" s="29"/>
      <c r="C8805" s="37"/>
      <c r="D8805" s="37"/>
      <c r="E8805" s="33"/>
    </row>
    <row r="8806" spans="1:5" x14ac:dyDescent="0.25">
      <c r="A8806" s="41"/>
      <c r="B8806" s="29"/>
      <c r="C8806" s="37"/>
      <c r="D8806" s="37"/>
      <c r="E8806" s="33"/>
    </row>
    <row r="8807" spans="1:5" x14ac:dyDescent="0.25">
      <c r="A8807" s="41"/>
      <c r="B8807" s="29"/>
      <c r="C8807" s="37"/>
      <c r="D8807" s="37"/>
      <c r="E8807" s="33"/>
    </row>
    <row r="8808" spans="1:5" x14ac:dyDescent="0.25">
      <c r="A8808" s="41"/>
      <c r="B8808" s="29"/>
      <c r="C8808" s="37"/>
      <c r="D8808" s="37"/>
      <c r="E8808" s="33"/>
    </row>
    <row r="8809" spans="1:5" x14ac:dyDescent="0.25">
      <c r="A8809" s="41"/>
      <c r="B8809" s="29"/>
      <c r="C8809" s="37"/>
      <c r="D8809" s="37"/>
      <c r="E8809" s="33"/>
    </row>
    <row r="8810" spans="1:5" x14ac:dyDescent="0.25">
      <c r="A8810" s="41"/>
      <c r="B8810" s="29"/>
      <c r="C8810" s="37"/>
      <c r="D8810" s="37"/>
      <c r="E8810" s="33"/>
    </row>
    <row r="8811" spans="1:5" x14ac:dyDescent="0.25">
      <c r="A8811" s="41"/>
      <c r="B8811" s="29"/>
      <c r="C8811" s="37"/>
      <c r="D8811" s="37"/>
      <c r="E8811" s="33"/>
    </row>
    <row r="8812" spans="1:5" x14ac:dyDescent="0.25">
      <c r="A8812" s="41"/>
      <c r="B8812" s="29"/>
      <c r="C8812" s="37"/>
      <c r="D8812" s="37"/>
      <c r="E8812" s="33"/>
    </row>
    <row r="8813" spans="1:5" x14ac:dyDescent="0.25">
      <c r="A8813" s="41"/>
      <c r="B8813" s="29"/>
      <c r="C8813" s="37"/>
      <c r="D8813" s="37"/>
      <c r="E8813" s="33"/>
    </row>
    <row r="8814" spans="1:5" x14ac:dyDescent="0.25">
      <c r="A8814" s="41"/>
      <c r="B8814" s="29"/>
      <c r="C8814" s="37"/>
      <c r="D8814" s="37"/>
      <c r="E8814" s="33"/>
    </row>
    <row r="8815" spans="1:5" x14ac:dyDescent="0.25">
      <c r="A8815" s="41"/>
      <c r="B8815" s="29"/>
      <c r="C8815" s="37"/>
      <c r="D8815" s="37"/>
      <c r="E8815" s="33"/>
    </row>
    <row r="8816" spans="1:5" x14ac:dyDescent="0.25">
      <c r="A8816" s="41"/>
      <c r="B8816" s="29"/>
      <c r="C8816" s="37"/>
      <c r="D8816" s="37"/>
      <c r="E8816" s="33"/>
    </row>
    <row r="8817" spans="1:5" x14ac:dyDescent="0.25">
      <c r="A8817" s="41"/>
      <c r="B8817" s="29"/>
      <c r="C8817" s="37"/>
      <c r="D8817" s="37"/>
      <c r="E8817" s="33"/>
    </row>
    <row r="8818" spans="1:5" x14ac:dyDescent="0.25">
      <c r="A8818" s="41"/>
      <c r="B8818" s="29"/>
      <c r="C8818" s="37"/>
      <c r="D8818" s="37"/>
      <c r="E8818" s="33"/>
    </row>
    <row r="8819" spans="1:5" x14ac:dyDescent="0.25">
      <c r="A8819" s="41"/>
      <c r="B8819" s="29"/>
      <c r="C8819" s="37"/>
      <c r="D8819" s="37"/>
      <c r="E8819" s="33"/>
    </row>
    <row r="8820" spans="1:5" x14ac:dyDescent="0.25">
      <c r="A8820" s="41"/>
      <c r="B8820" s="29"/>
      <c r="C8820" s="37"/>
      <c r="D8820" s="37"/>
      <c r="E8820" s="33"/>
    </row>
    <row r="8821" spans="1:5" x14ac:dyDescent="0.25">
      <c r="A8821" s="41"/>
      <c r="B8821" s="29"/>
      <c r="C8821" s="37"/>
      <c r="D8821" s="37"/>
      <c r="E8821" s="33"/>
    </row>
    <row r="8822" spans="1:5" x14ac:dyDescent="0.25">
      <c r="A8822" s="41"/>
      <c r="B8822" s="29"/>
      <c r="C8822" s="37"/>
      <c r="D8822" s="37"/>
      <c r="E8822" s="33"/>
    </row>
    <row r="8823" spans="1:5" x14ac:dyDescent="0.25">
      <c r="A8823" s="41"/>
      <c r="B8823" s="29"/>
      <c r="C8823" s="37"/>
      <c r="D8823" s="37"/>
      <c r="E8823" s="33"/>
    </row>
    <row r="8824" spans="1:5" x14ac:dyDescent="0.25">
      <c r="A8824" s="41"/>
      <c r="B8824" s="29"/>
      <c r="C8824" s="37"/>
      <c r="D8824" s="37"/>
      <c r="E8824" s="33"/>
    </row>
    <row r="8825" spans="1:5" x14ac:dyDescent="0.25">
      <c r="A8825" s="41"/>
      <c r="B8825" s="29"/>
      <c r="C8825" s="37"/>
      <c r="D8825" s="37"/>
      <c r="E8825" s="33"/>
    </row>
    <row r="8826" spans="1:5" x14ac:dyDescent="0.25">
      <c r="A8826" s="41"/>
      <c r="B8826" s="29"/>
      <c r="C8826" s="37"/>
      <c r="D8826" s="37"/>
      <c r="E8826" s="33"/>
    </row>
    <row r="8827" spans="1:5" x14ac:dyDescent="0.25">
      <c r="A8827" s="41"/>
      <c r="B8827" s="29"/>
      <c r="C8827" s="37"/>
      <c r="D8827" s="37"/>
      <c r="E8827" s="33"/>
    </row>
    <row r="8828" spans="1:5" x14ac:dyDescent="0.25">
      <c r="A8828" s="41"/>
      <c r="B8828" s="29"/>
      <c r="C8828" s="37"/>
      <c r="D8828" s="37"/>
      <c r="E8828" s="33"/>
    </row>
    <row r="8829" spans="1:5" x14ac:dyDescent="0.25">
      <c r="A8829" s="41"/>
      <c r="B8829" s="29"/>
      <c r="C8829" s="37"/>
      <c r="D8829" s="37"/>
      <c r="E8829" s="33"/>
    </row>
    <row r="8830" spans="1:5" x14ac:dyDescent="0.25">
      <c r="A8830" s="41"/>
      <c r="B8830" s="29"/>
      <c r="C8830" s="37"/>
      <c r="D8830" s="37"/>
      <c r="E8830" s="33"/>
    </row>
    <row r="8831" spans="1:5" x14ac:dyDescent="0.25">
      <c r="A8831" s="41"/>
      <c r="B8831" s="29"/>
      <c r="C8831" s="37"/>
      <c r="D8831" s="37"/>
      <c r="E8831" s="33"/>
    </row>
    <row r="8832" spans="1:5" x14ac:dyDescent="0.25">
      <c r="A8832" s="41"/>
      <c r="B8832" s="29"/>
      <c r="C8832" s="37"/>
      <c r="D8832" s="37"/>
      <c r="E8832" s="33"/>
    </row>
    <row r="8833" spans="1:5" x14ac:dyDescent="0.25">
      <c r="A8833" s="41"/>
      <c r="B8833" s="29"/>
      <c r="C8833" s="37"/>
      <c r="D8833" s="37"/>
      <c r="E8833" s="33"/>
    </row>
    <row r="8834" spans="1:5" x14ac:dyDescent="0.25">
      <c r="A8834" s="41"/>
      <c r="B8834" s="29"/>
      <c r="C8834" s="37"/>
      <c r="D8834" s="37"/>
      <c r="E8834" s="33"/>
    </row>
    <row r="8835" spans="1:5" x14ac:dyDescent="0.25">
      <c r="A8835" s="41"/>
      <c r="B8835" s="29"/>
      <c r="C8835" s="37"/>
      <c r="D8835" s="37"/>
      <c r="E8835" s="33"/>
    </row>
    <row r="8836" spans="1:5" x14ac:dyDescent="0.25">
      <c r="A8836" s="41"/>
      <c r="B8836" s="29"/>
      <c r="C8836" s="37"/>
      <c r="D8836" s="37"/>
      <c r="E8836" s="33"/>
    </row>
    <row r="8837" spans="1:5" x14ac:dyDescent="0.25">
      <c r="A8837" s="41"/>
      <c r="B8837" s="29"/>
      <c r="C8837" s="37"/>
      <c r="D8837" s="37"/>
      <c r="E8837" s="33"/>
    </row>
    <row r="8838" spans="1:5" x14ac:dyDescent="0.25">
      <c r="A8838" s="41"/>
      <c r="B8838" s="29"/>
      <c r="C8838" s="37"/>
      <c r="D8838" s="37"/>
      <c r="E8838" s="33"/>
    </row>
    <row r="8839" spans="1:5" x14ac:dyDescent="0.25">
      <c r="A8839" s="41"/>
      <c r="B8839" s="29"/>
      <c r="C8839" s="37"/>
      <c r="D8839" s="37"/>
      <c r="E8839" s="33"/>
    </row>
    <row r="8840" spans="1:5" x14ac:dyDescent="0.25">
      <c r="A8840" s="41"/>
      <c r="B8840" s="29"/>
      <c r="C8840" s="37"/>
      <c r="D8840" s="37"/>
      <c r="E8840" s="33"/>
    </row>
    <row r="8841" spans="1:5" x14ac:dyDescent="0.25">
      <c r="A8841" s="41"/>
      <c r="B8841" s="29"/>
      <c r="C8841" s="37"/>
      <c r="D8841" s="37"/>
      <c r="E8841" s="33"/>
    </row>
    <row r="8842" spans="1:5" x14ac:dyDescent="0.25">
      <c r="A8842" s="41"/>
      <c r="B8842" s="29"/>
      <c r="C8842" s="37"/>
      <c r="D8842" s="37"/>
      <c r="E8842" s="33"/>
    </row>
    <row r="8843" spans="1:5" x14ac:dyDescent="0.25">
      <c r="A8843" s="41"/>
      <c r="B8843" s="29"/>
      <c r="C8843" s="37"/>
      <c r="D8843" s="37"/>
      <c r="E8843" s="33"/>
    </row>
    <row r="8844" spans="1:5" x14ac:dyDescent="0.25">
      <c r="A8844" s="41"/>
      <c r="B8844" s="29"/>
      <c r="C8844" s="37"/>
      <c r="D8844" s="37"/>
      <c r="E8844" s="33"/>
    </row>
    <row r="8845" spans="1:5" x14ac:dyDescent="0.25">
      <c r="A8845" s="41"/>
      <c r="B8845" s="29"/>
      <c r="C8845" s="37"/>
      <c r="D8845" s="37"/>
      <c r="E8845" s="33"/>
    </row>
    <row r="8846" spans="1:5" x14ac:dyDescent="0.25">
      <c r="A8846" s="41"/>
      <c r="B8846" s="29"/>
      <c r="C8846" s="37"/>
      <c r="D8846" s="37"/>
      <c r="E8846" s="33"/>
    </row>
    <row r="8847" spans="1:5" x14ac:dyDescent="0.25">
      <c r="A8847" s="41"/>
      <c r="B8847" s="29"/>
      <c r="C8847" s="37"/>
      <c r="D8847" s="37"/>
      <c r="E8847" s="33"/>
    </row>
    <row r="8848" spans="1:5" x14ac:dyDescent="0.25">
      <c r="A8848" s="41"/>
      <c r="B8848" s="29"/>
      <c r="C8848" s="37"/>
      <c r="D8848" s="37"/>
      <c r="E8848" s="33"/>
    </row>
    <row r="8849" spans="1:5" x14ac:dyDescent="0.25">
      <c r="A8849" s="41"/>
      <c r="B8849" s="29"/>
      <c r="C8849" s="37"/>
      <c r="D8849" s="37"/>
      <c r="E8849" s="33"/>
    </row>
    <row r="8850" spans="1:5" x14ac:dyDescent="0.25">
      <c r="A8850" s="41"/>
      <c r="B8850" s="29"/>
      <c r="C8850" s="37"/>
      <c r="D8850" s="37"/>
      <c r="E8850" s="33"/>
    </row>
    <row r="8851" spans="1:5" x14ac:dyDescent="0.25">
      <c r="A8851" s="41"/>
      <c r="B8851" s="29"/>
      <c r="C8851" s="37"/>
      <c r="D8851" s="37"/>
      <c r="E8851" s="33"/>
    </row>
    <row r="8852" spans="1:5" x14ac:dyDescent="0.25">
      <c r="A8852" s="41"/>
      <c r="B8852" s="29"/>
      <c r="C8852" s="37"/>
      <c r="D8852" s="37"/>
      <c r="E8852" s="33"/>
    </row>
    <row r="8853" spans="1:5" x14ac:dyDescent="0.25">
      <c r="A8853" s="41"/>
      <c r="B8853" s="29"/>
      <c r="C8853" s="37"/>
      <c r="D8853" s="37"/>
      <c r="E8853" s="33"/>
    </row>
    <row r="8854" spans="1:5" x14ac:dyDescent="0.25">
      <c r="A8854" s="41"/>
      <c r="B8854" s="29"/>
      <c r="C8854" s="37"/>
      <c r="D8854" s="37"/>
      <c r="E8854" s="33"/>
    </row>
    <row r="8855" spans="1:5" x14ac:dyDescent="0.25">
      <c r="A8855" s="41"/>
      <c r="B8855" s="29"/>
      <c r="C8855" s="37"/>
      <c r="D8855" s="37"/>
      <c r="E8855" s="33"/>
    </row>
    <row r="8856" spans="1:5" x14ac:dyDescent="0.25">
      <c r="A8856" s="41"/>
      <c r="B8856" s="29"/>
      <c r="C8856" s="37"/>
      <c r="D8856" s="37"/>
      <c r="E8856" s="33"/>
    </row>
    <row r="8857" spans="1:5" x14ac:dyDescent="0.25">
      <c r="A8857" s="41"/>
      <c r="B8857" s="29"/>
      <c r="C8857" s="37"/>
      <c r="D8857" s="37"/>
      <c r="E8857" s="33"/>
    </row>
    <row r="8858" spans="1:5" x14ac:dyDescent="0.25">
      <c r="A8858" s="41"/>
      <c r="B8858" s="29"/>
      <c r="C8858" s="37"/>
      <c r="D8858" s="37"/>
      <c r="E8858" s="33"/>
    </row>
    <row r="8859" spans="1:5" x14ac:dyDescent="0.25">
      <c r="A8859" s="41"/>
      <c r="B8859" s="29"/>
      <c r="C8859" s="37"/>
      <c r="D8859" s="37"/>
      <c r="E8859" s="33"/>
    </row>
    <row r="8860" spans="1:5" x14ac:dyDescent="0.25">
      <c r="A8860" s="41"/>
      <c r="B8860" s="29"/>
      <c r="C8860" s="37"/>
      <c r="D8860" s="37"/>
      <c r="E8860" s="33"/>
    </row>
    <row r="8861" spans="1:5" x14ac:dyDescent="0.25">
      <c r="A8861" s="41"/>
      <c r="B8861" s="29"/>
      <c r="C8861" s="37"/>
      <c r="D8861" s="37"/>
      <c r="E8861" s="33"/>
    </row>
    <row r="8862" spans="1:5" x14ac:dyDescent="0.25">
      <c r="A8862" s="41"/>
      <c r="B8862" s="29"/>
      <c r="C8862" s="37"/>
      <c r="D8862" s="37"/>
      <c r="E8862" s="33"/>
    </row>
    <row r="8863" spans="1:5" x14ac:dyDescent="0.25">
      <c r="A8863" s="41"/>
      <c r="B8863" s="29"/>
      <c r="C8863" s="37"/>
      <c r="D8863" s="37"/>
      <c r="E8863" s="33"/>
    </row>
    <row r="8864" spans="1:5" x14ac:dyDescent="0.25">
      <c r="A8864" s="41"/>
      <c r="B8864" s="29"/>
      <c r="C8864" s="37"/>
      <c r="D8864" s="37"/>
      <c r="E8864" s="33"/>
    </row>
    <row r="8865" spans="1:5" x14ac:dyDescent="0.25">
      <c r="A8865" s="41"/>
      <c r="B8865" s="29"/>
      <c r="C8865" s="37"/>
      <c r="D8865" s="37"/>
      <c r="E8865" s="33"/>
    </row>
    <row r="8866" spans="1:5" x14ac:dyDescent="0.25">
      <c r="A8866" s="41"/>
      <c r="B8866" s="29"/>
      <c r="C8866" s="37"/>
      <c r="D8866" s="37"/>
      <c r="E8866" s="33"/>
    </row>
    <row r="8867" spans="1:5" x14ac:dyDescent="0.25">
      <c r="A8867" s="41"/>
      <c r="B8867" s="29"/>
      <c r="C8867" s="37"/>
      <c r="D8867" s="37"/>
      <c r="E8867" s="33"/>
    </row>
    <row r="8868" spans="1:5" x14ac:dyDescent="0.25">
      <c r="A8868" s="41"/>
      <c r="B8868" s="29"/>
      <c r="C8868" s="37"/>
      <c r="D8868" s="37"/>
      <c r="E8868" s="33"/>
    </row>
    <row r="8869" spans="1:5" x14ac:dyDescent="0.25">
      <c r="A8869" s="41"/>
      <c r="B8869" s="29"/>
      <c r="C8869" s="37"/>
      <c r="D8869" s="37"/>
      <c r="E8869" s="33"/>
    </row>
    <row r="8870" spans="1:5" x14ac:dyDescent="0.25">
      <c r="A8870" s="41"/>
      <c r="B8870" s="29"/>
      <c r="C8870" s="37"/>
      <c r="D8870" s="37"/>
      <c r="E8870" s="33"/>
    </row>
    <row r="8871" spans="1:5" x14ac:dyDescent="0.25">
      <c r="A8871" s="41"/>
      <c r="B8871" s="29"/>
      <c r="C8871" s="37"/>
      <c r="D8871" s="37"/>
      <c r="E8871" s="33"/>
    </row>
    <row r="8872" spans="1:5" x14ac:dyDescent="0.25">
      <c r="A8872" s="41"/>
      <c r="B8872" s="29"/>
      <c r="C8872" s="37"/>
      <c r="D8872" s="37"/>
      <c r="E8872" s="33"/>
    </row>
    <row r="8873" spans="1:5" x14ac:dyDescent="0.25">
      <c r="A8873" s="41"/>
      <c r="B8873" s="29"/>
      <c r="C8873" s="37"/>
      <c r="D8873" s="37"/>
      <c r="E8873" s="33"/>
    </row>
    <row r="8874" spans="1:5" x14ac:dyDescent="0.25">
      <c r="A8874" s="41"/>
      <c r="B8874" s="29"/>
      <c r="C8874" s="37"/>
      <c r="D8874" s="37"/>
      <c r="E8874" s="33"/>
    </row>
    <row r="8875" spans="1:5" x14ac:dyDescent="0.25">
      <c r="A8875" s="41"/>
      <c r="B8875" s="29"/>
      <c r="C8875" s="37"/>
      <c r="D8875" s="37"/>
      <c r="E8875" s="33"/>
    </row>
    <row r="8876" spans="1:5" x14ac:dyDescent="0.25">
      <c r="A8876" s="41"/>
      <c r="B8876" s="29"/>
      <c r="C8876" s="37"/>
      <c r="D8876" s="37"/>
      <c r="E8876" s="33"/>
    </row>
    <row r="8877" spans="1:5" x14ac:dyDescent="0.25">
      <c r="A8877" s="41"/>
      <c r="B8877" s="29"/>
      <c r="C8877" s="37"/>
      <c r="D8877" s="37"/>
      <c r="E8877" s="33"/>
    </row>
    <row r="8878" spans="1:5" x14ac:dyDescent="0.25">
      <c r="A8878" s="41"/>
      <c r="B8878" s="29"/>
      <c r="C8878" s="37"/>
      <c r="D8878" s="37"/>
      <c r="E8878" s="33"/>
    </row>
    <row r="8879" spans="1:5" x14ac:dyDescent="0.25">
      <c r="A8879" s="41"/>
      <c r="B8879" s="29"/>
      <c r="C8879" s="37"/>
      <c r="D8879" s="37"/>
      <c r="E8879" s="33"/>
    </row>
    <row r="8880" spans="1:5" x14ac:dyDescent="0.25">
      <c r="A8880" s="41"/>
      <c r="B8880" s="29"/>
      <c r="C8880" s="37"/>
      <c r="D8880" s="37"/>
      <c r="E8880" s="33"/>
    </row>
    <row r="8881" spans="1:5" x14ac:dyDescent="0.25">
      <c r="A8881" s="41"/>
      <c r="B8881" s="29"/>
      <c r="C8881" s="37"/>
      <c r="D8881" s="37"/>
      <c r="E8881" s="33"/>
    </row>
    <row r="8882" spans="1:5" x14ac:dyDescent="0.25">
      <c r="A8882" s="41"/>
      <c r="B8882" s="29"/>
      <c r="C8882" s="37"/>
      <c r="D8882" s="37"/>
      <c r="E8882" s="33"/>
    </row>
    <row r="8883" spans="1:5" x14ac:dyDescent="0.25">
      <c r="A8883" s="41"/>
      <c r="B8883" s="29"/>
      <c r="C8883" s="37"/>
      <c r="D8883" s="37"/>
      <c r="E8883" s="33"/>
    </row>
    <row r="8884" spans="1:5" x14ac:dyDescent="0.25">
      <c r="A8884" s="41"/>
      <c r="B8884" s="29"/>
      <c r="C8884" s="37"/>
      <c r="D8884" s="37"/>
      <c r="E8884" s="33"/>
    </row>
    <row r="8885" spans="1:5" x14ac:dyDescent="0.25">
      <c r="A8885" s="41"/>
      <c r="B8885" s="29"/>
      <c r="C8885" s="37"/>
      <c r="D8885" s="37"/>
      <c r="E8885" s="33"/>
    </row>
    <row r="8886" spans="1:5" x14ac:dyDescent="0.25">
      <c r="A8886" s="41"/>
      <c r="B8886" s="29"/>
      <c r="C8886" s="37"/>
      <c r="D8886" s="37"/>
      <c r="E8886" s="33"/>
    </row>
    <row r="8887" spans="1:5" x14ac:dyDescent="0.25">
      <c r="A8887" s="41"/>
      <c r="B8887" s="29"/>
      <c r="C8887" s="37"/>
      <c r="D8887" s="37"/>
      <c r="E8887" s="33"/>
    </row>
    <row r="8888" spans="1:5" x14ac:dyDescent="0.25">
      <c r="A8888" s="41"/>
      <c r="B8888" s="29"/>
      <c r="C8888" s="37"/>
      <c r="D8888" s="37"/>
      <c r="E8888" s="33"/>
    </row>
    <row r="8889" spans="1:5" x14ac:dyDescent="0.25">
      <c r="A8889" s="41"/>
      <c r="B8889" s="29"/>
      <c r="C8889" s="37"/>
      <c r="D8889" s="37"/>
      <c r="E8889" s="33"/>
    </row>
    <row r="8890" spans="1:5" x14ac:dyDescent="0.25">
      <c r="A8890" s="41"/>
      <c r="B8890" s="29"/>
      <c r="C8890" s="37"/>
      <c r="D8890" s="37"/>
      <c r="E8890" s="33"/>
    </row>
    <row r="8891" spans="1:5" x14ac:dyDescent="0.25">
      <c r="A8891" s="41"/>
      <c r="B8891" s="29"/>
      <c r="C8891" s="37"/>
      <c r="D8891" s="37"/>
      <c r="E8891" s="33"/>
    </row>
    <row r="8892" spans="1:5" x14ac:dyDescent="0.25">
      <c r="A8892" s="41"/>
      <c r="B8892" s="29"/>
      <c r="C8892" s="37"/>
      <c r="D8892" s="37"/>
      <c r="E8892" s="33"/>
    </row>
    <row r="8893" spans="1:5" x14ac:dyDescent="0.25">
      <c r="A8893" s="41"/>
      <c r="B8893" s="29"/>
      <c r="C8893" s="37"/>
      <c r="D8893" s="37"/>
      <c r="E8893" s="33"/>
    </row>
    <row r="8894" spans="1:5" x14ac:dyDescent="0.25">
      <c r="A8894" s="41"/>
      <c r="B8894" s="29"/>
      <c r="C8894" s="37"/>
      <c r="D8894" s="37"/>
      <c r="E8894" s="33"/>
    </row>
    <row r="8895" spans="1:5" x14ac:dyDescent="0.25">
      <c r="A8895" s="41"/>
      <c r="B8895" s="29"/>
      <c r="C8895" s="37"/>
      <c r="D8895" s="37"/>
      <c r="E8895" s="33"/>
    </row>
    <row r="8896" spans="1:5" x14ac:dyDescent="0.25">
      <c r="A8896" s="41"/>
      <c r="B8896" s="29"/>
      <c r="C8896" s="37"/>
      <c r="D8896" s="37"/>
      <c r="E8896" s="33"/>
    </row>
    <row r="8897" spans="1:5" x14ac:dyDescent="0.25">
      <c r="A8897" s="41"/>
      <c r="B8897" s="29"/>
      <c r="C8897" s="37"/>
      <c r="D8897" s="37"/>
      <c r="E8897" s="33"/>
    </row>
    <row r="8898" spans="1:5" x14ac:dyDescent="0.25">
      <c r="A8898" s="41"/>
      <c r="B8898" s="29"/>
      <c r="C8898" s="37"/>
      <c r="D8898" s="37"/>
      <c r="E8898" s="33"/>
    </row>
    <row r="8899" spans="1:5" x14ac:dyDescent="0.25">
      <c r="A8899" s="41"/>
      <c r="B8899" s="29"/>
      <c r="C8899" s="37"/>
      <c r="D8899" s="37"/>
      <c r="E8899" s="33"/>
    </row>
    <row r="8900" spans="1:5" x14ac:dyDescent="0.25">
      <c r="A8900" s="41"/>
      <c r="B8900" s="29"/>
      <c r="C8900" s="37"/>
      <c r="D8900" s="37"/>
      <c r="E8900" s="33"/>
    </row>
    <row r="8901" spans="1:5" x14ac:dyDescent="0.25">
      <c r="A8901" s="41"/>
      <c r="B8901" s="29"/>
      <c r="C8901" s="37"/>
      <c r="D8901" s="37"/>
      <c r="E8901" s="33"/>
    </row>
    <row r="8902" spans="1:5" x14ac:dyDescent="0.25">
      <c r="A8902" s="41"/>
      <c r="B8902" s="29"/>
      <c r="C8902" s="37"/>
      <c r="D8902" s="37"/>
      <c r="E8902" s="33"/>
    </row>
    <row r="8903" spans="1:5" x14ac:dyDescent="0.25">
      <c r="A8903" s="41"/>
      <c r="B8903" s="29"/>
      <c r="C8903" s="37"/>
      <c r="D8903" s="37"/>
      <c r="E8903" s="33"/>
    </row>
    <row r="8904" spans="1:5" x14ac:dyDescent="0.25">
      <c r="A8904" s="41"/>
      <c r="B8904" s="29"/>
      <c r="C8904" s="37"/>
      <c r="D8904" s="37"/>
      <c r="E8904" s="33"/>
    </row>
    <row r="8905" spans="1:5" x14ac:dyDescent="0.25">
      <c r="A8905" s="41"/>
      <c r="B8905" s="29"/>
      <c r="C8905" s="37"/>
      <c r="D8905" s="37"/>
      <c r="E8905" s="33"/>
    </row>
    <row r="8906" spans="1:5" x14ac:dyDescent="0.25">
      <c r="A8906" s="41"/>
      <c r="B8906" s="29"/>
      <c r="C8906" s="37"/>
      <c r="D8906" s="37"/>
      <c r="E8906" s="33"/>
    </row>
    <row r="8907" spans="1:5" x14ac:dyDescent="0.25">
      <c r="A8907" s="41"/>
      <c r="B8907" s="29"/>
      <c r="C8907" s="37"/>
      <c r="D8907" s="37"/>
      <c r="E8907" s="33"/>
    </row>
    <row r="8908" spans="1:5" x14ac:dyDescent="0.25">
      <c r="A8908" s="41"/>
      <c r="B8908" s="29"/>
      <c r="C8908" s="37"/>
      <c r="D8908" s="37"/>
      <c r="E8908" s="33"/>
    </row>
    <row r="8909" spans="1:5" x14ac:dyDescent="0.25">
      <c r="A8909" s="41"/>
      <c r="B8909" s="29"/>
      <c r="C8909" s="37"/>
      <c r="D8909" s="37"/>
      <c r="E8909" s="33"/>
    </row>
    <row r="8910" spans="1:5" x14ac:dyDescent="0.25">
      <c r="A8910" s="41"/>
      <c r="B8910" s="29"/>
      <c r="C8910" s="37"/>
      <c r="D8910" s="37"/>
      <c r="E8910" s="33"/>
    </row>
    <row r="8911" spans="1:5" x14ac:dyDescent="0.25">
      <c r="A8911" s="41"/>
      <c r="B8911" s="29"/>
      <c r="C8911" s="37"/>
      <c r="D8911" s="37"/>
      <c r="E8911" s="33"/>
    </row>
    <row r="8912" spans="1:5" x14ac:dyDescent="0.25">
      <c r="A8912" s="41"/>
      <c r="B8912" s="29"/>
      <c r="C8912" s="37"/>
      <c r="D8912" s="37"/>
      <c r="E8912" s="33"/>
    </row>
    <row r="8913" spans="1:5" x14ac:dyDescent="0.25">
      <c r="A8913" s="41"/>
      <c r="B8913" s="29"/>
      <c r="C8913" s="37"/>
      <c r="D8913" s="37"/>
      <c r="E8913" s="33"/>
    </row>
    <row r="8914" spans="1:5" x14ac:dyDescent="0.25">
      <c r="A8914" s="41"/>
      <c r="B8914" s="29"/>
      <c r="C8914" s="37"/>
      <c r="D8914" s="37"/>
      <c r="E8914" s="33"/>
    </row>
    <row r="8915" spans="1:5" x14ac:dyDescent="0.25">
      <c r="A8915" s="41"/>
      <c r="B8915" s="29"/>
      <c r="C8915" s="37"/>
      <c r="D8915" s="37"/>
      <c r="E8915" s="33"/>
    </row>
    <row r="8916" spans="1:5" x14ac:dyDescent="0.25">
      <c r="A8916" s="41"/>
      <c r="B8916" s="29"/>
      <c r="C8916" s="37"/>
      <c r="D8916" s="37"/>
      <c r="E8916" s="33"/>
    </row>
    <row r="8917" spans="1:5" x14ac:dyDescent="0.25">
      <c r="A8917" s="41"/>
      <c r="B8917" s="29"/>
      <c r="C8917" s="37"/>
      <c r="D8917" s="37"/>
      <c r="E8917" s="33"/>
    </row>
    <row r="8918" spans="1:5" x14ac:dyDescent="0.25">
      <c r="A8918" s="41"/>
      <c r="B8918" s="29"/>
      <c r="C8918" s="37"/>
      <c r="D8918" s="37"/>
      <c r="E8918" s="33"/>
    </row>
    <row r="8919" spans="1:5" x14ac:dyDescent="0.25">
      <c r="A8919" s="41"/>
      <c r="B8919" s="29"/>
      <c r="C8919" s="37"/>
      <c r="D8919" s="37"/>
      <c r="E8919" s="33"/>
    </row>
    <row r="8920" spans="1:5" x14ac:dyDescent="0.25">
      <c r="A8920" s="41"/>
      <c r="B8920" s="29"/>
      <c r="C8920" s="37"/>
      <c r="D8920" s="37"/>
      <c r="E8920" s="33"/>
    </row>
    <row r="8921" spans="1:5" x14ac:dyDescent="0.25">
      <c r="A8921" s="41"/>
      <c r="B8921" s="29"/>
      <c r="C8921" s="37"/>
      <c r="D8921" s="37"/>
      <c r="E8921" s="33"/>
    </row>
    <row r="8922" spans="1:5" x14ac:dyDescent="0.25">
      <c r="A8922" s="41"/>
      <c r="B8922" s="29"/>
      <c r="C8922" s="37"/>
      <c r="D8922" s="37"/>
      <c r="E8922" s="33"/>
    </row>
    <row r="8923" spans="1:5" x14ac:dyDescent="0.25">
      <c r="A8923" s="41"/>
      <c r="B8923" s="29"/>
      <c r="C8923" s="37"/>
      <c r="D8923" s="37"/>
      <c r="E8923" s="33"/>
    </row>
    <row r="8924" spans="1:5" x14ac:dyDescent="0.25">
      <c r="A8924" s="41"/>
      <c r="B8924" s="29"/>
      <c r="C8924" s="37"/>
      <c r="D8924" s="37"/>
      <c r="E8924" s="33"/>
    </row>
    <row r="8925" spans="1:5" x14ac:dyDescent="0.25">
      <c r="A8925" s="41"/>
      <c r="B8925" s="29"/>
      <c r="C8925" s="37"/>
      <c r="D8925" s="37"/>
      <c r="E8925" s="33"/>
    </row>
    <row r="8926" spans="1:5" x14ac:dyDescent="0.25">
      <c r="A8926" s="41"/>
      <c r="B8926" s="29"/>
      <c r="C8926" s="37"/>
      <c r="D8926" s="37"/>
      <c r="E8926" s="33"/>
    </row>
    <row r="8927" spans="1:5" x14ac:dyDescent="0.25">
      <c r="A8927" s="41"/>
      <c r="B8927" s="29"/>
      <c r="C8927" s="37"/>
      <c r="D8927" s="37"/>
      <c r="E8927" s="33"/>
    </row>
    <row r="8928" spans="1:5" x14ac:dyDescent="0.25">
      <c r="A8928" s="41"/>
      <c r="B8928" s="29"/>
      <c r="C8928" s="37"/>
      <c r="D8928" s="37"/>
      <c r="E8928" s="33"/>
    </row>
    <row r="8929" spans="1:5" x14ac:dyDescent="0.25">
      <c r="A8929" s="41"/>
      <c r="B8929" s="29"/>
      <c r="C8929" s="37"/>
      <c r="D8929" s="37"/>
      <c r="E8929" s="33"/>
    </row>
    <row r="8930" spans="1:5" x14ac:dyDescent="0.25">
      <c r="A8930" s="41"/>
      <c r="B8930" s="29"/>
      <c r="C8930" s="37"/>
      <c r="D8930" s="37"/>
      <c r="E8930" s="33"/>
    </row>
    <row r="8931" spans="1:5" x14ac:dyDescent="0.25">
      <c r="A8931" s="41"/>
      <c r="B8931" s="29"/>
      <c r="C8931" s="37"/>
      <c r="D8931" s="37"/>
      <c r="E8931" s="33"/>
    </row>
    <row r="8932" spans="1:5" x14ac:dyDescent="0.25">
      <c r="A8932" s="41"/>
      <c r="B8932" s="29"/>
      <c r="C8932" s="37"/>
      <c r="D8932" s="37"/>
      <c r="E8932" s="33"/>
    </row>
    <row r="8933" spans="1:5" x14ac:dyDescent="0.25">
      <c r="A8933" s="41"/>
      <c r="B8933" s="29"/>
      <c r="C8933" s="37"/>
      <c r="D8933" s="37"/>
      <c r="E8933" s="33"/>
    </row>
    <row r="8934" spans="1:5" x14ac:dyDescent="0.25">
      <c r="A8934" s="41"/>
      <c r="B8934" s="29"/>
      <c r="C8934" s="37"/>
      <c r="D8934" s="37"/>
      <c r="E8934" s="33"/>
    </row>
    <row r="8935" spans="1:5" x14ac:dyDescent="0.25">
      <c r="A8935" s="41"/>
      <c r="B8935" s="29"/>
      <c r="C8935" s="37"/>
      <c r="D8935" s="37"/>
      <c r="E8935" s="33"/>
    </row>
    <row r="8936" spans="1:5" x14ac:dyDescent="0.25">
      <c r="A8936" s="41"/>
      <c r="B8936" s="29"/>
      <c r="C8936" s="37"/>
      <c r="D8936" s="37"/>
      <c r="E8936" s="33"/>
    </row>
    <row r="8937" spans="1:5" x14ac:dyDescent="0.25">
      <c r="A8937" s="41"/>
      <c r="B8937" s="29"/>
      <c r="C8937" s="37"/>
      <c r="D8937" s="37"/>
      <c r="E8937" s="33"/>
    </row>
    <row r="8938" spans="1:5" x14ac:dyDescent="0.25">
      <c r="A8938" s="41"/>
      <c r="B8938" s="29"/>
      <c r="C8938" s="37"/>
      <c r="D8938" s="37"/>
      <c r="E8938" s="33"/>
    </row>
    <row r="8939" spans="1:5" x14ac:dyDescent="0.25">
      <c r="A8939" s="41"/>
      <c r="B8939" s="29"/>
      <c r="C8939" s="37"/>
      <c r="D8939" s="37"/>
      <c r="E8939" s="33"/>
    </row>
    <row r="8940" spans="1:5" x14ac:dyDescent="0.25">
      <c r="A8940" s="41"/>
      <c r="B8940" s="29"/>
      <c r="C8940" s="37"/>
      <c r="D8940" s="37"/>
      <c r="E8940" s="33"/>
    </row>
    <row r="8941" spans="1:5" x14ac:dyDescent="0.25">
      <c r="A8941" s="41"/>
      <c r="B8941" s="29"/>
      <c r="C8941" s="37"/>
      <c r="D8941" s="37"/>
      <c r="E8941" s="33"/>
    </row>
    <row r="8942" spans="1:5" x14ac:dyDescent="0.25">
      <c r="A8942" s="41"/>
      <c r="B8942" s="29"/>
      <c r="C8942" s="37"/>
      <c r="D8942" s="37"/>
      <c r="E8942" s="33"/>
    </row>
    <row r="8943" spans="1:5" x14ac:dyDescent="0.25">
      <c r="A8943" s="41"/>
      <c r="B8943" s="29"/>
      <c r="C8943" s="37"/>
      <c r="D8943" s="37"/>
      <c r="E8943" s="33"/>
    </row>
    <row r="8944" spans="1:5" x14ac:dyDescent="0.25">
      <c r="A8944" s="41"/>
      <c r="B8944" s="29"/>
      <c r="C8944" s="37"/>
      <c r="D8944" s="37"/>
      <c r="E8944" s="33"/>
    </row>
    <row r="8945" spans="1:5" x14ac:dyDescent="0.25">
      <c r="A8945" s="41"/>
      <c r="B8945" s="29"/>
      <c r="C8945" s="37"/>
      <c r="D8945" s="37"/>
      <c r="E8945" s="33"/>
    </row>
    <row r="8946" spans="1:5" x14ac:dyDescent="0.25">
      <c r="A8946" s="41"/>
      <c r="B8946" s="29"/>
      <c r="C8946" s="37"/>
      <c r="D8946" s="37"/>
      <c r="E8946" s="33"/>
    </row>
    <row r="8947" spans="1:5" x14ac:dyDescent="0.25">
      <c r="A8947" s="41"/>
      <c r="B8947" s="29"/>
      <c r="C8947" s="37"/>
      <c r="D8947" s="37"/>
      <c r="E8947" s="33"/>
    </row>
    <row r="8948" spans="1:5" x14ac:dyDescent="0.25">
      <c r="A8948" s="41"/>
      <c r="B8948" s="29"/>
      <c r="C8948" s="37"/>
      <c r="D8948" s="37"/>
      <c r="E8948" s="33"/>
    </row>
    <row r="8949" spans="1:5" x14ac:dyDescent="0.25">
      <c r="A8949" s="41"/>
      <c r="B8949" s="29"/>
      <c r="C8949" s="37"/>
      <c r="D8949" s="37"/>
      <c r="E8949" s="33"/>
    </row>
    <row r="8950" spans="1:5" x14ac:dyDescent="0.25">
      <c r="A8950" s="41"/>
      <c r="B8950" s="29"/>
      <c r="C8950" s="37"/>
      <c r="D8950" s="37"/>
      <c r="E8950" s="33"/>
    </row>
    <row r="8951" spans="1:5" x14ac:dyDescent="0.25">
      <c r="A8951" s="41"/>
      <c r="B8951" s="29"/>
      <c r="C8951" s="37"/>
      <c r="D8951" s="37"/>
      <c r="E8951" s="33"/>
    </row>
    <row r="8952" spans="1:5" x14ac:dyDescent="0.25">
      <c r="A8952" s="41"/>
      <c r="B8952" s="29"/>
      <c r="C8952" s="37"/>
      <c r="D8952" s="37"/>
      <c r="E8952" s="33"/>
    </row>
    <row r="8953" spans="1:5" x14ac:dyDescent="0.25">
      <c r="A8953" s="41"/>
      <c r="B8953" s="29"/>
      <c r="C8953" s="37"/>
      <c r="D8953" s="37"/>
      <c r="E8953" s="33"/>
    </row>
    <row r="8954" spans="1:5" x14ac:dyDescent="0.25">
      <c r="A8954" s="41"/>
      <c r="B8954" s="29"/>
      <c r="C8954" s="37"/>
      <c r="D8954" s="37"/>
      <c r="E8954" s="33"/>
    </row>
    <row r="8955" spans="1:5" x14ac:dyDescent="0.25">
      <c r="A8955" s="41"/>
      <c r="B8955" s="29"/>
      <c r="C8955" s="37"/>
      <c r="D8955" s="37"/>
      <c r="E8955" s="33"/>
    </row>
    <row r="8956" spans="1:5" x14ac:dyDescent="0.25">
      <c r="A8956" s="41"/>
      <c r="B8956" s="29"/>
      <c r="C8956" s="37"/>
      <c r="D8956" s="37"/>
      <c r="E8956" s="33"/>
    </row>
    <row r="8957" spans="1:5" x14ac:dyDescent="0.25">
      <c r="A8957" s="41"/>
      <c r="B8957" s="29"/>
      <c r="C8957" s="37"/>
      <c r="D8957" s="37"/>
      <c r="E8957" s="33"/>
    </row>
    <row r="8958" spans="1:5" x14ac:dyDescent="0.25">
      <c r="A8958" s="41"/>
      <c r="B8958" s="29"/>
      <c r="C8958" s="37"/>
      <c r="D8958" s="37"/>
      <c r="E8958" s="33"/>
    </row>
    <row r="8959" spans="1:5" x14ac:dyDescent="0.25">
      <c r="A8959" s="41"/>
      <c r="B8959" s="29"/>
      <c r="C8959" s="37"/>
      <c r="D8959" s="37"/>
      <c r="E8959" s="33"/>
    </row>
    <row r="8960" spans="1:5" x14ac:dyDescent="0.25">
      <c r="A8960" s="41"/>
      <c r="B8960" s="29"/>
      <c r="C8960" s="37"/>
      <c r="D8960" s="37"/>
      <c r="E8960" s="33"/>
    </row>
    <row r="8961" spans="1:5" x14ac:dyDescent="0.25">
      <c r="A8961" s="41"/>
      <c r="B8961" s="29"/>
      <c r="C8961" s="37"/>
      <c r="D8961" s="37"/>
      <c r="E8961" s="33"/>
    </row>
    <row r="8962" spans="1:5" x14ac:dyDescent="0.25">
      <c r="A8962" s="41"/>
      <c r="B8962" s="29"/>
      <c r="C8962" s="37"/>
      <c r="D8962" s="37"/>
      <c r="E8962" s="33"/>
    </row>
    <row r="8963" spans="1:5" x14ac:dyDescent="0.25">
      <c r="A8963" s="41"/>
      <c r="B8963" s="29"/>
      <c r="C8963" s="37"/>
      <c r="D8963" s="37"/>
      <c r="E8963" s="33"/>
    </row>
    <row r="8964" spans="1:5" x14ac:dyDescent="0.25">
      <c r="A8964" s="41"/>
      <c r="B8964" s="29"/>
      <c r="C8964" s="37"/>
      <c r="D8964" s="37"/>
      <c r="E8964" s="33"/>
    </row>
    <row r="8965" spans="1:5" x14ac:dyDescent="0.25">
      <c r="A8965" s="41"/>
      <c r="B8965" s="29"/>
      <c r="C8965" s="37"/>
      <c r="D8965" s="37"/>
      <c r="E8965" s="33"/>
    </row>
    <row r="8966" spans="1:5" x14ac:dyDescent="0.25">
      <c r="A8966" s="41"/>
      <c r="B8966" s="29"/>
      <c r="C8966" s="37"/>
      <c r="D8966" s="37"/>
      <c r="E8966" s="33"/>
    </row>
    <row r="8967" spans="1:5" x14ac:dyDescent="0.25">
      <c r="A8967" s="41"/>
      <c r="B8967" s="29"/>
      <c r="C8967" s="37"/>
      <c r="D8967" s="37"/>
      <c r="E8967" s="33"/>
    </row>
    <row r="8968" spans="1:5" x14ac:dyDescent="0.25">
      <c r="A8968" s="41"/>
      <c r="B8968" s="29"/>
      <c r="C8968" s="37"/>
      <c r="D8968" s="37"/>
      <c r="E8968" s="33"/>
    </row>
    <row r="8969" spans="1:5" x14ac:dyDescent="0.25">
      <c r="A8969" s="41"/>
      <c r="B8969" s="29"/>
      <c r="C8969" s="37"/>
      <c r="D8969" s="37"/>
      <c r="E8969" s="33"/>
    </row>
    <row r="8970" spans="1:5" x14ac:dyDescent="0.25">
      <c r="A8970" s="41"/>
      <c r="B8970" s="29"/>
      <c r="C8970" s="37"/>
      <c r="D8970" s="37"/>
      <c r="E8970" s="33"/>
    </row>
    <row r="8971" spans="1:5" x14ac:dyDescent="0.25">
      <c r="A8971" s="41"/>
      <c r="B8971" s="29"/>
      <c r="C8971" s="37"/>
      <c r="D8971" s="37"/>
      <c r="E8971" s="33"/>
    </row>
    <row r="8972" spans="1:5" x14ac:dyDescent="0.25">
      <c r="A8972" s="41"/>
      <c r="B8972" s="29"/>
      <c r="C8972" s="37"/>
      <c r="D8972" s="37"/>
      <c r="E8972" s="33"/>
    </row>
    <row r="8973" spans="1:5" x14ac:dyDescent="0.25">
      <c r="A8973" s="41"/>
      <c r="B8973" s="29"/>
      <c r="C8973" s="37"/>
      <c r="D8973" s="37"/>
      <c r="E8973" s="33"/>
    </row>
    <row r="8974" spans="1:5" x14ac:dyDescent="0.25">
      <c r="A8974" s="41"/>
      <c r="B8974" s="29"/>
      <c r="C8974" s="37"/>
      <c r="D8974" s="37"/>
      <c r="E8974" s="33"/>
    </row>
    <row r="8975" spans="1:5" x14ac:dyDescent="0.25">
      <c r="A8975" s="41"/>
      <c r="B8975" s="29"/>
      <c r="C8975" s="37"/>
      <c r="D8975" s="37"/>
      <c r="E8975" s="33"/>
    </row>
    <row r="8976" spans="1:5" x14ac:dyDescent="0.25">
      <c r="A8976" s="41"/>
      <c r="B8976" s="29"/>
      <c r="C8976" s="37"/>
      <c r="D8976" s="37"/>
      <c r="E8976" s="33"/>
    </row>
    <row r="8977" spans="1:5" x14ac:dyDescent="0.25">
      <c r="A8977" s="41"/>
      <c r="B8977" s="29"/>
      <c r="C8977" s="37"/>
      <c r="D8977" s="37"/>
      <c r="E8977" s="33"/>
    </row>
    <row r="8978" spans="1:5" x14ac:dyDescent="0.25">
      <c r="A8978" s="41"/>
      <c r="B8978" s="29"/>
      <c r="C8978" s="37"/>
      <c r="D8978" s="37"/>
      <c r="E8978" s="33"/>
    </row>
    <row r="8979" spans="1:5" x14ac:dyDescent="0.25">
      <c r="A8979" s="41"/>
      <c r="B8979" s="29"/>
      <c r="C8979" s="37"/>
      <c r="D8979" s="37"/>
      <c r="E8979" s="33"/>
    </row>
    <row r="8980" spans="1:5" x14ac:dyDescent="0.25">
      <c r="A8980" s="41"/>
      <c r="B8980" s="29"/>
      <c r="C8980" s="37"/>
      <c r="D8980" s="37"/>
      <c r="E8980" s="33"/>
    </row>
    <row r="8981" spans="1:5" x14ac:dyDescent="0.25">
      <c r="A8981" s="41"/>
      <c r="B8981" s="29"/>
      <c r="C8981" s="37"/>
      <c r="D8981" s="37"/>
      <c r="E8981" s="33"/>
    </row>
    <row r="8982" spans="1:5" x14ac:dyDescent="0.25">
      <c r="A8982" s="41"/>
      <c r="B8982" s="29"/>
      <c r="C8982" s="37"/>
      <c r="D8982" s="37"/>
      <c r="E8982" s="33"/>
    </row>
    <row r="8983" spans="1:5" x14ac:dyDescent="0.25">
      <c r="A8983" s="41"/>
      <c r="B8983" s="29"/>
      <c r="C8983" s="37"/>
      <c r="D8983" s="37"/>
      <c r="E8983" s="33"/>
    </row>
    <row r="8984" spans="1:5" x14ac:dyDescent="0.25">
      <c r="A8984" s="41"/>
      <c r="B8984" s="29"/>
      <c r="C8984" s="37"/>
      <c r="D8984" s="37"/>
      <c r="E8984" s="33"/>
    </row>
    <row r="8985" spans="1:5" x14ac:dyDescent="0.25">
      <c r="A8985" s="41"/>
      <c r="B8985" s="29"/>
      <c r="C8985" s="37"/>
      <c r="D8985" s="37"/>
      <c r="E8985" s="33"/>
    </row>
    <row r="8986" spans="1:5" x14ac:dyDescent="0.25">
      <c r="A8986" s="41"/>
      <c r="B8986" s="29"/>
      <c r="C8986" s="37"/>
      <c r="D8986" s="37"/>
      <c r="E8986" s="33"/>
    </row>
    <row r="8987" spans="1:5" x14ac:dyDescent="0.25">
      <c r="A8987" s="41"/>
      <c r="B8987" s="29"/>
      <c r="C8987" s="37"/>
      <c r="D8987" s="37"/>
      <c r="E8987" s="33"/>
    </row>
    <row r="8988" spans="1:5" x14ac:dyDescent="0.25">
      <c r="A8988" s="41"/>
      <c r="B8988" s="29"/>
      <c r="C8988" s="37"/>
      <c r="D8988" s="37"/>
      <c r="E8988" s="33"/>
    </row>
    <row r="8989" spans="1:5" x14ac:dyDescent="0.25">
      <c r="A8989" s="41"/>
      <c r="B8989" s="29"/>
      <c r="C8989" s="37"/>
      <c r="D8989" s="37"/>
      <c r="E8989" s="33"/>
    </row>
    <row r="8990" spans="1:5" x14ac:dyDescent="0.25">
      <c r="A8990" s="41"/>
      <c r="B8990" s="29"/>
      <c r="C8990" s="37"/>
      <c r="D8990" s="37"/>
      <c r="E8990" s="33"/>
    </row>
    <row r="8991" spans="1:5" x14ac:dyDescent="0.25">
      <c r="A8991" s="41"/>
      <c r="B8991" s="29"/>
      <c r="C8991" s="37"/>
      <c r="D8991" s="37"/>
      <c r="E8991" s="33"/>
    </row>
    <row r="8992" spans="1:5" x14ac:dyDescent="0.25">
      <c r="A8992" s="41"/>
      <c r="B8992" s="29"/>
      <c r="C8992" s="37"/>
      <c r="D8992" s="37"/>
      <c r="E8992" s="33"/>
    </row>
    <row r="8993" spans="1:5" x14ac:dyDescent="0.25">
      <c r="A8993" s="41"/>
      <c r="B8993" s="29"/>
      <c r="C8993" s="37"/>
      <c r="D8993" s="37"/>
      <c r="E8993" s="33"/>
    </row>
    <row r="8994" spans="1:5" x14ac:dyDescent="0.25">
      <c r="A8994" s="41"/>
      <c r="B8994" s="29"/>
      <c r="C8994" s="37"/>
      <c r="D8994" s="37"/>
      <c r="E8994" s="33"/>
    </row>
    <row r="8995" spans="1:5" x14ac:dyDescent="0.25">
      <c r="A8995" s="41"/>
      <c r="B8995" s="29"/>
      <c r="C8995" s="37"/>
      <c r="D8995" s="37"/>
      <c r="E8995" s="33"/>
    </row>
    <row r="8996" spans="1:5" x14ac:dyDescent="0.25">
      <c r="A8996" s="41"/>
      <c r="B8996" s="29"/>
      <c r="C8996" s="37"/>
      <c r="D8996" s="37"/>
      <c r="E8996" s="33"/>
    </row>
    <row r="8997" spans="1:5" x14ac:dyDescent="0.25">
      <c r="A8997" s="41"/>
      <c r="B8997" s="29"/>
      <c r="C8997" s="37"/>
      <c r="D8997" s="37"/>
      <c r="E8997" s="33"/>
    </row>
    <row r="8998" spans="1:5" x14ac:dyDescent="0.25">
      <c r="A8998" s="41"/>
      <c r="B8998" s="29"/>
      <c r="C8998" s="37"/>
      <c r="D8998" s="37"/>
      <c r="E8998" s="33"/>
    </row>
    <row r="8999" spans="1:5" x14ac:dyDescent="0.25">
      <c r="A8999" s="41"/>
      <c r="B8999" s="29"/>
      <c r="C8999" s="37"/>
      <c r="D8999" s="37"/>
      <c r="E8999" s="33"/>
    </row>
    <row r="9000" spans="1:5" x14ac:dyDescent="0.25">
      <c r="A9000" s="41"/>
      <c r="B9000" s="29"/>
      <c r="C9000" s="37"/>
      <c r="D9000" s="37"/>
      <c r="E9000" s="33"/>
    </row>
    <row r="9001" spans="1:5" x14ac:dyDescent="0.25">
      <c r="A9001" s="41"/>
      <c r="B9001" s="29"/>
      <c r="C9001" s="37"/>
      <c r="D9001" s="37"/>
      <c r="E9001" s="33"/>
    </row>
    <row r="9002" spans="1:5" x14ac:dyDescent="0.25">
      <c r="A9002" s="41"/>
      <c r="B9002" s="29"/>
      <c r="C9002" s="37"/>
      <c r="D9002" s="37"/>
      <c r="E9002" s="33"/>
    </row>
    <row r="9003" spans="1:5" x14ac:dyDescent="0.25">
      <c r="A9003" s="41"/>
      <c r="B9003" s="29"/>
      <c r="C9003" s="37"/>
      <c r="D9003" s="37"/>
      <c r="E9003" s="33"/>
    </row>
    <row r="9004" spans="1:5" x14ac:dyDescent="0.25">
      <c r="A9004" s="41"/>
      <c r="B9004" s="29"/>
      <c r="C9004" s="37"/>
      <c r="D9004" s="37"/>
      <c r="E9004" s="33"/>
    </row>
    <row r="9005" spans="1:5" x14ac:dyDescent="0.25">
      <c r="A9005" s="41"/>
      <c r="B9005" s="29"/>
      <c r="C9005" s="37"/>
      <c r="D9005" s="37"/>
      <c r="E9005" s="33"/>
    </row>
    <row r="9006" spans="1:5" x14ac:dyDescent="0.25">
      <c r="A9006" s="41"/>
      <c r="B9006" s="29"/>
      <c r="C9006" s="37"/>
      <c r="D9006" s="37"/>
      <c r="E9006" s="33"/>
    </row>
    <row r="9007" spans="1:5" x14ac:dyDescent="0.25">
      <c r="A9007" s="41"/>
      <c r="B9007" s="29"/>
      <c r="C9007" s="37"/>
      <c r="D9007" s="37"/>
      <c r="E9007" s="33"/>
    </row>
    <row r="9008" spans="1:5" x14ac:dyDescent="0.25">
      <c r="A9008" s="41"/>
      <c r="B9008" s="29"/>
      <c r="C9008" s="37"/>
      <c r="D9008" s="37"/>
      <c r="E9008" s="33"/>
    </row>
    <row r="9009" spans="1:5" x14ac:dyDescent="0.25">
      <c r="A9009" s="41"/>
      <c r="B9009" s="29"/>
      <c r="C9009" s="37"/>
      <c r="D9009" s="37"/>
      <c r="E9009" s="33"/>
    </row>
    <row r="9010" spans="1:5" x14ac:dyDescent="0.25">
      <c r="A9010" s="41"/>
      <c r="B9010" s="29"/>
      <c r="C9010" s="37"/>
      <c r="D9010" s="37"/>
      <c r="E9010" s="33"/>
    </row>
    <row r="9011" spans="1:5" x14ac:dyDescent="0.25">
      <c r="A9011" s="41"/>
      <c r="B9011" s="29"/>
      <c r="C9011" s="37"/>
      <c r="D9011" s="37"/>
      <c r="E9011" s="33"/>
    </row>
    <row r="9012" spans="1:5" x14ac:dyDescent="0.25">
      <c r="A9012" s="41"/>
      <c r="B9012" s="29"/>
      <c r="C9012" s="37"/>
      <c r="D9012" s="37"/>
      <c r="E9012" s="33"/>
    </row>
    <row r="9013" spans="1:5" x14ac:dyDescent="0.25">
      <c r="A9013" s="41"/>
      <c r="B9013" s="29"/>
      <c r="C9013" s="37"/>
      <c r="D9013" s="37"/>
      <c r="E9013" s="33"/>
    </row>
    <row r="9014" spans="1:5" x14ac:dyDescent="0.25">
      <c r="A9014" s="41"/>
      <c r="B9014" s="29"/>
      <c r="C9014" s="37"/>
      <c r="D9014" s="37"/>
      <c r="E9014" s="33"/>
    </row>
    <row r="9015" spans="1:5" x14ac:dyDescent="0.25">
      <c r="A9015" s="41"/>
      <c r="B9015" s="29"/>
      <c r="C9015" s="37"/>
      <c r="D9015" s="37"/>
      <c r="E9015" s="33"/>
    </row>
    <row r="9016" spans="1:5" x14ac:dyDescent="0.25">
      <c r="A9016" s="41"/>
      <c r="B9016" s="29"/>
      <c r="C9016" s="37"/>
      <c r="D9016" s="37"/>
      <c r="E9016" s="33"/>
    </row>
    <row r="9017" spans="1:5" x14ac:dyDescent="0.25">
      <c r="A9017" s="41"/>
      <c r="B9017" s="29"/>
      <c r="C9017" s="37"/>
      <c r="D9017" s="37"/>
      <c r="E9017" s="33"/>
    </row>
    <row r="9018" spans="1:5" x14ac:dyDescent="0.25">
      <c r="A9018" s="41"/>
      <c r="B9018" s="29"/>
      <c r="C9018" s="37"/>
      <c r="D9018" s="37"/>
      <c r="E9018" s="33"/>
    </row>
    <row r="9019" spans="1:5" x14ac:dyDescent="0.25">
      <c r="A9019" s="41"/>
      <c r="B9019" s="29"/>
      <c r="C9019" s="37"/>
      <c r="D9019" s="37"/>
      <c r="E9019" s="33"/>
    </row>
    <row r="9020" spans="1:5" x14ac:dyDescent="0.25">
      <c r="A9020" s="41"/>
      <c r="B9020" s="29"/>
      <c r="C9020" s="37"/>
      <c r="D9020" s="37"/>
      <c r="E9020" s="33"/>
    </row>
    <row r="9021" spans="1:5" x14ac:dyDescent="0.25">
      <c r="A9021" s="41"/>
      <c r="B9021" s="29"/>
      <c r="C9021" s="37"/>
      <c r="D9021" s="37"/>
      <c r="E9021" s="33"/>
    </row>
    <row r="9022" spans="1:5" x14ac:dyDescent="0.25">
      <c r="A9022" s="41"/>
      <c r="B9022" s="29"/>
      <c r="C9022" s="37"/>
      <c r="D9022" s="37"/>
      <c r="E9022" s="33"/>
    </row>
    <row r="9023" spans="1:5" x14ac:dyDescent="0.25">
      <c r="A9023" s="41"/>
      <c r="B9023" s="29"/>
      <c r="C9023" s="37"/>
      <c r="D9023" s="37"/>
      <c r="E9023" s="33"/>
    </row>
    <row r="9024" spans="1:5" x14ac:dyDescent="0.25">
      <c r="A9024" s="41"/>
      <c r="B9024" s="29"/>
      <c r="C9024" s="37"/>
      <c r="D9024" s="37"/>
      <c r="E9024" s="33"/>
    </row>
    <row r="9025" spans="1:5" x14ac:dyDescent="0.25">
      <c r="A9025" s="41"/>
      <c r="B9025" s="29"/>
      <c r="C9025" s="37"/>
      <c r="D9025" s="37"/>
      <c r="E9025" s="33"/>
    </row>
    <row r="9026" spans="1:5" x14ac:dyDescent="0.25">
      <c r="A9026" s="41"/>
      <c r="B9026" s="29"/>
      <c r="C9026" s="37"/>
      <c r="D9026" s="37"/>
      <c r="E9026" s="33"/>
    </row>
    <row r="9027" spans="1:5" x14ac:dyDescent="0.25">
      <c r="A9027" s="41"/>
      <c r="B9027" s="29"/>
      <c r="C9027" s="37"/>
      <c r="D9027" s="37"/>
      <c r="E9027" s="33"/>
    </row>
    <row r="9028" spans="1:5" x14ac:dyDescent="0.25">
      <c r="A9028" s="41"/>
      <c r="B9028" s="29"/>
      <c r="C9028" s="37"/>
      <c r="D9028" s="37"/>
      <c r="E9028" s="33"/>
    </row>
    <row r="9029" spans="1:5" x14ac:dyDescent="0.25">
      <c r="A9029" s="41"/>
      <c r="B9029" s="29"/>
      <c r="C9029" s="37"/>
      <c r="D9029" s="37"/>
      <c r="E9029" s="33"/>
    </row>
    <row r="9030" spans="1:5" x14ac:dyDescent="0.25">
      <c r="A9030" s="41"/>
      <c r="B9030" s="29"/>
      <c r="C9030" s="37"/>
      <c r="D9030" s="37"/>
      <c r="E9030" s="33"/>
    </row>
    <row r="9031" spans="1:5" x14ac:dyDescent="0.25">
      <c r="A9031" s="41"/>
      <c r="B9031" s="29"/>
      <c r="C9031" s="37"/>
      <c r="D9031" s="37"/>
      <c r="E9031" s="33"/>
    </row>
    <row r="9032" spans="1:5" x14ac:dyDescent="0.25">
      <c r="A9032" s="41"/>
      <c r="B9032" s="29"/>
      <c r="C9032" s="37"/>
      <c r="D9032" s="37"/>
      <c r="E9032" s="33"/>
    </row>
    <row r="9033" spans="1:5" x14ac:dyDescent="0.25">
      <c r="A9033" s="41"/>
      <c r="B9033" s="29"/>
      <c r="C9033" s="37"/>
      <c r="D9033" s="37"/>
      <c r="E9033" s="33"/>
    </row>
    <row r="9034" spans="1:5" x14ac:dyDescent="0.25">
      <c r="A9034" s="41"/>
      <c r="B9034" s="29"/>
      <c r="C9034" s="37"/>
      <c r="D9034" s="37"/>
      <c r="E9034" s="33"/>
    </row>
    <row r="9035" spans="1:5" x14ac:dyDescent="0.25">
      <c r="A9035" s="41"/>
      <c r="B9035" s="29"/>
      <c r="C9035" s="37"/>
      <c r="D9035" s="37"/>
      <c r="E9035" s="33"/>
    </row>
    <row r="9036" spans="1:5" x14ac:dyDescent="0.25">
      <c r="A9036" s="41"/>
      <c r="B9036" s="29"/>
      <c r="C9036" s="37"/>
      <c r="D9036" s="37"/>
      <c r="E9036" s="33"/>
    </row>
    <row r="9037" spans="1:5" x14ac:dyDescent="0.25">
      <c r="A9037" s="41"/>
      <c r="B9037" s="29"/>
      <c r="C9037" s="37"/>
      <c r="D9037" s="37"/>
      <c r="E9037" s="33"/>
    </row>
    <row r="9038" spans="1:5" x14ac:dyDescent="0.25">
      <c r="A9038" s="41"/>
      <c r="B9038" s="29"/>
      <c r="C9038" s="37"/>
      <c r="D9038" s="37"/>
      <c r="E9038" s="33"/>
    </row>
    <row r="9039" spans="1:5" x14ac:dyDescent="0.25">
      <c r="A9039" s="41"/>
      <c r="B9039" s="29"/>
      <c r="C9039" s="37"/>
      <c r="D9039" s="37"/>
      <c r="E9039" s="33"/>
    </row>
    <row r="9040" spans="1:5" x14ac:dyDescent="0.25">
      <c r="A9040" s="41"/>
      <c r="B9040" s="29"/>
      <c r="C9040" s="37"/>
      <c r="D9040" s="37"/>
      <c r="E9040" s="33"/>
    </row>
    <row r="9041" spans="1:5" x14ac:dyDescent="0.25">
      <c r="A9041" s="41"/>
      <c r="B9041" s="29"/>
      <c r="C9041" s="37"/>
      <c r="D9041" s="37"/>
      <c r="E9041" s="33"/>
    </row>
    <row r="9042" spans="1:5" x14ac:dyDescent="0.25">
      <c r="A9042" s="41"/>
      <c r="B9042" s="29"/>
      <c r="C9042" s="37"/>
      <c r="D9042" s="37"/>
      <c r="E9042" s="33"/>
    </row>
    <row r="9043" spans="1:5" x14ac:dyDescent="0.25">
      <c r="A9043" s="41"/>
      <c r="B9043" s="29"/>
      <c r="C9043" s="37"/>
      <c r="D9043" s="37"/>
      <c r="E9043" s="33"/>
    </row>
    <row r="9044" spans="1:5" x14ac:dyDescent="0.25">
      <c r="A9044" s="41"/>
      <c r="B9044" s="29"/>
      <c r="C9044" s="37"/>
      <c r="D9044" s="37"/>
      <c r="E9044" s="33"/>
    </row>
    <row r="9045" spans="1:5" x14ac:dyDescent="0.25">
      <c r="A9045" s="41"/>
      <c r="B9045" s="29"/>
      <c r="C9045" s="37"/>
      <c r="D9045" s="37"/>
      <c r="E9045" s="33"/>
    </row>
    <row r="9046" spans="1:5" x14ac:dyDescent="0.25">
      <c r="A9046" s="41"/>
      <c r="B9046" s="29"/>
      <c r="C9046" s="37"/>
      <c r="D9046" s="37"/>
      <c r="E9046" s="33"/>
    </row>
    <row r="9047" spans="1:5" x14ac:dyDescent="0.25">
      <c r="A9047" s="41"/>
      <c r="B9047" s="29"/>
      <c r="C9047" s="37"/>
      <c r="D9047" s="37"/>
      <c r="E9047" s="33"/>
    </row>
    <row r="9048" spans="1:5" x14ac:dyDescent="0.25">
      <c r="A9048" s="41"/>
      <c r="B9048" s="29"/>
      <c r="C9048" s="37"/>
      <c r="D9048" s="37"/>
      <c r="E9048" s="33"/>
    </row>
    <row r="9049" spans="1:5" x14ac:dyDescent="0.25">
      <c r="A9049" s="41"/>
      <c r="B9049" s="29"/>
      <c r="C9049" s="37"/>
      <c r="D9049" s="37"/>
      <c r="E9049" s="33"/>
    </row>
    <row r="9050" spans="1:5" x14ac:dyDescent="0.25">
      <c r="A9050" s="41"/>
      <c r="B9050" s="29"/>
      <c r="C9050" s="37"/>
      <c r="D9050" s="37"/>
      <c r="E9050" s="33"/>
    </row>
    <row r="9051" spans="1:5" x14ac:dyDescent="0.25">
      <c r="A9051" s="41"/>
      <c r="B9051" s="29"/>
      <c r="C9051" s="37"/>
      <c r="D9051" s="37"/>
      <c r="E9051" s="33"/>
    </row>
    <row r="9052" spans="1:5" x14ac:dyDescent="0.25">
      <c r="A9052" s="41"/>
      <c r="B9052" s="29"/>
      <c r="C9052" s="37"/>
      <c r="D9052" s="37"/>
      <c r="E9052" s="33"/>
    </row>
    <row r="9053" spans="1:5" x14ac:dyDescent="0.25">
      <c r="A9053" s="41"/>
      <c r="B9053" s="29"/>
      <c r="C9053" s="37"/>
      <c r="D9053" s="37"/>
      <c r="E9053" s="33"/>
    </row>
    <row r="9054" spans="1:5" x14ac:dyDescent="0.25">
      <c r="A9054" s="41"/>
      <c r="B9054" s="29"/>
      <c r="C9054" s="37"/>
      <c r="D9054" s="37"/>
      <c r="E9054" s="33"/>
    </row>
    <row r="9055" spans="1:5" x14ac:dyDescent="0.25">
      <c r="A9055" s="41"/>
      <c r="B9055" s="29"/>
      <c r="C9055" s="37"/>
      <c r="D9055" s="37"/>
      <c r="E9055" s="33"/>
    </row>
    <row r="9056" spans="1:5" x14ac:dyDescent="0.25">
      <c r="A9056" s="41"/>
      <c r="B9056" s="29"/>
      <c r="C9056" s="37"/>
      <c r="D9056" s="37"/>
      <c r="E9056" s="33"/>
    </row>
    <row r="9057" spans="1:5" x14ac:dyDescent="0.25">
      <c r="A9057" s="41"/>
      <c r="B9057" s="29"/>
      <c r="C9057" s="37"/>
      <c r="D9057" s="37"/>
      <c r="E9057" s="33"/>
    </row>
    <row r="9058" spans="1:5" x14ac:dyDescent="0.25">
      <c r="A9058" s="41"/>
      <c r="B9058" s="29"/>
      <c r="C9058" s="37"/>
      <c r="D9058" s="37"/>
      <c r="E9058" s="33"/>
    </row>
    <row r="9059" spans="1:5" x14ac:dyDescent="0.25">
      <c r="A9059" s="41"/>
      <c r="B9059" s="29"/>
      <c r="C9059" s="37"/>
      <c r="D9059" s="37"/>
      <c r="E9059" s="33"/>
    </row>
    <row r="9060" spans="1:5" x14ac:dyDescent="0.25">
      <c r="A9060" s="41"/>
      <c r="B9060" s="29"/>
      <c r="C9060" s="37"/>
      <c r="D9060" s="37"/>
      <c r="E9060" s="33"/>
    </row>
    <row r="9061" spans="1:5" x14ac:dyDescent="0.25">
      <c r="A9061" s="41"/>
      <c r="B9061" s="29"/>
      <c r="C9061" s="37"/>
      <c r="D9061" s="37"/>
      <c r="E9061" s="33"/>
    </row>
    <row r="9062" spans="1:5" x14ac:dyDescent="0.25">
      <c r="A9062" s="41"/>
      <c r="B9062" s="29"/>
      <c r="C9062" s="37"/>
      <c r="D9062" s="37"/>
      <c r="E9062" s="33"/>
    </row>
    <row r="9063" spans="1:5" x14ac:dyDescent="0.25">
      <c r="A9063" s="41"/>
      <c r="B9063" s="29"/>
      <c r="C9063" s="37"/>
      <c r="D9063" s="37"/>
      <c r="E9063" s="33"/>
    </row>
    <row r="9064" spans="1:5" x14ac:dyDescent="0.25">
      <c r="A9064" s="41"/>
      <c r="B9064" s="29"/>
      <c r="C9064" s="37"/>
      <c r="D9064" s="37"/>
      <c r="E9064" s="33"/>
    </row>
    <row r="9065" spans="1:5" x14ac:dyDescent="0.25">
      <c r="A9065" s="41"/>
      <c r="B9065" s="29"/>
      <c r="C9065" s="37"/>
      <c r="D9065" s="37"/>
      <c r="E9065" s="33"/>
    </row>
    <row r="9066" spans="1:5" x14ac:dyDescent="0.25">
      <c r="A9066" s="41"/>
      <c r="B9066" s="29"/>
      <c r="C9066" s="37"/>
      <c r="D9066" s="37"/>
      <c r="E9066" s="33"/>
    </row>
    <row r="9067" spans="1:5" x14ac:dyDescent="0.25">
      <c r="A9067" s="41"/>
      <c r="B9067" s="29"/>
      <c r="C9067" s="37"/>
      <c r="D9067" s="37"/>
      <c r="E9067" s="33"/>
    </row>
    <row r="9068" spans="1:5" x14ac:dyDescent="0.25">
      <c r="A9068" s="41"/>
      <c r="B9068" s="29"/>
      <c r="C9068" s="37"/>
      <c r="D9068" s="37"/>
      <c r="E9068" s="33"/>
    </row>
    <row r="9069" spans="1:5" x14ac:dyDescent="0.25">
      <c r="A9069" s="41"/>
      <c r="B9069" s="29"/>
      <c r="C9069" s="37"/>
      <c r="D9069" s="37"/>
      <c r="E9069" s="33"/>
    </row>
    <row r="9070" spans="1:5" x14ac:dyDescent="0.25">
      <c r="A9070" s="41"/>
      <c r="B9070" s="29"/>
      <c r="C9070" s="37"/>
      <c r="D9070" s="37"/>
      <c r="E9070" s="33"/>
    </row>
    <row r="9071" spans="1:5" x14ac:dyDescent="0.25">
      <c r="A9071" s="41"/>
      <c r="B9071" s="29"/>
      <c r="C9071" s="37"/>
      <c r="D9071" s="37"/>
      <c r="E9071" s="33"/>
    </row>
    <row r="9072" spans="1:5" x14ac:dyDescent="0.25">
      <c r="A9072" s="41"/>
      <c r="B9072" s="29"/>
      <c r="C9072" s="37"/>
      <c r="D9072" s="37"/>
      <c r="E9072" s="33"/>
    </row>
    <row r="9073" spans="1:5" x14ac:dyDescent="0.25">
      <c r="A9073" s="41"/>
      <c r="B9073" s="29"/>
      <c r="C9073" s="37"/>
      <c r="D9073" s="37"/>
      <c r="E9073" s="33"/>
    </row>
    <row r="9074" spans="1:5" x14ac:dyDescent="0.25">
      <c r="A9074" s="41"/>
      <c r="B9074" s="29"/>
      <c r="C9074" s="37"/>
      <c r="D9074" s="37"/>
      <c r="E9074" s="33"/>
    </row>
    <row r="9075" spans="1:5" x14ac:dyDescent="0.25">
      <c r="A9075" s="41"/>
      <c r="B9075" s="29"/>
      <c r="C9075" s="37"/>
      <c r="D9075" s="37"/>
      <c r="E9075" s="33"/>
    </row>
    <row r="9076" spans="1:5" x14ac:dyDescent="0.25">
      <c r="A9076" s="41"/>
      <c r="B9076" s="29"/>
      <c r="C9076" s="37"/>
      <c r="D9076" s="37"/>
      <c r="E9076" s="33"/>
    </row>
    <row r="9077" spans="1:5" x14ac:dyDescent="0.25">
      <c r="A9077" s="41"/>
      <c r="B9077" s="29"/>
      <c r="C9077" s="37"/>
      <c r="D9077" s="37"/>
      <c r="E9077" s="33"/>
    </row>
    <row r="9078" spans="1:5" x14ac:dyDescent="0.25">
      <c r="A9078" s="41"/>
      <c r="B9078" s="29"/>
      <c r="C9078" s="37"/>
      <c r="D9078" s="37"/>
      <c r="E9078" s="33"/>
    </row>
    <row r="9079" spans="1:5" x14ac:dyDescent="0.25">
      <c r="A9079" s="41"/>
      <c r="B9079" s="29"/>
      <c r="C9079" s="37"/>
      <c r="D9079" s="37"/>
      <c r="E9079" s="33"/>
    </row>
    <row r="9080" spans="1:5" x14ac:dyDescent="0.25">
      <c r="A9080" s="41"/>
      <c r="B9080" s="29"/>
      <c r="C9080" s="37"/>
      <c r="D9080" s="37"/>
      <c r="E9080" s="33"/>
    </row>
    <row r="9081" spans="1:5" x14ac:dyDescent="0.25">
      <c r="A9081" s="41"/>
      <c r="B9081" s="29"/>
      <c r="C9081" s="37"/>
      <c r="D9081" s="37"/>
      <c r="E9081" s="33"/>
    </row>
    <row r="9082" spans="1:5" x14ac:dyDescent="0.25">
      <c r="A9082" s="41"/>
      <c r="B9082" s="29"/>
      <c r="C9082" s="37"/>
      <c r="D9082" s="37"/>
      <c r="E9082" s="33"/>
    </row>
    <row r="9083" spans="1:5" x14ac:dyDescent="0.25">
      <c r="A9083" s="41"/>
      <c r="B9083" s="29"/>
      <c r="C9083" s="37"/>
      <c r="D9083" s="37"/>
      <c r="E9083" s="33"/>
    </row>
    <row r="9084" spans="1:5" x14ac:dyDescent="0.25">
      <c r="A9084" s="41"/>
      <c r="B9084" s="29"/>
      <c r="C9084" s="37"/>
      <c r="D9084" s="37"/>
      <c r="E9084" s="33"/>
    </row>
    <row r="9085" spans="1:5" x14ac:dyDescent="0.25">
      <c r="A9085" s="41"/>
      <c r="B9085" s="29"/>
      <c r="C9085" s="37"/>
      <c r="D9085" s="37"/>
      <c r="E9085" s="33"/>
    </row>
    <row r="9086" spans="1:5" x14ac:dyDescent="0.25">
      <c r="A9086" s="41"/>
      <c r="B9086" s="29"/>
      <c r="C9086" s="37"/>
      <c r="D9086" s="37"/>
      <c r="E9086" s="33"/>
    </row>
    <row r="9087" spans="1:5" x14ac:dyDescent="0.25">
      <c r="A9087" s="41"/>
      <c r="B9087" s="29"/>
      <c r="C9087" s="37"/>
      <c r="D9087" s="37"/>
      <c r="E9087" s="33"/>
    </row>
    <row r="9088" spans="1:5" x14ac:dyDescent="0.25">
      <c r="A9088" s="41"/>
      <c r="B9088" s="29"/>
      <c r="C9088" s="37"/>
      <c r="D9088" s="37"/>
      <c r="E9088" s="33"/>
    </row>
    <row r="9089" spans="1:5" x14ac:dyDescent="0.25">
      <c r="A9089" s="41"/>
      <c r="B9089" s="29"/>
      <c r="C9089" s="37"/>
      <c r="D9089" s="37"/>
      <c r="E9089" s="33"/>
    </row>
    <row r="9090" spans="1:5" x14ac:dyDescent="0.25">
      <c r="A9090" s="41"/>
      <c r="B9090" s="29"/>
      <c r="C9090" s="37"/>
      <c r="D9090" s="37"/>
      <c r="E9090" s="33"/>
    </row>
    <row r="9091" spans="1:5" x14ac:dyDescent="0.25">
      <c r="A9091" s="41"/>
      <c r="B9091" s="29"/>
      <c r="C9091" s="37"/>
      <c r="D9091" s="37"/>
      <c r="E9091" s="33"/>
    </row>
    <row r="9092" spans="1:5" x14ac:dyDescent="0.25">
      <c r="A9092" s="41"/>
      <c r="B9092" s="29"/>
      <c r="C9092" s="37"/>
      <c r="D9092" s="37"/>
      <c r="E9092" s="33"/>
    </row>
    <row r="9093" spans="1:5" x14ac:dyDescent="0.25">
      <c r="A9093" s="41"/>
      <c r="B9093" s="29"/>
      <c r="C9093" s="37"/>
      <c r="D9093" s="37"/>
      <c r="E9093" s="33"/>
    </row>
    <row r="9094" spans="1:5" x14ac:dyDescent="0.25">
      <c r="A9094" s="41"/>
      <c r="B9094" s="29"/>
      <c r="C9094" s="37"/>
      <c r="D9094" s="37"/>
      <c r="E9094" s="33"/>
    </row>
    <row r="9095" spans="1:5" x14ac:dyDescent="0.25">
      <c r="A9095" s="41"/>
      <c r="B9095" s="29"/>
      <c r="C9095" s="37"/>
      <c r="D9095" s="37"/>
      <c r="E9095" s="33"/>
    </row>
    <row r="9096" spans="1:5" x14ac:dyDescent="0.25">
      <c r="A9096" s="41"/>
      <c r="B9096" s="29"/>
      <c r="C9096" s="37"/>
      <c r="D9096" s="37"/>
      <c r="E9096" s="33"/>
    </row>
    <row r="9097" spans="1:5" x14ac:dyDescent="0.25">
      <c r="A9097" s="41"/>
      <c r="B9097" s="29"/>
      <c r="C9097" s="37"/>
      <c r="D9097" s="37"/>
      <c r="E9097" s="33"/>
    </row>
    <row r="9098" spans="1:5" x14ac:dyDescent="0.25">
      <c r="A9098" s="41"/>
      <c r="B9098" s="29"/>
      <c r="C9098" s="37"/>
      <c r="D9098" s="37"/>
      <c r="E9098" s="33"/>
    </row>
    <row r="9099" spans="1:5" x14ac:dyDescent="0.25">
      <c r="A9099" s="41"/>
      <c r="B9099" s="29"/>
      <c r="C9099" s="37"/>
      <c r="D9099" s="37"/>
      <c r="E9099" s="33"/>
    </row>
    <row r="9100" spans="1:5" x14ac:dyDescent="0.25">
      <c r="A9100" s="41"/>
      <c r="B9100" s="29"/>
      <c r="C9100" s="37"/>
      <c r="D9100" s="37"/>
      <c r="E9100" s="33"/>
    </row>
    <row r="9101" spans="1:5" x14ac:dyDescent="0.25">
      <c r="A9101" s="41"/>
      <c r="B9101" s="29"/>
      <c r="C9101" s="37"/>
      <c r="D9101" s="37"/>
      <c r="E9101" s="33"/>
    </row>
    <row r="9102" spans="1:5" x14ac:dyDescent="0.25">
      <c r="A9102" s="41"/>
      <c r="B9102" s="29"/>
      <c r="C9102" s="37"/>
      <c r="D9102" s="37"/>
      <c r="E9102" s="33"/>
    </row>
    <row r="9103" spans="1:5" x14ac:dyDescent="0.25">
      <c r="A9103" s="41"/>
      <c r="B9103" s="29"/>
      <c r="C9103" s="37"/>
      <c r="D9103" s="37"/>
      <c r="E9103" s="33"/>
    </row>
    <row r="9104" spans="1:5" x14ac:dyDescent="0.25">
      <c r="A9104" s="41"/>
      <c r="B9104" s="29"/>
      <c r="C9104" s="37"/>
      <c r="D9104" s="37"/>
      <c r="E9104" s="33"/>
    </row>
    <row r="9105" spans="1:5" x14ac:dyDescent="0.25">
      <c r="A9105" s="41"/>
      <c r="B9105" s="29"/>
      <c r="C9105" s="37"/>
      <c r="D9105" s="37"/>
      <c r="E9105" s="33"/>
    </row>
    <row r="9106" spans="1:5" x14ac:dyDescent="0.25">
      <c r="A9106" s="41"/>
      <c r="B9106" s="29"/>
      <c r="C9106" s="37"/>
      <c r="D9106" s="37"/>
      <c r="E9106" s="33"/>
    </row>
    <row r="9107" spans="1:5" x14ac:dyDescent="0.25">
      <c r="A9107" s="41"/>
      <c r="B9107" s="29"/>
      <c r="C9107" s="37"/>
      <c r="D9107" s="37"/>
      <c r="E9107" s="33"/>
    </row>
    <row r="9108" spans="1:5" x14ac:dyDescent="0.25">
      <c r="A9108" s="41"/>
      <c r="B9108" s="29"/>
      <c r="C9108" s="37"/>
      <c r="D9108" s="37"/>
      <c r="E9108" s="33"/>
    </row>
    <row r="9109" spans="1:5" x14ac:dyDescent="0.25">
      <c r="A9109" s="41"/>
      <c r="B9109" s="29"/>
      <c r="C9109" s="37"/>
      <c r="D9109" s="37"/>
      <c r="E9109" s="33"/>
    </row>
    <row r="9110" spans="1:5" x14ac:dyDescent="0.25">
      <c r="A9110" s="41"/>
      <c r="B9110" s="29"/>
      <c r="C9110" s="37"/>
      <c r="D9110" s="37"/>
      <c r="E9110" s="33"/>
    </row>
    <row r="9111" spans="1:5" x14ac:dyDescent="0.25">
      <c r="A9111" s="41"/>
      <c r="B9111" s="29"/>
      <c r="C9111" s="37"/>
      <c r="D9111" s="37"/>
      <c r="E9111" s="33"/>
    </row>
    <row r="9112" spans="1:5" x14ac:dyDescent="0.25">
      <c r="A9112" s="41"/>
      <c r="B9112" s="29"/>
      <c r="C9112" s="37"/>
      <c r="D9112" s="37"/>
      <c r="E9112" s="33"/>
    </row>
    <row r="9113" spans="1:5" x14ac:dyDescent="0.25">
      <c r="A9113" s="41"/>
      <c r="B9113" s="29"/>
      <c r="C9113" s="37"/>
      <c r="D9113" s="37"/>
      <c r="E9113" s="33"/>
    </row>
    <row r="9114" spans="1:5" x14ac:dyDescent="0.25">
      <c r="A9114" s="41"/>
      <c r="B9114" s="29"/>
      <c r="C9114" s="37"/>
      <c r="D9114" s="37"/>
      <c r="E9114" s="33"/>
    </row>
    <row r="9115" spans="1:5" x14ac:dyDescent="0.25">
      <c r="A9115" s="41"/>
      <c r="B9115" s="29"/>
      <c r="C9115" s="37"/>
      <c r="D9115" s="37"/>
      <c r="E9115" s="33"/>
    </row>
    <row r="9116" spans="1:5" x14ac:dyDescent="0.25">
      <c r="A9116" s="41"/>
      <c r="B9116" s="29"/>
      <c r="C9116" s="37"/>
      <c r="D9116" s="37"/>
      <c r="E9116" s="33"/>
    </row>
    <row r="9117" spans="1:5" x14ac:dyDescent="0.25">
      <c r="A9117" s="41"/>
      <c r="B9117" s="29"/>
      <c r="C9117" s="37"/>
      <c r="D9117" s="37"/>
      <c r="E9117" s="33"/>
    </row>
    <row r="9118" spans="1:5" x14ac:dyDescent="0.25">
      <c r="A9118" s="41"/>
      <c r="B9118" s="29"/>
      <c r="C9118" s="37"/>
      <c r="D9118" s="37"/>
      <c r="E9118" s="33"/>
    </row>
    <row r="9119" spans="1:5" x14ac:dyDescent="0.25">
      <c r="A9119" s="41"/>
      <c r="B9119" s="29"/>
      <c r="C9119" s="37"/>
      <c r="D9119" s="37"/>
      <c r="E9119" s="33"/>
    </row>
    <row r="9120" spans="1:5" x14ac:dyDescent="0.25">
      <c r="A9120" s="41"/>
      <c r="B9120" s="29"/>
      <c r="C9120" s="37"/>
      <c r="D9120" s="37"/>
      <c r="E9120" s="33"/>
    </row>
    <row r="9121" spans="1:5" x14ac:dyDescent="0.25">
      <c r="A9121" s="41"/>
      <c r="B9121" s="29"/>
      <c r="C9121" s="37"/>
      <c r="D9121" s="37"/>
      <c r="E9121" s="33"/>
    </row>
    <row r="9122" spans="1:5" x14ac:dyDescent="0.25">
      <c r="A9122" s="41"/>
      <c r="B9122" s="29"/>
      <c r="C9122" s="37"/>
      <c r="D9122" s="37"/>
      <c r="E9122" s="33"/>
    </row>
    <row r="9123" spans="1:5" x14ac:dyDescent="0.25">
      <c r="A9123" s="41"/>
      <c r="B9123" s="29"/>
      <c r="C9123" s="37"/>
      <c r="D9123" s="37"/>
      <c r="E9123" s="33"/>
    </row>
    <row r="9124" spans="1:5" x14ac:dyDescent="0.25">
      <c r="A9124" s="41"/>
      <c r="B9124" s="29"/>
      <c r="C9124" s="37"/>
      <c r="D9124" s="37"/>
      <c r="E9124" s="33"/>
    </row>
    <row r="9125" spans="1:5" x14ac:dyDescent="0.25">
      <c r="A9125" s="41"/>
      <c r="B9125" s="29"/>
      <c r="C9125" s="37"/>
      <c r="D9125" s="37"/>
      <c r="E9125" s="33"/>
    </row>
    <row r="9126" spans="1:5" x14ac:dyDescent="0.25">
      <c r="A9126" s="41"/>
      <c r="B9126" s="29"/>
      <c r="C9126" s="37"/>
      <c r="D9126" s="37"/>
      <c r="E9126" s="33"/>
    </row>
    <row r="9127" spans="1:5" x14ac:dyDescent="0.25">
      <c r="A9127" s="41"/>
      <c r="B9127" s="29"/>
      <c r="C9127" s="37"/>
      <c r="D9127" s="37"/>
      <c r="E9127" s="33"/>
    </row>
    <row r="9128" spans="1:5" x14ac:dyDescent="0.25">
      <c r="A9128" s="41"/>
      <c r="B9128" s="29"/>
      <c r="C9128" s="37"/>
      <c r="D9128" s="37"/>
      <c r="E9128" s="33"/>
    </row>
    <row r="9129" spans="1:5" x14ac:dyDescent="0.25">
      <c r="A9129" s="41"/>
      <c r="B9129" s="29"/>
      <c r="C9129" s="37"/>
      <c r="D9129" s="37"/>
      <c r="E9129" s="33"/>
    </row>
    <row r="9130" spans="1:5" x14ac:dyDescent="0.25">
      <c r="A9130" s="41"/>
      <c r="B9130" s="29"/>
      <c r="C9130" s="37"/>
      <c r="D9130" s="37"/>
      <c r="E9130" s="33"/>
    </row>
    <row r="9131" spans="1:5" x14ac:dyDescent="0.25">
      <c r="A9131" s="41"/>
      <c r="B9131" s="29"/>
      <c r="C9131" s="37"/>
      <c r="D9131" s="37"/>
      <c r="E9131" s="33"/>
    </row>
    <row r="9132" spans="1:5" x14ac:dyDescent="0.25">
      <c r="A9132" s="41"/>
      <c r="B9132" s="29"/>
      <c r="C9132" s="37"/>
      <c r="D9132" s="37"/>
      <c r="E9132" s="33"/>
    </row>
    <row r="9133" spans="1:5" x14ac:dyDescent="0.25">
      <c r="A9133" s="41"/>
      <c r="B9133" s="29"/>
      <c r="C9133" s="37"/>
      <c r="D9133" s="37"/>
      <c r="E9133" s="33"/>
    </row>
    <row r="9134" spans="1:5" x14ac:dyDescent="0.25">
      <c r="A9134" s="41"/>
      <c r="B9134" s="29"/>
      <c r="C9134" s="37"/>
      <c r="D9134" s="37"/>
      <c r="E9134" s="33"/>
    </row>
    <row r="9135" spans="1:5" x14ac:dyDescent="0.25">
      <c r="A9135" s="41"/>
      <c r="B9135" s="29"/>
      <c r="C9135" s="37"/>
      <c r="D9135" s="37"/>
      <c r="E9135" s="33"/>
    </row>
    <row r="9136" spans="1:5" x14ac:dyDescent="0.25">
      <c r="A9136" s="41"/>
      <c r="B9136" s="29"/>
      <c r="C9136" s="37"/>
      <c r="D9136" s="37"/>
      <c r="E9136" s="33"/>
    </row>
    <row r="9137" spans="1:5" x14ac:dyDescent="0.25">
      <c r="A9137" s="41"/>
      <c r="B9137" s="29"/>
      <c r="C9137" s="37"/>
      <c r="D9137" s="37"/>
      <c r="E9137" s="33"/>
    </row>
    <row r="9138" spans="1:5" x14ac:dyDescent="0.25">
      <c r="A9138" s="41"/>
      <c r="B9138" s="29"/>
      <c r="C9138" s="37"/>
      <c r="D9138" s="37"/>
      <c r="E9138" s="33"/>
    </row>
    <row r="9139" spans="1:5" x14ac:dyDescent="0.25">
      <c r="A9139" s="41"/>
      <c r="B9139" s="29"/>
      <c r="C9139" s="37"/>
      <c r="D9139" s="37"/>
      <c r="E9139" s="33"/>
    </row>
    <row r="9140" spans="1:5" x14ac:dyDescent="0.25">
      <c r="A9140" s="41"/>
      <c r="B9140" s="29"/>
      <c r="C9140" s="37"/>
      <c r="D9140" s="37"/>
      <c r="E9140" s="33"/>
    </row>
    <row r="9141" spans="1:5" x14ac:dyDescent="0.25">
      <c r="A9141" s="41"/>
      <c r="B9141" s="29"/>
      <c r="C9141" s="37"/>
      <c r="D9141" s="37"/>
      <c r="E9141" s="33"/>
    </row>
    <row r="9142" spans="1:5" x14ac:dyDescent="0.25">
      <c r="A9142" s="41"/>
      <c r="B9142" s="29"/>
      <c r="C9142" s="37"/>
      <c r="D9142" s="37"/>
      <c r="E9142" s="33"/>
    </row>
    <row r="9143" spans="1:5" x14ac:dyDescent="0.25">
      <c r="A9143" s="41"/>
      <c r="B9143" s="29"/>
      <c r="C9143" s="37"/>
      <c r="D9143" s="37"/>
      <c r="E9143" s="33"/>
    </row>
    <row r="9144" spans="1:5" x14ac:dyDescent="0.25">
      <c r="A9144" s="41"/>
      <c r="B9144" s="29"/>
      <c r="C9144" s="37"/>
      <c r="D9144" s="37"/>
      <c r="E9144" s="33"/>
    </row>
    <row r="9145" spans="1:5" x14ac:dyDescent="0.25">
      <c r="A9145" s="41"/>
      <c r="B9145" s="29"/>
      <c r="C9145" s="37"/>
      <c r="D9145" s="37"/>
      <c r="E9145" s="33"/>
    </row>
    <row r="9146" spans="1:5" x14ac:dyDescent="0.25">
      <c r="A9146" s="41"/>
      <c r="B9146" s="29"/>
      <c r="C9146" s="37"/>
      <c r="D9146" s="37"/>
      <c r="E9146" s="33"/>
    </row>
    <row r="9147" spans="1:5" x14ac:dyDescent="0.25">
      <c r="A9147" s="41"/>
      <c r="B9147" s="29"/>
      <c r="C9147" s="37"/>
      <c r="D9147" s="37"/>
      <c r="E9147" s="33"/>
    </row>
    <row r="9148" spans="1:5" x14ac:dyDescent="0.25">
      <c r="A9148" s="41"/>
      <c r="B9148" s="29"/>
      <c r="C9148" s="37"/>
      <c r="D9148" s="37"/>
      <c r="E9148" s="33"/>
    </row>
    <row r="9149" spans="1:5" x14ac:dyDescent="0.25">
      <c r="A9149" s="41"/>
      <c r="B9149" s="29"/>
      <c r="C9149" s="37"/>
      <c r="D9149" s="37"/>
      <c r="E9149" s="33"/>
    </row>
    <row r="9150" spans="1:5" x14ac:dyDescent="0.25">
      <c r="A9150" s="41"/>
      <c r="B9150" s="29"/>
      <c r="C9150" s="37"/>
      <c r="D9150" s="37"/>
      <c r="E9150" s="33"/>
    </row>
    <row r="9151" spans="1:5" x14ac:dyDescent="0.25">
      <c r="A9151" s="41"/>
      <c r="B9151" s="29"/>
      <c r="C9151" s="37"/>
      <c r="D9151" s="37"/>
      <c r="E9151" s="33"/>
    </row>
    <row r="9152" spans="1:5" x14ac:dyDescent="0.25">
      <c r="A9152" s="41"/>
      <c r="B9152" s="29"/>
      <c r="C9152" s="37"/>
      <c r="D9152" s="37"/>
      <c r="E9152" s="33"/>
    </row>
    <row r="9153" spans="1:5" x14ac:dyDescent="0.25">
      <c r="A9153" s="41"/>
      <c r="B9153" s="29"/>
      <c r="C9153" s="37"/>
      <c r="D9153" s="37"/>
      <c r="E9153" s="33"/>
    </row>
    <row r="9154" spans="1:5" x14ac:dyDescent="0.25">
      <c r="A9154" s="41"/>
      <c r="B9154" s="29"/>
      <c r="C9154" s="37"/>
      <c r="D9154" s="37"/>
      <c r="E9154" s="33"/>
    </row>
    <row r="9155" spans="1:5" x14ac:dyDescent="0.25">
      <c r="A9155" s="41"/>
      <c r="B9155" s="29"/>
      <c r="C9155" s="37"/>
      <c r="D9155" s="37"/>
      <c r="E9155" s="33"/>
    </row>
    <row r="9156" spans="1:5" x14ac:dyDescent="0.25">
      <c r="A9156" s="41"/>
      <c r="B9156" s="29"/>
      <c r="C9156" s="37"/>
      <c r="D9156" s="37"/>
      <c r="E9156" s="33"/>
    </row>
    <row r="9157" spans="1:5" x14ac:dyDescent="0.25">
      <c r="A9157" s="41"/>
      <c r="B9157" s="29"/>
      <c r="C9157" s="37"/>
      <c r="D9157" s="37"/>
      <c r="E9157" s="33"/>
    </row>
    <row r="9158" spans="1:5" x14ac:dyDescent="0.25">
      <c r="A9158" s="41"/>
      <c r="B9158" s="29"/>
      <c r="C9158" s="37"/>
      <c r="D9158" s="37"/>
      <c r="E9158" s="33"/>
    </row>
    <row r="9159" spans="1:5" x14ac:dyDescent="0.25">
      <c r="A9159" s="41"/>
      <c r="B9159" s="29"/>
      <c r="C9159" s="37"/>
      <c r="D9159" s="37"/>
      <c r="E9159" s="33"/>
    </row>
    <row r="9160" spans="1:5" x14ac:dyDescent="0.25">
      <c r="A9160" s="41"/>
      <c r="B9160" s="29"/>
      <c r="C9160" s="37"/>
      <c r="D9160" s="37"/>
      <c r="E9160" s="33"/>
    </row>
    <row r="9161" spans="1:5" x14ac:dyDescent="0.25">
      <c r="A9161" s="41"/>
      <c r="B9161" s="29"/>
      <c r="C9161" s="37"/>
      <c r="D9161" s="37"/>
      <c r="E9161" s="33"/>
    </row>
    <row r="9162" spans="1:5" x14ac:dyDescent="0.25">
      <c r="A9162" s="41"/>
      <c r="B9162" s="29"/>
      <c r="C9162" s="37"/>
      <c r="D9162" s="37"/>
      <c r="E9162" s="33"/>
    </row>
    <row r="9163" spans="1:5" x14ac:dyDescent="0.25">
      <c r="A9163" s="41"/>
      <c r="B9163" s="29"/>
      <c r="C9163" s="37"/>
      <c r="D9163" s="37"/>
      <c r="E9163" s="33"/>
    </row>
    <row r="9164" spans="1:5" x14ac:dyDescent="0.25">
      <c r="A9164" s="41"/>
      <c r="B9164" s="29"/>
      <c r="C9164" s="37"/>
      <c r="D9164" s="37"/>
      <c r="E9164" s="33"/>
    </row>
    <row r="9165" spans="1:5" x14ac:dyDescent="0.25">
      <c r="A9165" s="41"/>
      <c r="B9165" s="29"/>
      <c r="C9165" s="37"/>
      <c r="D9165" s="37"/>
      <c r="E9165" s="33"/>
    </row>
    <row r="9166" spans="1:5" x14ac:dyDescent="0.25">
      <c r="A9166" s="41"/>
      <c r="B9166" s="29"/>
      <c r="C9166" s="37"/>
      <c r="D9166" s="37"/>
      <c r="E9166" s="33"/>
    </row>
    <row r="9167" spans="1:5" x14ac:dyDescent="0.25">
      <c r="A9167" s="41"/>
      <c r="B9167" s="29"/>
      <c r="C9167" s="37"/>
      <c r="D9167" s="37"/>
      <c r="E9167" s="33"/>
    </row>
    <row r="9168" spans="1:5" x14ac:dyDescent="0.25">
      <c r="A9168" s="41"/>
      <c r="B9168" s="29"/>
      <c r="C9168" s="37"/>
      <c r="D9168" s="37"/>
      <c r="E9168" s="33"/>
    </row>
    <row r="9169" spans="1:5" x14ac:dyDescent="0.25">
      <c r="A9169" s="41"/>
      <c r="B9169" s="29"/>
      <c r="C9169" s="37"/>
      <c r="D9169" s="37"/>
      <c r="E9169" s="33"/>
    </row>
    <row r="9170" spans="1:5" x14ac:dyDescent="0.25">
      <c r="A9170" s="41"/>
      <c r="B9170" s="29"/>
      <c r="C9170" s="37"/>
      <c r="D9170" s="37"/>
      <c r="E9170" s="33"/>
    </row>
    <row r="9171" spans="1:5" x14ac:dyDescent="0.25">
      <c r="A9171" s="41"/>
      <c r="B9171" s="29"/>
      <c r="C9171" s="37"/>
      <c r="D9171" s="37"/>
      <c r="E9171" s="33"/>
    </row>
    <row r="9172" spans="1:5" x14ac:dyDescent="0.25">
      <c r="A9172" s="41"/>
      <c r="B9172" s="29"/>
      <c r="C9172" s="37"/>
      <c r="D9172" s="37"/>
      <c r="E9172" s="33"/>
    </row>
    <row r="9173" spans="1:5" x14ac:dyDescent="0.25">
      <c r="A9173" s="41"/>
      <c r="B9173" s="29"/>
      <c r="C9173" s="37"/>
      <c r="D9173" s="37"/>
      <c r="E9173" s="33"/>
    </row>
    <row r="9174" spans="1:5" x14ac:dyDescent="0.25">
      <c r="A9174" s="41"/>
      <c r="B9174" s="29"/>
      <c r="C9174" s="37"/>
      <c r="D9174" s="37"/>
      <c r="E9174" s="33"/>
    </row>
    <row r="9175" spans="1:5" x14ac:dyDescent="0.25">
      <c r="A9175" s="41"/>
      <c r="B9175" s="29"/>
      <c r="C9175" s="37"/>
      <c r="D9175" s="37"/>
      <c r="E9175" s="33"/>
    </row>
    <row r="9176" spans="1:5" x14ac:dyDescent="0.25">
      <c r="A9176" s="41"/>
      <c r="B9176" s="29"/>
      <c r="C9176" s="37"/>
      <c r="D9176" s="37"/>
      <c r="E9176" s="33"/>
    </row>
    <row r="9177" spans="1:5" x14ac:dyDescent="0.25">
      <c r="A9177" s="41"/>
      <c r="B9177" s="29"/>
      <c r="C9177" s="37"/>
      <c r="D9177" s="37"/>
      <c r="E9177" s="33"/>
    </row>
    <row r="9178" spans="1:5" x14ac:dyDescent="0.25">
      <c r="A9178" s="41"/>
      <c r="B9178" s="29"/>
      <c r="C9178" s="37"/>
      <c r="D9178" s="37"/>
      <c r="E9178" s="33"/>
    </row>
    <row r="9179" spans="1:5" x14ac:dyDescent="0.25">
      <c r="A9179" s="41"/>
      <c r="B9179" s="29"/>
      <c r="C9179" s="37"/>
      <c r="D9179" s="37"/>
      <c r="E9179" s="33"/>
    </row>
    <row r="9180" spans="1:5" x14ac:dyDescent="0.25">
      <c r="A9180" s="41"/>
      <c r="B9180" s="29"/>
      <c r="C9180" s="37"/>
      <c r="D9180" s="37"/>
      <c r="E9180" s="33"/>
    </row>
    <row r="9181" spans="1:5" x14ac:dyDescent="0.25">
      <c r="A9181" s="41"/>
      <c r="B9181" s="29"/>
      <c r="C9181" s="37"/>
      <c r="D9181" s="37"/>
      <c r="E9181" s="33"/>
    </row>
    <row r="9182" spans="1:5" x14ac:dyDescent="0.25">
      <c r="A9182" s="41"/>
      <c r="B9182" s="29"/>
      <c r="C9182" s="37"/>
      <c r="D9182" s="37"/>
      <c r="E9182" s="33"/>
    </row>
    <row r="9183" spans="1:5" x14ac:dyDescent="0.25">
      <c r="A9183" s="41"/>
      <c r="B9183" s="29"/>
      <c r="C9183" s="37"/>
      <c r="D9183" s="37"/>
      <c r="E9183" s="33"/>
    </row>
    <row r="9184" spans="1:5" x14ac:dyDescent="0.25">
      <c r="A9184" s="41"/>
      <c r="B9184" s="29"/>
      <c r="C9184" s="37"/>
      <c r="D9184" s="37"/>
      <c r="E9184" s="33"/>
    </row>
    <row r="9185" spans="1:5" x14ac:dyDescent="0.25">
      <c r="A9185" s="41"/>
      <c r="B9185" s="29"/>
      <c r="C9185" s="37"/>
      <c r="D9185" s="37"/>
      <c r="E9185" s="33"/>
    </row>
    <row r="9186" spans="1:5" x14ac:dyDescent="0.25">
      <c r="A9186" s="41"/>
      <c r="B9186" s="29"/>
      <c r="C9186" s="37"/>
      <c r="D9186" s="37"/>
      <c r="E9186" s="33"/>
    </row>
    <row r="9187" spans="1:5" x14ac:dyDescent="0.25">
      <c r="A9187" s="41"/>
      <c r="B9187" s="29"/>
      <c r="C9187" s="37"/>
      <c r="D9187" s="37"/>
      <c r="E9187" s="33"/>
    </row>
    <row r="9188" spans="1:5" x14ac:dyDescent="0.25">
      <c r="A9188" s="41"/>
      <c r="B9188" s="29"/>
      <c r="C9188" s="37"/>
      <c r="D9188" s="37"/>
      <c r="E9188" s="33"/>
    </row>
    <row r="9189" spans="1:5" x14ac:dyDescent="0.25">
      <c r="A9189" s="41"/>
      <c r="B9189" s="29"/>
      <c r="C9189" s="37"/>
      <c r="D9189" s="37"/>
      <c r="E9189" s="33"/>
    </row>
    <row r="9190" spans="1:5" x14ac:dyDescent="0.25">
      <c r="A9190" s="41"/>
      <c r="B9190" s="29"/>
      <c r="C9190" s="37"/>
      <c r="D9190" s="37"/>
      <c r="E9190" s="33"/>
    </row>
    <row r="9191" spans="1:5" x14ac:dyDescent="0.25">
      <c r="A9191" s="41"/>
      <c r="B9191" s="29"/>
      <c r="C9191" s="37"/>
      <c r="D9191" s="37"/>
      <c r="E9191" s="33"/>
    </row>
    <row r="9192" spans="1:5" x14ac:dyDescent="0.25">
      <c r="A9192" s="41"/>
      <c r="B9192" s="29"/>
      <c r="C9192" s="37"/>
      <c r="D9192" s="37"/>
      <c r="E9192" s="33"/>
    </row>
    <row r="9193" spans="1:5" x14ac:dyDescent="0.25">
      <c r="A9193" s="41"/>
      <c r="B9193" s="29"/>
      <c r="C9193" s="37"/>
      <c r="D9193" s="37"/>
      <c r="E9193" s="33"/>
    </row>
    <row r="9194" spans="1:5" x14ac:dyDescent="0.25">
      <c r="A9194" s="41"/>
      <c r="B9194" s="29"/>
      <c r="C9194" s="37"/>
      <c r="D9194" s="37"/>
      <c r="E9194" s="33"/>
    </row>
    <row r="9195" spans="1:5" x14ac:dyDescent="0.25">
      <c r="A9195" s="41"/>
      <c r="B9195" s="29"/>
      <c r="C9195" s="37"/>
      <c r="D9195" s="37"/>
      <c r="E9195" s="33"/>
    </row>
    <row r="9196" spans="1:5" x14ac:dyDescent="0.25">
      <c r="A9196" s="41"/>
      <c r="B9196" s="29"/>
      <c r="C9196" s="37"/>
      <c r="D9196" s="37"/>
      <c r="E9196" s="33"/>
    </row>
    <row r="9197" spans="1:5" x14ac:dyDescent="0.25">
      <c r="A9197" s="41"/>
      <c r="B9197" s="29"/>
      <c r="C9197" s="37"/>
      <c r="D9197" s="37"/>
      <c r="E9197" s="33"/>
    </row>
    <row r="9198" spans="1:5" x14ac:dyDescent="0.25">
      <c r="A9198" s="41"/>
      <c r="B9198" s="29"/>
      <c r="C9198" s="37"/>
      <c r="D9198" s="37"/>
      <c r="E9198" s="33"/>
    </row>
    <row r="9199" spans="1:5" x14ac:dyDescent="0.25">
      <c r="A9199" s="41"/>
      <c r="B9199" s="29"/>
      <c r="C9199" s="37"/>
      <c r="D9199" s="37"/>
      <c r="E9199" s="33"/>
    </row>
    <row r="9200" spans="1:5" x14ac:dyDescent="0.25">
      <c r="A9200" s="41"/>
      <c r="B9200" s="29"/>
      <c r="C9200" s="37"/>
      <c r="D9200" s="37"/>
      <c r="E9200" s="33"/>
    </row>
    <row r="9201" spans="1:5" x14ac:dyDescent="0.25">
      <c r="A9201" s="41"/>
      <c r="B9201" s="29"/>
      <c r="C9201" s="37"/>
      <c r="D9201" s="37"/>
      <c r="E9201" s="33"/>
    </row>
    <row r="9202" spans="1:5" x14ac:dyDescent="0.25">
      <c r="A9202" s="41"/>
      <c r="B9202" s="29"/>
      <c r="C9202" s="37"/>
      <c r="D9202" s="37"/>
      <c r="E9202" s="33"/>
    </row>
    <row r="9203" spans="1:5" x14ac:dyDescent="0.25">
      <c r="A9203" s="41"/>
      <c r="B9203" s="29"/>
      <c r="C9203" s="37"/>
      <c r="D9203" s="37"/>
      <c r="E9203" s="33"/>
    </row>
    <row r="9204" spans="1:5" x14ac:dyDescent="0.25">
      <c r="A9204" s="41"/>
      <c r="B9204" s="29"/>
      <c r="C9204" s="37"/>
      <c r="D9204" s="37"/>
      <c r="E9204" s="33"/>
    </row>
    <row r="9205" spans="1:5" x14ac:dyDescent="0.25">
      <c r="A9205" s="41"/>
      <c r="B9205" s="29"/>
      <c r="C9205" s="37"/>
      <c r="D9205" s="37"/>
      <c r="E9205" s="33"/>
    </row>
    <row r="9206" spans="1:5" x14ac:dyDescent="0.25">
      <c r="A9206" s="41"/>
      <c r="B9206" s="29"/>
      <c r="C9206" s="37"/>
      <c r="D9206" s="37"/>
      <c r="E9206" s="33"/>
    </row>
    <row r="9207" spans="1:5" x14ac:dyDescent="0.25">
      <c r="A9207" s="41"/>
      <c r="B9207" s="29"/>
      <c r="C9207" s="37"/>
      <c r="D9207" s="37"/>
      <c r="E9207" s="33"/>
    </row>
    <row r="9208" spans="1:5" x14ac:dyDescent="0.25">
      <c r="A9208" s="41"/>
      <c r="B9208" s="29"/>
      <c r="C9208" s="37"/>
      <c r="D9208" s="37"/>
      <c r="E9208" s="33"/>
    </row>
    <row r="9209" spans="1:5" x14ac:dyDescent="0.25">
      <c r="A9209" s="41"/>
      <c r="B9209" s="29"/>
      <c r="C9209" s="37"/>
      <c r="D9209" s="37"/>
      <c r="E9209" s="33"/>
    </row>
    <row r="9210" spans="1:5" x14ac:dyDescent="0.25">
      <c r="A9210" s="41"/>
      <c r="B9210" s="29"/>
      <c r="C9210" s="37"/>
      <c r="D9210" s="37"/>
      <c r="E9210" s="33"/>
    </row>
    <row r="9211" spans="1:5" x14ac:dyDescent="0.25">
      <c r="A9211" s="41"/>
      <c r="B9211" s="29"/>
      <c r="C9211" s="37"/>
      <c r="D9211" s="37"/>
      <c r="E9211" s="33"/>
    </row>
    <row r="9212" spans="1:5" x14ac:dyDescent="0.25">
      <c r="A9212" s="41"/>
      <c r="B9212" s="29"/>
      <c r="C9212" s="37"/>
      <c r="D9212" s="37"/>
      <c r="E9212" s="33"/>
    </row>
    <row r="9213" spans="1:5" x14ac:dyDescent="0.25">
      <c r="A9213" s="41"/>
      <c r="B9213" s="29"/>
      <c r="C9213" s="37"/>
      <c r="D9213" s="37"/>
      <c r="E9213" s="33"/>
    </row>
    <row r="9214" spans="1:5" x14ac:dyDescent="0.25">
      <c r="A9214" s="41"/>
      <c r="B9214" s="29"/>
      <c r="C9214" s="37"/>
      <c r="D9214" s="37"/>
      <c r="E9214" s="33"/>
    </row>
    <row r="9215" spans="1:5" x14ac:dyDescent="0.25">
      <c r="A9215" s="41"/>
      <c r="B9215" s="29"/>
      <c r="C9215" s="37"/>
      <c r="D9215" s="37"/>
      <c r="E9215" s="33"/>
    </row>
    <row r="9216" spans="1:5" x14ac:dyDescent="0.25">
      <c r="A9216" s="41"/>
      <c r="B9216" s="29"/>
      <c r="C9216" s="37"/>
      <c r="D9216" s="37"/>
      <c r="E9216" s="33"/>
    </row>
    <row r="9217" spans="1:5" x14ac:dyDescent="0.25">
      <c r="A9217" s="41"/>
      <c r="B9217" s="29"/>
      <c r="C9217" s="37"/>
      <c r="D9217" s="37"/>
      <c r="E9217" s="33"/>
    </row>
    <row r="9218" spans="1:5" x14ac:dyDescent="0.25">
      <c r="A9218" s="41"/>
      <c r="B9218" s="29"/>
      <c r="C9218" s="37"/>
      <c r="D9218" s="37"/>
      <c r="E9218" s="33"/>
    </row>
    <row r="9219" spans="1:5" x14ac:dyDescent="0.25">
      <c r="A9219" s="41"/>
      <c r="B9219" s="29"/>
      <c r="C9219" s="37"/>
      <c r="D9219" s="37"/>
      <c r="E9219" s="33"/>
    </row>
    <row r="9220" spans="1:5" x14ac:dyDescent="0.25">
      <c r="A9220" s="41"/>
      <c r="B9220" s="29"/>
      <c r="C9220" s="37"/>
      <c r="D9220" s="37"/>
      <c r="E9220" s="33"/>
    </row>
    <row r="9221" spans="1:5" x14ac:dyDescent="0.25">
      <c r="A9221" s="41"/>
      <c r="B9221" s="29"/>
      <c r="C9221" s="37"/>
      <c r="D9221" s="37"/>
      <c r="E9221" s="33"/>
    </row>
    <row r="9222" spans="1:5" x14ac:dyDescent="0.25">
      <c r="A9222" s="41"/>
      <c r="B9222" s="29"/>
      <c r="C9222" s="37"/>
      <c r="D9222" s="37"/>
      <c r="E9222" s="33"/>
    </row>
    <row r="9223" spans="1:5" x14ac:dyDescent="0.25">
      <c r="A9223" s="41"/>
      <c r="B9223" s="29"/>
      <c r="C9223" s="37"/>
      <c r="D9223" s="37"/>
      <c r="E9223" s="33"/>
    </row>
    <row r="9224" spans="1:5" x14ac:dyDescent="0.25">
      <c r="A9224" s="41"/>
      <c r="B9224" s="29"/>
      <c r="C9224" s="37"/>
      <c r="D9224" s="37"/>
      <c r="E9224" s="33"/>
    </row>
    <row r="9225" spans="1:5" x14ac:dyDescent="0.25">
      <c r="A9225" s="41"/>
      <c r="B9225" s="29"/>
      <c r="C9225" s="37"/>
      <c r="D9225" s="37"/>
      <c r="E9225" s="33"/>
    </row>
    <row r="9226" spans="1:5" x14ac:dyDescent="0.25">
      <c r="A9226" s="41"/>
      <c r="B9226" s="29"/>
      <c r="C9226" s="37"/>
      <c r="D9226" s="37"/>
      <c r="E9226" s="33"/>
    </row>
    <row r="9227" spans="1:5" x14ac:dyDescent="0.25">
      <c r="A9227" s="41"/>
      <c r="B9227" s="29"/>
      <c r="C9227" s="37"/>
      <c r="D9227" s="37"/>
      <c r="E9227" s="33"/>
    </row>
    <row r="9228" spans="1:5" x14ac:dyDescent="0.25">
      <c r="A9228" s="41"/>
      <c r="B9228" s="29"/>
      <c r="C9228" s="37"/>
      <c r="D9228" s="37"/>
      <c r="E9228" s="33"/>
    </row>
    <row r="9229" spans="1:5" x14ac:dyDescent="0.25">
      <c r="A9229" s="41"/>
      <c r="B9229" s="29"/>
      <c r="C9229" s="37"/>
      <c r="D9229" s="37"/>
      <c r="E9229" s="33"/>
    </row>
    <row r="9230" spans="1:5" x14ac:dyDescent="0.25">
      <c r="A9230" s="41"/>
      <c r="B9230" s="29"/>
      <c r="C9230" s="37"/>
      <c r="D9230" s="37"/>
      <c r="E9230" s="33"/>
    </row>
    <row r="9231" spans="1:5" x14ac:dyDescent="0.25">
      <c r="A9231" s="41"/>
      <c r="B9231" s="29"/>
      <c r="C9231" s="37"/>
      <c r="D9231" s="37"/>
      <c r="E9231" s="33"/>
    </row>
    <row r="9232" spans="1:5" x14ac:dyDescent="0.25">
      <c r="A9232" s="41"/>
      <c r="B9232" s="29"/>
      <c r="C9232" s="37"/>
      <c r="D9232" s="37"/>
      <c r="E9232" s="33"/>
    </row>
    <row r="9233" spans="1:5" x14ac:dyDescent="0.25">
      <c r="A9233" s="41"/>
      <c r="B9233" s="29"/>
      <c r="C9233" s="37"/>
      <c r="D9233" s="37"/>
      <c r="E9233" s="33"/>
    </row>
    <row r="9234" spans="1:5" x14ac:dyDescent="0.25">
      <c r="A9234" s="41"/>
      <c r="B9234" s="29"/>
      <c r="C9234" s="37"/>
      <c r="D9234" s="37"/>
      <c r="E9234" s="33"/>
    </row>
    <row r="9235" spans="1:5" x14ac:dyDescent="0.25">
      <c r="A9235" s="41"/>
      <c r="B9235" s="29"/>
      <c r="C9235" s="37"/>
      <c r="D9235" s="37"/>
      <c r="E9235" s="33"/>
    </row>
    <row r="9236" spans="1:5" x14ac:dyDescent="0.25">
      <c r="A9236" s="41"/>
      <c r="B9236" s="29"/>
      <c r="C9236" s="37"/>
      <c r="D9236" s="37"/>
      <c r="E9236" s="33"/>
    </row>
    <row r="9237" spans="1:5" x14ac:dyDescent="0.25">
      <c r="A9237" s="41"/>
      <c r="B9237" s="29"/>
      <c r="C9237" s="37"/>
      <c r="D9237" s="37"/>
      <c r="E9237" s="33"/>
    </row>
    <row r="9238" spans="1:5" x14ac:dyDescent="0.25">
      <c r="A9238" s="41"/>
      <c r="B9238" s="29"/>
      <c r="C9238" s="37"/>
      <c r="D9238" s="37"/>
      <c r="E9238" s="33"/>
    </row>
    <row r="9239" spans="1:5" x14ac:dyDescent="0.25">
      <c r="A9239" s="41"/>
      <c r="B9239" s="29"/>
      <c r="C9239" s="37"/>
      <c r="D9239" s="37"/>
      <c r="E9239" s="33"/>
    </row>
    <row r="9240" spans="1:5" x14ac:dyDescent="0.25">
      <c r="A9240" s="41"/>
      <c r="B9240" s="29"/>
      <c r="C9240" s="37"/>
      <c r="D9240" s="37"/>
      <c r="E9240" s="33"/>
    </row>
    <row r="9241" spans="1:5" x14ac:dyDescent="0.25">
      <c r="A9241" s="41"/>
      <c r="B9241" s="29"/>
      <c r="C9241" s="37"/>
      <c r="D9241" s="37"/>
      <c r="E9241" s="33"/>
    </row>
    <row r="9242" spans="1:5" x14ac:dyDescent="0.25">
      <c r="A9242" s="41"/>
      <c r="B9242" s="29"/>
      <c r="C9242" s="37"/>
      <c r="D9242" s="37"/>
      <c r="E9242" s="33"/>
    </row>
    <row r="9243" spans="1:5" x14ac:dyDescent="0.25">
      <c r="A9243" s="41"/>
      <c r="B9243" s="29"/>
      <c r="C9243" s="37"/>
      <c r="D9243" s="37"/>
      <c r="E9243" s="33"/>
    </row>
    <row r="9244" spans="1:5" x14ac:dyDescent="0.25">
      <c r="A9244" s="41"/>
      <c r="B9244" s="29"/>
      <c r="C9244" s="37"/>
      <c r="D9244" s="37"/>
      <c r="E9244" s="33"/>
    </row>
    <row r="9245" spans="1:5" x14ac:dyDescent="0.25">
      <c r="A9245" s="41"/>
      <c r="B9245" s="29"/>
      <c r="C9245" s="37"/>
      <c r="D9245" s="37"/>
      <c r="E9245" s="33"/>
    </row>
    <row r="9246" spans="1:5" x14ac:dyDescent="0.25">
      <c r="A9246" s="41"/>
      <c r="B9246" s="29"/>
      <c r="C9246" s="37"/>
      <c r="D9246" s="37"/>
      <c r="E9246" s="33"/>
    </row>
    <row r="9247" spans="1:5" x14ac:dyDescent="0.25">
      <c r="A9247" s="41"/>
      <c r="B9247" s="29"/>
      <c r="C9247" s="37"/>
      <c r="D9247" s="37"/>
      <c r="E9247" s="33"/>
    </row>
    <row r="9248" spans="1:5" x14ac:dyDescent="0.25">
      <c r="A9248" s="41"/>
      <c r="B9248" s="29"/>
      <c r="C9248" s="37"/>
      <c r="D9248" s="37"/>
      <c r="E9248" s="33"/>
    </row>
    <row r="9249" spans="1:5" x14ac:dyDescent="0.25">
      <c r="A9249" s="41"/>
      <c r="B9249" s="29"/>
      <c r="C9249" s="37"/>
      <c r="D9249" s="37"/>
      <c r="E9249" s="33"/>
    </row>
    <row r="9250" spans="1:5" x14ac:dyDescent="0.25">
      <c r="A9250" s="41"/>
      <c r="B9250" s="29"/>
      <c r="C9250" s="37"/>
      <c r="D9250" s="37"/>
      <c r="E9250" s="33"/>
    </row>
    <row r="9251" spans="1:5" x14ac:dyDescent="0.25">
      <c r="A9251" s="41"/>
      <c r="B9251" s="29"/>
      <c r="C9251" s="37"/>
      <c r="D9251" s="37"/>
      <c r="E9251" s="33"/>
    </row>
    <row r="9252" spans="1:5" x14ac:dyDescent="0.25">
      <c r="A9252" s="41"/>
      <c r="B9252" s="29"/>
      <c r="C9252" s="37"/>
      <c r="D9252" s="37"/>
      <c r="E9252" s="33"/>
    </row>
    <row r="9253" spans="1:5" x14ac:dyDescent="0.25">
      <c r="A9253" s="41"/>
      <c r="B9253" s="29"/>
      <c r="C9253" s="37"/>
      <c r="D9253" s="37"/>
      <c r="E9253" s="33"/>
    </row>
    <row r="9254" spans="1:5" x14ac:dyDescent="0.25">
      <c r="A9254" s="41"/>
      <c r="B9254" s="29"/>
      <c r="C9254" s="37"/>
      <c r="D9254" s="37"/>
      <c r="E9254" s="33"/>
    </row>
    <row r="9255" spans="1:5" x14ac:dyDescent="0.25">
      <c r="A9255" s="41"/>
      <c r="B9255" s="29"/>
      <c r="C9255" s="37"/>
      <c r="D9255" s="37"/>
      <c r="E9255" s="33"/>
    </row>
    <row r="9256" spans="1:5" x14ac:dyDescent="0.25">
      <c r="A9256" s="41"/>
      <c r="B9256" s="29"/>
      <c r="C9256" s="37"/>
      <c r="D9256" s="37"/>
      <c r="E9256" s="33"/>
    </row>
    <row r="9257" spans="1:5" x14ac:dyDescent="0.25">
      <c r="A9257" s="41"/>
      <c r="B9257" s="29"/>
      <c r="C9257" s="37"/>
      <c r="D9257" s="37"/>
      <c r="E9257" s="33"/>
    </row>
    <row r="9258" spans="1:5" x14ac:dyDescent="0.25">
      <c r="A9258" s="41"/>
      <c r="B9258" s="29"/>
      <c r="C9258" s="37"/>
      <c r="D9258" s="37"/>
      <c r="E9258" s="33"/>
    </row>
    <row r="9259" spans="1:5" x14ac:dyDescent="0.25">
      <c r="A9259" s="41"/>
      <c r="B9259" s="29"/>
      <c r="C9259" s="37"/>
      <c r="D9259" s="37"/>
      <c r="E9259" s="33"/>
    </row>
    <row r="9260" spans="1:5" x14ac:dyDescent="0.25">
      <c r="A9260" s="41"/>
      <c r="B9260" s="29"/>
      <c r="C9260" s="37"/>
      <c r="D9260" s="37"/>
      <c r="E9260" s="33"/>
    </row>
    <row r="9261" spans="1:5" x14ac:dyDescent="0.25">
      <c r="A9261" s="41"/>
      <c r="B9261" s="29"/>
      <c r="C9261" s="37"/>
      <c r="D9261" s="37"/>
      <c r="E9261" s="33"/>
    </row>
    <row r="9262" spans="1:5" x14ac:dyDescent="0.25">
      <c r="A9262" s="41"/>
      <c r="B9262" s="29"/>
      <c r="C9262" s="37"/>
      <c r="D9262" s="37"/>
      <c r="E9262" s="33"/>
    </row>
    <row r="9263" spans="1:5" x14ac:dyDescent="0.25">
      <c r="A9263" s="41"/>
      <c r="B9263" s="29"/>
      <c r="C9263" s="37"/>
      <c r="D9263" s="37"/>
      <c r="E9263" s="33"/>
    </row>
    <row r="9264" spans="1:5" x14ac:dyDescent="0.25">
      <c r="A9264" s="41"/>
      <c r="B9264" s="29"/>
      <c r="C9264" s="37"/>
      <c r="D9264" s="37"/>
      <c r="E9264" s="33"/>
    </row>
    <row r="9265" spans="1:5" x14ac:dyDescent="0.25">
      <c r="A9265" s="41"/>
      <c r="B9265" s="29"/>
      <c r="C9265" s="37"/>
      <c r="D9265" s="37"/>
      <c r="E9265" s="33"/>
    </row>
    <row r="9266" spans="1:5" x14ac:dyDescent="0.25">
      <c r="A9266" s="41"/>
      <c r="B9266" s="29"/>
      <c r="C9266" s="37"/>
      <c r="D9266" s="37"/>
      <c r="E9266" s="33"/>
    </row>
    <row r="9267" spans="1:5" x14ac:dyDescent="0.25">
      <c r="A9267" s="41"/>
      <c r="B9267" s="29"/>
      <c r="C9267" s="37"/>
      <c r="D9267" s="37"/>
      <c r="E9267" s="33"/>
    </row>
    <row r="9268" spans="1:5" x14ac:dyDescent="0.25">
      <c r="A9268" s="41"/>
      <c r="B9268" s="29"/>
      <c r="C9268" s="37"/>
      <c r="D9268" s="37"/>
      <c r="E9268" s="33"/>
    </row>
    <row r="9269" spans="1:5" x14ac:dyDescent="0.25">
      <c r="A9269" s="41"/>
      <c r="B9269" s="29"/>
      <c r="C9269" s="37"/>
      <c r="D9269" s="37"/>
      <c r="E9269" s="33"/>
    </row>
    <row r="9270" spans="1:5" x14ac:dyDescent="0.25">
      <c r="A9270" s="41"/>
      <c r="B9270" s="29"/>
      <c r="C9270" s="37"/>
      <c r="D9270" s="37"/>
      <c r="E9270" s="33"/>
    </row>
    <row r="9271" spans="1:5" x14ac:dyDescent="0.25">
      <c r="A9271" s="41"/>
      <c r="B9271" s="29"/>
      <c r="C9271" s="37"/>
      <c r="D9271" s="37"/>
      <c r="E9271" s="33"/>
    </row>
    <row r="9272" spans="1:5" x14ac:dyDescent="0.25">
      <c r="A9272" s="41"/>
      <c r="B9272" s="29"/>
      <c r="C9272" s="37"/>
      <c r="D9272" s="37"/>
      <c r="E9272" s="33"/>
    </row>
    <row r="9273" spans="1:5" x14ac:dyDescent="0.25">
      <c r="A9273" s="41"/>
      <c r="B9273" s="29"/>
      <c r="C9273" s="37"/>
      <c r="D9273" s="37"/>
      <c r="E9273" s="33"/>
    </row>
    <row r="9274" spans="1:5" x14ac:dyDescent="0.25">
      <c r="A9274" s="41"/>
      <c r="B9274" s="29"/>
      <c r="C9274" s="37"/>
      <c r="D9274" s="37"/>
      <c r="E9274" s="33"/>
    </row>
    <row r="9275" spans="1:5" x14ac:dyDescent="0.25">
      <c r="A9275" s="41"/>
      <c r="B9275" s="29"/>
      <c r="C9275" s="37"/>
      <c r="D9275" s="37"/>
      <c r="E9275" s="33"/>
    </row>
    <row r="9276" spans="1:5" x14ac:dyDescent="0.25">
      <c r="A9276" s="41"/>
      <c r="B9276" s="29"/>
      <c r="C9276" s="37"/>
      <c r="D9276" s="37"/>
      <c r="E9276" s="33"/>
    </row>
    <row r="9277" spans="1:5" x14ac:dyDescent="0.25">
      <c r="A9277" s="41"/>
      <c r="B9277" s="29"/>
      <c r="C9277" s="37"/>
      <c r="D9277" s="37"/>
      <c r="E9277" s="33"/>
    </row>
    <row r="9278" spans="1:5" x14ac:dyDescent="0.25">
      <c r="A9278" s="41"/>
      <c r="B9278" s="29"/>
      <c r="C9278" s="37"/>
      <c r="D9278" s="37"/>
      <c r="E9278" s="33"/>
    </row>
    <row r="9279" spans="1:5" x14ac:dyDescent="0.25">
      <c r="A9279" s="41"/>
      <c r="B9279" s="29"/>
      <c r="C9279" s="37"/>
      <c r="D9279" s="37"/>
      <c r="E9279" s="33"/>
    </row>
    <row r="9280" spans="1:5" x14ac:dyDescent="0.25">
      <c r="A9280" s="41"/>
      <c r="B9280" s="29"/>
      <c r="C9280" s="37"/>
      <c r="D9280" s="37"/>
      <c r="E9280" s="33"/>
    </row>
    <row r="9281" spans="1:5" x14ac:dyDescent="0.25">
      <c r="A9281" s="41"/>
      <c r="B9281" s="29"/>
      <c r="C9281" s="37"/>
      <c r="D9281" s="37"/>
      <c r="E9281" s="33"/>
    </row>
    <row r="9282" spans="1:5" x14ac:dyDescent="0.25">
      <c r="A9282" s="41"/>
      <c r="B9282" s="29"/>
      <c r="C9282" s="37"/>
      <c r="D9282" s="37"/>
      <c r="E9282" s="33"/>
    </row>
    <row r="9283" spans="1:5" x14ac:dyDescent="0.25">
      <c r="A9283" s="41"/>
      <c r="B9283" s="29"/>
      <c r="C9283" s="37"/>
      <c r="D9283" s="37"/>
      <c r="E9283" s="33"/>
    </row>
    <row r="9284" spans="1:5" x14ac:dyDescent="0.25">
      <c r="A9284" s="41"/>
      <c r="B9284" s="29"/>
      <c r="C9284" s="37"/>
      <c r="D9284" s="37"/>
      <c r="E9284" s="33"/>
    </row>
    <row r="9285" spans="1:5" x14ac:dyDescent="0.25">
      <c r="A9285" s="41"/>
      <c r="B9285" s="29"/>
      <c r="C9285" s="37"/>
      <c r="D9285" s="37"/>
      <c r="E9285" s="33"/>
    </row>
    <row r="9286" spans="1:5" x14ac:dyDescent="0.25">
      <c r="A9286" s="41"/>
      <c r="B9286" s="29"/>
      <c r="C9286" s="37"/>
      <c r="D9286" s="37"/>
      <c r="E9286" s="33"/>
    </row>
    <row r="9287" spans="1:5" x14ac:dyDescent="0.25">
      <c r="A9287" s="41"/>
      <c r="B9287" s="29"/>
      <c r="C9287" s="37"/>
      <c r="D9287" s="37"/>
      <c r="E9287" s="33"/>
    </row>
    <row r="9288" spans="1:5" x14ac:dyDescent="0.25">
      <c r="A9288" s="41"/>
      <c r="B9288" s="29"/>
      <c r="C9288" s="37"/>
      <c r="D9288" s="37"/>
      <c r="E9288" s="33"/>
    </row>
    <row r="9289" spans="1:5" x14ac:dyDescent="0.25">
      <c r="A9289" s="41"/>
      <c r="B9289" s="29"/>
      <c r="C9289" s="37"/>
      <c r="D9289" s="37"/>
      <c r="E9289" s="33"/>
    </row>
    <row r="9290" spans="1:5" x14ac:dyDescent="0.25">
      <c r="A9290" s="41"/>
      <c r="B9290" s="29"/>
      <c r="C9290" s="37"/>
      <c r="D9290" s="37"/>
      <c r="E9290" s="33"/>
    </row>
    <row r="9291" spans="1:5" x14ac:dyDescent="0.25">
      <c r="A9291" s="41"/>
      <c r="B9291" s="29"/>
      <c r="C9291" s="37"/>
      <c r="D9291" s="37"/>
      <c r="E9291" s="33"/>
    </row>
    <row r="9292" spans="1:5" x14ac:dyDescent="0.25">
      <c r="A9292" s="41"/>
      <c r="B9292" s="29"/>
      <c r="C9292" s="37"/>
      <c r="D9292" s="37"/>
      <c r="E9292" s="33"/>
    </row>
    <row r="9293" spans="1:5" x14ac:dyDescent="0.25">
      <c r="A9293" s="41"/>
      <c r="B9293" s="29"/>
      <c r="C9293" s="37"/>
      <c r="D9293" s="37"/>
      <c r="E9293" s="33"/>
    </row>
    <row r="9294" spans="1:5" x14ac:dyDescent="0.25">
      <c r="A9294" s="41"/>
      <c r="B9294" s="29"/>
      <c r="C9294" s="37"/>
      <c r="D9294" s="37"/>
      <c r="E9294" s="33"/>
    </row>
    <row r="9295" spans="1:5" x14ac:dyDescent="0.25">
      <c r="A9295" s="41"/>
      <c r="B9295" s="29"/>
      <c r="C9295" s="37"/>
      <c r="D9295" s="37"/>
      <c r="E9295" s="33"/>
    </row>
    <row r="9296" spans="1:5" x14ac:dyDescent="0.25">
      <c r="A9296" s="41"/>
      <c r="B9296" s="29"/>
      <c r="C9296" s="37"/>
      <c r="D9296" s="37"/>
      <c r="E9296" s="33"/>
    </row>
    <row r="9297" spans="1:5" x14ac:dyDescent="0.25">
      <c r="A9297" s="41"/>
      <c r="B9297" s="29"/>
      <c r="C9297" s="37"/>
      <c r="D9297" s="37"/>
      <c r="E9297" s="33"/>
    </row>
    <row r="9298" spans="1:5" x14ac:dyDescent="0.25">
      <c r="A9298" s="41"/>
      <c r="B9298" s="29"/>
      <c r="C9298" s="37"/>
      <c r="D9298" s="37"/>
      <c r="E9298" s="33"/>
    </row>
    <row r="9299" spans="1:5" x14ac:dyDescent="0.25">
      <c r="A9299" s="41"/>
      <c r="B9299" s="29"/>
      <c r="C9299" s="37"/>
      <c r="D9299" s="37"/>
      <c r="E9299" s="33"/>
    </row>
    <row r="9300" spans="1:5" x14ac:dyDescent="0.25">
      <c r="A9300" s="41"/>
      <c r="B9300" s="29"/>
      <c r="C9300" s="37"/>
      <c r="D9300" s="37"/>
      <c r="E9300" s="33"/>
    </row>
    <row r="9301" spans="1:5" x14ac:dyDescent="0.25">
      <c r="A9301" s="41"/>
      <c r="B9301" s="29"/>
      <c r="C9301" s="37"/>
      <c r="D9301" s="37"/>
      <c r="E9301" s="33"/>
    </row>
    <row r="9302" spans="1:5" x14ac:dyDescent="0.25">
      <c r="A9302" s="41"/>
      <c r="B9302" s="29"/>
      <c r="C9302" s="37"/>
      <c r="D9302" s="37"/>
      <c r="E9302" s="33"/>
    </row>
    <row r="9303" spans="1:5" x14ac:dyDescent="0.25">
      <c r="A9303" s="41"/>
      <c r="B9303" s="29"/>
      <c r="C9303" s="37"/>
      <c r="D9303" s="37"/>
      <c r="E9303" s="33"/>
    </row>
    <row r="9304" spans="1:5" x14ac:dyDescent="0.25">
      <c r="A9304" s="41"/>
      <c r="B9304" s="29"/>
      <c r="C9304" s="37"/>
      <c r="D9304" s="37"/>
      <c r="E9304" s="33"/>
    </row>
    <row r="9305" spans="1:5" x14ac:dyDescent="0.25">
      <c r="A9305" s="41"/>
      <c r="B9305" s="29"/>
      <c r="C9305" s="37"/>
      <c r="D9305" s="37"/>
      <c r="E9305" s="33"/>
    </row>
    <row r="9306" spans="1:5" x14ac:dyDescent="0.25">
      <c r="A9306" s="41"/>
      <c r="B9306" s="29"/>
      <c r="C9306" s="37"/>
      <c r="D9306" s="37"/>
      <c r="E9306" s="33"/>
    </row>
    <row r="9307" spans="1:5" x14ac:dyDescent="0.25">
      <c r="A9307" s="41"/>
      <c r="B9307" s="29"/>
      <c r="C9307" s="37"/>
      <c r="D9307" s="37"/>
      <c r="E9307" s="33"/>
    </row>
    <row r="9308" spans="1:5" x14ac:dyDescent="0.25">
      <c r="A9308" s="41"/>
      <c r="B9308" s="29"/>
      <c r="C9308" s="37"/>
      <c r="D9308" s="37"/>
      <c r="E9308" s="33"/>
    </row>
    <row r="9309" spans="1:5" x14ac:dyDescent="0.25">
      <c r="A9309" s="41"/>
      <c r="B9309" s="29"/>
      <c r="C9309" s="37"/>
      <c r="D9309" s="37"/>
      <c r="E9309" s="33"/>
    </row>
    <row r="9310" spans="1:5" x14ac:dyDescent="0.25">
      <c r="A9310" s="41"/>
      <c r="B9310" s="29"/>
      <c r="C9310" s="37"/>
      <c r="D9310" s="37"/>
      <c r="E9310" s="33"/>
    </row>
    <row r="9311" spans="1:5" x14ac:dyDescent="0.25">
      <c r="A9311" s="41"/>
      <c r="B9311" s="29"/>
      <c r="C9311" s="37"/>
      <c r="D9311" s="37"/>
      <c r="E9311" s="33"/>
    </row>
    <row r="9312" spans="1:5" x14ac:dyDescent="0.25">
      <c r="A9312" s="41"/>
      <c r="B9312" s="29"/>
      <c r="C9312" s="37"/>
      <c r="D9312" s="37"/>
      <c r="E9312" s="33"/>
    </row>
    <row r="9313" spans="1:5" x14ac:dyDescent="0.25">
      <c r="A9313" s="41"/>
      <c r="B9313" s="29"/>
      <c r="C9313" s="37"/>
      <c r="D9313" s="37"/>
      <c r="E9313" s="33"/>
    </row>
    <row r="9314" spans="1:5" x14ac:dyDescent="0.25">
      <c r="A9314" s="41"/>
      <c r="B9314" s="29"/>
      <c r="C9314" s="37"/>
      <c r="D9314" s="37"/>
      <c r="E9314" s="33"/>
    </row>
    <row r="9315" spans="1:5" x14ac:dyDescent="0.25">
      <c r="A9315" s="41"/>
      <c r="B9315" s="29"/>
      <c r="C9315" s="37"/>
      <c r="D9315" s="37"/>
      <c r="E9315" s="33"/>
    </row>
    <row r="9316" spans="1:5" x14ac:dyDescent="0.25">
      <c r="A9316" s="41"/>
      <c r="B9316" s="29"/>
      <c r="C9316" s="37"/>
      <c r="D9316" s="37"/>
      <c r="E9316" s="33"/>
    </row>
    <row r="9317" spans="1:5" x14ac:dyDescent="0.25">
      <c r="A9317" s="41"/>
      <c r="B9317" s="29"/>
      <c r="C9317" s="37"/>
      <c r="D9317" s="37"/>
      <c r="E9317" s="33"/>
    </row>
    <row r="9318" spans="1:5" x14ac:dyDescent="0.25">
      <c r="A9318" s="41"/>
      <c r="B9318" s="29"/>
      <c r="C9318" s="37"/>
      <c r="D9318" s="37"/>
      <c r="E9318" s="33"/>
    </row>
    <row r="9319" spans="1:5" x14ac:dyDescent="0.25">
      <c r="A9319" s="41"/>
      <c r="B9319" s="29"/>
      <c r="C9319" s="37"/>
      <c r="D9319" s="37"/>
      <c r="E9319" s="33"/>
    </row>
    <row r="9320" spans="1:5" x14ac:dyDescent="0.25">
      <c r="A9320" s="41"/>
      <c r="B9320" s="29"/>
      <c r="C9320" s="37"/>
      <c r="D9320" s="37"/>
      <c r="E9320" s="33"/>
    </row>
    <row r="9321" spans="1:5" x14ac:dyDescent="0.25">
      <c r="A9321" s="41"/>
      <c r="B9321" s="29"/>
      <c r="C9321" s="37"/>
      <c r="D9321" s="37"/>
      <c r="E9321" s="33"/>
    </row>
    <row r="9322" spans="1:5" x14ac:dyDescent="0.25">
      <c r="A9322" s="41"/>
      <c r="B9322" s="29"/>
      <c r="C9322" s="37"/>
      <c r="D9322" s="37"/>
      <c r="E9322" s="33"/>
    </row>
    <row r="9323" spans="1:5" x14ac:dyDescent="0.25">
      <c r="A9323" s="41"/>
      <c r="B9323" s="29"/>
      <c r="C9323" s="37"/>
      <c r="D9323" s="37"/>
      <c r="E9323" s="33"/>
    </row>
    <row r="9324" spans="1:5" x14ac:dyDescent="0.25">
      <c r="A9324" s="41"/>
      <c r="B9324" s="29"/>
      <c r="C9324" s="37"/>
      <c r="D9324" s="37"/>
      <c r="E9324" s="33"/>
    </row>
    <row r="9325" spans="1:5" x14ac:dyDescent="0.25">
      <c r="A9325" s="41"/>
      <c r="B9325" s="29"/>
      <c r="C9325" s="37"/>
      <c r="D9325" s="37"/>
      <c r="E9325" s="33"/>
    </row>
    <row r="9326" spans="1:5" x14ac:dyDescent="0.25">
      <c r="A9326" s="41"/>
      <c r="B9326" s="29"/>
      <c r="C9326" s="37"/>
      <c r="D9326" s="37"/>
      <c r="E9326" s="33"/>
    </row>
    <row r="9327" spans="1:5" x14ac:dyDescent="0.25">
      <c r="A9327" s="41"/>
      <c r="B9327" s="29"/>
      <c r="C9327" s="37"/>
      <c r="D9327" s="37"/>
      <c r="E9327" s="33"/>
    </row>
    <row r="9328" spans="1:5" x14ac:dyDescent="0.25">
      <c r="A9328" s="41"/>
      <c r="B9328" s="29"/>
      <c r="C9328" s="37"/>
      <c r="D9328" s="37"/>
      <c r="E9328" s="33"/>
    </row>
    <row r="9329" spans="1:5" x14ac:dyDescent="0.25">
      <c r="A9329" s="41"/>
      <c r="B9329" s="29"/>
      <c r="C9329" s="37"/>
      <c r="D9329" s="37"/>
      <c r="E9329" s="33"/>
    </row>
    <row r="9330" spans="1:5" x14ac:dyDescent="0.25">
      <c r="A9330" s="41"/>
      <c r="B9330" s="29"/>
      <c r="C9330" s="37"/>
      <c r="D9330" s="37"/>
      <c r="E9330" s="33"/>
    </row>
    <row r="9331" spans="1:5" x14ac:dyDescent="0.25">
      <c r="A9331" s="41"/>
      <c r="B9331" s="29"/>
      <c r="C9331" s="37"/>
      <c r="D9331" s="37"/>
      <c r="E9331" s="33"/>
    </row>
    <row r="9332" spans="1:5" x14ac:dyDescent="0.25">
      <c r="A9332" s="41"/>
      <c r="B9332" s="29"/>
      <c r="C9332" s="37"/>
      <c r="D9332" s="37"/>
      <c r="E9332" s="33"/>
    </row>
    <row r="9333" spans="1:5" x14ac:dyDescent="0.25">
      <c r="A9333" s="41"/>
      <c r="B9333" s="29"/>
      <c r="C9333" s="37"/>
      <c r="D9333" s="37"/>
      <c r="E9333" s="33"/>
    </row>
    <row r="9334" spans="1:5" x14ac:dyDescent="0.25">
      <c r="A9334" s="41"/>
      <c r="B9334" s="29"/>
      <c r="C9334" s="37"/>
      <c r="D9334" s="37"/>
      <c r="E9334" s="33"/>
    </row>
    <row r="9335" spans="1:5" x14ac:dyDescent="0.25">
      <c r="A9335" s="41"/>
      <c r="B9335" s="29"/>
      <c r="C9335" s="37"/>
      <c r="D9335" s="37"/>
      <c r="E9335" s="33"/>
    </row>
    <row r="9336" spans="1:5" x14ac:dyDescent="0.25">
      <c r="A9336" s="41"/>
      <c r="B9336" s="29"/>
      <c r="C9336" s="37"/>
      <c r="D9336" s="37"/>
      <c r="E9336" s="33"/>
    </row>
    <row r="9337" spans="1:5" x14ac:dyDescent="0.25">
      <c r="A9337" s="41"/>
      <c r="B9337" s="29"/>
      <c r="C9337" s="37"/>
      <c r="D9337" s="37"/>
      <c r="E9337" s="33"/>
    </row>
    <row r="9338" spans="1:5" x14ac:dyDescent="0.25">
      <c r="A9338" s="41"/>
      <c r="B9338" s="29"/>
      <c r="C9338" s="37"/>
      <c r="D9338" s="37"/>
      <c r="E9338" s="33"/>
    </row>
    <row r="9339" spans="1:5" x14ac:dyDescent="0.25">
      <c r="A9339" s="41"/>
      <c r="B9339" s="29"/>
      <c r="C9339" s="37"/>
      <c r="D9339" s="37"/>
      <c r="E9339" s="33"/>
    </row>
    <row r="9340" spans="1:5" x14ac:dyDescent="0.25">
      <c r="A9340" s="41"/>
      <c r="B9340" s="29"/>
      <c r="C9340" s="37"/>
      <c r="D9340" s="37"/>
      <c r="E9340" s="33"/>
    </row>
    <row r="9341" spans="1:5" x14ac:dyDescent="0.25">
      <c r="A9341" s="41"/>
      <c r="B9341" s="29"/>
      <c r="C9341" s="37"/>
      <c r="D9341" s="37"/>
      <c r="E9341" s="33"/>
    </row>
    <row r="9342" spans="1:5" x14ac:dyDescent="0.25">
      <c r="A9342" s="41"/>
      <c r="B9342" s="29"/>
      <c r="C9342" s="37"/>
      <c r="D9342" s="37"/>
      <c r="E9342" s="33"/>
    </row>
    <row r="9343" spans="1:5" x14ac:dyDescent="0.25">
      <c r="A9343" s="41"/>
      <c r="B9343" s="29"/>
      <c r="C9343" s="37"/>
      <c r="D9343" s="37"/>
      <c r="E9343" s="33"/>
    </row>
    <row r="9344" spans="1:5" x14ac:dyDescent="0.25">
      <c r="A9344" s="41"/>
      <c r="B9344" s="29"/>
      <c r="C9344" s="37"/>
      <c r="D9344" s="37"/>
      <c r="E9344" s="33"/>
    </row>
    <row r="9345" spans="1:5" x14ac:dyDescent="0.25">
      <c r="A9345" s="41"/>
      <c r="B9345" s="29"/>
      <c r="C9345" s="37"/>
      <c r="D9345" s="37"/>
      <c r="E9345" s="33"/>
    </row>
    <row r="9346" spans="1:5" x14ac:dyDescent="0.25">
      <c r="A9346" s="41"/>
      <c r="B9346" s="29"/>
      <c r="C9346" s="37"/>
      <c r="D9346" s="37"/>
      <c r="E9346" s="33"/>
    </row>
    <row r="9347" spans="1:5" x14ac:dyDescent="0.25">
      <c r="A9347" s="41"/>
      <c r="B9347" s="29"/>
      <c r="C9347" s="37"/>
      <c r="D9347" s="37"/>
      <c r="E9347" s="33"/>
    </row>
    <row r="9348" spans="1:5" x14ac:dyDescent="0.25">
      <c r="A9348" s="41"/>
      <c r="B9348" s="29"/>
      <c r="C9348" s="37"/>
      <c r="D9348" s="37"/>
      <c r="E9348" s="33"/>
    </row>
    <row r="9349" spans="1:5" x14ac:dyDescent="0.25">
      <c r="A9349" s="41"/>
      <c r="B9349" s="29"/>
      <c r="C9349" s="37"/>
      <c r="D9349" s="37"/>
      <c r="E9349" s="33"/>
    </row>
    <row r="9350" spans="1:5" x14ac:dyDescent="0.25">
      <c r="A9350" s="41"/>
      <c r="B9350" s="29"/>
      <c r="C9350" s="37"/>
      <c r="D9350" s="37"/>
      <c r="E9350" s="33"/>
    </row>
    <row r="9351" spans="1:5" x14ac:dyDescent="0.25">
      <c r="A9351" s="41"/>
      <c r="B9351" s="29"/>
      <c r="C9351" s="37"/>
      <c r="D9351" s="37"/>
      <c r="E9351" s="33"/>
    </row>
    <row r="9352" spans="1:5" x14ac:dyDescent="0.25">
      <c r="A9352" s="41"/>
      <c r="B9352" s="29"/>
      <c r="C9352" s="37"/>
      <c r="D9352" s="37"/>
      <c r="E9352" s="33"/>
    </row>
    <row r="9353" spans="1:5" x14ac:dyDescent="0.25">
      <c r="A9353" s="41"/>
      <c r="B9353" s="29"/>
      <c r="C9353" s="37"/>
      <c r="D9353" s="37"/>
      <c r="E9353" s="33"/>
    </row>
    <row r="9354" spans="1:5" x14ac:dyDescent="0.25">
      <c r="A9354" s="41"/>
      <c r="B9354" s="29"/>
      <c r="C9354" s="37"/>
      <c r="D9354" s="37"/>
      <c r="E9354" s="33"/>
    </row>
    <row r="9355" spans="1:5" x14ac:dyDescent="0.25">
      <c r="A9355" s="41"/>
      <c r="B9355" s="29"/>
      <c r="C9355" s="37"/>
      <c r="D9355" s="37"/>
      <c r="E9355" s="33"/>
    </row>
    <row r="9356" spans="1:5" x14ac:dyDescent="0.25">
      <c r="A9356" s="41"/>
      <c r="B9356" s="29"/>
      <c r="C9356" s="37"/>
      <c r="D9356" s="37"/>
      <c r="E9356" s="33"/>
    </row>
    <row r="9357" spans="1:5" x14ac:dyDescent="0.25">
      <c r="A9357" s="41"/>
      <c r="B9357" s="29"/>
      <c r="C9357" s="37"/>
      <c r="D9357" s="37"/>
      <c r="E9357" s="33"/>
    </row>
    <row r="9358" spans="1:5" x14ac:dyDescent="0.25">
      <c r="A9358" s="41"/>
      <c r="B9358" s="29"/>
      <c r="C9358" s="37"/>
      <c r="D9358" s="37"/>
      <c r="E9358" s="33"/>
    </row>
    <row r="9359" spans="1:5" x14ac:dyDescent="0.25">
      <c r="A9359" s="41"/>
      <c r="B9359" s="29"/>
      <c r="C9359" s="37"/>
      <c r="D9359" s="37"/>
      <c r="E9359" s="33"/>
    </row>
    <row r="9360" spans="1:5" x14ac:dyDescent="0.25">
      <c r="A9360" s="41"/>
      <c r="B9360" s="29"/>
      <c r="C9360" s="37"/>
      <c r="D9360" s="37"/>
      <c r="E9360" s="33"/>
    </row>
    <row r="9361" spans="1:5" x14ac:dyDescent="0.25">
      <c r="A9361" s="41"/>
      <c r="B9361" s="29"/>
      <c r="C9361" s="37"/>
      <c r="D9361" s="37"/>
      <c r="E9361" s="33"/>
    </row>
    <row r="9362" spans="1:5" x14ac:dyDescent="0.25">
      <c r="A9362" s="41"/>
      <c r="B9362" s="29"/>
      <c r="C9362" s="37"/>
      <c r="D9362" s="37"/>
      <c r="E9362" s="33"/>
    </row>
    <row r="9363" spans="1:5" x14ac:dyDescent="0.25">
      <c r="A9363" s="41"/>
      <c r="B9363" s="29"/>
      <c r="C9363" s="37"/>
      <c r="D9363" s="37"/>
      <c r="E9363" s="33"/>
    </row>
    <row r="9364" spans="1:5" x14ac:dyDescent="0.25">
      <c r="A9364" s="41"/>
      <c r="B9364" s="29"/>
      <c r="C9364" s="37"/>
      <c r="D9364" s="37"/>
      <c r="E9364" s="33"/>
    </row>
    <row r="9365" spans="1:5" x14ac:dyDescent="0.25">
      <c r="A9365" s="41"/>
      <c r="B9365" s="29"/>
      <c r="C9365" s="37"/>
      <c r="D9365" s="37"/>
      <c r="E9365" s="33"/>
    </row>
    <row r="9366" spans="1:5" x14ac:dyDescent="0.25">
      <c r="A9366" s="41"/>
      <c r="B9366" s="29"/>
      <c r="C9366" s="37"/>
      <c r="D9366" s="37"/>
      <c r="E9366" s="33"/>
    </row>
    <row r="9367" spans="1:5" x14ac:dyDescent="0.25">
      <c r="A9367" s="41"/>
      <c r="B9367" s="29"/>
      <c r="C9367" s="37"/>
      <c r="D9367" s="37"/>
      <c r="E9367" s="33"/>
    </row>
    <row r="9368" spans="1:5" x14ac:dyDescent="0.25">
      <c r="A9368" s="41"/>
      <c r="B9368" s="29"/>
      <c r="C9368" s="37"/>
      <c r="D9368" s="37"/>
      <c r="E9368" s="33"/>
    </row>
    <row r="9369" spans="1:5" x14ac:dyDescent="0.25">
      <c r="A9369" s="41"/>
      <c r="B9369" s="29"/>
      <c r="C9369" s="37"/>
      <c r="D9369" s="37"/>
      <c r="E9369" s="33"/>
    </row>
    <row r="9370" spans="1:5" x14ac:dyDescent="0.25">
      <c r="A9370" s="41"/>
      <c r="B9370" s="29"/>
      <c r="C9370" s="37"/>
      <c r="D9370" s="37"/>
      <c r="E9370" s="33"/>
    </row>
    <row r="9371" spans="1:5" x14ac:dyDescent="0.25">
      <c r="A9371" s="41"/>
      <c r="B9371" s="29"/>
      <c r="C9371" s="37"/>
      <c r="D9371" s="37"/>
      <c r="E9371" s="33"/>
    </row>
    <row r="9372" spans="1:5" x14ac:dyDescent="0.25">
      <c r="A9372" s="41"/>
      <c r="B9372" s="29"/>
      <c r="C9372" s="37"/>
      <c r="D9372" s="37"/>
      <c r="E9372" s="33"/>
    </row>
    <row r="9373" spans="1:5" x14ac:dyDescent="0.25">
      <c r="A9373" s="41"/>
      <c r="B9373" s="29"/>
      <c r="C9373" s="37"/>
      <c r="D9373" s="37"/>
      <c r="E9373" s="33"/>
    </row>
    <row r="9374" spans="1:5" x14ac:dyDescent="0.25">
      <c r="A9374" s="41"/>
      <c r="B9374" s="29"/>
      <c r="C9374" s="37"/>
      <c r="D9374" s="37"/>
      <c r="E9374" s="33"/>
    </row>
    <row r="9375" spans="1:5" x14ac:dyDescent="0.25">
      <c r="A9375" s="41"/>
      <c r="B9375" s="29"/>
      <c r="C9375" s="37"/>
      <c r="D9375" s="37"/>
      <c r="E9375" s="33"/>
    </row>
    <row r="9376" spans="1:5" x14ac:dyDescent="0.25">
      <c r="A9376" s="41"/>
      <c r="B9376" s="29"/>
      <c r="C9376" s="37"/>
      <c r="D9376" s="37"/>
      <c r="E9376" s="33"/>
    </row>
    <row r="9377" spans="1:5" x14ac:dyDescent="0.25">
      <c r="A9377" s="41"/>
      <c r="B9377" s="29"/>
      <c r="C9377" s="37"/>
      <c r="D9377" s="37"/>
      <c r="E9377" s="33"/>
    </row>
    <row r="9378" spans="1:5" x14ac:dyDescent="0.25">
      <c r="A9378" s="41"/>
      <c r="B9378" s="29"/>
      <c r="C9378" s="37"/>
      <c r="D9378" s="37"/>
      <c r="E9378" s="33"/>
    </row>
    <row r="9379" spans="1:5" x14ac:dyDescent="0.25">
      <c r="A9379" s="41"/>
      <c r="B9379" s="29"/>
      <c r="C9379" s="37"/>
      <c r="D9379" s="37"/>
      <c r="E9379" s="33"/>
    </row>
    <row r="9380" spans="1:5" x14ac:dyDescent="0.25">
      <c r="A9380" s="41"/>
      <c r="B9380" s="29"/>
      <c r="C9380" s="37"/>
      <c r="D9380" s="37"/>
      <c r="E9380" s="33"/>
    </row>
    <row r="9381" spans="1:5" x14ac:dyDescent="0.25">
      <c r="A9381" s="41"/>
      <c r="B9381" s="29"/>
      <c r="C9381" s="37"/>
      <c r="D9381" s="37"/>
      <c r="E9381" s="33"/>
    </row>
    <row r="9382" spans="1:5" x14ac:dyDescent="0.25">
      <c r="A9382" s="41"/>
      <c r="B9382" s="29"/>
      <c r="C9382" s="37"/>
      <c r="D9382" s="37"/>
      <c r="E9382" s="33"/>
    </row>
    <row r="9383" spans="1:5" x14ac:dyDescent="0.25">
      <c r="A9383" s="41"/>
      <c r="B9383" s="29"/>
      <c r="C9383" s="37"/>
      <c r="D9383" s="37"/>
      <c r="E9383" s="33"/>
    </row>
    <row r="9384" spans="1:5" x14ac:dyDescent="0.25">
      <c r="A9384" s="41"/>
      <c r="B9384" s="29"/>
      <c r="C9384" s="37"/>
      <c r="D9384" s="37"/>
      <c r="E9384" s="33"/>
    </row>
    <row r="9385" spans="1:5" x14ac:dyDescent="0.25">
      <c r="A9385" s="41"/>
      <c r="B9385" s="29"/>
      <c r="C9385" s="37"/>
      <c r="D9385" s="37"/>
      <c r="E9385" s="33"/>
    </row>
    <row r="9386" spans="1:5" x14ac:dyDescent="0.25">
      <c r="A9386" s="41"/>
      <c r="B9386" s="29"/>
      <c r="C9386" s="37"/>
      <c r="D9386" s="37"/>
      <c r="E9386" s="33"/>
    </row>
    <row r="9387" spans="1:5" x14ac:dyDescent="0.25">
      <c r="A9387" s="41"/>
      <c r="B9387" s="29"/>
      <c r="C9387" s="37"/>
      <c r="D9387" s="37"/>
      <c r="E9387" s="33"/>
    </row>
    <row r="9388" spans="1:5" x14ac:dyDescent="0.25">
      <c r="A9388" s="41"/>
      <c r="B9388" s="29"/>
      <c r="C9388" s="37"/>
      <c r="D9388" s="37"/>
      <c r="E9388" s="33"/>
    </row>
    <row r="9389" spans="1:5" x14ac:dyDescent="0.25">
      <c r="A9389" s="41"/>
      <c r="B9389" s="29"/>
      <c r="C9389" s="37"/>
      <c r="D9389" s="37"/>
      <c r="E9389" s="33"/>
    </row>
    <row r="9390" spans="1:5" x14ac:dyDescent="0.25">
      <c r="A9390" s="41"/>
      <c r="B9390" s="29"/>
      <c r="C9390" s="37"/>
      <c r="D9390" s="37"/>
      <c r="E9390" s="33"/>
    </row>
    <row r="9391" spans="1:5" x14ac:dyDescent="0.25">
      <c r="A9391" s="41"/>
      <c r="B9391" s="29"/>
      <c r="C9391" s="37"/>
      <c r="D9391" s="37"/>
      <c r="E9391" s="33"/>
    </row>
    <row r="9392" spans="1:5" x14ac:dyDescent="0.25">
      <c r="A9392" s="41"/>
      <c r="B9392" s="29"/>
      <c r="C9392" s="37"/>
      <c r="D9392" s="37"/>
      <c r="E9392" s="33"/>
    </row>
    <row r="9393" spans="1:5" x14ac:dyDescent="0.25">
      <c r="A9393" s="41"/>
      <c r="B9393" s="29"/>
      <c r="C9393" s="37"/>
      <c r="D9393" s="37"/>
      <c r="E9393" s="33"/>
    </row>
    <row r="9394" spans="1:5" x14ac:dyDescent="0.25">
      <c r="A9394" s="41"/>
      <c r="B9394" s="29"/>
      <c r="C9394" s="37"/>
      <c r="D9394" s="37"/>
      <c r="E9394" s="33"/>
    </row>
    <row r="9395" spans="1:5" x14ac:dyDescent="0.25">
      <c r="A9395" s="41"/>
      <c r="B9395" s="29"/>
      <c r="C9395" s="37"/>
      <c r="D9395" s="37"/>
      <c r="E9395" s="33"/>
    </row>
    <row r="9396" spans="1:5" x14ac:dyDescent="0.25">
      <c r="A9396" s="41"/>
      <c r="B9396" s="29"/>
      <c r="C9396" s="37"/>
      <c r="D9396" s="37"/>
      <c r="E9396" s="33"/>
    </row>
    <row r="9397" spans="1:5" x14ac:dyDescent="0.25">
      <c r="A9397" s="41"/>
      <c r="B9397" s="29"/>
      <c r="C9397" s="37"/>
      <c r="D9397" s="37"/>
      <c r="E9397" s="33"/>
    </row>
    <row r="9398" spans="1:5" x14ac:dyDescent="0.25">
      <c r="A9398" s="41"/>
      <c r="B9398" s="29"/>
      <c r="C9398" s="37"/>
      <c r="D9398" s="37"/>
      <c r="E9398" s="33"/>
    </row>
    <row r="9399" spans="1:5" x14ac:dyDescent="0.25">
      <c r="A9399" s="41"/>
      <c r="B9399" s="29"/>
      <c r="C9399" s="37"/>
      <c r="D9399" s="37"/>
      <c r="E9399" s="33"/>
    </row>
    <row r="9400" spans="1:5" x14ac:dyDescent="0.25">
      <c r="A9400" s="41"/>
      <c r="B9400" s="29"/>
      <c r="C9400" s="37"/>
      <c r="D9400" s="37"/>
      <c r="E9400" s="33"/>
    </row>
    <row r="9401" spans="1:5" x14ac:dyDescent="0.25">
      <c r="A9401" s="41"/>
      <c r="B9401" s="29"/>
      <c r="C9401" s="37"/>
      <c r="D9401" s="37"/>
      <c r="E9401" s="33"/>
    </row>
    <row r="9402" spans="1:5" x14ac:dyDescent="0.25">
      <c r="A9402" s="41"/>
      <c r="B9402" s="29"/>
      <c r="C9402" s="37"/>
      <c r="D9402" s="37"/>
      <c r="E9402" s="33"/>
    </row>
    <row r="9403" spans="1:5" x14ac:dyDescent="0.25">
      <c r="A9403" s="41"/>
      <c r="B9403" s="29"/>
      <c r="C9403" s="37"/>
      <c r="D9403" s="37"/>
      <c r="E9403" s="33"/>
    </row>
    <row r="9404" spans="1:5" x14ac:dyDescent="0.25">
      <c r="A9404" s="41"/>
      <c r="B9404" s="29"/>
      <c r="C9404" s="37"/>
      <c r="D9404" s="37"/>
      <c r="E9404" s="33"/>
    </row>
    <row r="9405" spans="1:5" x14ac:dyDescent="0.25">
      <c r="A9405" s="41"/>
      <c r="B9405" s="29"/>
      <c r="C9405" s="37"/>
      <c r="D9405" s="37"/>
      <c r="E9405" s="33"/>
    </row>
    <row r="9406" spans="1:5" x14ac:dyDescent="0.25">
      <c r="A9406" s="41"/>
      <c r="B9406" s="29"/>
      <c r="C9406" s="37"/>
      <c r="D9406" s="37"/>
      <c r="E9406" s="33"/>
    </row>
    <row r="9407" spans="1:5" x14ac:dyDescent="0.25">
      <c r="A9407" s="41"/>
      <c r="B9407" s="29"/>
      <c r="C9407" s="37"/>
      <c r="D9407" s="37"/>
      <c r="E9407" s="33"/>
    </row>
    <row r="9408" spans="1:5" x14ac:dyDescent="0.25">
      <c r="A9408" s="41"/>
      <c r="B9408" s="29"/>
      <c r="C9408" s="37"/>
      <c r="D9408" s="37"/>
      <c r="E9408" s="33"/>
    </row>
    <row r="9409" spans="1:5" x14ac:dyDescent="0.25">
      <c r="A9409" s="41"/>
      <c r="B9409" s="29"/>
      <c r="C9409" s="37"/>
      <c r="D9409" s="37"/>
      <c r="E9409" s="33"/>
    </row>
    <row r="9410" spans="1:5" x14ac:dyDescent="0.25">
      <c r="A9410" s="41"/>
      <c r="B9410" s="29"/>
      <c r="C9410" s="37"/>
      <c r="D9410" s="37"/>
      <c r="E9410" s="33"/>
    </row>
    <row r="9411" spans="1:5" x14ac:dyDescent="0.25">
      <c r="A9411" s="41"/>
      <c r="B9411" s="29"/>
      <c r="C9411" s="37"/>
      <c r="D9411" s="37"/>
      <c r="E9411" s="33"/>
    </row>
    <row r="9412" spans="1:5" x14ac:dyDescent="0.25">
      <c r="A9412" s="41"/>
      <c r="B9412" s="29"/>
      <c r="C9412" s="37"/>
      <c r="D9412" s="37"/>
      <c r="E9412" s="33"/>
    </row>
    <row r="9413" spans="1:5" x14ac:dyDescent="0.25">
      <c r="A9413" s="41"/>
      <c r="B9413" s="29"/>
      <c r="C9413" s="37"/>
      <c r="D9413" s="37"/>
      <c r="E9413" s="33"/>
    </row>
    <row r="9414" spans="1:5" x14ac:dyDescent="0.25">
      <c r="A9414" s="41"/>
      <c r="B9414" s="29"/>
      <c r="C9414" s="37"/>
      <c r="D9414" s="37"/>
      <c r="E9414" s="33"/>
    </row>
    <row r="9415" spans="1:5" x14ac:dyDescent="0.25">
      <c r="A9415" s="41"/>
      <c r="B9415" s="29"/>
      <c r="C9415" s="37"/>
      <c r="D9415" s="37"/>
      <c r="E9415" s="33"/>
    </row>
    <row r="9416" spans="1:5" x14ac:dyDescent="0.25">
      <c r="A9416" s="41"/>
      <c r="B9416" s="29"/>
      <c r="C9416" s="37"/>
      <c r="D9416" s="37"/>
      <c r="E9416" s="33"/>
    </row>
    <row r="9417" spans="1:5" x14ac:dyDescent="0.25">
      <c r="A9417" s="41"/>
      <c r="B9417" s="29"/>
      <c r="C9417" s="37"/>
      <c r="D9417" s="37"/>
      <c r="E9417" s="33"/>
    </row>
    <row r="9418" spans="1:5" x14ac:dyDescent="0.25">
      <c r="A9418" s="41"/>
      <c r="B9418" s="29"/>
      <c r="C9418" s="37"/>
      <c r="D9418" s="37"/>
      <c r="E9418" s="33"/>
    </row>
    <row r="9419" spans="1:5" x14ac:dyDescent="0.25">
      <c r="A9419" s="41"/>
      <c r="B9419" s="29"/>
      <c r="C9419" s="37"/>
      <c r="D9419" s="37"/>
      <c r="E9419" s="33"/>
    </row>
    <row r="9420" spans="1:5" x14ac:dyDescent="0.25">
      <c r="A9420" s="41"/>
      <c r="B9420" s="29"/>
      <c r="C9420" s="37"/>
      <c r="D9420" s="37"/>
      <c r="E9420" s="33"/>
    </row>
    <row r="9421" spans="1:5" x14ac:dyDescent="0.25">
      <c r="A9421" s="41"/>
      <c r="B9421" s="29"/>
      <c r="C9421" s="37"/>
      <c r="D9421" s="37"/>
      <c r="E9421" s="33"/>
    </row>
    <row r="9422" spans="1:5" x14ac:dyDescent="0.25">
      <c r="A9422" s="41"/>
      <c r="B9422" s="29"/>
      <c r="C9422" s="37"/>
      <c r="D9422" s="37"/>
      <c r="E9422" s="33"/>
    </row>
    <row r="9423" spans="1:5" x14ac:dyDescent="0.25">
      <c r="A9423" s="41"/>
      <c r="B9423" s="29"/>
      <c r="C9423" s="37"/>
      <c r="D9423" s="37"/>
      <c r="E9423" s="33"/>
    </row>
    <row r="9424" spans="1:5" x14ac:dyDescent="0.25">
      <c r="A9424" s="41"/>
      <c r="B9424" s="29"/>
      <c r="C9424" s="37"/>
      <c r="D9424" s="37"/>
      <c r="E9424" s="33"/>
    </row>
    <row r="9425" spans="1:5" x14ac:dyDescent="0.25">
      <c r="A9425" s="41"/>
      <c r="B9425" s="29"/>
      <c r="C9425" s="37"/>
      <c r="D9425" s="37"/>
      <c r="E9425" s="33"/>
    </row>
    <row r="9426" spans="1:5" x14ac:dyDescent="0.25">
      <c r="A9426" s="41"/>
      <c r="B9426" s="29"/>
      <c r="C9426" s="37"/>
      <c r="D9426" s="37"/>
      <c r="E9426" s="33"/>
    </row>
    <row r="9427" spans="1:5" x14ac:dyDescent="0.25">
      <c r="A9427" s="41"/>
      <c r="B9427" s="29"/>
      <c r="C9427" s="37"/>
      <c r="D9427" s="37"/>
      <c r="E9427" s="33"/>
    </row>
    <row r="9428" spans="1:5" x14ac:dyDescent="0.25">
      <c r="A9428" s="41"/>
      <c r="B9428" s="29"/>
      <c r="C9428" s="37"/>
      <c r="D9428" s="37"/>
      <c r="E9428" s="33"/>
    </row>
    <row r="9429" spans="1:5" x14ac:dyDescent="0.25">
      <c r="A9429" s="41"/>
      <c r="B9429" s="29"/>
      <c r="C9429" s="37"/>
      <c r="D9429" s="37"/>
      <c r="E9429" s="33"/>
    </row>
    <row r="9430" spans="1:5" x14ac:dyDescent="0.25">
      <c r="A9430" s="41"/>
      <c r="B9430" s="29"/>
      <c r="C9430" s="37"/>
      <c r="D9430" s="37"/>
      <c r="E9430" s="33"/>
    </row>
    <row r="9431" spans="1:5" x14ac:dyDescent="0.25">
      <c r="A9431" s="41"/>
      <c r="B9431" s="29"/>
      <c r="C9431" s="37"/>
      <c r="D9431" s="37"/>
      <c r="E9431" s="33"/>
    </row>
    <row r="9432" spans="1:5" x14ac:dyDescent="0.25">
      <c r="A9432" s="41"/>
      <c r="B9432" s="29"/>
      <c r="C9432" s="37"/>
      <c r="D9432" s="37"/>
      <c r="E9432" s="33"/>
    </row>
    <row r="9433" spans="1:5" x14ac:dyDescent="0.25">
      <c r="A9433" s="41"/>
      <c r="B9433" s="29"/>
      <c r="C9433" s="37"/>
      <c r="D9433" s="37"/>
      <c r="E9433" s="33"/>
    </row>
    <row r="9434" spans="1:5" x14ac:dyDescent="0.25">
      <c r="A9434" s="41"/>
      <c r="B9434" s="29"/>
      <c r="C9434" s="37"/>
      <c r="D9434" s="37"/>
      <c r="E9434" s="33"/>
    </row>
    <row r="9435" spans="1:5" x14ac:dyDescent="0.25">
      <c r="A9435" s="41"/>
      <c r="B9435" s="29"/>
      <c r="C9435" s="37"/>
      <c r="D9435" s="37"/>
      <c r="E9435" s="33"/>
    </row>
    <row r="9436" spans="1:5" x14ac:dyDescent="0.25">
      <c r="A9436" s="41"/>
      <c r="B9436" s="29"/>
      <c r="C9436" s="37"/>
      <c r="D9436" s="37"/>
      <c r="E9436" s="33"/>
    </row>
    <row r="9437" spans="1:5" x14ac:dyDescent="0.25">
      <c r="A9437" s="41"/>
      <c r="B9437" s="29"/>
      <c r="C9437" s="37"/>
      <c r="D9437" s="37"/>
      <c r="E9437" s="33"/>
    </row>
    <row r="9438" spans="1:5" x14ac:dyDescent="0.25">
      <c r="A9438" s="41"/>
      <c r="B9438" s="29"/>
      <c r="C9438" s="37"/>
      <c r="D9438" s="37"/>
      <c r="E9438" s="33"/>
    </row>
    <row r="9439" spans="1:5" x14ac:dyDescent="0.25">
      <c r="A9439" s="41"/>
      <c r="B9439" s="29"/>
      <c r="C9439" s="37"/>
      <c r="D9439" s="37"/>
      <c r="E9439" s="33"/>
    </row>
    <row r="9440" spans="1:5" x14ac:dyDescent="0.25">
      <c r="A9440" s="41"/>
      <c r="B9440" s="29"/>
      <c r="C9440" s="37"/>
      <c r="D9440" s="37"/>
      <c r="E9440" s="33"/>
    </row>
    <row r="9441" spans="1:5" x14ac:dyDescent="0.25">
      <c r="A9441" s="41"/>
      <c r="B9441" s="29"/>
      <c r="C9441" s="37"/>
      <c r="D9441" s="37"/>
      <c r="E9441" s="33"/>
    </row>
    <row r="9442" spans="1:5" x14ac:dyDescent="0.25">
      <c r="A9442" s="41"/>
      <c r="B9442" s="29"/>
      <c r="C9442" s="37"/>
      <c r="D9442" s="37"/>
      <c r="E9442" s="33"/>
    </row>
    <row r="9443" spans="1:5" x14ac:dyDescent="0.25">
      <c r="A9443" s="41"/>
      <c r="B9443" s="29"/>
      <c r="C9443" s="37"/>
      <c r="D9443" s="37"/>
      <c r="E9443" s="33"/>
    </row>
    <row r="9444" spans="1:5" x14ac:dyDescent="0.25">
      <c r="A9444" s="41"/>
      <c r="B9444" s="29"/>
      <c r="C9444" s="37"/>
      <c r="D9444" s="37"/>
      <c r="E9444" s="33"/>
    </row>
    <row r="9445" spans="1:5" x14ac:dyDescent="0.25">
      <c r="A9445" s="41"/>
      <c r="B9445" s="29"/>
      <c r="C9445" s="37"/>
      <c r="D9445" s="37"/>
      <c r="E9445" s="33"/>
    </row>
    <row r="9446" spans="1:5" x14ac:dyDescent="0.25">
      <c r="A9446" s="41"/>
      <c r="B9446" s="29"/>
      <c r="C9446" s="37"/>
      <c r="D9446" s="37"/>
      <c r="E9446" s="33"/>
    </row>
    <row r="9447" spans="1:5" x14ac:dyDescent="0.25">
      <c r="A9447" s="41"/>
      <c r="B9447" s="29"/>
      <c r="C9447" s="37"/>
      <c r="D9447" s="37"/>
      <c r="E9447" s="33"/>
    </row>
    <row r="9448" spans="1:5" x14ac:dyDescent="0.25">
      <c r="A9448" s="41"/>
      <c r="B9448" s="29"/>
      <c r="C9448" s="37"/>
      <c r="D9448" s="37"/>
      <c r="E9448" s="33"/>
    </row>
    <row r="9449" spans="1:5" x14ac:dyDescent="0.25">
      <c r="A9449" s="41"/>
      <c r="B9449" s="29"/>
      <c r="C9449" s="37"/>
      <c r="D9449" s="37"/>
      <c r="E9449" s="33"/>
    </row>
    <row r="9450" spans="1:5" x14ac:dyDescent="0.25">
      <c r="A9450" s="41"/>
      <c r="B9450" s="29"/>
      <c r="C9450" s="37"/>
      <c r="D9450" s="37"/>
      <c r="E9450" s="33"/>
    </row>
    <row r="9451" spans="1:5" x14ac:dyDescent="0.25">
      <c r="A9451" s="41"/>
      <c r="B9451" s="29"/>
      <c r="C9451" s="37"/>
      <c r="D9451" s="37"/>
      <c r="E9451" s="33"/>
    </row>
    <row r="9452" spans="1:5" x14ac:dyDescent="0.25">
      <c r="A9452" s="41"/>
      <c r="B9452" s="29"/>
      <c r="C9452" s="37"/>
      <c r="D9452" s="37"/>
      <c r="E9452" s="33"/>
    </row>
    <row r="9453" spans="1:5" x14ac:dyDescent="0.25">
      <c r="A9453" s="41"/>
      <c r="B9453" s="29"/>
      <c r="C9453" s="37"/>
      <c r="D9453" s="37"/>
      <c r="E9453" s="33"/>
    </row>
    <row r="9454" spans="1:5" x14ac:dyDescent="0.25">
      <c r="A9454" s="41"/>
      <c r="B9454" s="29"/>
      <c r="C9454" s="37"/>
      <c r="D9454" s="37"/>
      <c r="E9454" s="33"/>
    </row>
    <row r="9455" spans="1:5" x14ac:dyDescent="0.25">
      <c r="A9455" s="41"/>
      <c r="B9455" s="29"/>
      <c r="C9455" s="37"/>
      <c r="D9455" s="37"/>
      <c r="E9455" s="33"/>
    </row>
    <row r="9456" spans="1:5" x14ac:dyDescent="0.25">
      <c r="A9456" s="41"/>
      <c r="B9456" s="29"/>
      <c r="C9456" s="37"/>
      <c r="D9456" s="37"/>
      <c r="E9456" s="33"/>
    </row>
    <row r="9457" spans="1:5" x14ac:dyDescent="0.25">
      <c r="A9457" s="41"/>
      <c r="B9457" s="29"/>
      <c r="C9457" s="37"/>
      <c r="D9457" s="37"/>
      <c r="E9457" s="33"/>
    </row>
    <row r="9458" spans="1:5" x14ac:dyDescent="0.25">
      <c r="A9458" s="41"/>
      <c r="B9458" s="29"/>
      <c r="C9458" s="37"/>
      <c r="D9458" s="37"/>
      <c r="E9458" s="33"/>
    </row>
    <row r="9459" spans="1:5" x14ac:dyDescent="0.25">
      <c r="A9459" s="41"/>
      <c r="B9459" s="29"/>
      <c r="C9459" s="37"/>
      <c r="D9459" s="37"/>
      <c r="E9459" s="33"/>
    </row>
    <row r="9460" spans="1:5" x14ac:dyDescent="0.25">
      <c r="A9460" s="41"/>
      <c r="B9460" s="29"/>
      <c r="C9460" s="37"/>
      <c r="D9460" s="37"/>
      <c r="E9460" s="33"/>
    </row>
    <row r="9461" spans="1:5" x14ac:dyDescent="0.25">
      <c r="A9461" s="41"/>
      <c r="B9461" s="29"/>
      <c r="C9461" s="37"/>
      <c r="D9461" s="37"/>
      <c r="E9461" s="33"/>
    </row>
    <row r="9462" spans="1:5" x14ac:dyDescent="0.25">
      <c r="A9462" s="41"/>
      <c r="B9462" s="29"/>
      <c r="C9462" s="37"/>
      <c r="D9462" s="37"/>
      <c r="E9462" s="33"/>
    </row>
    <row r="9463" spans="1:5" x14ac:dyDescent="0.25">
      <c r="A9463" s="41"/>
      <c r="B9463" s="29"/>
      <c r="C9463" s="37"/>
      <c r="D9463" s="37"/>
      <c r="E9463" s="33"/>
    </row>
    <row r="9464" spans="1:5" x14ac:dyDescent="0.25">
      <c r="A9464" s="41"/>
      <c r="B9464" s="29"/>
      <c r="C9464" s="37"/>
      <c r="D9464" s="37"/>
      <c r="E9464" s="33"/>
    </row>
    <row r="9465" spans="1:5" x14ac:dyDescent="0.25">
      <c r="A9465" s="41"/>
      <c r="B9465" s="29"/>
      <c r="C9465" s="37"/>
      <c r="D9465" s="37"/>
      <c r="E9465" s="33"/>
    </row>
    <row r="9466" spans="1:5" x14ac:dyDescent="0.25">
      <c r="A9466" s="41"/>
      <c r="B9466" s="29"/>
      <c r="C9466" s="37"/>
      <c r="D9466" s="37"/>
      <c r="E9466" s="33"/>
    </row>
    <row r="9467" spans="1:5" x14ac:dyDescent="0.25">
      <c r="A9467" s="41"/>
      <c r="B9467" s="29"/>
      <c r="C9467" s="37"/>
      <c r="D9467" s="37"/>
      <c r="E9467" s="33"/>
    </row>
    <row r="9468" spans="1:5" x14ac:dyDescent="0.25">
      <c r="A9468" s="41"/>
      <c r="B9468" s="29"/>
      <c r="C9468" s="37"/>
      <c r="D9468" s="37"/>
      <c r="E9468" s="33"/>
    </row>
    <row r="9469" spans="1:5" x14ac:dyDescent="0.25">
      <c r="A9469" s="41"/>
      <c r="B9469" s="29"/>
      <c r="C9469" s="37"/>
      <c r="D9469" s="37"/>
      <c r="E9469" s="33"/>
    </row>
    <row r="9470" spans="1:5" x14ac:dyDescent="0.25">
      <c r="A9470" s="41"/>
      <c r="B9470" s="29"/>
      <c r="C9470" s="37"/>
      <c r="D9470" s="37"/>
      <c r="E9470" s="33"/>
    </row>
    <row r="9471" spans="1:5" x14ac:dyDescent="0.25">
      <c r="A9471" s="41"/>
      <c r="B9471" s="29"/>
      <c r="C9471" s="37"/>
      <c r="D9471" s="37"/>
      <c r="E9471" s="33"/>
    </row>
    <row r="9472" spans="1:5" x14ac:dyDescent="0.25">
      <c r="A9472" s="41"/>
      <c r="B9472" s="29"/>
      <c r="C9472" s="37"/>
      <c r="D9472" s="37"/>
      <c r="E9472" s="33"/>
    </row>
    <row r="9473" spans="1:5" x14ac:dyDescent="0.25">
      <c r="A9473" s="41"/>
      <c r="B9473" s="29"/>
      <c r="C9473" s="37"/>
      <c r="D9473" s="37"/>
      <c r="E9473" s="33"/>
    </row>
    <row r="9474" spans="1:5" x14ac:dyDescent="0.25">
      <c r="A9474" s="41"/>
      <c r="B9474" s="29"/>
      <c r="C9474" s="37"/>
      <c r="D9474" s="37"/>
      <c r="E9474" s="33"/>
    </row>
    <row r="9475" spans="1:5" x14ac:dyDescent="0.25">
      <c r="A9475" s="41"/>
      <c r="B9475" s="29"/>
      <c r="C9475" s="37"/>
      <c r="D9475" s="37"/>
      <c r="E9475" s="33"/>
    </row>
    <row r="9476" spans="1:5" x14ac:dyDescent="0.25">
      <c r="A9476" s="41"/>
      <c r="B9476" s="29"/>
      <c r="C9476" s="37"/>
      <c r="D9476" s="37"/>
      <c r="E9476" s="33"/>
    </row>
    <row r="9477" spans="1:5" x14ac:dyDescent="0.25">
      <c r="A9477" s="41"/>
      <c r="B9477" s="29"/>
      <c r="C9477" s="37"/>
      <c r="D9477" s="37"/>
      <c r="E9477" s="33"/>
    </row>
    <row r="9478" spans="1:5" x14ac:dyDescent="0.25">
      <c r="A9478" s="41"/>
      <c r="B9478" s="29"/>
      <c r="C9478" s="37"/>
      <c r="D9478" s="37"/>
      <c r="E9478" s="33"/>
    </row>
    <row r="9479" spans="1:5" x14ac:dyDescent="0.25">
      <c r="A9479" s="41"/>
      <c r="B9479" s="29"/>
      <c r="C9479" s="37"/>
      <c r="D9479" s="37"/>
      <c r="E9479" s="33"/>
    </row>
    <row r="9480" spans="1:5" x14ac:dyDescent="0.25">
      <c r="A9480" s="41"/>
      <c r="B9480" s="29"/>
      <c r="C9480" s="37"/>
      <c r="D9480" s="37"/>
      <c r="E9480" s="33"/>
    </row>
    <row r="9481" spans="1:5" x14ac:dyDescent="0.25">
      <c r="A9481" s="41"/>
      <c r="B9481" s="29"/>
      <c r="C9481" s="37"/>
      <c r="D9481" s="37"/>
      <c r="E9481" s="33"/>
    </row>
    <row r="9482" spans="1:5" x14ac:dyDescent="0.25">
      <c r="A9482" s="41"/>
      <c r="B9482" s="29"/>
      <c r="C9482" s="37"/>
      <c r="D9482" s="37"/>
      <c r="E9482" s="33"/>
    </row>
    <row r="9483" spans="1:5" x14ac:dyDescent="0.25">
      <c r="A9483" s="41"/>
      <c r="B9483" s="29"/>
      <c r="C9483" s="37"/>
      <c r="D9483" s="37"/>
      <c r="E9483" s="33"/>
    </row>
    <row r="9484" spans="1:5" x14ac:dyDescent="0.25">
      <c r="A9484" s="41"/>
      <c r="B9484" s="29"/>
      <c r="C9484" s="37"/>
      <c r="D9484" s="37"/>
      <c r="E9484" s="33"/>
    </row>
    <row r="9485" spans="1:5" x14ac:dyDescent="0.25">
      <c r="A9485" s="41"/>
      <c r="B9485" s="29"/>
      <c r="C9485" s="37"/>
      <c r="D9485" s="37"/>
      <c r="E9485" s="33"/>
    </row>
    <row r="9486" spans="1:5" x14ac:dyDescent="0.25">
      <c r="A9486" s="41"/>
      <c r="B9486" s="29"/>
      <c r="C9486" s="37"/>
      <c r="D9486" s="37"/>
      <c r="E9486" s="33"/>
    </row>
    <row r="9487" spans="1:5" x14ac:dyDescent="0.25">
      <c r="A9487" s="41"/>
      <c r="B9487" s="29"/>
      <c r="C9487" s="37"/>
      <c r="D9487" s="37"/>
      <c r="E9487" s="33"/>
    </row>
    <row r="9488" spans="1:5" x14ac:dyDescent="0.25">
      <c r="A9488" s="41"/>
      <c r="B9488" s="29"/>
      <c r="C9488" s="37"/>
      <c r="D9488" s="37"/>
      <c r="E9488" s="33"/>
    </row>
    <row r="9489" spans="1:5" x14ac:dyDescent="0.25">
      <c r="A9489" s="41"/>
      <c r="B9489" s="29"/>
      <c r="C9489" s="37"/>
      <c r="D9489" s="37"/>
      <c r="E9489" s="33"/>
    </row>
    <row r="9490" spans="1:5" x14ac:dyDescent="0.25">
      <c r="A9490" s="41"/>
      <c r="B9490" s="29"/>
      <c r="C9490" s="37"/>
      <c r="D9490" s="37"/>
      <c r="E9490" s="33"/>
    </row>
    <row r="9491" spans="1:5" x14ac:dyDescent="0.25">
      <c r="A9491" s="41"/>
      <c r="B9491" s="29"/>
      <c r="C9491" s="37"/>
      <c r="D9491" s="37"/>
      <c r="E9491" s="33"/>
    </row>
    <row r="9492" spans="1:5" x14ac:dyDescent="0.25">
      <c r="A9492" s="41"/>
      <c r="B9492" s="29"/>
      <c r="C9492" s="37"/>
      <c r="D9492" s="37"/>
      <c r="E9492" s="33"/>
    </row>
    <row r="9493" spans="1:5" x14ac:dyDescent="0.25">
      <c r="A9493" s="41"/>
      <c r="B9493" s="29"/>
      <c r="C9493" s="37"/>
      <c r="D9493" s="37"/>
      <c r="E9493" s="33"/>
    </row>
    <row r="9494" spans="1:5" x14ac:dyDescent="0.25">
      <c r="A9494" s="41"/>
      <c r="B9494" s="29"/>
      <c r="C9494" s="37"/>
      <c r="D9494" s="37"/>
      <c r="E9494" s="33"/>
    </row>
    <row r="9495" spans="1:5" x14ac:dyDescent="0.25">
      <c r="A9495" s="41"/>
      <c r="B9495" s="29"/>
      <c r="C9495" s="37"/>
      <c r="D9495" s="37"/>
      <c r="E9495" s="33"/>
    </row>
    <row r="9496" spans="1:5" x14ac:dyDescent="0.25">
      <c r="A9496" s="41"/>
      <c r="B9496" s="29"/>
      <c r="C9496" s="37"/>
      <c r="D9496" s="37"/>
      <c r="E9496" s="33"/>
    </row>
    <row r="9497" spans="1:5" x14ac:dyDescent="0.25">
      <c r="A9497" s="41"/>
      <c r="B9497" s="29"/>
      <c r="C9497" s="37"/>
      <c r="D9497" s="37"/>
      <c r="E9497" s="33"/>
    </row>
    <row r="9498" spans="1:5" x14ac:dyDescent="0.25">
      <c r="A9498" s="41"/>
      <c r="B9498" s="29"/>
      <c r="C9498" s="37"/>
      <c r="D9498" s="37"/>
      <c r="E9498" s="33"/>
    </row>
    <row r="9499" spans="1:5" x14ac:dyDescent="0.25">
      <c r="A9499" s="41"/>
      <c r="B9499" s="29"/>
      <c r="C9499" s="37"/>
      <c r="D9499" s="37"/>
      <c r="E9499" s="33"/>
    </row>
    <row r="9500" spans="1:5" x14ac:dyDescent="0.25">
      <c r="A9500" s="41"/>
      <c r="B9500" s="29"/>
      <c r="C9500" s="37"/>
      <c r="D9500" s="37"/>
      <c r="E9500" s="33"/>
    </row>
    <row r="9501" spans="1:5" x14ac:dyDescent="0.25">
      <c r="A9501" s="41"/>
      <c r="B9501" s="29"/>
      <c r="C9501" s="37"/>
      <c r="D9501" s="37"/>
      <c r="E9501" s="33"/>
    </row>
    <row r="9502" spans="1:5" x14ac:dyDescent="0.25">
      <c r="A9502" s="41"/>
      <c r="B9502" s="29"/>
      <c r="C9502" s="37"/>
      <c r="D9502" s="37"/>
      <c r="E9502" s="33"/>
    </row>
    <row r="9503" spans="1:5" x14ac:dyDescent="0.25">
      <c r="A9503" s="41"/>
      <c r="B9503" s="29"/>
      <c r="C9503" s="37"/>
      <c r="D9503" s="37"/>
      <c r="E9503" s="33"/>
    </row>
    <row r="9504" spans="1:5" x14ac:dyDescent="0.25">
      <c r="A9504" s="41"/>
      <c r="B9504" s="29"/>
      <c r="C9504" s="37"/>
      <c r="D9504" s="37"/>
      <c r="E9504" s="33"/>
    </row>
    <row r="9505" spans="1:5" ht="15.75" thickBot="1" x14ac:dyDescent="0.3">
      <c r="A9505" s="42"/>
      <c r="B9505" s="43"/>
      <c r="C9505" s="38"/>
      <c r="D9505" s="38"/>
      <c r="E9505" s="35"/>
    </row>
  </sheetData>
  <mergeCells count="48">
    <mergeCell ref="AI3:AI4"/>
    <mergeCell ref="AJ3:AK3"/>
    <mergeCell ref="AG13:AG16"/>
    <mergeCell ref="AH13:AH15"/>
    <mergeCell ref="AG5:AG8"/>
    <mergeCell ref="AH5:AH7"/>
    <mergeCell ref="AG9:AG12"/>
    <mergeCell ref="AH9:AH11"/>
    <mergeCell ref="AG3:AG4"/>
    <mergeCell ref="AH3:AH4"/>
    <mergeCell ref="AG27:AG30"/>
    <mergeCell ref="AH27:AH29"/>
    <mergeCell ref="AG23:AG26"/>
    <mergeCell ref="AH23:AH25"/>
    <mergeCell ref="AL17:AM17"/>
    <mergeCell ref="AG17:AG18"/>
    <mergeCell ref="AH17:AH18"/>
    <mergeCell ref="AI17:AI18"/>
    <mergeCell ref="AG19:AG22"/>
    <mergeCell ref="AH19:AH21"/>
    <mergeCell ref="AJ2:AK2"/>
    <mergeCell ref="AL2:AM2"/>
    <mergeCell ref="AN2:AO2"/>
    <mergeCell ref="AJ17:AK17"/>
    <mergeCell ref="AL3:AM3"/>
    <mergeCell ref="AN3:AO3"/>
    <mergeCell ref="AN17:AO17"/>
    <mergeCell ref="F1:M2"/>
    <mergeCell ref="N1:V2"/>
    <mergeCell ref="F26:M26"/>
    <mergeCell ref="I60:L60"/>
    <mergeCell ref="O10:V10"/>
    <mergeCell ref="P27:Q27"/>
    <mergeCell ref="R27:S27"/>
    <mergeCell ref="R28:S28"/>
    <mergeCell ref="O27:O28"/>
    <mergeCell ref="R29:S29"/>
    <mergeCell ref="R30:S30"/>
    <mergeCell ref="R31:S31"/>
    <mergeCell ref="R32:S32"/>
    <mergeCell ref="R33:S33"/>
    <mergeCell ref="R34:S34"/>
    <mergeCell ref="R35:S35"/>
    <mergeCell ref="R37:S37"/>
    <mergeCell ref="R36:S36"/>
    <mergeCell ref="R38:S38"/>
    <mergeCell ref="R39:S39"/>
    <mergeCell ref="R40:S40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ditional_Value_at_Risk">
                <anchor moveWithCells="1" sizeWithCells="1">
                  <from>
                    <xdr:col>14</xdr:col>
                    <xdr:colOff>0</xdr:colOff>
                    <xdr:row>41</xdr:row>
                    <xdr:rowOff>47625</xdr:rowOff>
                  </from>
                  <to>
                    <xdr:col>17</xdr:col>
                    <xdr:colOff>438150</xdr:colOff>
                    <xdr:row>44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P22"/>
  <sheetViews>
    <sheetView zoomScale="85" zoomScaleNormal="85" workbookViewId="0"/>
  </sheetViews>
  <sheetFormatPr defaultRowHeight="15" x14ac:dyDescent="0.25"/>
  <cols>
    <col min="1" max="1" width="8" style="5" bestFit="1" customWidth="1"/>
    <col min="2" max="2" width="14.5703125" style="105" customWidth="1"/>
    <col min="3" max="3" width="14.28515625" style="104" customWidth="1"/>
    <col min="4" max="4" width="14.28515625" style="1" customWidth="1"/>
    <col min="5" max="5" width="15" style="1" customWidth="1"/>
    <col min="6" max="6" width="23" style="1" bestFit="1" customWidth="1"/>
    <col min="7" max="7" width="16.42578125" style="104" customWidth="1"/>
    <col min="8" max="8" width="16.42578125" style="19" customWidth="1"/>
    <col min="9" max="9" width="16.42578125" style="104" customWidth="1"/>
    <col min="10" max="10" width="16.42578125" style="105" bestFit="1" customWidth="1"/>
    <col min="11" max="11" width="25.28515625" style="1" bestFit="1" customWidth="1"/>
    <col min="12" max="13" width="9.140625" style="1"/>
    <col min="14" max="14" width="15" style="1" bestFit="1" customWidth="1"/>
    <col min="15" max="15" width="15" style="1" customWidth="1"/>
    <col min="16" max="16" width="12.140625" style="1" bestFit="1" customWidth="1"/>
    <col min="17" max="16384" width="9.140625" style="1"/>
  </cols>
  <sheetData>
    <row r="1" spans="1:16" x14ac:dyDescent="0.25">
      <c r="A1" s="6"/>
      <c r="B1" s="136" t="s">
        <v>550</v>
      </c>
      <c r="C1" s="129" t="s">
        <v>551</v>
      </c>
      <c r="D1" s="14" t="s">
        <v>552</v>
      </c>
      <c r="E1" s="8" t="s">
        <v>27</v>
      </c>
      <c r="F1" s="109" t="s">
        <v>521</v>
      </c>
      <c r="G1" s="102" t="s">
        <v>31</v>
      </c>
      <c r="H1" s="18" t="s">
        <v>32</v>
      </c>
      <c r="I1" s="18" t="s">
        <v>522</v>
      </c>
      <c r="J1" s="134" t="s">
        <v>14</v>
      </c>
      <c r="K1" s="135" t="s">
        <v>15</v>
      </c>
      <c r="N1" s="68" t="s">
        <v>34</v>
      </c>
      <c r="O1" s="69" t="s">
        <v>35</v>
      </c>
      <c r="P1" s="70" t="s">
        <v>33</v>
      </c>
    </row>
    <row r="2" spans="1:16" x14ac:dyDescent="0.25">
      <c r="A2" s="7" t="s">
        <v>2</v>
      </c>
      <c r="B2" s="137">
        <v>249.57</v>
      </c>
      <c r="C2" s="107">
        <v>231.06</v>
      </c>
      <c r="D2" s="27">
        <v>316.54000000000002</v>
      </c>
      <c r="E2" s="110" t="s">
        <v>28</v>
      </c>
      <c r="F2" s="111">
        <v>5.28</v>
      </c>
      <c r="G2" s="103">
        <f>((B2*C2)/1000)</f>
        <v>57.665644200000003</v>
      </c>
      <c r="H2" s="17">
        <f>((B2*D2)/1000)</f>
        <v>78.998887799999991</v>
      </c>
      <c r="I2" s="17">
        <f>IF(E2="verde",0,IF(E2="amarelo",(B2*0.013),IF(E2="vermelho ptm I",(B2*0.041),(B2*0.062))))</f>
        <v>0</v>
      </c>
      <c r="J2" s="108">
        <f>((G2+H2+I2)*(F2/100)/(1-(F2/100)))</f>
        <v>7.6181242500000002</v>
      </c>
      <c r="K2" s="20">
        <f>SUM(G2:J2)</f>
        <v>144.28265625</v>
      </c>
      <c r="N2" s="71">
        <f>((G2+H2)*29/(100-29))</f>
        <v>55.820724338028171</v>
      </c>
      <c r="O2" s="72">
        <v>43.88</v>
      </c>
      <c r="P2" s="73">
        <f>(K2+N2+O2)</f>
        <v>243.98338058802818</v>
      </c>
    </row>
    <row r="3" spans="1:16" x14ac:dyDescent="0.25">
      <c r="A3" s="7" t="s">
        <v>489</v>
      </c>
      <c r="B3" s="137">
        <v>247.76</v>
      </c>
      <c r="C3" s="107">
        <v>231.06</v>
      </c>
      <c r="D3" s="27">
        <v>316.54000000000002</v>
      </c>
      <c r="E3" s="110" t="s">
        <v>28</v>
      </c>
      <c r="F3" s="111">
        <v>3.44</v>
      </c>
      <c r="G3" s="103">
        <f t="shared" ref="G3:G13" si="0">((B3*C3)/1000)</f>
        <v>57.247425599999993</v>
      </c>
      <c r="H3" s="17">
        <f t="shared" ref="H3:H13" si="1">((B3*D3)/1000)</f>
        <v>78.425950400000005</v>
      </c>
      <c r="I3" s="17">
        <f t="shared" ref="I3:I13" si="2">IF(E3="verde",0,IF(E3="amarelo",(B3*0.013),IF(E3="vermelho ptm I",(B3*0.041),(B3*0.062))))</f>
        <v>0</v>
      </c>
      <c r="J3" s="108">
        <f t="shared" ref="J3:J13" si="3">((G3+H3+I3)*(F3/100)/(1-(F3/100)))</f>
        <v>4.8334342734051363</v>
      </c>
      <c r="K3" s="20">
        <f t="shared" ref="K3:K13" si="4">SUM(G3:J3)</f>
        <v>140.50681027340514</v>
      </c>
      <c r="N3" s="71">
        <f>((G3+H3)*29/(100-29))</f>
        <v>55.415885971830981</v>
      </c>
      <c r="O3" s="72">
        <v>43.88</v>
      </c>
      <c r="P3" s="73">
        <f t="shared" ref="P3:P13" si="5">(K3+N3+O3)</f>
        <v>239.80269624523612</v>
      </c>
    </row>
    <row r="4" spans="1:16" x14ac:dyDescent="0.25">
      <c r="A4" s="7" t="s">
        <v>4</v>
      </c>
      <c r="B4" s="137">
        <v>243.22</v>
      </c>
      <c r="C4" s="107">
        <v>231.06</v>
      </c>
      <c r="D4" s="27">
        <v>316.54000000000002</v>
      </c>
      <c r="E4" s="110" t="s">
        <v>28</v>
      </c>
      <c r="F4" s="111">
        <v>4.74</v>
      </c>
      <c r="G4" s="103">
        <f t="shared" si="0"/>
        <v>56.198413200000005</v>
      </c>
      <c r="H4" s="17">
        <f t="shared" si="1"/>
        <v>76.988858800000003</v>
      </c>
      <c r="I4" s="17">
        <f t="shared" si="2"/>
        <v>0</v>
      </c>
      <c r="J4" s="108">
        <f t="shared" si="3"/>
        <v>6.6272062699979015</v>
      </c>
      <c r="K4" s="20">
        <f t="shared" si="4"/>
        <v>139.81447826999792</v>
      </c>
      <c r="N4" s="71">
        <f>((G4+H4)*29/(100-29))</f>
        <v>54.400435042253527</v>
      </c>
      <c r="O4" s="72">
        <v>43.88</v>
      </c>
      <c r="P4" s="73">
        <f t="shared" si="5"/>
        <v>238.09491331225144</v>
      </c>
    </row>
    <row r="5" spans="1:16" x14ac:dyDescent="0.25">
      <c r="A5" s="7" t="s">
        <v>5</v>
      </c>
      <c r="B5" s="137">
        <v>229.23</v>
      </c>
      <c r="C5" s="107">
        <v>231.06</v>
      </c>
      <c r="D5" s="27">
        <v>316.54000000000002</v>
      </c>
      <c r="E5" s="110" t="s">
        <v>28</v>
      </c>
      <c r="F5" s="111">
        <v>5.54</v>
      </c>
      <c r="G5" s="103">
        <f t="shared" si="0"/>
        <v>52.965883799999993</v>
      </c>
      <c r="H5" s="17">
        <f t="shared" si="1"/>
        <v>72.560464199999998</v>
      </c>
      <c r="I5" s="17">
        <f t="shared" si="2"/>
        <v>0</v>
      </c>
      <c r="J5" s="108">
        <f t="shared" si="3"/>
        <v>7.3620153283929692</v>
      </c>
      <c r="K5" s="20">
        <f t="shared" si="4"/>
        <v>132.88836332839296</v>
      </c>
      <c r="N5" s="71">
        <f>((G5+H5)*29/(100-29))</f>
        <v>51.271325239436614</v>
      </c>
      <c r="O5" s="72">
        <v>43.88</v>
      </c>
      <c r="P5" s="73">
        <f t="shared" si="5"/>
        <v>228.03968856782956</v>
      </c>
    </row>
    <row r="6" spans="1:16" x14ac:dyDescent="0.25">
      <c r="A6" s="7" t="s">
        <v>6</v>
      </c>
      <c r="B6" s="137">
        <v>234.07</v>
      </c>
      <c r="C6" s="107">
        <v>231.06</v>
      </c>
      <c r="D6" s="27">
        <v>316.54000000000002</v>
      </c>
      <c r="E6" s="110" t="s">
        <v>29</v>
      </c>
      <c r="F6" s="111">
        <v>5.5</v>
      </c>
      <c r="G6" s="103">
        <f t="shared" si="0"/>
        <v>54.084214200000005</v>
      </c>
      <c r="H6" s="17">
        <f t="shared" si="1"/>
        <v>74.092517799999996</v>
      </c>
      <c r="I6" s="17">
        <f t="shared" si="2"/>
        <v>3.0429099999999996</v>
      </c>
      <c r="J6" s="108">
        <f t="shared" si="3"/>
        <v>7.6371220211640223</v>
      </c>
      <c r="K6" s="20">
        <f t="shared" si="4"/>
        <v>138.85676402116405</v>
      </c>
      <c r="N6" s="71"/>
      <c r="O6" s="72">
        <v>43.88</v>
      </c>
      <c r="P6" s="73">
        <f>(K6+M7+O6)</f>
        <v>182.73676402116405</v>
      </c>
    </row>
    <row r="7" spans="1:16" x14ac:dyDescent="0.25">
      <c r="A7" s="7" t="s">
        <v>490</v>
      </c>
      <c r="B7" s="137">
        <v>218.34</v>
      </c>
      <c r="C7" s="107">
        <v>231.06</v>
      </c>
      <c r="D7" s="27">
        <v>316.54000000000002</v>
      </c>
      <c r="E7" s="110" t="s">
        <v>28</v>
      </c>
      <c r="F7" s="111">
        <v>4.3899999999999997</v>
      </c>
      <c r="G7" s="103">
        <f t="shared" si="0"/>
        <v>50.449640400000007</v>
      </c>
      <c r="H7" s="17">
        <f t="shared" si="1"/>
        <v>69.113343600000007</v>
      </c>
      <c r="I7" s="17">
        <f t="shared" si="2"/>
        <v>0</v>
      </c>
      <c r="J7" s="108">
        <f t="shared" si="3"/>
        <v>5.4898180081581431</v>
      </c>
      <c r="K7" s="20">
        <f t="shared" si="4"/>
        <v>125.05280200815815</v>
      </c>
      <c r="N7" s="71">
        <f t="shared" ref="N7:N13" si="6">((G7+H7)*29/(100-29))</f>
        <v>48.835585014084515</v>
      </c>
      <c r="O7" s="72">
        <v>43.88</v>
      </c>
      <c r="P7" s="73">
        <f t="shared" si="5"/>
        <v>217.76838702224268</v>
      </c>
    </row>
    <row r="8" spans="1:16" x14ac:dyDescent="0.25">
      <c r="A8" s="7" t="s">
        <v>491</v>
      </c>
      <c r="B8" s="137">
        <v>214.47</v>
      </c>
      <c r="C8" s="107">
        <v>231.06</v>
      </c>
      <c r="D8" s="27">
        <v>316.54000000000002</v>
      </c>
      <c r="E8" s="110" t="s">
        <v>29</v>
      </c>
      <c r="F8" s="111">
        <v>4.82</v>
      </c>
      <c r="G8" s="103">
        <f t="shared" si="0"/>
        <v>49.555438199999998</v>
      </c>
      <c r="H8" s="17">
        <f t="shared" si="1"/>
        <v>67.888333800000012</v>
      </c>
      <c r="I8" s="17">
        <f t="shared" si="2"/>
        <v>2.7881099999999996</v>
      </c>
      <c r="J8" s="108">
        <f t="shared" si="3"/>
        <v>6.0886496242908184</v>
      </c>
      <c r="K8" s="20">
        <f t="shared" si="4"/>
        <v>126.32053162429084</v>
      </c>
      <c r="N8" s="71">
        <f t="shared" si="6"/>
        <v>47.969991380281691</v>
      </c>
      <c r="O8" s="72">
        <v>43.88</v>
      </c>
      <c r="P8" s="73">
        <f t="shared" si="5"/>
        <v>218.17052300457252</v>
      </c>
    </row>
    <row r="9" spans="1:16" x14ac:dyDescent="0.25">
      <c r="A9" s="7" t="s">
        <v>492</v>
      </c>
      <c r="B9" s="137">
        <v>215.59</v>
      </c>
      <c r="C9" s="107">
        <v>231.06</v>
      </c>
      <c r="D9" s="27">
        <v>316.54000000000002</v>
      </c>
      <c r="E9" s="110" t="s">
        <v>30</v>
      </c>
      <c r="F9" s="111">
        <v>4.8099999999999996</v>
      </c>
      <c r="G9" s="103">
        <f t="shared" si="0"/>
        <v>49.814225400000005</v>
      </c>
      <c r="H9" s="17">
        <f t="shared" si="1"/>
        <v>68.242858600000005</v>
      </c>
      <c r="I9" s="17">
        <f t="shared" si="2"/>
        <v>8.8391900000000003</v>
      </c>
      <c r="J9" s="108">
        <f t="shared" si="3"/>
        <v>6.4121344462653642</v>
      </c>
      <c r="K9" s="20">
        <f t="shared" si="4"/>
        <v>133.30840844626536</v>
      </c>
      <c r="N9" s="71">
        <f t="shared" si="6"/>
        <v>48.220499098591553</v>
      </c>
      <c r="O9" s="72">
        <v>43.88</v>
      </c>
      <c r="P9" s="73">
        <f t="shared" si="5"/>
        <v>225.4089075448569</v>
      </c>
    </row>
    <row r="10" spans="1:16" x14ac:dyDescent="0.25">
      <c r="A10" s="7" t="s">
        <v>493</v>
      </c>
      <c r="B10" s="137">
        <v>223.41</v>
      </c>
      <c r="C10" s="107">
        <v>231.06</v>
      </c>
      <c r="D10" s="27">
        <v>316.54000000000002</v>
      </c>
      <c r="E10" s="110" t="s">
        <v>30</v>
      </c>
      <c r="F10" s="111">
        <v>5.17</v>
      </c>
      <c r="G10" s="103">
        <f t="shared" si="0"/>
        <v>51.621114599999999</v>
      </c>
      <c r="H10" s="17">
        <f t="shared" si="1"/>
        <v>70.718201400000012</v>
      </c>
      <c r="I10" s="17">
        <f t="shared" si="2"/>
        <v>9.1598100000000002</v>
      </c>
      <c r="J10" s="108">
        <f t="shared" si="3"/>
        <v>7.1691498620689655</v>
      </c>
      <c r="K10" s="20">
        <f t="shared" si="4"/>
        <v>138.66827586206898</v>
      </c>
      <c r="N10" s="71">
        <f t="shared" si="6"/>
        <v>49.96957977464789</v>
      </c>
      <c r="O10" s="72">
        <v>43.88</v>
      </c>
      <c r="P10" s="73">
        <f t="shared" si="5"/>
        <v>232.51785563671686</v>
      </c>
    </row>
    <row r="11" spans="1:16" x14ac:dyDescent="0.25">
      <c r="A11" s="7" t="s">
        <v>494</v>
      </c>
      <c r="B11" s="137">
        <v>234.33</v>
      </c>
      <c r="C11" s="107">
        <v>231.06</v>
      </c>
      <c r="D11" s="27">
        <v>316.54000000000002</v>
      </c>
      <c r="E11" s="110" t="s">
        <v>29</v>
      </c>
      <c r="F11" s="111">
        <v>5.47</v>
      </c>
      <c r="G11" s="103">
        <f t="shared" si="0"/>
        <v>54.144289800000003</v>
      </c>
      <c r="H11" s="17">
        <f t="shared" si="1"/>
        <v>74.174818200000004</v>
      </c>
      <c r="I11" s="17">
        <f t="shared" si="2"/>
        <v>3.0462899999999999</v>
      </c>
      <c r="J11" s="108">
        <f t="shared" si="3"/>
        <v>7.601488702634084</v>
      </c>
      <c r="K11" s="20">
        <f t="shared" si="4"/>
        <v>138.96688670263407</v>
      </c>
      <c r="N11" s="71">
        <f t="shared" si="6"/>
        <v>52.412030028169013</v>
      </c>
      <c r="O11" s="72">
        <v>43.88</v>
      </c>
      <c r="P11" s="73">
        <f t="shared" si="5"/>
        <v>235.25891673080309</v>
      </c>
    </row>
    <row r="12" spans="1:16" x14ac:dyDescent="0.25">
      <c r="A12" s="7" t="s">
        <v>495</v>
      </c>
      <c r="B12" s="137">
        <v>242.59</v>
      </c>
      <c r="C12" s="107">
        <v>248.23</v>
      </c>
      <c r="D12" s="27">
        <v>266.83999999999997</v>
      </c>
      <c r="E12" s="110" t="s">
        <v>30</v>
      </c>
      <c r="F12" s="111">
        <v>4.99</v>
      </c>
      <c r="G12" s="103">
        <f t="shared" si="0"/>
        <v>60.218115699999991</v>
      </c>
      <c r="H12" s="17">
        <f t="shared" si="1"/>
        <v>64.732715599999992</v>
      </c>
      <c r="I12" s="17">
        <f t="shared" si="2"/>
        <v>9.9461900000000014</v>
      </c>
      <c r="J12" s="108">
        <f t="shared" si="3"/>
        <v>7.0848977611514563</v>
      </c>
      <c r="K12" s="20">
        <f t="shared" si="4"/>
        <v>141.98191906115144</v>
      </c>
      <c r="N12" s="71">
        <f t="shared" si="6"/>
        <v>51.036255038028159</v>
      </c>
      <c r="O12" s="72">
        <v>43.88</v>
      </c>
      <c r="P12" s="73">
        <f t="shared" si="5"/>
        <v>236.89817409917958</v>
      </c>
    </row>
    <row r="13" spans="1:16" ht="15.75" thickBot="1" x14ac:dyDescent="0.3">
      <c r="A13" s="7" t="s">
        <v>517</v>
      </c>
      <c r="B13" s="137">
        <v>237.93</v>
      </c>
      <c r="C13" s="107">
        <v>248.23</v>
      </c>
      <c r="D13" s="27">
        <v>266.83999999999997</v>
      </c>
      <c r="E13" s="110" t="s">
        <v>29</v>
      </c>
      <c r="F13" s="111">
        <v>3.88</v>
      </c>
      <c r="G13" s="103">
        <f t="shared" si="0"/>
        <v>59.061363899999996</v>
      </c>
      <c r="H13" s="17">
        <f t="shared" si="1"/>
        <v>63.489241199999995</v>
      </c>
      <c r="I13" s="17">
        <f t="shared" si="2"/>
        <v>3.0930900000000001</v>
      </c>
      <c r="J13" s="108">
        <f t="shared" si="3"/>
        <v>5.0717596440699122</v>
      </c>
      <c r="K13" s="20">
        <f t="shared" si="4"/>
        <v>130.71545474406989</v>
      </c>
      <c r="N13" s="74">
        <f t="shared" si="6"/>
        <v>50.055880956338022</v>
      </c>
      <c r="O13" s="75">
        <v>43.88</v>
      </c>
      <c r="P13" s="76">
        <f t="shared" si="5"/>
        <v>224.65133570040791</v>
      </c>
    </row>
    <row r="14" spans="1:16" x14ac:dyDescent="0.25">
      <c r="E14" s="16"/>
    </row>
    <row r="16" spans="1:16" ht="15.75" thickBot="1" x14ac:dyDescent="0.3">
      <c r="P16" s="19">
        <f>SUM(P2:P13)</f>
        <v>2723.3315424732887</v>
      </c>
    </row>
    <row r="17" spans="1:5" x14ac:dyDescent="0.25">
      <c r="A17" s="173" t="s">
        <v>539</v>
      </c>
      <c r="B17" s="174"/>
      <c r="D17" s="130"/>
      <c r="E17" s="130"/>
    </row>
    <row r="18" spans="1:5" ht="15.75" thickBot="1" x14ac:dyDescent="0.3">
      <c r="A18" s="175" t="s">
        <v>526</v>
      </c>
      <c r="B18" s="176"/>
      <c r="D18" s="130"/>
      <c r="E18" s="130"/>
    </row>
    <row r="19" spans="1:5" x14ac:dyDescent="0.25">
      <c r="A19" s="173" t="s">
        <v>540</v>
      </c>
      <c r="B19" s="177"/>
      <c r="D19" s="130"/>
      <c r="E19" s="130"/>
    </row>
    <row r="20" spans="1:5" ht="15.75" thickBot="1" x14ac:dyDescent="0.3">
      <c r="A20" s="171" t="s">
        <v>529</v>
      </c>
      <c r="B20" s="172"/>
      <c r="D20" s="130"/>
      <c r="E20" s="130"/>
    </row>
    <row r="21" spans="1:5" x14ac:dyDescent="0.25">
      <c r="A21" s="178" t="s">
        <v>541</v>
      </c>
      <c r="B21" s="179"/>
      <c r="D21" s="130"/>
      <c r="E21" s="130"/>
    </row>
    <row r="22" spans="1:5" ht="15.75" thickBot="1" x14ac:dyDescent="0.3">
      <c r="A22" s="171" t="s">
        <v>534</v>
      </c>
      <c r="B22" s="172"/>
      <c r="D22" s="130"/>
      <c r="E22" s="130"/>
    </row>
  </sheetData>
  <mergeCells count="6">
    <mergeCell ref="A22:B22"/>
    <mergeCell ref="A17:B17"/>
    <mergeCell ref="A18:B18"/>
    <mergeCell ref="A19:B19"/>
    <mergeCell ref="A21:B21"/>
    <mergeCell ref="A20:B20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executar">
                <anchor moveWithCells="1" sizeWithCells="1">
                  <from>
                    <xdr:col>0</xdr:col>
                    <xdr:colOff>9525</xdr:colOff>
                    <xdr:row>22</xdr:row>
                    <xdr:rowOff>9525</xdr:rowOff>
                  </from>
                  <to>
                    <xdr:col>2</xdr:col>
                    <xdr:colOff>0</xdr:colOff>
                    <xdr:row>24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A1:N19"/>
  <sheetViews>
    <sheetView zoomScale="85" zoomScaleNormal="85" workbookViewId="0">
      <selection activeCell="B2" sqref="B2"/>
    </sheetView>
  </sheetViews>
  <sheetFormatPr defaultRowHeight="15" x14ac:dyDescent="0.25"/>
  <cols>
    <col min="1" max="1" width="9.140625" style="1"/>
    <col min="2" max="2" width="18.85546875" style="1" bestFit="1" customWidth="1"/>
    <col min="3" max="3" width="23" style="1" bestFit="1" customWidth="1"/>
    <col min="4" max="4" width="10.5703125" style="1" customWidth="1"/>
    <col min="5" max="5" width="42.28515625" style="1" bestFit="1" customWidth="1"/>
    <col min="6" max="6" width="25.28515625" style="1" bestFit="1" customWidth="1"/>
    <col min="7" max="7" width="9.140625" style="1"/>
    <col min="8" max="8" width="14.28515625" style="1" customWidth="1"/>
    <col min="9" max="13" width="9.140625" style="1"/>
    <col min="14" max="14" width="5.140625" style="1" customWidth="1"/>
    <col min="15" max="16384" width="9.140625" style="1"/>
  </cols>
  <sheetData>
    <row r="1" spans="1:14" x14ac:dyDescent="0.25">
      <c r="A1" s="6" t="s">
        <v>0</v>
      </c>
      <c r="B1" s="24" t="s">
        <v>518</v>
      </c>
      <c r="C1" s="25" t="s">
        <v>36</v>
      </c>
      <c r="D1" s="9" t="s">
        <v>17</v>
      </c>
      <c r="E1" s="10" t="s">
        <v>428</v>
      </c>
      <c r="F1" s="9" t="s">
        <v>16</v>
      </c>
    </row>
    <row r="2" spans="1:14" x14ac:dyDescent="0.25">
      <c r="A2" s="7" t="s">
        <v>2</v>
      </c>
      <c r="B2" s="84">
        <f>SUM('ANÁLISE ACR'!B2:B2)</f>
        <v>249.57</v>
      </c>
      <c r="C2" s="23">
        <v>220</v>
      </c>
      <c r="D2" s="3">
        <f>(B2-C2)</f>
        <v>29.569999999999993</v>
      </c>
      <c r="E2" s="21">
        <v>200</v>
      </c>
      <c r="F2" s="22">
        <f>(C2*E2/1000)</f>
        <v>44</v>
      </c>
    </row>
    <row r="3" spans="1:14" ht="15.75" thickBot="1" x14ac:dyDescent="0.3">
      <c r="A3" s="7" t="s">
        <v>3</v>
      </c>
      <c r="B3" s="131">
        <f>SUM('ANÁLISE ACR'!B3:B3)</f>
        <v>247.76</v>
      </c>
      <c r="C3" s="23">
        <v>220</v>
      </c>
      <c r="D3" s="3">
        <f t="shared" ref="D3:D13" si="0">(B3-C3)</f>
        <v>27.759999999999991</v>
      </c>
      <c r="E3" s="21">
        <v>200</v>
      </c>
      <c r="F3" s="22">
        <f t="shared" ref="F3:F13" si="1">(C3*E3/1000)</f>
        <v>44</v>
      </c>
    </row>
    <row r="4" spans="1:14" x14ac:dyDescent="0.25">
      <c r="A4" s="7" t="s">
        <v>4</v>
      </c>
      <c r="B4" s="131">
        <f>SUM('ANÁLISE ACR'!B4:B4)</f>
        <v>243.22</v>
      </c>
      <c r="C4" s="23">
        <v>220</v>
      </c>
      <c r="D4" s="3">
        <f t="shared" si="0"/>
        <v>23.22</v>
      </c>
      <c r="E4" s="21">
        <v>200</v>
      </c>
      <c r="F4" s="22">
        <f t="shared" si="1"/>
        <v>44</v>
      </c>
      <c r="H4" s="180" t="s">
        <v>485</v>
      </c>
      <c r="I4" s="181"/>
      <c r="J4" s="181"/>
      <c r="K4" s="181"/>
      <c r="L4" s="181"/>
      <c r="M4" s="181"/>
      <c r="N4" s="182"/>
    </row>
    <row r="5" spans="1:14" x14ac:dyDescent="0.25">
      <c r="A5" s="7" t="s">
        <v>5</v>
      </c>
      <c r="B5" s="131">
        <f>SUM('ANÁLISE ACR'!B5:B5)</f>
        <v>229.23</v>
      </c>
      <c r="C5" s="23">
        <v>220</v>
      </c>
      <c r="D5" s="3">
        <f t="shared" si="0"/>
        <v>9.2299999999999898</v>
      </c>
      <c r="E5" s="21">
        <v>200</v>
      </c>
      <c r="F5" s="22">
        <f t="shared" si="1"/>
        <v>44</v>
      </c>
      <c r="H5" s="71"/>
      <c r="I5" s="52"/>
      <c r="J5" s="52"/>
      <c r="K5" s="52"/>
      <c r="L5" s="52"/>
      <c r="M5" s="52"/>
      <c r="N5" s="78"/>
    </row>
    <row r="6" spans="1:14" x14ac:dyDescent="0.25">
      <c r="A6" s="7" t="s">
        <v>6</v>
      </c>
      <c r="B6" s="131">
        <f>SUM('ANÁLISE ACR'!B6:B6)</f>
        <v>234.07</v>
      </c>
      <c r="C6" s="23">
        <v>220</v>
      </c>
      <c r="D6" s="3">
        <f t="shared" si="0"/>
        <v>14.069999999999993</v>
      </c>
      <c r="E6" s="21">
        <v>200</v>
      </c>
      <c r="F6" s="22">
        <f t="shared" si="1"/>
        <v>44</v>
      </c>
      <c r="H6" s="71"/>
      <c r="I6" s="52"/>
      <c r="J6" s="52"/>
      <c r="K6" s="52"/>
      <c r="L6" s="52"/>
      <c r="M6" s="52"/>
      <c r="N6" s="78"/>
    </row>
    <row r="7" spans="1:14" x14ac:dyDescent="0.25">
      <c r="A7" s="7" t="s">
        <v>7</v>
      </c>
      <c r="B7" s="131">
        <f>SUM('ANÁLISE ACR'!B7:B7)</f>
        <v>218.34</v>
      </c>
      <c r="C7" s="23">
        <v>220</v>
      </c>
      <c r="D7" s="3">
        <f t="shared" si="0"/>
        <v>-1.6599999999999966</v>
      </c>
      <c r="E7" s="21">
        <v>200</v>
      </c>
      <c r="F7" s="22">
        <f t="shared" si="1"/>
        <v>44</v>
      </c>
      <c r="H7" s="71"/>
      <c r="I7" s="52"/>
      <c r="J7" s="52"/>
      <c r="K7" s="52"/>
      <c r="L7" s="52"/>
      <c r="M7" s="52"/>
      <c r="N7" s="78"/>
    </row>
    <row r="8" spans="1:14" x14ac:dyDescent="0.25">
      <c r="A8" s="7" t="s">
        <v>8</v>
      </c>
      <c r="B8" s="131">
        <f>SUM('ANÁLISE ACR'!B8:B8)</f>
        <v>214.47</v>
      </c>
      <c r="C8" s="23">
        <v>220</v>
      </c>
      <c r="D8" s="3">
        <f t="shared" si="0"/>
        <v>-5.5300000000000011</v>
      </c>
      <c r="E8" s="21">
        <v>200</v>
      </c>
      <c r="F8" s="22">
        <f t="shared" si="1"/>
        <v>44</v>
      </c>
      <c r="H8" s="71"/>
      <c r="I8" s="52"/>
      <c r="J8" s="52"/>
      <c r="K8" s="52"/>
      <c r="L8" s="52"/>
      <c r="M8" s="52"/>
      <c r="N8" s="78"/>
    </row>
    <row r="9" spans="1:14" x14ac:dyDescent="0.25">
      <c r="A9" s="7" t="s">
        <v>9</v>
      </c>
      <c r="B9" s="131">
        <f>SUM('ANÁLISE ACR'!B9:B9)</f>
        <v>215.59</v>
      </c>
      <c r="C9" s="23">
        <v>220</v>
      </c>
      <c r="D9" s="3">
        <f t="shared" si="0"/>
        <v>-4.4099999999999966</v>
      </c>
      <c r="E9" s="21">
        <v>200</v>
      </c>
      <c r="F9" s="22">
        <f t="shared" si="1"/>
        <v>44</v>
      </c>
      <c r="H9" s="71"/>
      <c r="I9" s="52"/>
      <c r="J9" s="52"/>
      <c r="K9" s="52"/>
      <c r="L9" s="52"/>
      <c r="M9" s="52"/>
      <c r="N9" s="78"/>
    </row>
    <row r="10" spans="1:14" x14ac:dyDescent="0.25">
      <c r="A10" s="7" t="s">
        <v>10</v>
      </c>
      <c r="B10" s="131">
        <f>SUM('ANÁLISE ACR'!B10:B10)</f>
        <v>223.41</v>
      </c>
      <c r="C10" s="23">
        <v>220</v>
      </c>
      <c r="D10" s="3">
        <f t="shared" si="0"/>
        <v>3.4099999999999966</v>
      </c>
      <c r="E10" s="21">
        <v>200</v>
      </c>
      <c r="F10" s="22">
        <f t="shared" si="1"/>
        <v>44</v>
      </c>
      <c r="H10" s="71"/>
      <c r="I10" s="52"/>
      <c r="J10" s="52"/>
      <c r="K10" s="52"/>
      <c r="L10" s="52"/>
      <c r="M10" s="52"/>
      <c r="N10" s="78"/>
    </row>
    <row r="11" spans="1:14" x14ac:dyDescent="0.25">
      <c r="A11" s="7" t="s">
        <v>11</v>
      </c>
      <c r="B11" s="131">
        <f>SUM('ANÁLISE ACR'!B11:B11)</f>
        <v>234.33</v>
      </c>
      <c r="C11" s="23">
        <v>220</v>
      </c>
      <c r="D11" s="3">
        <f t="shared" si="0"/>
        <v>14.330000000000013</v>
      </c>
      <c r="E11" s="21">
        <v>200</v>
      </c>
      <c r="F11" s="22">
        <f t="shared" si="1"/>
        <v>44</v>
      </c>
      <c r="H11" s="71"/>
      <c r="I11" s="52"/>
      <c r="J11" s="52"/>
      <c r="K11" s="52"/>
      <c r="L11" s="52"/>
      <c r="M11" s="52"/>
      <c r="N11" s="78"/>
    </row>
    <row r="12" spans="1:14" x14ac:dyDescent="0.25">
      <c r="A12" s="7" t="s">
        <v>12</v>
      </c>
      <c r="B12" s="131">
        <f>SUM('ANÁLISE ACR'!B12:B12)</f>
        <v>242.59</v>
      </c>
      <c r="C12" s="23">
        <v>220</v>
      </c>
      <c r="D12" s="3">
        <f t="shared" si="0"/>
        <v>22.590000000000003</v>
      </c>
      <c r="E12" s="21">
        <v>200</v>
      </c>
      <c r="F12" s="22">
        <f t="shared" si="1"/>
        <v>44</v>
      </c>
      <c r="H12" s="71"/>
      <c r="I12" s="52"/>
      <c r="J12" s="52"/>
      <c r="K12" s="52"/>
      <c r="L12" s="52"/>
      <c r="M12" s="52"/>
      <c r="N12" s="78"/>
    </row>
    <row r="13" spans="1:14" x14ac:dyDescent="0.25">
      <c r="A13" s="7" t="s">
        <v>13</v>
      </c>
      <c r="B13" s="131">
        <f>SUM('ANÁLISE ACR'!B13:B13)</f>
        <v>237.93</v>
      </c>
      <c r="C13" s="23">
        <v>220</v>
      </c>
      <c r="D13" s="3">
        <f t="shared" si="0"/>
        <v>17.930000000000007</v>
      </c>
      <c r="E13" s="21">
        <v>200</v>
      </c>
      <c r="F13" s="22">
        <f t="shared" si="1"/>
        <v>44</v>
      </c>
      <c r="H13" s="71"/>
      <c r="I13" s="52"/>
      <c r="J13" s="52"/>
      <c r="K13" s="52"/>
      <c r="L13" s="52"/>
      <c r="M13" s="52"/>
      <c r="N13" s="78"/>
    </row>
    <row r="14" spans="1:14" ht="15.75" thickBot="1" x14ac:dyDescent="0.3">
      <c r="H14" s="74"/>
      <c r="I14" s="79"/>
      <c r="J14" s="79"/>
      <c r="K14" s="79"/>
      <c r="L14" s="79"/>
      <c r="M14" s="79"/>
      <c r="N14" s="80"/>
    </row>
    <row r="15" spans="1:14" ht="15.75" thickBot="1" x14ac:dyDescent="0.3">
      <c r="D15" s="53"/>
      <c r="E15" s="55" t="s">
        <v>427</v>
      </c>
      <c r="F15" s="54">
        <v>200</v>
      </c>
    </row>
    <row r="16" spans="1:14" ht="15.75" thickBot="1" x14ac:dyDescent="0.3">
      <c r="D16" s="52"/>
      <c r="E16" s="81" t="s">
        <v>430</v>
      </c>
      <c r="F16" s="56">
        <v>220</v>
      </c>
    </row>
    <row r="17" spans="3:5" x14ac:dyDescent="0.25">
      <c r="D17" s="52"/>
      <c r="E17" s="52"/>
    </row>
    <row r="18" spans="3:5" x14ac:dyDescent="0.25">
      <c r="D18" s="52"/>
      <c r="E18" s="52"/>
    </row>
    <row r="19" spans="3:5" x14ac:dyDescent="0.25">
      <c r="C19" s="104"/>
      <c r="D19" s="106"/>
      <c r="E19" s="106"/>
    </row>
  </sheetData>
  <mergeCells count="1">
    <mergeCell ref="H4:N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Flexibilização_Mensal">
                <anchor moveWithCells="1" sizeWithCells="1">
                  <from>
                    <xdr:col>10</xdr:col>
                    <xdr:colOff>238125</xdr:colOff>
                    <xdr:row>9</xdr:row>
                    <xdr:rowOff>9525</xdr:rowOff>
                  </from>
                  <to>
                    <xdr:col>12</xdr:col>
                    <xdr:colOff>571500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Modulacao">
                <anchor moveWithCells="1" sizeWithCells="1">
                  <from>
                    <xdr:col>7</xdr:col>
                    <xdr:colOff>228600</xdr:colOff>
                    <xdr:row>9</xdr:row>
                    <xdr:rowOff>9525</xdr:rowOff>
                  </from>
                  <to>
                    <xdr:col>9</xdr:col>
                    <xdr:colOff>314325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Tradicional">
                <anchor moveWithCells="1" sizeWithCells="1">
                  <from>
                    <xdr:col>7</xdr:col>
                    <xdr:colOff>238125</xdr:colOff>
                    <xdr:row>4</xdr:row>
                    <xdr:rowOff>114300</xdr:rowOff>
                  </from>
                  <to>
                    <xdr:col>9</xdr:col>
                    <xdr:colOff>304800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Sazonalização">
                <anchor moveWithCells="1" sizeWithCells="1">
                  <from>
                    <xdr:col>10</xdr:col>
                    <xdr:colOff>247650</xdr:colOff>
                    <xdr:row>4</xdr:row>
                    <xdr:rowOff>123825</xdr:rowOff>
                  </from>
                  <to>
                    <xdr:col>12</xdr:col>
                    <xdr:colOff>581025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D14"/>
  <sheetViews>
    <sheetView zoomScale="115" zoomScaleNormal="115" workbookViewId="0">
      <selection activeCell="D4" sqref="D4"/>
    </sheetView>
  </sheetViews>
  <sheetFormatPr defaultRowHeight="15" x14ac:dyDescent="0.25"/>
  <cols>
    <col min="1" max="1" width="9.140625" style="1"/>
    <col min="2" max="2" width="9.140625" style="12"/>
    <col min="3" max="3" width="16.28515625" style="1" customWidth="1"/>
    <col min="4" max="4" width="28.28515625" style="1" bestFit="1" customWidth="1"/>
    <col min="5" max="16384" width="9.140625" style="1"/>
  </cols>
  <sheetData>
    <row r="1" spans="1:4" x14ac:dyDescent="0.25">
      <c r="A1" s="183" t="s">
        <v>0</v>
      </c>
      <c r="B1" s="187" t="s">
        <v>17</v>
      </c>
      <c r="C1" s="189" t="s">
        <v>425</v>
      </c>
      <c r="D1" s="185" t="s">
        <v>431</v>
      </c>
    </row>
    <row r="2" spans="1:4" x14ac:dyDescent="0.25">
      <c r="A2" s="184"/>
      <c r="B2" s="188"/>
      <c r="C2" s="190"/>
      <c r="D2" s="186"/>
    </row>
    <row r="3" spans="1:4" x14ac:dyDescent="0.25">
      <c r="A3" s="7" t="s">
        <v>2</v>
      </c>
      <c r="B3" s="11">
        <f>('MLP - ACL'!D2)</f>
        <v>29.569999999999993</v>
      </c>
      <c r="C3" s="13">
        <f>('ANÁLISE PLD'!Q29)</f>
        <v>332</v>
      </c>
      <c r="D3" s="49">
        <f>(B3*C3/1000)</f>
        <v>9.8172399999999982</v>
      </c>
    </row>
    <row r="4" spans="1:4" x14ac:dyDescent="0.25">
      <c r="A4" s="7" t="s">
        <v>3</v>
      </c>
      <c r="B4" s="11">
        <f>('MLP - ACL'!D3)</f>
        <v>27.759999999999991</v>
      </c>
      <c r="C4" s="13">
        <f>('ANÁLISE PLD'!B1417)</f>
        <v>340.93</v>
      </c>
      <c r="D4" s="49">
        <f t="shared" ref="D4:D14" si="0">(B4*C4/1000)</f>
        <v>9.4642167999999973</v>
      </c>
    </row>
    <row r="5" spans="1:4" x14ac:dyDescent="0.25">
      <c r="A5" s="7" t="s">
        <v>4</v>
      </c>
      <c r="B5" s="11">
        <f>('MLP - ACL'!D4)</f>
        <v>23.22</v>
      </c>
      <c r="C5" s="13">
        <f>('ANÁLISE PLD'!B2161)</f>
        <v>105.59</v>
      </c>
      <c r="D5" s="49">
        <f t="shared" si="0"/>
        <v>2.4517997999999999</v>
      </c>
    </row>
    <row r="6" spans="1:4" x14ac:dyDescent="0.25">
      <c r="A6" s="7" t="s">
        <v>5</v>
      </c>
      <c r="B6" s="11">
        <f>('MLP - ACL'!D5)</f>
        <v>9.2299999999999898</v>
      </c>
      <c r="C6" s="13">
        <f>('ANÁLISE PLD'!B2881)</f>
        <v>143.28</v>
      </c>
      <c r="D6" s="49">
        <f t="shared" si="0"/>
        <v>1.3224743999999984</v>
      </c>
    </row>
    <row r="7" spans="1:4" x14ac:dyDescent="0.25">
      <c r="A7" s="7" t="s">
        <v>6</v>
      </c>
      <c r="B7" s="11">
        <f>('MLP - ACL'!D6)</f>
        <v>14.069999999999993</v>
      </c>
      <c r="C7" s="13">
        <f>('ANÁLISE PLD'!B3625)</f>
        <v>123.84</v>
      </c>
      <c r="D7" s="49">
        <f t="shared" si="0"/>
        <v>1.7424287999999992</v>
      </c>
    </row>
    <row r="8" spans="1:4" x14ac:dyDescent="0.25">
      <c r="A8" s="7" t="s">
        <v>7</v>
      </c>
      <c r="B8" s="11">
        <f>('MLP - ACL'!D7)</f>
        <v>-1.6599999999999966</v>
      </c>
      <c r="C8" s="13">
        <f>('ANÁLISE PLD'!B4345)</f>
        <v>169.99</v>
      </c>
      <c r="D8" s="49">
        <f t="shared" si="0"/>
        <v>-0.28218339999999942</v>
      </c>
    </row>
    <row r="9" spans="1:4" x14ac:dyDescent="0.25">
      <c r="A9" s="7" t="s">
        <v>8</v>
      </c>
      <c r="B9" s="11">
        <f>('MLP - ACL'!D8)</f>
        <v>-5.5300000000000011</v>
      </c>
      <c r="C9" s="13">
        <f>('ANÁLISE PLD'!B5089)</f>
        <v>225.63</v>
      </c>
      <c r="D9" s="49">
        <f t="shared" si="0"/>
        <v>-1.2477339000000003</v>
      </c>
    </row>
    <row r="10" spans="1:4" x14ac:dyDescent="0.25">
      <c r="A10" s="7" t="s">
        <v>9</v>
      </c>
      <c r="B10" s="11">
        <f>('MLP - ACL'!D9)</f>
        <v>-4.4099999999999966</v>
      </c>
      <c r="C10" s="13">
        <f>('ANÁLISE PLD'!B5833)</f>
        <v>223.02</v>
      </c>
      <c r="D10" s="49">
        <f t="shared" si="0"/>
        <v>-0.98351819999999934</v>
      </c>
    </row>
    <row r="11" spans="1:4" x14ac:dyDescent="0.25">
      <c r="A11" s="7" t="s">
        <v>10</v>
      </c>
      <c r="B11" s="11">
        <f>('MLP - ACL'!D10)</f>
        <v>3.4099999999999966</v>
      </c>
      <c r="C11" s="13">
        <f>('ANÁLISE PLD'!B6553)</f>
        <v>318.60000000000002</v>
      </c>
      <c r="D11" s="49">
        <f t="shared" si="0"/>
        <v>1.086425999999999</v>
      </c>
    </row>
    <row r="12" spans="1:4" x14ac:dyDescent="0.25">
      <c r="A12" s="7" t="s">
        <v>11</v>
      </c>
      <c r="B12" s="11">
        <f>('MLP - ACL'!D11)</f>
        <v>14.330000000000013</v>
      </c>
      <c r="C12" s="13">
        <f>('ANÁLISE PLD'!B7297)</f>
        <v>316.39</v>
      </c>
      <c r="D12" s="49">
        <f t="shared" si="0"/>
        <v>4.5338687000000037</v>
      </c>
    </row>
    <row r="13" spans="1:4" x14ac:dyDescent="0.25">
      <c r="A13" s="7" t="s">
        <v>12</v>
      </c>
      <c r="B13" s="11">
        <f>('MLP - ACL'!D12)</f>
        <v>22.590000000000003</v>
      </c>
      <c r="C13" s="13">
        <f>('ANÁLISE PLD'!B8017)</f>
        <v>250.36</v>
      </c>
      <c r="D13" s="49">
        <f t="shared" si="0"/>
        <v>5.6556324000000009</v>
      </c>
    </row>
    <row r="14" spans="1:4" x14ac:dyDescent="0.25">
      <c r="A14" s="7" t="s">
        <v>13</v>
      </c>
      <c r="B14" s="11">
        <f>('MLP - ACL'!D13)</f>
        <v>17.930000000000007</v>
      </c>
      <c r="C14" s="13">
        <f>('ANÁLISE PLD'!B8761)</f>
        <v>290.19</v>
      </c>
      <c r="D14" s="49">
        <f t="shared" si="0"/>
        <v>5.203106700000002</v>
      </c>
    </row>
  </sheetData>
  <mergeCells count="4">
    <mergeCell ref="A1:A2"/>
    <mergeCell ref="D1:D2"/>
    <mergeCell ref="B1:B2"/>
    <mergeCell ref="C1:C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H15"/>
  <sheetViews>
    <sheetView zoomScale="85" zoomScaleNormal="85" workbookViewId="0">
      <selection activeCell="J16" sqref="J16"/>
    </sheetView>
  </sheetViews>
  <sheetFormatPr defaultRowHeight="15" x14ac:dyDescent="0.25"/>
  <cols>
    <col min="1" max="1" width="9.140625" style="1"/>
    <col min="2" max="2" width="9.28515625" style="1" bestFit="1" customWidth="1"/>
    <col min="3" max="3" width="12.28515625" style="1" bestFit="1" customWidth="1"/>
    <col min="4" max="4" width="11.42578125" style="1" bestFit="1" customWidth="1"/>
    <col min="5" max="5" width="12.140625" style="1" customWidth="1"/>
    <col min="6" max="6" width="12.5703125" style="1" bestFit="1" customWidth="1"/>
    <col min="7" max="7" width="10.85546875" style="1" bestFit="1" customWidth="1"/>
    <col min="8" max="8" width="24.28515625" style="1" bestFit="1" customWidth="1"/>
    <col min="9" max="16384" width="9.140625" style="1"/>
  </cols>
  <sheetData>
    <row r="1" spans="1:8" x14ac:dyDescent="0.25">
      <c r="A1" s="6" t="s">
        <v>0</v>
      </c>
      <c r="B1" s="8" t="s">
        <v>1</v>
      </c>
      <c r="C1" s="8" t="s">
        <v>18</v>
      </c>
      <c r="D1" s="9" t="s">
        <v>19</v>
      </c>
      <c r="E1" s="14" t="s">
        <v>548</v>
      </c>
      <c r="F1" s="10" t="s">
        <v>21</v>
      </c>
      <c r="G1" s="10" t="s">
        <v>20</v>
      </c>
      <c r="H1" s="9" t="s">
        <v>25</v>
      </c>
    </row>
    <row r="2" spans="1:8" x14ac:dyDescent="0.25">
      <c r="A2" s="7" t="s">
        <v>2</v>
      </c>
      <c r="B2" s="86">
        <f>('ANÁLISE ACR'!B2)</f>
        <v>249.57</v>
      </c>
      <c r="C2" s="2">
        <f>('MLP - ACL'!F2)</f>
        <v>44</v>
      </c>
      <c r="D2" s="85">
        <f>('MCP - ACL'!D3)</f>
        <v>9.8172399999999982</v>
      </c>
      <c r="E2" s="28">
        <v>231.06</v>
      </c>
      <c r="F2" s="26">
        <f>('ANÁLISE ACR'!J2)</f>
        <v>7.6181242500000002</v>
      </c>
      <c r="G2" s="26">
        <f>('ANÁLISE ACR'!G2)</f>
        <v>57.665644200000003</v>
      </c>
      <c r="H2" s="22">
        <f>(C2+D2+F2+G2)</f>
        <v>119.10100844999999</v>
      </c>
    </row>
    <row r="3" spans="1:8" x14ac:dyDescent="0.25">
      <c r="A3" s="7" t="s">
        <v>3</v>
      </c>
      <c r="B3" s="86">
        <f>('ANÁLISE ACR'!B3)</f>
        <v>247.76</v>
      </c>
      <c r="C3" s="2">
        <f>('MLP - ACL'!F3)</f>
        <v>44</v>
      </c>
      <c r="D3" s="85">
        <f>('MCP - ACL'!D4)</f>
        <v>9.4642167999999973</v>
      </c>
      <c r="E3" s="28">
        <v>231.06</v>
      </c>
      <c r="F3" s="26">
        <f>('ANÁLISE ACR'!J3)</f>
        <v>4.8334342734051363</v>
      </c>
      <c r="G3" s="26">
        <f>('ANÁLISE ACR'!G3)</f>
        <v>57.247425599999993</v>
      </c>
      <c r="H3" s="22">
        <f>(C3+D3+F3+G3)</f>
        <v>115.54507667340513</v>
      </c>
    </row>
    <row r="4" spans="1:8" x14ac:dyDescent="0.25">
      <c r="A4" s="7" t="s">
        <v>4</v>
      </c>
      <c r="B4" s="86">
        <f>('ANÁLISE ACR'!B4)</f>
        <v>243.22</v>
      </c>
      <c r="C4" s="2">
        <f>('MLP - ACL'!F4)</f>
        <v>44</v>
      </c>
      <c r="D4" s="85">
        <f>('MCP - ACL'!D5)</f>
        <v>2.4517997999999999</v>
      </c>
      <c r="E4" s="28">
        <v>231.06</v>
      </c>
      <c r="F4" s="26">
        <f>('ANÁLISE ACR'!J4)</f>
        <v>6.6272062699979015</v>
      </c>
      <c r="G4" s="26">
        <f>('ANÁLISE ACR'!G4)</f>
        <v>56.198413200000005</v>
      </c>
      <c r="H4" s="22">
        <f>(C4+D4+F4+G4)</f>
        <v>109.27741926999791</v>
      </c>
    </row>
    <row r="5" spans="1:8" x14ac:dyDescent="0.25">
      <c r="A5" s="7" t="s">
        <v>5</v>
      </c>
      <c r="B5" s="86">
        <f>('ANÁLISE ACR'!B5)</f>
        <v>229.23</v>
      </c>
      <c r="C5" s="2">
        <f>('MLP - ACL'!F5)</f>
        <v>44</v>
      </c>
      <c r="D5" s="85">
        <f>('MCP - ACL'!D6)</f>
        <v>1.3224743999999984</v>
      </c>
      <c r="E5" s="28">
        <v>231.06</v>
      </c>
      <c r="F5" s="26">
        <f>('ANÁLISE ACR'!J5)</f>
        <v>7.3620153283929692</v>
      </c>
      <c r="G5" s="26">
        <f>('ANÁLISE ACR'!G5)</f>
        <v>52.965883799999993</v>
      </c>
      <c r="H5" s="22">
        <f>(C5+D5+F5+G5)</f>
        <v>105.65037352839296</v>
      </c>
    </row>
    <row r="6" spans="1:8" x14ac:dyDescent="0.25">
      <c r="A6" s="7" t="s">
        <v>6</v>
      </c>
      <c r="B6" s="86">
        <f>('ANÁLISE ACR'!B6)</f>
        <v>234.07</v>
      </c>
      <c r="C6" s="2">
        <f>('MLP - ACL'!F6)</f>
        <v>44</v>
      </c>
      <c r="D6" s="85">
        <f>('MCP - ACL'!D7)</f>
        <v>1.7424287999999992</v>
      </c>
      <c r="E6" s="28">
        <v>231.06</v>
      </c>
      <c r="F6" s="26">
        <f>('ANÁLISE ACR'!J6)</f>
        <v>7.6371220211640223</v>
      </c>
      <c r="G6" s="26">
        <f>('ANÁLISE ACR'!G6)</f>
        <v>54.084214200000005</v>
      </c>
      <c r="H6" s="22">
        <f>(C6+D6+F6+G6)</f>
        <v>107.46376502116402</v>
      </c>
    </row>
    <row r="7" spans="1:8" x14ac:dyDescent="0.25">
      <c r="A7" s="7" t="s">
        <v>7</v>
      </c>
      <c r="B7" s="86">
        <f>('ANÁLISE ACR'!B7)</f>
        <v>218.34</v>
      </c>
      <c r="C7" s="2">
        <f>('MLP - ACL'!F7)</f>
        <v>44</v>
      </c>
      <c r="D7" s="85">
        <f>('MCP - ACL'!D8)</f>
        <v>-0.28218339999999942</v>
      </c>
      <c r="E7" s="28">
        <v>231.06</v>
      </c>
      <c r="F7" s="26">
        <f>('ANÁLISE ACR'!J7)</f>
        <v>5.4898180081581431</v>
      </c>
      <c r="G7" s="26">
        <f>('ANÁLISE ACR'!G7)</f>
        <v>50.449640400000007</v>
      </c>
      <c r="H7" s="22">
        <f>(C7+D7+F7+G7)</f>
        <v>99.657275008158152</v>
      </c>
    </row>
    <row r="8" spans="1:8" x14ac:dyDescent="0.25">
      <c r="A8" s="7" t="s">
        <v>8</v>
      </c>
      <c r="B8" s="86">
        <f>('ANÁLISE ACR'!B8)</f>
        <v>214.47</v>
      </c>
      <c r="C8" s="2">
        <f>('MLP - ACL'!F8)</f>
        <v>44</v>
      </c>
      <c r="D8" s="85">
        <f>('MCP - ACL'!D9)</f>
        <v>-1.2477339000000003</v>
      </c>
      <c r="E8" s="28">
        <v>231.06</v>
      </c>
      <c r="F8" s="26">
        <f>('ANÁLISE ACR'!J8)</f>
        <v>6.0886496242908184</v>
      </c>
      <c r="G8" s="26">
        <f>('ANÁLISE ACR'!G8)</f>
        <v>49.555438199999998</v>
      </c>
      <c r="H8" s="22">
        <f>(C8+D8+F8+G8)</f>
        <v>98.396353924290821</v>
      </c>
    </row>
    <row r="9" spans="1:8" x14ac:dyDescent="0.25">
      <c r="A9" s="7" t="s">
        <v>9</v>
      </c>
      <c r="B9" s="86">
        <f>('ANÁLISE ACR'!B9)</f>
        <v>215.59</v>
      </c>
      <c r="C9" s="2">
        <f>('MLP - ACL'!F9)</f>
        <v>44</v>
      </c>
      <c r="D9" s="85">
        <f>('MCP - ACL'!D10)</f>
        <v>-0.98351819999999934</v>
      </c>
      <c r="E9" s="28">
        <v>231.06</v>
      </c>
      <c r="F9" s="26">
        <f>('ANÁLISE ACR'!J9)</f>
        <v>6.4121344462653642</v>
      </c>
      <c r="G9" s="26">
        <f>('ANÁLISE ACR'!G9)</f>
        <v>49.814225400000005</v>
      </c>
      <c r="H9" s="22">
        <f>(C9+D9+F9+G9)</f>
        <v>99.242841646265362</v>
      </c>
    </row>
    <row r="10" spans="1:8" x14ac:dyDescent="0.25">
      <c r="A10" s="7" t="s">
        <v>10</v>
      </c>
      <c r="B10" s="86">
        <f>('ANÁLISE ACR'!B10)</f>
        <v>223.41</v>
      </c>
      <c r="C10" s="2">
        <f>('MLP - ACL'!F10)</f>
        <v>44</v>
      </c>
      <c r="D10" s="85">
        <f>('MCP - ACL'!D11)</f>
        <v>1.086425999999999</v>
      </c>
      <c r="E10" s="28">
        <v>231.06</v>
      </c>
      <c r="F10" s="26">
        <f>('ANÁLISE ACR'!J10)</f>
        <v>7.1691498620689655</v>
      </c>
      <c r="G10" s="26">
        <f>('ANÁLISE ACR'!G10)</f>
        <v>51.621114599999999</v>
      </c>
      <c r="H10" s="22">
        <f>(C10+D10+F10+G10)</f>
        <v>103.87669046206895</v>
      </c>
    </row>
    <row r="11" spans="1:8" x14ac:dyDescent="0.25">
      <c r="A11" s="7" t="s">
        <v>11</v>
      </c>
      <c r="B11" s="86">
        <f>('ANÁLISE ACR'!B11)</f>
        <v>234.33</v>
      </c>
      <c r="C11" s="2">
        <f>('MLP - ACL'!F11)</f>
        <v>44</v>
      </c>
      <c r="D11" s="85">
        <f>('MCP - ACL'!D12)</f>
        <v>4.5338687000000037</v>
      </c>
      <c r="E11" s="28">
        <v>231.06</v>
      </c>
      <c r="F11" s="26">
        <f>('ANÁLISE ACR'!J11)</f>
        <v>7.601488702634084</v>
      </c>
      <c r="G11" s="26">
        <f>('ANÁLISE ACR'!G11)</f>
        <v>54.144289800000003</v>
      </c>
      <c r="H11" s="22">
        <f>(C11+D11+F11+G11)</f>
        <v>110.2796472026341</v>
      </c>
    </row>
    <row r="12" spans="1:8" x14ac:dyDescent="0.25">
      <c r="A12" s="7" t="s">
        <v>12</v>
      </c>
      <c r="B12" s="86">
        <f>('ANÁLISE ACR'!B12)</f>
        <v>242.59</v>
      </c>
      <c r="C12" s="2">
        <f>('MLP - ACL'!F12)</f>
        <v>44</v>
      </c>
      <c r="D12" s="85">
        <f>('MCP - ACL'!D13)</f>
        <v>5.6556324000000009</v>
      </c>
      <c r="E12" s="28">
        <v>248.23</v>
      </c>
      <c r="F12" s="26">
        <f>('ANÁLISE ACR'!J12)</f>
        <v>7.0848977611514563</v>
      </c>
      <c r="G12" s="26">
        <f>('ANÁLISE ACR'!G12)</f>
        <v>60.218115699999991</v>
      </c>
      <c r="H12" s="22">
        <f>(C12+D12+F12+G12)</f>
        <v>116.95864586115144</v>
      </c>
    </row>
    <row r="13" spans="1:8" x14ac:dyDescent="0.25">
      <c r="A13" s="7" t="s">
        <v>13</v>
      </c>
      <c r="B13" s="86">
        <f>('ANÁLISE ACR'!B13)</f>
        <v>237.93</v>
      </c>
      <c r="C13" s="2">
        <f>('MLP - ACL'!F13)</f>
        <v>44</v>
      </c>
      <c r="D13" s="85">
        <f>('MCP - ACL'!D14)</f>
        <v>5.203106700000002</v>
      </c>
      <c r="E13" s="28">
        <v>248.23</v>
      </c>
      <c r="F13" s="26">
        <f>('ANÁLISE ACR'!J13)</f>
        <v>5.0717596440699122</v>
      </c>
      <c r="G13" s="26">
        <f>('ANÁLISE ACR'!G13)</f>
        <v>59.061363899999996</v>
      </c>
      <c r="H13" s="22">
        <f>(C13+D13+F13+G13)</f>
        <v>113.33623024406991</v>
      </c>
    </row>
    <row r="14" spans="1:8" ht="15.75" thickBot="1" x14ac:dyDescent="0.3"/>
    <row r="15" spans="1:8" ht="15.75" thickBot="1" x14ac:dyDescent="0.3">
      <c r="G15" s="50" t="s">
        <v>429</v>
      </c>
      <c r="H15" s="51">
        <f>SUM(H2:H13)</f>
        <v>1298.7853272915986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/>
  <dimension ref="A1:K23"/>
  <sheetViews>
    <sheetView tabSelected="1" workbookViewId="0">
      <pane ySplit="1" topLeftCell="A2" activePane="bottomLeft" state="frozen"/>
      <selection pane="bottomLeft" activeCell="A2" sqref="A2:G23"/>
    </sheetView>
  </sheetViews>
  <sheetFormatPr defaultRowHeight="15" x14ac:dyDescent="0.25"/>
  <cols>
    <col min="1" max="1" width="16.140625" style="93" bestFit="1" customWidth="1"/>
    <col min="2" max="3" width="13.28515625" style="19" bestFit="1" customWidth="1"/>
    <col min="4" max="4" width="15.85546875" style="1" bestFit="1" customWidth="1"/>
    <col min="5" max="5" width="20" style="97" bestFit="1" customWidth="1"/>
    <col min="6" max="6" width="24" style="97" bestFit="1" customWidth="1"/>
    <col min="7" max="7" width="14" style="95" bestFit="1" customWidth="1"/>
    <col min="8" max="10" width="9.140625" style="1"/>
    <col min="11" max="11" width="6.42578125" style="1" customWidth="1"/>
    <col min="12" max="13" width="9.140625" style="1"/>
    <col min="14" max="14" width="10.5703125" style="1" bestFit="1" customWidth="1"/>
    <col min="15" max="16384" width="9.140625" style="1"/>
  </cols>
  <sheetData>
    <row r="1" spans="1:11" x14ac:dyDescent="0.25">
      <c r="A1" s="90" t="s">
        <v>488</v>
      </c>
      <c r="B1" s="98" t="s">
        <v>22</v>
      </c>
      <c r="C1" s="98" t="s">
        <v>23</v>
      </c>
      <c r="D1" s="15" t="s">
        <v>24</v>
      </c>
      <c r="E1" s="96" t="s">
        <v>486</v>
      </c>
      <c r="F1" s="96" t="s">
        <v>487</v>
      </c>
      <c r="G1" s="94" t="s">
        <v>26</v>
      </c>
      <c r="I1" s="191" t="s">
        <v>549</v>
      </c>
      <c r="J1" s="191"/>
      <c r="K1" s="191"/>
    </row>
    <row r="2" spans="1:11" x14ac:dyDescent="0.25">
      <c r="A2" s="91" t="s">
        <v>496</v>
      </c>
      <c r="B2" s="89">
        <f>('ANÁLISE ACR'!K2)</f>
        <v>144.28265625</v>
      </c>
      <c r="C2" s="89">
        <f>('ANÁLISE ACL'!H2)</f>
        <v>119.10100844999999</v>
      </c>
      <c r="D2" s="101">
        <v>200</v>
      </c>
      <c r="E2" s="82">
        <f>(B2-C2-D2)*(1+G2/100)</f>
        <v>-174.83583403521999</v>
      </c>
      <c r="F2" s="82">
        <f>(E2)</f>
        <v>-174.83583403521999</v>
      </c>
      <c r="G2" s="100">
        <v>0.01</v>
      </c>
      <c r="I2" s="83"/>
    </row>
    <row r="3" spans="1:11" x14ac:dyDescent="0.25">
      <c r="A3" s="92" t="s">
        <v>497</v>
      </c>
      <c r="B3" s="89">
        <f>('ANÁLISE ACR'!K3)</f>
        <v>140.50681027340514</v>
      </c>
      <c r="C3" s="89">
        <f>('ANÁLISE ACL'!H3)</f>
        <v>115.54507667340513</v>
      </c>
      <c r="D3" s="101">
        <v>200</v>
      </c>
      <c r="E3" s="82">
        <f>(B3-C3-D3)*(1+G3/100)</f>
        <v>-175.05577022663999</v>
      </c>
      <c r="F3" s="82">
        <f>(F2+E3)</f>
        <v>-349.89160426185998</v>
      </c>
      <c r="G3" s="100">
        <v>0.01</v>
      </c>
    </row>
    <row r="4" spans="1:11" x14ac:dyDescent="0.25">
      <c r="A4" s="91" t="s">
        <v>498</v>
      </c>
      <c r="B4" s="89">
        <f>('ANÁLISE ACR'!K4)</f>
        <v>139.81447826999792</v>
      </c>
      <c r="C4" s="89">
        <f>('ANÁLISE ACL'!H4)</f>
        <v>109.27741926999791</v>
      </c>
      <c r="D4" s="101">
        <v>200</v>
      </c>
      <c r="E4" s="82">
        <f>(B4-C4-D4)*(1+G4/100)</f>
        <v>-169.4798872941</v>
      </c>
      <c r="F4" s="82">
        <f>(F3+E4)</f>
        <v>-519.37149155596001</v>
      </c>
      <c r="G4" s="100">
        <v>0.01</v>
      </c>
    </row>
    <row r="5" spans="1:11" x14ac:dyDescent="0.25">
      <c r="A5" s="92" t="s">
        <v>499</v>
      </c>
      <c r="B5" s="89">
        <v>132.88836332839296</v>
      </c>
      <c r="C5" s="89">
        <v>105.65037352839296</v>
      </c>
      <c r="D5" s="4"/>
      <c r="E5" s="82">
        <v>27.237989799999994</v>
      </c>
      <c r="F5" s="82">
        <v>-492.13350175596003</v>
      </c>
      <c r="G5" s="99">
        <v>0.01</v>
      </c>
    </row>
    <row r="6" spans="1:11" x14ac:dyDescent="0.25">
      <c r="A6" s="92" t="s">
        <v>500</v>
      </c>
      <c r="B6" s="89">
        <v>138.85676402116405</v>
      </c>
      <c r="C6" s="89">
        <v>107.46376502116402</v>
      </c>
      <c r="D6" s="4"/>
      <c r="E6" s="82">
        <v>31.392999000000032</v>
      </c>
      <c r="F6" s="82">
        <v>-460.74050275595999</v>
      </c>
      <c r="G6" s="99">
        <v>0.01</v>
      </c>
    </row>
    <row r="7" spans="1:11" x14ac:dyDescent="0.25">
      <c r="A7" s="92" t="s">
        <v>501</v>
      </c>
      <c r="B7" s="89">
        <v>125.05280200815815</v>
      </c>
      <c r="C7" s="89">
        <v>99.657275008158152</v>
      </c>
      <c r="D7" s="4"/>
      <c r="E7" s="82">
        <v>25.395527000000001</v>
      </c>
      <c r="F7" s="82">
        <v>-435.34497575595998</v>
      </c>
      <c r="G7" s="99">
        <v>0.01</v>
      </c>
    </row>
    <row r="8" spans="1:11" x14ac:dyDescent="0.25">
      <c r="A8" s="92" t="s">
        <v>502</v>
      </c>
      <c r="B8" s="89">
        <v>126.32053162429084</v>
      </c>
      <c r="C8" s="89">
        <v>98.396353924290821</v>
      </c>
      <c r="D8" s="4"/>
      <c r="E8" s="82">
        <v>27.924177700000016</v>
      </c>
      <c r="F8" s="82">
        <v>-407.42079805595995</v>
      </c>
      <c r="G8" s="99">
        <v>0.01</v>
      </c>
    </row>
    <row r="9" spans="1:11" x14ac:dyDescent="0.25">
      <c r="A9" s="92" t="s">
        <v>503</v>
      </c>
      <c r="B9" s="89">
        <v>133.30840844626536</v>
      </c>
      <c r="C9" s="89">
        <v>99.242841646265362</v>
      </c>
      <c r="D9" s="4"/>
      <c r="E9" s="82">
        <v>34.065566799999999</v>
      </c>
      <c r="F9" s="82">
        <v>-373.35523125595995</v>
      </c>
      <c r="G9" s="99">
        <v>0.01</v>
      </c>
    </row>
    <row r="10" spans="1:11" x14ac:dyDescent="0.25">
      <c r="A10" s="92" t="s">
        <v>504</v>
      </c>
      <c r="B10" s="89">
        <v>138.66827586206898</v>
      </c>
      <c r="C10" s="89">
        <v>103.87669046206895</v>
      </c>
      <c r="D10" s="4"/>
      <c r="E10" s="82">
        <v>34.791585400000031</v>
      </c>
      <c r="F10" s="82">
        <v>-338.56364585595992</v>
      </c>
      <c r="G10" s="99">
        <v>0.01</v>
      </c>
    </row>
    <row r="11" spans="1:11" x14ac:dyDescent="0.25">
      <c r="A11" s="92" t="s">
        <v>505</v>
      </c>
      <c r="B11" s="89">
        <v>138.96688670263407</v>
      </c>
      <c r="C11" s="89">
        <v>110.2796472026341</v>
      </c>
      <c r="D11" s="4"/>
      <c r="E11" s="82">
        <v>28.687239499999976</v>
      </c>
      <c r="F11" s="82">
        <v>-309.87640635595994</v>
      </c>
      <c r="G11" s="99">
        <v>0.01</v>
      </c>
    </row>
    <row r="12" spans="1:11" x14ac:dyDescent="0.25">
      <c r="A12" s="92" t="s">
        <v>506</v>
      </c>
      <c r="B12" s="89">
        <v>141.98191906115144</v>
      </c>
      <c r="C12" s="89">
        <v>116.95864586115144</v>
      </c>
      <c r="D12" s="4"/>
      <c r="E12" s="82">
        <v>25.023273200000006</v>
      </c>
      <c r="F12" s="82">
        <v>-284.85313315595994</v>
      </c>
      <c r="G12" s="99">
        <v>0.01</v>
      </c>
    </row>
    <row r="13" spans="1:11" x14ac:dyDescent="0.25">
      <c r="A13" s="92" t="s">
        <v>507</v>
      </c>
      <c r="B13" s="89">
        <v>130.71545474406989</v>
      </c>
      <c r="C13" s="89">
        <v>113.33623024406991</v>
      </c>
      <c r="D13" s="4"/>
      <c r="E13" s="82">
        <v>17.379224499999978</v>
      </c>
      <c r="F13" s="82">
        <v>-267.47390865595997</v>
      </c>
      <c r="G13" s="99">
        <v>0.01</v>
      </c>
    </row>
    <row r="14" spans="1:11" x14ac:dyDescent="0.25">
      <c r="A14" s="92" t="s">
        <v>508</v>
      </c>
      <c r="B14" s="89">
        <v>144.28265625</v>
      </c>
      <c r="C14" s="89">
        <v>119.10100844999999</v>
      </c>
      <c r="D14" s="4"/>
      <c r="E14" s="82">
        <v>25.181647800000007</v>
      </c>
      <c r="F14" s="82">
        <v>-242.29226085595997</v>
      </c>
      <c r="G14" s="99">
        <v>0.01</v>
      </c>
    </row>
    <row r="15" spans="1:11" x14ac:dyDescent="0.25">
      <c r="A15" s="92" t="s">
        <v>509</v>
      </c>
      <c r="B15" s="89">
        <v>140.50681027340514</v>
      </c>
      <c r="C15" s="89">
        <v>115.54507667340513</v>
      </c>
      <c r="D15" s="4"/>
      <c r="E15" s="82">
        <v>24.961733600000002</v>
      </c>
      <c r="F15" s="82">
        <v>-217.33052725595996</v>
      </c>
      <c r="G15" s="99">
        <v>0.01</v>
      </c>
    </row>
    <row r="16" spans="1:11" x14ac:dyDescent="0.25">
      <c r="A16" s="92" t="s">
        <v>510</v>
      </c>
      <c r="B16" s="89">
        <v>139.81447826999792</v>
      </c>
      <c r="C16" s="89">
        <v>109.27741926999791</v>
      </c>
      <c r="D16" s="4"/>
      <c r="E16" s="82">
        <v>30.537059000000013</v>
      </c>
      <c r="F16" s="82">
        <v>-186.79346825595997</v>
      </c>
      <c r="G16" s="99">
        <v>0.01</v>
      </c>
    </row>
    <row r="17" spans="1:7" x14ac:dyDescent="0.25">
      <c r="A17" s="92" t="s">
        <v>511</v>
      </c>
      <c r="B17" s="89">
        <v>132.88836332839296</v>
      </c>
      <c r="C17" s="89">
        <v>105.65037352839296</v>
      </c>
      <c r="D17" s="4"/>
      <c r="E17" s="82">
        <v>27.237989799999994</v>
      </c>
      <c r="F17" s="82">
        <v>-159.55547845595999</v>
      </c>
      <c r="G17" s="99">
        <v>0.01</v>
      </c>
    </row>
    <row r="18" spans="1:7" x14ac:dyDescent="0.25">
      <c r="A18" s="92" t="s">
        <v>512</v>
      </c>
      <c r="B18" s="89">
        <v>138.85676402116405</v>
      </c>
      <c r="C18" s="89">
        <v>107.46376502116402</v>
      </c>
      <c r="D18" s="4"/>
      <c r="E18" s="82">
        <v>31.392999000000032</v>
      </c>
      <c r="F18" s="82">
        <v>-128.16247945595995</v>
      </c>
      <c r="G18" s="99">
        <v>0.01</v>
      </c>
    </row>
    <row r="19" spans="1:7" x14ac:dyDescent="0.25">
      <c r="A19" s="92" t="s">
        <v>501</v>
      </c>
      <c r="B19" s="89">
        <v>125.05280200815815</v>
      </c>
      <c r="C19" s="89">
        <v>99.657275008158152</v>
      </c>
      <c r="D19" s="4"/>
      <c r="E19" s="82">
        <v>25.395527000000001</v>
      </c>
      <c r="F19" s="82">
        <v>-102.76695245595995</v>
      </c>
      <c r="G19" s="99">
        <v>0.01</v>
      </c>
    </row>
    <row r="20" spans="1:7" x14ac:dyDescent="0.25">
      <c r="A20" s="92" t="s">
        <v>513</v>
      </c>
      <c r="B20" s="89">
        <v>126.32053162429084</v>
      </c>
      <c r="C20" s="89">
        <v>98.396353924290821</v>
      </c>
      <c r="D20" s="4"/>
      <c r="E20" s="82">
        <v>27.924177700000016</v>
      </c>
      <c r="F20" s="82">
        <v>-74.842774755959937</v>
      </c>
      <c r="G20" s="99">
        <v>0.01</v>
      </c>
    </row>
    <row r="21" spans="1:7" x14ac:dyDescent="0.25">
      <c r="A21" s="92" t="s">
        <v>514</v>
      </c>
      <c r="B21" s="89">
        <v>133.30840844626536</v>
      </c>
      <c r="C21" s="89">
        <v>99.242841646265362</v>
      </c>
      <c r="D21" s="4"/>
      <c r="E21" s="82">
        <v>34.065566799999999</v>
      </c>
      <c r="F21" s="82">
        <v>-40.777207955959938</v>
      </c>
      <c r="G21" s="99">
        <v>0.01</v>
      </c>
    </row>
    <row r="22" spans="1:7" x14ac:dyDescent="0.25">
      <c r="A22" s="92" t="s">
        <v>515</v>
      </c>
      <c r="B22" s="89">
        <v>138.66827586206898</v>
      </c>
      <c r="C22" s="89">
        <v>103.87669046206895</v>
      </c>
      <c r="D22" s="4"/>
      <c r="E22" s="82">
        <v>34.791585400000031</v>
      </c>
      <c r="F22" s="82">
        <v>-5.9856225559599068</v>
      </c>
      <c r="G22" s="99">
        <v>0.01</v>
      </c>
    </row>
    <row r="23" spans="1:7" x14ac:dyDescent="0.25">
      <c r="A23" s="92" t="s">
        <v>516</v>
      </c>
      <c r="B23" s="89">
        <v>138.96688670263407</v>
      </c>
      <c r="C23" s="89">
        <v>110.2796472026341</v>
      </c>
      <c r="D23" s="4"/>
      <c r="E23" s="82">
        <v>28.687239499999976</v>
      </c>
      <c r="F23" s="82">
        <v>22.701616944040069</v>
      </c>
      <c r="G23" s="99">
        <v>0.01</v>
      </c>
    </row>
  </sheetData>
  <mergeCells count="1">
    <mergeCell ref="I1:K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4" name="Button 3">
              <controlPr defaultSize="0" print="0" autoFill="0" autoPict="0" macro="[0]!gerar_lista">
                <anchor moveWithCells="1">
                  <from>
                    <xdr:col>8</xdr:col>
                    <xdr:colOff>0</xdr:colOff>
                    <xdr:row>1</xdr:row>
                    <xdr:rowOff>9525</xdr:rowOff>
                  </from>
                  <to>
                    <xdr:col>11</xdr:col>
                    <xdr:colOff>9525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Plan1</vt:lpstr>
      <vt:lpstr>ANÁLISE PLD</vt:lpstr>
      <vt:lpstr>ANÁLISE ACR</vt:lpstr>
      <vt:lpstr>MLP - ACL</vt:lpstr>
      <vt:lpstr>MCP - ACL</vt:lpstr>
      <vt:lpstr>ANÁLISE ACL</vt:lpstr>
      <vt:lpstr>VIABILIDADE ECONÔMICA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Freitas</dc:creator>
  <cp:lastModifiedBy>Felipe Freitas</cp:lastModifiedBy>
  <cp:lastPrinted>2020-11-01T04:02:02Z</cp:lastPrinted>
  <dcterms:created xsi:type="dcterms:W3CDTF">2020-08-09T22:30:20Z</dcterms:created>
  <dcterms:modified xsi:type="dcterms:W3CDTF">2021-08-25T19:20:09Z</dcterms:modified>
</cp:coreProperties>
</file>